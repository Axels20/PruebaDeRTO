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amaya\Desktop\"/>
    </mc:Choice>
  </mc:AlternateContent>
  <bookViews>
    <workbookView showHorizontalScroll="0" showVerticalScroll="0" xWindow="0" yWindow="0" windowWidth="19200" windowHeight="11595"/>
  </bookViews>
  <sheets>
    <sheet name="Info" sheetId="9" r:id="rId1"/>
    <sheet name="Dashboard" sheetId="2" state="veryHidden" r:id="rId2"/>
    <sheet name="Tabla" sheetId="10" state="veryHidden" r:id="rId3"/>
    <sheet name="Data" sheetId="1" state="veryHidden" r:id="rId4"/>
    <sheet name="Cálculos" sheetId="3" state="veryHidden" r:id="rId5"/>
    <sheet name="Leyenda" sheetId="8" state="veryHidden" r:id="rId6"/>
  </sheets>
  <functionGroups builtInGroupCount="18"/>
  <externalReferences>
    <externalReference r:id="rId7"/>
    <externalReference r:id="rId8"/>
  </externalReferences>
  <definedNames>
    <definedName name="ClOrd">Data!$D$10</definedName>
    <definedName name="ED" hidden="1">{#N/A,#N/A,FALSE,"PWS#1";#N/A,#N/A,FALSE,"WS#3";#N/A,#N/A,FALSE,"PWS#4";#N/A,#N/A,FALSE,"WS#4";#N/A,#N/A,FALSE,"PWS#5&amp;6";#N/A,#N/A,FALSE,"PWS#7";#N/A,#N/A,FALSE,"PWS#8";#N/A,#N/A,FALSE,"PWS#9";#N/A,#N/A,FALSE,"PWS#9a";#N/A,#N/A,FALSE,"PWS#10";#N/A,#N/A,FALSE,"PWS#11";#N/A,#N/A,FALSE,"PWS#12";#N/A,#N/A,FALSE,"PWS#13";#N/A,#N/A,FALSE,"PWS#14"}</definedName>
    <definedName name="edo" hidden="1">{#N/A,#N/A,FALSE,"PWS#1";#N/A,#N/A,FALSE,"WS#3";#N/A,#N/A,FALSE,"PWS#4";#N/A,#N/A,FALSE,"WS#4";#N/A,#N/A,FALSE,"PWS#5&amp;6";#N/A,#N/A,FALSE,"PWS#7";#N/A,#N/A,FALSE,"PWS#8";#N/A,#N/A,FALSE,"PWS#9";#N/A,#N/A,FALSE,"PWS#9a";#N/A,#N/A,FALSE,"PWS#10";#N/A,#N/A,FALSE,"PWS#11";#N/A,#N/A,FALSE,"PWS#12";#N/A,#N/A,FALSE,"PWS#13";#N/A,#N/A,FALSE,"PWS#14"}</definedName>
    <definedName name="orderfld">Data!$F$20</definedName>
    <definedName name="ranrowgrid">Dashboard!$E$12:$AB$12</definedName>
    <definedName name="TablaAños">[2]!Tabla_Capital_Humano.accdb[Seleccione…]</definedName>
    <definedName name="TablaMeses">[2]!Tabla_Capital_Humano.accdb_1[Todos los meses]</definedName>
    <definedName name="valRowGrid">Cálculos!$C$3</definedName>
    <definedName name="valSelOption" localSheetId="0">[1]Cálculos!$C$2</definedName>
    <definedName name="valSelOption">Cálculos!$C$2</definedName>
    <definedName name="wrn.CONV.." hidden="1">{#N/A,#N/A,FALSE,"PWS#1";#N/A,#N/A,FALSE,"WS#3";#N/A,#N/A,FALSE,"PWS#4";#N/A,#N/A,FALSE,"WS#4";#N/A,#N/A,FALSE,"PWS#5&amp;6";#N/A,#N/A,FALSE,"PWS#7";#N/A,#N/A,FALSE,"PWS#8";#N/A,#N/A,FALSE,"PWS#9";#N/A,#N/A,FALSE,"PWS#9a";#N/A,#N/A,FALSE,"PWS#10";#N/A,#N/A,FALSE,"PWS#11";#N/A,#N/A,FALSE,"PWS#12";#N/A,#N/A,FALSE,"PWS#13";#N/A,#N/A,FALSE,"PWS#14"}</definedName>
  </definedNames>
  <calcPr calcId="152511"/>
  <pivotCaches>
    <pivotCache cacheId="0" r:id="rId9"/>
    <pivotCache cacheId="1" r:id="rId10"/>
    <pivotCache cacheId="2" r:id="rId11"/>
    <pivotCache cacheId="18" r:id="rId12"/>
  </pivotCaches>
</workbook>
</file>

<file path=xl/calcChain.xml><?xml version="1.0" encoding="utf-8"?>
<calcChain xmlns="http://schemas.openxmlformats.org/spreadsheetml/2006/main">
  <c r="C25" i="2" l="1"/>
  <c r="N2" i="9" l="1"/>
  <c r="B7" i="9"/>
  <c r="E12" i="1" l="1" a="1"/>
  <c r="E12" i="1" s="1"/>
  <c r="F20" i="1"/>
  <c r="E15" i="1" l="1"/>
  <c r="E14" i="1"/>
  <c r="E17" i="1"/>
  <c r="E13" i="1"/>
  <c r="E16" i="1"/>
  <c r="D10" i="1" l="1"/>
  <c r="B30" i="2"/>
  <c r="B29" i="2"/>
  <c r="B28" i="2"/>
  <c r="B27" i="2"/>
  <c r="B26" i="2"/>
  <c r="Z14" i="2"/>
  <c r="V14" i="2"/>
  <c r="F14" i="2"/>
  <c r="R15" i="2"/>
  <c r="V15" i="2"/>
  <c r="Z15" i="2"/>
  <c r="R14" i="2"/>
  <c r="J15" i="2"/>
  <c r="N15" i="2"/>
  <c r="J14" i="2"/>
  <c r="F15" i="2"/>
  <c r="N14" i="2"/>
  <c r="Z25" i="2" l="1"/>
  <c r="X25" i="2"/>
  <c r="P25" i="2"/>
  <c r="J25" i="2"/>
  <c r="E25" i="2"/>
  <c r="D13" i="1"/>
  <c r="D14" i="1"/>
  <c r="D15" i="1"/>
  <c r="D16" i="1"/>
  <c r="D17" i="1"/>
  <c r="D12" i="1"/>
  <c r="C10" i="1" l="1"/>
  <c r="C3" i="1" l="1" a="1"/>
  <c r="C3" i="1" s="1"/>
  <c r="H3" i="1"/>
  <c r="F3" i="1" l="1"/>
  <c r="E3" i="1"/>
  <c r="D3" i="1"/>
  <c r="G3" i="1"/>
  <c r="Y19" i="2" l="1"/>
  <c r="U19" i="2"/>
  <c r="M19" i="2"/>
  <c r="I19" i="2"/>
  <c r="E19" i="2"/>
  <c r="Q19" i="2"/>
  <c r="C6" i="8" l="1"/>
  <c r="Z9" i="2" l="1"/>
  <c r="AA9" i="2" s="1"/>
  <c r="AB9" i="2" s="1"/>
  <c r="V9" i="2"/>
  <c r="W9" i="2" s="1"/>
  <c r="X9" i="2" s="1"/>
  <c r="R9" i="2"/>
  <c r="S9" i="2" s="1"/>
  <c r="T9" i="2" s="1"/>
  <c r="N9" i="2"/>
  <c r="O9" i="2" s="1"/>
  <c r="P9" i="2" s="1"/>
  <c r="J9" i="2"/>
  <c r="K9" i="2" s="1"/>
  <c r="L9" i="2" s="1"/>
  <c r="F9" i="2"/>
  <c r="G9" i="2" s="1"/>
  <c r="H9" i="2" s="1"/>
  <c r="Z17" i="2" l="1"/>
  <c r="Z16" i="2" s="1"/>
  <c r="V17" i="2"/>
  <c r="V16" i="2" s="1"/>
  <c r="F4" i="1" s="1"/>
  <c r="R17" i="2"/>
  <c r="R16" i="2" s="1"/>
  <c r="N17" i="2"/>
  <c r="N16" i="2" s="1"/>
  <c r="J17" i="2"/>
  <c r="J16" i="2" s="1"/>
  <c r="F5" i="1" l="1"/>
  <c r="F6" i="1"/>
  <c r="J18" i="2"/>
  <c r="C4" i="1"/>
  <c r="C6" i="1" s="1"/>
  <c r="Z18" i="2"/>
  <c r="G4" i="1"/>
  <c r="R18" i="2"/>
  <c r="E4" i="1"/>
  <c r="N18" i="2"/>
  <c r="D4" i="1"/>
  <c r="G5" i="1" l="1"/>
  <c r="G6" i="1"/>
  <c r="E5" i="1"/>
  <c r="E6" i="1"/>
  <c r="D5" i="1"/>
  <c r="D6" i="1"/>
  <c r="Y12" i="2"/>
  <c r="E12" i="2"/>
  <c r="M12" i="2"/>
  <c r="C5" i="1" l="1"/>
  <c r="I12" i="2"/>
  <c r="Q12" i="2"/>
  <c r="U12" i="2"/>
  <c r="F17" i="2" l="1"/>
  <c r="F16" i="2" s="1"/>
  <c r="E18" i="2" l="1"/>
  <c r="H4" i="1"/>
  <c r="H5" i="1" l="1"/>
  <c r="H6" i="1"/>
</calcChain>
</file>

<file path=xl/connections.xml><?xml version="1.0" encoding="utf-8"?>
<connections xmlns="http://schemas.openxmlformats.org/spreadsheetml/2006/main">
  <connection id="1" sourceFile="\\negocios\canales tradicionales\Medicion Financiera\SVR_MEDFIN\PROYECTOS\CUENTAS CAPITAL HUMANO\Capital Humano.accdb" keepAlive="1" name="Capital Humano" type="5" refreshedVersion="5">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Resumen" commandType="3"/>
  </connection>
  <connection id="2" sourceFile="\\negocios\canales tradicionales\Medicion Financiera\SVR_MEDFIN\PROYECTOS\CUENTAS CAPITAL HUMANO\Capital Humano.accdb" keepAlive="1" name="Capital Humano1" type="5" refreshedVersion="5" saveData="1">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etalle" commandType="3"/>
  </connection>
  <connection id="3" name="CAPITAL_HUMANO" type="1" refreshedVersion="5" saveData="1">
    <dbPr connection="DBQ=\\negocios\canales tradicionales\Medicion Financiera\SVR_MEDFIN\BASE_DE_DATOS\CUENTAS DE CAPITAL HUMANO\CAPITAL_HUMANO.accdb;DefaultDir=\\negocios\canales tradicionales\Medicion Financiera\SVR_MEDFIN\BASE_DE_DATOS\CUENTAS DE CAPITAL HUMANO;Driver={Microsoft Access Driver (*.mdb, *.accdb)};DriverId=25;FIL=MS Access;MaxBufferSize=2048;MaxScanRows=8;PageTimeout=5;SafeTransactions=0;Threads=3;UID=admin;UserCommitSync=Yes;" command="SELECT * FROM `RESUMEN`"/>
  </connection>
  <connection id="4" odcFile="\\negocios\canales tradicionales\Medicion Financiera\SVR_MEDFIN\OLAP_CUBES\CTAS_CH\DETALLE.dsn" name="DETALLE" type="1" refreshedVersion="5">
    <dbPr connection="DBQ=\\negocios\canales tradicionales\Medicion Financiera\SVR_MEDFIN\BASE_DE_DATOS\CUENTAS DE CAPITAL HUMANO\CAPITAL_HUMANO.accdb;DefaultDir=\\negocios\canales tradicionales\Medicion Financiera\SVR_MEDFIN\BASE_DE_DATOS\CUENTAS DE CAPITAL HUMANO;Driver={Microsoft Access Driver (*.mdb, *.accdb)};DriverId=25;FIL=MS Access;MaxBufferSize=2048;MaxScanRows=8;PageTimeout=5;SafeTransactions=0;Threads=3;UID=admin;UserCommitSync=Yes;" command="SELECT * FROM `CAPITAL_HUMANO`"/>
  </connection>
</connections>
</file>

<file path=xl/sharedStrings.xml><?xml version="1.0" encoding="utf-8"?>
<sst xmlns="http://schemas.openxmlformats.org/spreadsheetml/2006/main" count="22582" uniqueCount="652">
  <si>
    <t>valSelOption</t>
  </si>
  <si>
    <t>Horas extras</t>
  </si>
  <si>
    <t>Alimentación</t>
  </si>
  <si>
    <t>Viáticos</t>
  </si>
  <si>
    <t>Reconocimientos</t>
  </si>
  <si>
    <t>Celebraciones</t>
  </si>
  <si>
    <t>Plan Anual</t>
  </si>
  <si>
    <t>Balance YTM</t>
  </si>
  <si>
    <t>$Disponible</t>
  </si>
  <si>
    <t>%Disponible</t>
  </si>
  <si>
    <t xml:space="preserve">Viáticos </t>
  </si>
  <si>
    <t>Reconocimientos y Celebraciones</t>
  </si>
  <si>
    <t>Entrega de Chorrito (Dic)</t>
  </si>
  <si>
    <t>Brindis de entrega de Participación de Utilidades</t>
  </si>
  <si>
    <t xml:space="preserve">Actividades destinadas a compartir con el equipo de trabajo como cumpleaños, nacimientos, despedidas, brindis, etc. </t>
  </si>
  <si>
    <t>Premios, certificados de regalo, obsequios, etc. que se utilicen para reconocer conductas positivas de los colaboradores o el mérito en el cumplimiento con éxito de una actividad o tarea de manera sobresaliente.</t>
  </si>
  <si>
    <t>Fecha</t>
  </si>
  <si>
    <t>Comprobante</t>
  </si>
  <si>
    <t>Asiento</t>
  </si>
  <si>
    <t>Débito</t>
  </si>
  <si>
    <t>Crédito</t>
  </si>
  <si>
    <t>Gastos de movilización, hospedaje, alimentación en que incurra el colaborador por desplazamiento no recurrente, realizados a consecuencia del desempeño de sus labores. Aplica para viajes locales, internacionales y movimientos dentro de Panamá.
Se exceptúan todos los gastos cuya naturaleza sea capacitación  o Proyectos.</t>
  </si>
  <si>
    <t>Brindis participación</t>
  </si>
  <si>
    <t>a) Por permanecer laborando más de 3 horas despúes de finalizada la jornada regular de trabajo y la hora de salida sea despúes de las 7:00 pm.
b) Que por motivos de contingencia no puedan tomar el tiempo de almuerzo.
c) Almuerzos de trabajo. 
d) Reuniones de trabajo fuera de jornada laboral.
Se exceptúan todos los gastos cuya naturaleza sea capacitación  o Proyectos.</t>
  </si>
  <si>
    <t>TRANSACCIONES DEL DIA 01/10/2018 RECURSOS HUMANOS</t>
  </si>
  <si>
    <t>CAJA</t>
  </si>
  <si>
    <t>PAGO NOMINA QUINCENA 1 ENERO 2018</t>
  </si>
  <si>
    <t>SERVICIOS PERSONALES</t>
  </si>
  <si>
    <t>ADMINISTRACION DE SUCURSALES</t>
  </si>
  <si>
    <t>Área</t>
  </si>
  <si>
    <t>Disponible</t>
  </si>
  <si>
    <t>Gastado#1</t>
  </si>
  <si>
    <t>Gastado#2</t>
  </si>
  <si>
    <t>ASCENDENTEMENTE</t>
  </si>
  <si>
    <t>DESCENDENTEMENTE</t>
  </si>
  <si>
    <t>SELECT &gt;&gt;</t>
  </si>
  <si>
    <t>valRowGrid</t>
  </si>
  <si>
    <t>as_oficina_dest</t>
  </si>
  <si>
    <t>as_oficina</t>
  </si>
  <si>
    <t>Etiquetas de fila</t>
  </si>
  <si>
    <t>ALIMENTACIÓN</t>
  </si>
  <si>
    <t>HORAS EXTRAS</t>
  </si>
  <si>
    <t>VIATICOS</t>
  </si>
  <si>
    <t>Suma de PLAN</t>
  </si>
  <si>
    <t>Suma de BALANCE</t>
  </si>
  <si>
    <t>VIÁTICOS</t>
  </si>
  <si>
    <t>RECONOCIMIENTOS</t>
  </si>
  <si>
    <t>CELEBRACIONES</t>
  </si>
  <si>
    <t>BRINDIS PARTICIPACIÓN</t>
  </si>
  <si>
    <t>as_año</t>
  </si>
  <si>
    <t>2018</t>
  </si>
  <si>
    <t>Años</t>
  </si>
  <si>
    <t>07-ago</t>
  </si>
  <si>
    <t>08-ago</t>
  </si>
  <si>
    <t>10-ago</t>
  </si>
  <si>
    <t>13-ago</t>
  </si>
  <si>
    <t>14-ago</t>
  </si>
  <si>
    <t>24-ago</t>
  </si>
  <si>
    <t>25-ago</t>
  </si>
  <si>
    <t>27-ago</t>
  </si>
  <si>
    <t>as_fecha_tran</t>
  </si>
  <si>
    <t>ar_descripcion</t>
  </si>
  <si>
    <t>as_concepto</t>
  </si>
  <si>
    <t>ALIMENTACION DE EMPLEADOS CTA NUEVA</t>
  </si>
  <si>
    <t>PAGO NOMINA QUINCENA 1 AGOSTO 2018</t>
  </si>
  <si>
    <t>PAGO NOMINA QUINCENA 2 AGOSTO 2018</t>
  </si>
  <si>
    <t>OTROS EGRESOS 18</t>
  </si>
  <si>
    <t>co_descripcion</t>
  </si>
  <si>
    <t>TRANSACCIONES DEL DIA 08/07/2018SPYRAL - GESTION ADMINISTRATIVA</t>
  </si>
  <si>
    <t>TRANSACCIONES DEL DIA 08/08/2018SPYRAL - GESTION ADMINISTRATIVA</t>
  </si>
  <si>
    <t>TRANSACCIONES DEL DIA 08/10/2018 RECURSOS HUMANOS</t>
  </si>
  <si>
    <t>TRANSACCIONES DEL DIA 08/13/2018SPYRAL - GESTION ADMINISTRATIVA</t>
  </si>
  <si>
    <t>TRANSACCIONES DEL DIA 08/14/2018SPYRAL - GESTION ADMINISTRATIVA</t>
  </si>
  <si>
    <t>TRANSACCIONES DEL DIA 08/24/2018SPYRAL - GESTION ADMINISTRATIVA</t>
  </si>
  <si>
    <t>TRANSACCIONES DEL DIA 08/25/2018 RECURSOS HUMANOS</t>
  </si>
  <si>
    <t>OTROS EGRESOS 1.P.O (OR:38/DES:38 TRN:86 PERF:300086 CAU: 18</t>
  </si>
  <si>
    <t>Suma de as_debito</t>
  </si>
  <si>
    <t>Suma de as_credito</t>
  </si>
  <si>
    <t>as_asiento</t>
  </si>
  <si>
    <t>mostrado abajo haga clic en la opción "Habilitar Macros" y podrá iniciar.</t>
  </si>
  <si>
    <t>seguridad y habilitar las Macros y las Conecciones de Datos para iniciar.</t>
  </si>
  <si>
    <t xml:space="preserve">Favor cerrar el libro e intente abrirlo nuevamente, al aparecer el mensaje </t>
  </si>
  <si>
    <t xml:space="preserve">Hacer clic en el botón "Opciones…" ubicado en la barra de advertencia de </t>
  </si>
  <si>
    <t>Usuarios de Office Excel 97-2003</t>
  </si>
  <si>
    <t>Usuarios de Office Excel 2007 o superior</t>
  </si>
  <si>
    <t>Verifique su versión de Microsoft Office Excel de acuerdo al mensaje mostrado a continuación y siga uno de los pasos descritos abajo para poder utilizar el tablero:</t>
  </si>
  <si>
    <t xml:space="preserve">Este archivo no tendrá funcionalidad alguna hasta que todo el contenido del libro sea habilitado. </t>
  </si>
  <si>
    <t>Favor lea las siguientes instrucciones detenidamente:</t>
  </si>
  <si>
    <t>Versión:</t>
  </si>
  <si>
    <t>Medición Financiera - Canales Tradicionales</t>
  </si>
  <si>
    <t>BRINDIS DE PARTICIPACIÓN</t>
  </si>
  <si>
    <t xml:space="preserve">CELEBRACIONES </t>
  </si>
  <si>
    <t xml:space="preserve">RECONOCIMIENTO </t>
  </si>
  <si>
    <t>Suma de Plan</t>
  </si>
  <si>
    <t>Oficina</t>
  </si>
  <si>
    <t>(Todas)</t>
  </si>
  <si>
    <t>Año</t>
  </si>
  <si>
    <t>Suma de Balance</t>
  </si>
  <si>
    <t>OTROS EGRESOS 1.P.O (OR:22/DES:22 TRN:86 PERF:300086 CAU: 18</t>
  </si>
  <si>
    <t>OTROS EGRESOS 1.P.O (OR:32/DES:32 TRN:86 PERF:300086 CAU: 18</t>
  </si>
  <si>
    <t>OTROS EGRESOS 1.P.O (OR:4/DES:4 TRN:86 PERF:300086 CAU: 18</t>
  </si>
  <si>
    <t>OTROS EGRESOS 1.P.O (OR:71/DES:71 TRN:86 PERF:300086 CAU: 18</t>
  </si>
  <si>
    <t>CORRIGE DIFERENCIA EN RECHAZO MODULO DE CONTABILIDAD</t>
  </si>
  <si>
    <t>PARA REGISTRAR CAJA</t>
  </si>
  <si>
    <t>OTROS EGRESOS 1.P.O (OR:20/DES:20 TRN:86 PERF:300086 CAU: 18</t>
  </si>
  <si>
    <t>OTROS EGRESOS 1.P.O (OR:35/DES:35 TRN:86 PERF:300086 CAU: 18</t>
  </si>
  <si>
    <t>OTROS EGRESOS 1.P.O (OR:70/DES:70 TRN:86 PERF:300086 CAU: 18</t>
  </si>
  <si>
    <t>OTROS EGRESOS 1.P.O (OR:1/DES:1 TRN:86 PERF:300086 CAU: 18</t>
  </si>
  <si>
    <t>OTROS EGRESOS 1.P.O (OR:72/DES:72 TRN:86 PERF:300086 CAU: 18</t>
  </si>
  <si>
    <t>OTROS EGRESOS 1.P.O (OR:40/DES:40 TRN:86 PERF:300086 CAU: 18</t>
  </si>
  <si>
    <t>OTROS EGRESOS 1.P.O (OR:78/DES:78 TRN:86 PERF:300086 CAU: 18</t>
  </si>
  <si>
    <t>OTROS EGRESOS 1.P.O (OR:6/DES:6 TRN:86 PERF:300086 CAU: 18</t>
  </si>
  <si>
    <t>NC ALIMENTACION DE EMPLEADOS NVA</t>
  </si>
  <si>
    <t>TRANSACCIONES DEL DIA 08/23/2018SPYRAL - GESTION ADMINISTRATIVA</t>
  </si>
  <si>
    <t>OTROS EGRESOS 1.P.O (OR:131/DES:131 TRN:86 PERF:300086 CAU: 18</t>
  </si>
  <si>
    <t>OTROS EGRESOS 1.P.O (OR:15/DES:15 TRN:86 PERF:300086 CAU: 18</t>
  </si>
  <si>
    <t>OTROS EGRESOS 1.P.O (OR:196/DES:196 TRN:86 PERF:300086 CAU: 18</t>
  </si>
  <si>
    <t>OTROS EGRESOS 1.P.O (OR:102/DES:102 TRN:86 PERF:300086 CAU: 18</t>
  </si>
  <si>
    <t>OTROS EGRESOS 1.P.O (OR:19/DES:19 TRN:86 PERF:300086 CAU: 18</t>
  </si>
  <si>
    <t>OTROS EGRESOS 1.P.O (OR:27/DES:27 TRN:86 PERF:300086 CAU: 18</t>
  </si>
  <si>
    <t>OTROS EGRESOS 1.P.O (OR:7/DES:7 TRN:86 PERF:300086 CAU: 18</t>
  </si>
  <si>
    <t>OTROS EGRESOS 1.P.O (OR:13/DES:13 TRN:86 PERF:300086 CAU: 18</t>
  </si>
  <si>
    <t>OTROS EGRESOS 1.P.O (OR:28/DES:28 TRN:86 PERF:300086 CAU: 18</t>
  </si>
  <si>
    <t>OTROS EGRESOS 1.P.O (OR:125/DES:125 TRN:86 PERF:300086 CAU: 18</t>
  </si>
  <si>
    <t>OTROS EGRESOS 1.P.O (OR:23/DES:23 TRN:86 PERF:300086 CAU: 18</t>
  </si>
  <si>
    <t>OTROS EGRESOS 1.P.O (OR:43/DES:43 TRN:86 PERF:300086 CAU: 18</t>
  </si>
  <si>
    <t>PLANILLAS DE LIQUIDACIONES AGO 2018</t>
  </si>
  <si>
    <t>TRANSACCIONES DEL DIA 08/15/2018 RECURSOS HUMANOS</t>
  </si>
  <si>
    <t>OTROS EGRESOS 1.P.O (OR:74/DES:74 TRN:86 PERF:300086 CAU: 18</t>
  </si>
  <si>
    <t>OTROS EGRESOS 1.P.O (OR:37/DES:37 TRN:86 PERF:300086 CAU: 18</t>
  </si>
  <si>
    <t>OTROS EGRESOS 1.P.O (OR:10/DES:10 TRN:86 PERF:300086 CAU: 18</t>
  </si>
  <si>
    <t>OTROS EGRESOS 1.P.O (OR:5/DES:5 TRN:86 PERF:300086 CAU: 18</t>
  </si>
  <si>
    <t>OTROS EGRESOS 1.P.O (OR:101/DES:101 TRN:86 PERF:300086 CAU: 18</t>
  </si>
  <si>
    <t>OTROS EGRESOS 1.P.O (OR:39/DES:39 TRN:86 PERF:300086 CAU: 18</t>
  </si>
  <si>
    <t>OTROS EGRESOS 1.P.O (OR:73/DES:73 TRN:86 PERF:300086 CAU: 18</t>
  </si>
  <si>
    <t>OTROS EGRESOS 1.P.O (OR:41/DES:41 TRN:86 PERF:300086 CAU: 18</t>
  </si>
  <si>
    <t>OTROS EGRESOS 1.P.O (OR:8/DES:8 TRN:86 PERF:300086 CAU: 18</t>
  </si>
  <si>
    <t>OTROS EGRESOS 1.P.O (OR:3/DES:3 TRN:86 PERF:300086 CAU: 18</t>
  </si>
  <si>
    <t>OTROS EGRESOS 1.P.O (OR:34/DES:34 TRN:86 PERF:300086 CAU: 18</t>
  </si>
  <si>
    <t>OTROS EGRESOS 1.P.O (OR:53/DES:53 TRN:86 PERF:300086 CAU: 18</t>
  </si>
  <si>
    <t>OTROS EGRESOS 1.P.O (OR:164/DES:164 TRN:86 PERF:300086 CAU: 18</t>
  </si>
  <si>
    <t>OTROS EGRESOS 1.P.O (OR:51/DES:51 TRN:86 PERF:300086 CAU: 18</t>
  </si>
  <si>
    <t>OTROS EGRESOS 1.P.O (OR:48/DES:48 TRN:86 PERF:300086 CAU: 18</t>
  </si>
  <si>
    <t>OTROS EGRESOS 1.P.O (OR:33/DES:33 TRN:86 PERF:300086 CAU: 18</t>
  </si>
  <si>
    <t>OTROS EGRESOS 1.P.O (OR:9/DES:9 TRN:86 PERF:300086 CAU: 18</t>
  </si>
  <si>
    <t>OTROS EGRESOS 1.P.O (OR:162/DES:162 TRN:86 PERF:300086 CAU: 18</t>
  </si>
  <si>
    <t>O/ING. EFECTIVO 18</t>
  </si>
  <si>
    <t>O/ING. EFECTIVO 1.P.O (OR:131/DES:131 TRN:32 PERF:300032E CAU: 1</t>
  </si>
  <si>
    <t>CORRECCION DE ENTRADA DE PARTIDA DE FIESTAS PATRIAS</t>
  </si>
  <si>
    <t>REGISTRO DE ENTRADA DE ADMINISTRACION</t>
  </si>
  <si>
    <t>CORREGIMOS ENTRADA DEL 20 DE AGOSTO POR ERROR EN CAUSA. SE DEBIO</t>
  </si>
  <si>
    <t>REGISTRO DE ENTRADA DE CAJA</t>
  </si>
  <si>
    <t>CORRIGE ENTRADA DE GASTOS DE DECORACION DE FIESTAS PATRIAS 2018-</t>
  </si>
  <si>
    <t>EL 21 DE AGOSTO SE SACO EL PRESUPUESTO DE FISTAS PATRIAS POR CAU</t>
  </si>
  <si>
    <t>SE CORRIGE ENTRADA DEL DIA 1 DE AGOSTO, SE UTILIZO LA CAUSA INCO</t>
  </si>
  <si>
    <t>NC GASTO NO DEDUCIBLES</t>
  </si>
  <si>
    <t>TRANSACCIONES DEL DIA 08/10/2018SPYRAL - GESTION ADMINISTRATIVA</t>
  </si>
  <si>
    <t>TRANSACCIONES DEL DIA 08/07/2018 RECURSOS HUMANOS</t>
  </si>
  <si>
    <t>INGRESO DE PAGO DE VIATICO DEL 27 DE AGOSTO DE 2018</t>
  </si>
  <si>
    <t>TRANSACCIONES DEL DIA 08/22/2018SPYRAL - GESTION ADMINISTRATIVA</t>
  </si>
  <si>
    <t>TRANSACCIONES DEL DIA 08/16/2018SPYRAL - GESTION ADMINISTRATIVA</t>
  </si>
  <si>
    <t>TRANSACCIONES DEL DIA 08/09/2018SPYRAL - GESTION ADMINISTRATIVA</t>
  </si>
  <si>
    <t>TRANSACCIONES DEL DIA 08/03/2018SPYRAL - GESTION ADMINISTRATIVA</t>
  </si>
  <si>
    <t>GASTOS NO DEDUCIBLES</t>
  </si>
  <si>
    <t>TRANSACCIONES DEL DIA 08/20/2018SPYRAL - GESTION ADMINISTRATIVA</t>
  </si>
  <si>
    <t>TRANSACCIONES DEL DIA 08/25/2018SPYRAL - GESTION ADMINISTRATIVA</t>
  </si>
  <si>
    <t>TRANSACCIONES DEL DIA 08/02/2018SPYRAL - GESTION ADMINISTRATIVA</t>
  </si>
  <si>
    <t>TRANSACCIONES DEL DIA 08/29/2018SPYRAL - GESTION ADMINISTRATIVA</t>
  </si>
  <si>
    <t>TRANSACCIONES DEL DIA 08/28/2018SPYRAL - GESTION ADMINISTRATIVA</t>
  </si>
  <si>
    <t>TRANSACCIONES DEL DIA 08/17/2018SPYRAL - GESTION ADMINISTRATIVA</t>
  </si>
  <si>
    <t>TRANSACCIONES DEL DIA 08/21/2018SPYRAL - GESTION ADMINISTRATIVA</t>
  </si>
  <si>
    <t>VIATICOS 2</t>
  </si>
  <si>
    <t>TRANSACCIONES DEL DIA 08/01/2018SPYRAL - GESTION ADMINISTRATIVA</t>
  </si>
  <si>
    <t>TRANSACCIONES DEL DIA 08/06/2018SPYRAL - GESTION ADMINISTRATIVA</t>
  </si>
  <si>
    <t>TRANSACCIONES DEL DIA 08/27/2018SPYRAL - GESTION ADMINISTRATIVA</t>
  </si>
  <si>
    <t>RECONOCIMIENTO</t>
  </si>
  <si>
    <t>NC VIATICOS</t>
  </si>
  <si>
    <t>TRANSACCIONES DEL DIA 08/15/2018SPYRAL - GESTION ADMINISTRATIVA</t>
  </si>
  <si>
    <t>NC  RECONOCIMIENTOS</t>
  </si>
  <si>
    <t>ATENCION A CLIENTES</t>
  </si>
  <si>
    <t>ATM</t>
  </si>
  <si>
    <t>BANCA COMERCIAL PERIFERIA</t>
  </si>
  <si>
    <t>BANCA EN LINEA</t>
  </si>
  <si>
    <t>FUERZAS DE VENTAS PANAMA</t>
  </si>
  <si>
    <t>HIPOTECAS</t>
  </si>
  <si>
    <t>IMAGEN CORPORATIVA</t>
  </si>
  <si>
    <t>INTERINOS</t>
  </si>
  <si>
    <t>BANCA COMERCIAL CENTRO</t>
  </si>
  <si>
    <t>CANALES DE DISTRIBUCION</t>
  </si>
  <si>
    <t>FUERZA DE VENTAS AUTOS</t>
  </si>
  <si>
    <t>CANALES EXTERNOS HIP</t>
  </si>
  <si>
    <t>DESARROLLO DE PRODUCTOS</t>
  </si>
  <si>
    <t>TELEMERCADEO</t>
  </si>
  <si>
    <t>CENTRO DE TARJETAS</t>
  </si>
  <si>
    <t>NEGOCIOS</t>
  </si>
  <si>
    <t>GESTION HIPOTECARIA</t>
  </si>
  <si>
    <t>BANCA COMERCIAL</t>
  </si>
  <si>
    <t>BANCA COMERCIAL INTERIOR</t>
  </si>
  <si>
    <t>SERVICIOS AL CLIENTE</t>
  </si>
  <si>
    <t>SEGMENTO DE NEGOCIOS</t>
  </si>
  <si>
    <t>CANALES ALTERNOS</t>
  </si>
  <si>
    <t>BANCA PRIVADA</t>
  </si>
  <si>
    <t>MERCADEO Y PUBLICIDAD</t>
  </si>
  <si>
    <t>VENTAS CONSUMO</t>
  </si>
  <si>
    <t>ZONA LIBRE</t>
  </si>
  <si>
    <t>CAMPAðA</t>
  </si>
  <si>
    <t>AUTOS</t>
  </si>
  <si>
    <t>BANCA CORPORATIVA</t>
  </si>
  <si>
    <t>FUERZA DE VENTAS INTERIOR</t>
  </si>
  <si>
    <t>GESTION Y CONTROL CANALES ALTERNOS</t>
  </si>
  <si>
    <t>CUENTAS CORPORATIVAS</t>
  </si>
  <si>
    <t>BANCA DE CONSUMO</t>
  </si>
  <si>
    <t>MERCADEO</t>
  </si>
  <si>
    <t>EMISOR DE TARJETAS</t>
  </si>
  <si>
    <t>PERSONALES</t>
  </si>
  <si>
    <t>AFILIACIONES DE COMERCIOS</t>
  </si>
  <si>
    <t>OPERACIONES DE CENTRO DE TARJETAS</t>
  </si>
  <si>
    <t>PLANILLAS DE LIQUIDACIONES JUN 2018</t>
  </si>
  <si>
    <t>PAGO NOMINA QUINCENA 1 JUNIO 2018</t>
  </si>
  <si>
    <t>PAGO NOMINA QUINCENA 2 JUNIO 2018</t>
  </si>
  <si>
    <t>PAGO NOMINA QUINCENA 1 JULIO 2018</t>
  </si>
  <si>
    <t>OTROS EGRESOS 17</t>
  </si>
  <si>
    <t>PLANILLAS DE LIQUIDACIONES JUL 2018</t>
  </si>
  <si>
    <t>ALIMENTACION DE EMPLEADOS</t>
  </si>
  <si>
    <t>PAGO NOMINA QUINCENA 2 JULIO 2018</t>
  </si>
  <si>
    <t>CORRECCION REG.20/07/2018 CENA</t>
  </si>
  <si>
    <t>PAGO NOMINA QUINCENA 1 SEPTIEMBRE 2018</t>
  </si>
  <si>
    <t>PAGO NOMINA QUINCENA 2 SEPTIEMBRE 2018</t>
  </si>
  <si>
    <t>PAGO NOMINA QUINCENA 1 OCTUBRE 2018</t>
  </si>
  <si>
    <t>PAGO NOMINA QUINCENA 2 OCTUBRE 2018</t>
  </si>
  <si>
    <t>PAGO NOMINA QUINCENA 1 NOVIEMBRE 2018</t>
  </si>
  <si>
    <t>PAGO NOMINA QUINCENA 2 NOVIEMBRE 2018</t>
  </si>
  <si>
    <t>PLANILLAS DE LIQUIDACIONES NOV 2018</t>
  </si>
  <si>
    <t>PAGO NOMINA QUINCENA 1 DICIEMBRE 2018</t>
  </si>
  <si>
    <t>PLANILLAS DE LIQUIDACIONES DIC 2018</t>
  </si>
  <si>
    <t>PAGO NOMINA QUINCENA 2 DICIEMBRE 2018</t>
  </si>
  <si>
    <t>CIERRE DE ANIO FISCAL</t>
  </si>
  <si>
    <t>PAGO NOMINA QUINCENA 1 ENERO 2019</t>
  </si>
  <si>
    <t>PAGO NOMINA QUINCENA 2 ENERO 2019</t>
  </si>
  <si>
    <t>PROVISION DEL MES ENERO 2019</t>
  </si>
  <si>
    <t>PLANILLAS DE LIQUIDACIONES FEB 2019</t>
  </si>
  <si>
    <t>ALIMENTACION DE EMPLEADOS [EMPL]</t>
  </si>
  <si>
    <t>PAGO NOMINA QUINCENA 1 FEBRERO 2019</t>
  </si>
  <si>
    <t>PAGO NOMINA QUINCENA 2 FEBRERO 2019</t>
  </si>
  <si>
    <t>REVERSI╦N - FEBRERO 2019</t>
  </si>
  <si>
    <t>PAGO NOMINA QUINCENA 1 MARZO 2019</t>
  </si>
  <si>
    <t>PLANILLAS DE LIQUIDACIONES MAR 2019</t>
  </si>
  <si>
    <t>CORRRECCION DEL 21/03/2019 POR CAUSA DE REGISTRO DE VIATICO MAL</t>
  </si>
  <si>
    <t>PAGO NOMINA QUINCENA 2 MARZO 2019</t>
  </si>
  <si>
    <t>PAGO NOMINA QUINCENA 1 ABRIL 2019</t>
  </si>
  <si>
    <t>PLANILLAS DE LIQUIDACIONES ABR 2019</t>
  </si>
  <si>
    <t>PAGO NOMINA QUINCENA 2 ABRIL 2019</t>
  </si>
  <si>
    <t>REVERSION - ABRIL 2019</t>
  </si>
  <si>
    <t>PLANILLAS DE LIQUIDACIONES MAY 2019</t>
  </si>
  <si>
    <t>PAGO NOMINA QUINCENA 1 MAYO 2019</t>
  </si>
  <si>
    <t>PAGO NOMINA QUINCENA 2 MAYO 2019</t>
  </si>
  <si>
    <t>REVERSION MAYO 2019</t>
  </si>
  <si>
    <t>CORRIGE  RECHAZO 05-JUNIO-2019</t>
  </si>
  <si>
    <t>CORRIGE RECHAZO 05/JUNIO/2019</t>
  </si>
  <si>
    <t>PAGO NOMINA QUINCENA 1 JUNIO 2019</t>
  </si>
  <si>
    <t>CORRECCION DE RECHAZO REG. 08/06/2019</t>
  </si>
  <si>
    <t>PAGO NOMINA QUINCENA 2 JUNIO 2019</t>
  </si>
  <si>
    <t>PAGO NOMINA QUINCENA 1 JULIO 2019</t>
  </si>
  <si>
    <t>PLANILLAS DE LIQUIDACIONES JUL 2019</t>
  </si>
  <si>
    <t>PAGO NOMINA QUINCENA 2 JULIO 2019</t>
  </si>
  <si>
    <t>TRANSACCIONES DEL DIA 06/01/2018SPYRAL - GESTION ADMINISTRATIVA</t>
  </si>
  <si>
    <t>OTROS EGRESOS 1.P.O (OR:18/DES:18 TRN:86 PERF:300086 CAU: 18</t>
  </si>
  <si>
    <t>TRANSACCIONES DEL DIA 06/02/2018SPYRAL - GESTION ADMINISTRATIVA</t>
  </si>
  <si>
    <t>TRANSACCIONES DEL DIA 06/04/2018SPYRAL - GESTION ADMINISTRATIVA</t>
  </si>
  <si>
    <t>TRANSACCIONES DEL DIA 06/05/2018SPYRAL - GESTION ADMINISTRATIVA</t>
  </si>
  <si>
    <t>TRANSACCIONES DEL DIA 06/05/2018 RECURSOS HUMANOS</t>
  </si>
  <si>
    <t>TRANSACCIONES DEL DIA 06/06/2018SPYRAL - GESTION ADMINISTRATIVA</t>
  </si>
  <si>
    <t>TRANSACCIONES DEL DIA 06/07/2018SPYRAL - GESTION ADMINISTRATIVA</t>
  </si>
  <si>
    <t>TRANSACCIONES DEL DIA 06/08/2018SPYRAL - GESTION ADMINISTRATIVA</t>
  </si>
  <si>
    <t>TRANSACCIONES DEL DIA 06/09/2018 RECURSOS HUMANOS</t>
  </si>
  <si>
    <t>TRANSACCIONES DEL DIA 06/11/2018SPYRAL - GESTION ADMINISTRATIVA</t>
  </si>
  <si>
    <t>OTROS EGRESOS 1.P.O (OR:17/DES:17 TRN:86 PERF:300086 CAU: 18</t>
  </si>
  <si>
    <t>TRANSACCIONES DEL DIA 06/12/2018SPYRAL - GESTION ADMINISTRATIVA</t>
  </si>
  <si>
    <t>TRANSACCIONES DEL DIA 06/13/2018SPYRAL - GESTION ADMINISTRATIVA</t>
  </si>
  <si>
    <t>OTROS EGRESOS 1.P.O (OR:26/DES:26 TRN:86 PERF:300086 CAU: 18</t>
  </si>
  <si>
    <t>TRANSACCIONES DEL DIA 06/14/2018SPYRAL - GESTION ADMINISTRATIVA</t>
  </si>
  <si>
    <t>TRANSACCIONES DEL DIA 06/15/2018SPYRAL - GESTION ADMINISTRATIVA</t>
  </si>
  <si>
    <t>OTROS EGRESOS 1.P.O (OR:89/DES:89 TRN:86 PERF:300086 CAU: 18</t>
  </si>
  <si>
    <t>TRANSACCIONES DEL DIA 06/16/2018SPYRAL - GESTION ADMINISTRATIVA</t>
  </si>
  <si>
    <t>TRANSACCIONES DEL DIA 06/18/2018SPYRAL - GESTION ADMINISTRATIVA</t>
  </si>
  <si>
    <t>OTROS EGRESOS 1.P.O (OR:76/DES:76 TRN:86 PERF:300086 CAU: 18</t>
  </si>
  <si>
    <t>O/ING. EFECTIVO 1.P.O (OR:26/DES:26 TRN:32 PERF:300032E CAU: 18</t>
  </si>
  <si>
    <t>TRANSACCIONES DEL DIA 06/19/2018SPYRAL - GESTION ADMINISTRATIVA</t>
  </si>
  <si>
    <t>TRANSACCIONES DEL DIA 06/20/2018SPYRAL - GESTION ADMINISTRATIVA</t>
  </si>
  <si>
    <t>TRANSACCIONES DEL DIA 06/21/2018SPYRAL - GESTION ADMINISTRATIVA</t>
  </si>
  <si>
    <t>OTROS EGRESOS 1.P.O (OR:16/DES:16 TRN:86 PERF:300086 CAU: 18</t>
  </si>
  <si>
    <t>TRANSACCIONES DEL DIA 06/22/2018SPYRAL - GESTION ADMINISTRATIVA</t>
  </si>
  <si>
    <t>TRANSACCIONES DEL DIA 06/23/2018SPYRAL - GESTION ADMINISTRATIVA</t>
  </si>
  <si>
    <t>OTROS EGRESOS 1.P.O (OR:77/DES:77 TRN:86 PERF:300086 CAU: 18</t>
  </si>
  <si>
    <t>TRANSACCIONES DEL DIA 06/25/2018 RECURSOS HUMANOS</t>
  </si>
  <si>
    <t>TRANSACCIONES DEL DIA 06/25/2018SPYRAL - GESTION ADMINISTRATIVA</t>
  </si>
  <si>
    <t>TRANSACCIONES DEL DIA 06/26/2018SPYRAL - GESTION ADMINISTRATIVA</t>
  </si>
  <si>
    <t>TRANSACCIONES DEL DIA 06/27/2018 RECURSOS HUMANOS</t>
  </si>
  <si>
    <t>TRANSACCIONES DEL DIA 06/27/2018SPYRAL - GESTION ADMINISTRATIVA</t>
  </si>
  <si>
    <t>TRANSACCIONES DEL DIA 06/28/2018SPYRAL - GESTION ADMINISTRATIVA</t>
  </si>
  <si>
    <t>TRANSACCIONES DEL DIA 06/29/2018SPYRAL - GESTION ADMINISTRATIVA</t>
  </si>
  <si>
    <t>OTROS EGRESOS 1.P.O (OR:29/DES:29 TRN:86 PERF:300086 CAU: 18</t>
  </si>
  <si>
    <t>TRANSACCIONES DEL DIA 07/02/2018SPYRAL - GESTION ADMINISTRATIVA</t>
  </si>
  <si>
    <t>TRANSACCIONES DEL DIA 07/03/2018SPYRAL - GESTION ADMINISTRATIVA</t>
  </si>
  <si>
    <t>TRANSACCIONES DEL DIA 07/04/2018SPYRAL - GESTION ADMINISTRATIVA</t>
  </si>
  <si>
    <t>TRANSACCIONES DEL DIA 07/05/2018SPYRAL - GESTION ADMINISTRATIVA</t>
  </si>
  <si>
    <t>TRANSACCIONES DEL DIA 07/06/2018SPYRAL - GESTION ADMINISTRATIVA</t>
  </si>
  <si>
    <t>TRANSACCIONES DEL DIA 07/09/2018SPYRAL - GESTION ADMINISTRATIVA</t>
  </si>
  <si>
    <t>TRANSACCIONES DEL DIA 07/10/2018 RECURSOS HUMANOS</t>
  </si>
  <si>
    <t>TRANSACCIONES DEL DIA 07/10/2018SPYRAL - GESTION ADMINISTRATIVA</t>
  </si>
  <si>
    <t>TRANSACCIONES DEL DIA 07/11/2018SPYRAL - GESTION ADMINISTRATIVA</t>
  </si>
  <si>
    <t>TRANSACCIONES DEL DIA 07/12/2018SPYRAL - GESTION ADMINISTRATIVA</t>
  </si>
  <si>
    <t>OTROS EGRESOS 1.P.O (OR:103/DES:103 TRN:86 PERF:300086 CAU: 18</t>
  </si>
  <si>
    <t>TRANSACCIONES DEL DIA 07/13/2018SPYRAL - GESTION ADMINISTRATIVA</t>
  </si>
  <si>
    <t>TRANSACCIONES DEL DIA 07/14/2018SPYRAL - GESTION ADMINISTRATIVA</t>
  </si>
  <si>
    <t>TRANSACCIONES DEL DIA 07/16/2018SPYRAL - GESTION ADMINISTRATIVA</t>
  </si>
  <si>
    <t>OTROS EGRESOS 1.P.O (OR:53/DES:53 TRN:86 PERF:300086 CAU: 17</t>
  </si>
  <si>
    <t>TRANSACCIONES DEL DIA 07/17/2018SPYRAL - GESTION ADMINISTRATIVA</t>
  </si>
  <si>
    <t>OTROS EGRESOS 1.P.O (OR:21/DES:21 TRN:86 PERF:300086 CAU: 18</t>
  </si>
  <si>
    <t>TRANSACCIONES DEL DIA 07/18/2018SPYRAL - GESTION ADMINISTRATIVA</t>
  </si>
  <si>
    <t>OTROS EGRESOS 1.P.O (OR:97/DES:97 TRN:86 PERF:300086 CAU: 18</t>
  </si>
  <si>
    <t>TRANSACCIONES DEL DIA 07/19/2018SPYRAL - GESTION ADMINISTRATIVA</t>
  </si>
  <si>
    <t>TRANSACCIONES DEL DIA 07/19/2018 RECURSOS HUMANOS</t>
  </si>
  <si>
    <t>TRANSACCIONES DEL DIA 07/20/2018SPYRAL - GESTION ADMINISTRATIVA</t>
  </si>
  <si>
    <t>TRANSACCIONES DEL DIA 07/21/2018SPYRAL - GESTION ADMINISTRATIVA</t>
  </si>
  <si>
    <t>TRANSACCIONES DEL DIA 07/23/2018SPYRAL - GESTION ADMINISTRATIVA</t>
  </si>
  <si>
    <t>TRANSACCIONES DEL DIA 07/24/2018SPYRAL - GESTION ADMINISTRATIVA</t>
  </si>
  <si>
    <t>TRANSACCIONES DEL DIA 07/25/2018 RECURSOS HUMANOS</t>
  </si>
  <si>
    <t>TRANSACCIONES DEL DIA 07/25/2018SPYRAL - GESTION ADMINISTRATIVA</t>
  </si>
  <si>
    <t>TRANSACCIONES DEL DIA 07/26/2018SPYRAL - GESTION ADMINISTRATIVA</t>
  </si>
  <si>
    <t>TRANSACCIONES DEL DIA 07/26/2018 RECURSOS HUMANOS</t>
  </si>
  <si>
    <t>TRANSACCIONES DEL DIA 07/27/2018SPYRAL - GESTION ADMINISTRATIVA</t>
  </si>
  <si>
    <t>TRANSACCIONES DEL DIA 07/28/2018SPYRAL - GESTION ADMINISTRATIVA</t>
  </si>
  <si>
    <t>TRANSACCIONES DEL DIA 07/30/2018SPYRAL - GESTION ADMINISTRATIVA</t>
  </si>
  <si>
    <t>TRANSACCIONES DEL DIA 07/31/2018SPYRAL - GESTION ADMINISTRATIVA</t>
  </si>
  <si>
    <t>TRANSACCIONES DEL DIA 08/03/2018 RECURSOS HUMANOS</t>
  </si>
  <si>
    <t>TRANSACCIONES DEL DIA 08/11/2018SPYRAL - GESTION ADMINISTRATIVA</t>
  </si>
  <si>
    <t>TRANSACCIONES DEL DIA 08/18/2018SPYRAL - GESTION ADMINISTRATIVA</t>
  </si>
  <si>
    <t>TRANSACCIONES DEL DIA 08/30/2018SPYRAL - GESTION ADMINISTRATIVA</t>
  </si>
  <si>
    <t>TRANSACCIONES DEL DIA 08/31/2018SPYRAL - GESTION ADMINISTRATIVA</t>
  </si>
  <si>
    <t>TRANSACCIONES DEL DIA 09/01/2018SPYRAL - GESTION ADMINISTRATIVA</t>
  </si>
  <si>
    <t>TRANSACCIONES DEL DIA 09/03/2018SPYRAL - GESTION ADMINISTRATIVA</t>
  </si>
  <si>
    <t>TRANSACCIONES DEL DIA 09/04/2018SPYRAL - GESTION ADMINISTRATIVA</t>
  </si>
  <si>
    <t>TRANSACCIONES DEL DIA 09/05/2018SPYRAL - GESTION ADMINISTRATIVA</t>
  </si>
  <si>
    <t>TRANSACCIONES DEL DIA 09/06/2018SPYRAL - GESTION ADMINISTRATIVA</t>
  </si>
  <si>
    <t>TRANSACCIONES DEL DIA 09/07/2018SPYRAL - GESTION ADMINISTRATIVA</t>
  </si>
  <si>
    <t>TRANSACCIONES DEL DIA 09/08/2018SPYRAL - GESTION ADMINISTRATIVA</t>
  </si>
  <si>
    <t>TRANSACCIONES DEL DIA 09/10/2018 RECURSOS HUMANOS</t>
  </si>
  <si>
    <t>TRANSACCIONES DEL DIA 09/10/2018SPYRAL - GESTION ADMINISTRATIVA</t>
  </si>
  <si>
    <t>TRANSACCIONES DEL DIA 09/11/2018SPYRAL - GESTION ADMINISTRATIVA</t>
  </si>
  <si>
    <t>TRANSACCIONES DEL DIA 09/12/2018SPYRAL - GESTION ADMINISTRATIVA</t>
  </si>
  <si>
    <t>TRANSACCIONES DEL DIA 09/13/2018SPYRAL - GESTION ADMINISTRATIVA</t>
  </si>
  <si>
    <t>TRANSACCIONES DEL DIA 09/14/2018SPYRAL - GESTION ADMINISTRATIVA</t>
  </si>
  <si>
    <t>TRANSACCIONES DEL DIA 09/17/2018SPYRAL - GESTION ADMINISTRATIVA</t>
  </si>
  <si>
    <t>TRANSACCIONES DEL DIA 09/18/2018SPYRAL - GESTION ADMINISTRATIVA</t>
  </si>
  <si>
    <t>TRANSACCIONES DEL DIA 09/19/2018SPYRAL - GESTION ADMINISTRATIVA</t>
  </si>
  <si>
    <t>TRANSACCIONES DEL DIA 09/20/2018SPYRAL - GESTION ADMINISTRATIVA</t>
  </si>
  <si>
    <t>TRANSACCIONES DEL DIA 09/21/2018SPYRAL - GESTION ADMINISTRATIVA</t>
  </si>
  <si>
    <t>TRANSACCIONES DEL DIA 09/22/2018SPYRAL - GESTION ADMINISTRATIVA</t>
  </si>
  <si>
    <t>TRANSACCIONES DEL DIA 09/24/2018SPYRAL - GESTION ADMINISTRATIVA</t>
  </si>
  <si>
    <t>TRANSACCIONES DEL DIA 09/25/2018 RECURSOS HUMANOS</t>
  </si>
  <si>
    <t>TRANSACCIONES DEL DIA 09/25/2018SPYRAL - GESTION ADMINISTRATIVA</t>
  </si>
  <si>
    <t>OTROS EGRESOS 1.P.O (OR:14/DES:14 TRN:86 PERF:300086 CAU: 18</t>
  </si>
  <si>
    <t>TRANSACCIONES DEL DIA 09/26/2018SPYRAL - GESTION ADMINISTRATIVA</t>
  </si>
  <si>
    <t>TRANSACCIONES DEL DIA 09/27/2018SPYRAL - GESTION ADMINISTRATIVA</t>
  </si>
  <si>
    <t>TRANSACCIONES DEL DIA 09/28/2018SPYRAL - GESTION ADMINISTRATIVA</t>
  </si>
  <si>
    <t>TRANSACCIONES DEL DIA 10/01/2018SPYRAL - GESTION ADMINISTRATIVA</t>
  </si>
  <si>
    <t>OTROS EGRESOS 1.P.O (OR:69/DES:69 TRN:86 PERF:300086 CAU: 18</t>
  </si>
  <si>
    <t>TRANSACCIONES DEL DIA 10/02/2018SPYRAL - GESTION ADMINISTRATIVA</t>
  </si>
  <si>
    <t>TRANSACCIONES DEL DIA 10/03/2018SPYRAL - GESTION ADMINISTRATIVA</t>
  </si>
  <si>
    <t>TRANSACCIONES DEL DIA 10/04/2018SPYRAL - GESTION ADMINISTRATIVA</t>
  </si>
  <si>
    <t>TRANSACCIONES DEL DIA 10/05/2018SPYRAL - GESTION ADMINISTRATIVA</t>
  </si>
  <si>
    <t>OTROS EGRESOS 1.P.O (OR:47/DES:47 TRN:86 PERF:300086 CAU: 18</t>
  </si>
  <si>
    <t>TRANSACCIONES DEL DIA 10/08/2018SPYRAL - GESTION ADMINISTRATIVA</t>
  </si>
  <si>
    <t>OTROS EGRESOS 1.P.O (OR:99/DES:99 TRN:86 PERF:300086 CAU: 18</t>
  </si>
  <si>
    <t>TRANSACCIONES DEL DIA 10/09/2018SPYRAL - GESTION ADMINISTRATIVA</t>
  </si>
  <si>
    <t>TRANSACCIONES DEL DIA 10/10/2018SPYRAL - GESTION ADMINISTRATIVA</t>
  </si>
  <si>
    <t>TRANSACCIONES DEL DIA 10/10/2018 RECURSOS HUMANOS</t>
  </si>
  <si>
    <t>OTROS EGRESOS 1.P.O (OR:165/DES:165 TRN:86 PERF:300086 CAU: 18</t>
  </si>
  <si>
    <t>TRANSACCIONES DEL DIA 10/11/2018SPYRAL - GESTION ADMINISTRATIVA</t>
  </si>
  <si>
    <t>TRANSACCIONES DEL DIA 10/12/2018SPYRAL - GESTION ADMINISTRATIVA</t>
  </si>
  <si>
    <t>TRANSACCIONES DEL DIA 10/13/2018SPYRAL - GESTION ADMINISTRATIVA</t>
  </si>
  <si>
    <t>TRANSACCIONES DEL DIA 10/15/2018SPYRAL - GESTION ADMINISTRATIVA</t>
  </si>
  <si>
    <t>TRANSACCIONES DEL DIA 10/16/2018SPYRAL - GESTION ADMINISTRATIVA</t>
  </si>
  <si>
    <t>TRANSACCIONES DEL DIA 10/17/2018SPYRAL - GESTION ADMINISTRATIVA</t>
  </si>
  <si>
    <t>TRANSACCIONES DEL DIA 10/18/2018SPYRAL - GESTION ADMINISTRATIVA</t>
  </si>
  <si>
    <t>TRANSACCIONES DEL DIA 10/19/2018SPYRAL - GESTION ADMINISTRATIVA</t>
  </si>
  <si>
    <t>TRANSACCIONES DEL DIA 10/22/2018SPYRAL - GESTION ADMINISTRATIVA</t>
  </si>
  <si>
    <t>TRANSACCIONES DEL DIA 10/23/2018SPYRAL - GESTION ADMINISTRATIVA</t>
  </si>
  <si>
    <t>OTROS EGRESOS 1.P.O (OR:44/DES:44 TRN:86 PERF:300086 CAU: 18</t>
  </si>
  <si>
    <t>OTROS EGRESOS 1.P.O (OR:95/DES:95 TRN:86 PERF:300086 CAU: 18</t>
  </si>
  <si>
    <t>TRANSACCIONES DEL DIA 10/24/2018SPYRAL - GESTION ADMINISTRATIVA</t>
  </si>
  <si>
    <t>TRANSACCIONES DEL DIA 10/25/2018 RECURSOS HUMANOS</t>
  </si>
  <si>
    <t>TRANSACCIONES DEL DIA 10/26/2018SPYRAL - GESTION ADMINISTRATIVA</t>
  </si>
  <si>
    <t>TRANSACCIONES DEL DIA 10/27/2018SPYRAL - GESTION ADMINISTRATIVA</t>
  </si>
  <si>
    <t>TRANSACCIONES DEL DIA 10/29/2018SPYRAL - GESTION ADMINISTRATIVA</t>
  </si>
  <si>
    <t>TRANSACCIONES DEL DIA 11/01/2018SPYRAL - GESTION ADMINISTRATIVA</t>
  </si>
  <si>
    <t>TRANSACCIONES DEL DIA 11/02/2018SPYRAL - GESTION ADMINISTRATIVA</t>
  </si>
  <si>
    <t>TRANSACCIONES DEL DIA 11/06/2018SPYRAL - GESTION ADMINISTRATIVA</t>
  </si>
  <si>
    <t>TRANSACCIONES DEL DIA 11/07/2018SPYRAL - GESTION ADMINISTRATIVA</t>
  </si>
  <si>
    <t>OTROS EGRESOS 1.P.O (OR:46/DES:46 TRN:86 PERF:300086 CAU: 18</t>
  </si>
  <si>
    <t>TRANSACCIONES DEL DIA 11/08/2018SPYRAL - GESTION ADMINISTRATIVA</t>
  </si>
  <si>
    <t>OTROS EGRESOS 1.P.O (OR:79/DES:79 TRN:86 PERF:300086 CAU: 18</t>
  </si>
  <si>
    <t>TRANSACCIONES DEL DIA 11/09/2018SPYRAL - GESTION ADMINISTRATIVA</t>
  </si>
  <si>
    <t>TRANSACCIONES DEL DIA 11/09/2018 RECURSOS HUMANOS</t>
  </si>
  <si>
    <t>TRANSACCIONES DEL DIA 11/12/2018SPYRAL - GESTION ADMINISTRATIVA</t>
  </si>
  <si>
    <t>TRANSACCIONES DEL DIA 11/13/2018SPYRAL - GESTION ADMINISTRATIVA</t>
  </si>
  <si>
    <t>TRANSACCIONES DEL DIA 11/14/2018SPYRAL - GESTION ADMINISTRATIVA</t>
  </si>
  <si>
    <t>OTROS EGRESOS 1.P.O (OR:2/DES:2 TRN:86 PERF:300086 CAU: 18</t>
  </si>
  <si>
    <t>TRANSACCIONES DEL DIA 11/15/2018SPYRAL - GESTION ADMINISTRATIVA</t>
  </si>
  <si>
    <t>TRANSACCIONES DEL DIA 11/16/2018SPYRAL - GESTION ADMINISTRATIVA</t>
  </si>
  <si>
    <t>TRANSACCIONES DEL DIA 11/19/2018SPYRAL - GESTION ADMINISTRATIVA</t>
  </si>
  <si>
    <t>TRANSACCIONES DEL DIA 11/20/2018SPYRAL - GESTION ADMINISTRATIVA</t>
  </si>
  <si>
    <t>TRANSACCIONES DEL DIA 11/21/2018SPYRAL - GESTION ADMINISTRATIVA</t>
  </si>
  <si>
    <t>TRANSACCIONES DEL DIA 11/22/2018SPYRAL - GESTION ADMINISTRATIVA</t>
  </si>
  <si>
    <t>TRANSACCIONES DEL DIA 11/23/2018SPYRAL - GESTION ADMINISTRATIVA</t>
  </si>
  <si>
    <t>TRANSACCIONES DEL DIA 11/24/2018 RECURSOS HUMANOS</t>
  </si>
  <si>
    <t>TRANSACCIONES DEL DIA 11/24/2018SPYRAL - GESTION ADMINISTRATIVA</t>
  </si>
  <si>
    <t>TRANSACCIONES DEL DIA 11/26/2018SPYRAL - GESTION ADMINISTRATIVA</t>
  </si>
  <si>
    <t>TRANSACCIONES DEL DIA 11/27/2018SPYRAL - GESTION ADMINISTRATIVA</t>
  </si>
  <si>
    <t>TRANSACCIONES DEL DIA 11/29/2018SPYRAL - GESTION ADMINISTRATIVA</t>
  </si>
  <si>
    <t>TRANSACCIONES DEL DIA 11/29/2018 RECURSOS HUMANOS</t>
  </si>
  <si>
    <t>TRANSACCIONES DEL DIA 11/30/2018SPYRAL - GESTION ADMINISTRATIVA</t>
  </si>
  <si>
    <t>TRANSACCIONES DEL DIA 12/01/2018SPYRAL - GESTION ADMINISTRATIVA</t>
  </si>
  <si>
    <t>TRANSACCIONES DEL DIA 12/03/2018SPYRAL - GESTION ADMINISTRATIVA</t>
  </si>
  <si>
    <t>TRANSACCIONES DEL DIA 12/04/2018SPYRAL - GESTION ADMINISTRATIVA</t>
  </si>
  <si>
    <t>TRANSACCIONES DEL DIA 12/05/2018SPYRAL - GESTION ADMINISTRATIVA</t>
  </si>
  <si>
    <t>TRANSACCIONES DEL DIA 12/06/2018SPYRAL - GESTION ADMINISTRATIVA</t>
  </si>
  <si>
    <t>TRANSACCIONES DEL DIA 12/07/2018SPYRAL - GESTION ADMINISTRATIVA</t>
  </si>
  <si>
    <t>TRANSACCIONES DEL DIA 12/10/2018SPYRAL - GESTION ADMINISTRATIVA</t>
  </si>
  <si>
    <t>TRANSACCIONES DEL DIA 12/10/2018 RECURSOS HUMANOS</t>
  </si>
  <si>
    <t>TRANSACCIONES DEL DIA 12/11/2018SPYRAL - GESTION ADMINISTRATIVA</t>
  </si>
  <si>
    <t>TRANSACCIONES DEL DIA 12/12/2018SPYRAL - GESTION ADMINISTRATIVA</t>
  </si>
  <si>
    <t>TRANSACCIONES DEL DIA 12/13/2018SPYRAL - GESTION ADMINISTRATIVA</t>
  </si>
  <si>
    <t>TRANSACCIONES DEL DIA 12/14/2018SPYRAL - GESTION ADMINISTRATIVA</t>
  </si>
  <si>
    <t>TRANSACCIONES DEL DIA 12/14/2018 RECURSOS HUMANOS</t>
  </si>
  <si>
    <t>TRANSACCIONES DEL DIA 12/17/2018SPYRAL - GESTION ADMINISTRATIVA</t>
  </si>
  <si>
    <t>TRANSACCIONES DEL DIA 12/18/2018SPYRAL - GESTION ADMINISTRATIVA</t>
  </si>
  <si>
    <t>TRANSACCIONES DEL DIA 12/19/2018 RECURSOS HUMANOS</t>
  </si>
  <si>
    <t>TRANSACCIONES DEL DIA 12/19/2018SPYRAL - GESTION ADMINISTRATIVA</t>
  </si>
  <si>
    <t>TRANSACCIONES DEL DIA 12/20/2018SPYRAL - GESTION ADMINISTRATIVA</t>
  </si>
  <si>
    <t>TRANSACCIONES DEL DIA 12/21/2018SPYRAL - GESTION ADMINISTRATIVA</t>
  </si>
  <si>
    <t>TRANSACCIONES DEL DIA 12/22/2018SPYRAL - GESTION ADMINISTRATIVA</t>
  </si>
  <si>
    <t>TRANSACCIONES DEL DIA 12/24/2018SPYRAL - GESTION ADMINISTRATIVA</t>
  </si>
  <si>
    <t>TRANSACCIONES DEL DIA 12/26/2018SPYRAL - GESTION ADMINISTRATIVA</t>
  </si>
  <si>
    <t>TRANSACCIONES DEL DIA 12/27/2018SPYRAL - GESTION ADMINISTRATIVA</t>
  </si>
  <si>
    <t>TRANSACCIONES DEL DIA 12/28/2018SPYRAL - GESTION ADMINISTRATIVA</t>
  </si>
  <si>
    <t>CIERRE_DE_CTAS_NOMINALES</t>
  </si>
  <si>
    <t>TRANSACCIONES DEL DIA 01/02/2019SPYRAL - GESTION ADMINISTRATIVA</t>
  </si>
  <si>
    <t>TRANSACCIONES DEL DIA 01/03/2019SPYRAL - GESTION ADMINISTRATIVA</t>
  </si>
  <si>
    <t>TRANSACCIONES DEL DIA 01/04/2019SPYRAL - GESTION ADMINISTRATIVA</t>
  </si>
  <si>
    <t>TRANSACCIONES DEL DIA 01/05/2019SPYRAL - GESTION ADMINISTRATIVA</t>
  </si>
  <si>
    <t>TRANSACCIONES DEL DIA 01/07/2019SPYRAL - GESTION ADMINISTRATIVA</t>
  </si>
  <si>
    <t>TRANSACCIONES DEL DIA 01/08/2019SPYRAL - GESTION ADMINISTRATIVA</t>
  </si>
  <si>
    <t>TRANSACCIONES DEL DIA 01/10/2019SPYRAL - GESTION ADMINISTRATIVA</t>
  </si>
  <si>
    <t>TRANSACCIONES DEL DIA 01/10/2019 RECURSOS HUMANOS</t>
  </si>
  <si>
    <t>TRANSACCIONES DEL DIA 01/11/2019SPYRAL - GESTION ADMINISTRATIVA</t>
  </si>
  <si>
    <t>TRANSACCIONES DEL DIA 01/14/2019SPYRAL - GESTION ADMINISTRATIVA</t>
  </si>
  <si>
    <t>TRANSACCIONES DEL DIA 01/15/2019SPYRAL - GESTION ADMINISTRATIVA</t>
  </si>
  <si>
    <t>TRANSACCIONES DEL DIA 01/16/2019SPYRAL - GESTION ADMINISTRATIVA</t>
  </si>
  <si>
    <t>TRANSACCIONES DEL DIA 01/17/2019SPYRAL - GESTION ADMINISTRATIVA</t>
  </si>
  <si>
    <t>TRANSACCIONES DEL DIA 01/18/2019SPYRAL - GESTION ADMINISTRATIVA</t>
  </si>
  <si>
    <t>TRANSACCIONES DEL DIA 01/19/2019SPYRAL - GESTION ADMINISTRATIVA</t>
  </si>
  <si>
    <t>TRANSACCIONES DEL DIA 01/21/2019SPYRAL - GESTION ADMINISTRATIVA</t>
  </si>
  <si>
    <t>TRANSACCIONES DEL DIA 01/22/2019SPYRAL - GESTION ADMINISTRATIVA</t>
  </si>
  <si>
    <t>TRANSACCIONES DEL DIA 01/23/2019SPYRAL - GESTION ADMINISTRATIVA</t>
  </si>
  <si>
    <t>TRANSACCIONES DEL DIA 01/24/2019SPYRAL - GESTION ADMINISTRATIVA</t>
  </si>
  <si>
    <t>TRANSACCIONES DEL DIA 01/25/2019SPYRAL - GESTION ADMINISTRATIVA</t>
  </si>
  <si>
    <t>TRANSACCIONES DEL DIA 01/25/2019 RECURSOS HUMANOS</t>
  </si>
  <si>
    <t>TRANSACCIONES DEL DIA 01/28/2019SPYRAL - GESTION ADMINISTRATIVA</t>
  </si>
  <si>
    <t>TRANSACCIONES DEL DIA 01/29/2019SPYRAL - GESTION ADMINISTRATIVA</t>
  </si>
  <si>
    <t>PROVISION CUENTA DE RECONOCIMIENTOS</t>
  </si>
  <si>
    <t>TRANSACCIONES DEL DIA 01/30/2019SPYRAL - GESTION ADMINISTRATIVA</t>
  </si>
  <si>
    <t>TRANSACCIONES DEL DIA 01/31/2019SPYRAL - GESTION ADMINISTRATIVA</t>
  </si>
  <si>
    <t>TRANSACCIONES DEL DIA 02/01/2019SPYRAL - GESTION ADMINISTRATIVA</t>
  </si>
  <si>
    <t>TRANSACCIONES DEL DIA 02/02/2019SPYRAL - GESTION ADMINISTRATIVA</t>
  </si>
  <si>
    <t>TRANSACCIONES DEL DIA 02/04/2019SPYRAL - GESTION ADMINISTRATIVA</t>
  </si>
  <si>
    <t>OTROS EGRESOS 1.P.O (OR:66/DES:66 TRN:86 PERF:300086 CAU: 18</t>
  </si>
  <si>
    <t>TRANSACCIONES DEL DIA 02/04/2019 RECURSOS HUMANOS</t>
  </si>
  <si>
    <t>TRANSACCIONES DEL DIA 02/05/2019SPYRAL - GESTION ADMINISTRATIVA</t>
  </si>
  <si>
    <t>TRANSACCIONES DEL DIA 02/06/2019SPYRAL - GESTION ADMINISTRATIVA</t>
  </si>
  <si>
    <t>TRANSACCIONES DEL DIA 02/07/2019SPYRAL - GESTION ADMINISTRATIVA</t>
  </si>
  <si>
    <t>TRANSACCIONES DEL DIA 02/08/2019SPYRAL - GESTION ADMINISTRATIVA</t>
  </si>
  <si>
    <t>TRANSACCIONES DEL DIA 02/09/2019 RECURSOS HUMANOS</t>
  </si>
  <si>
    <t>TRANSACCIONES DEL DIA 02/09/2019SPYRAL - GESTION ADMINISTRATIVA</t>
  </si>
  <si>
    <t>TRANSACCIONES DEL DIA 02/11/2019SPYRAL - GESTION ADMINISTRATIVA</t>
  </si>
  <si>
    <t>TRANSACCIONES DEL DIA 02/12/2019SPYRAL - GESTION ADMINISTRATIVA</t>
  </si>
  <si>
    <t>TRANSACCIONES DEL DIA 02/13/2019SPYRAL - GESTION ADMINISTRATIVA</t>
  </si>
  <si>
    <t>OTROS EGRESOS 1.P.O (OR:80/DES:80 TRN:86 PERF:300086 CAU: 18</t>
  </si>
  <si>
    <t>TRANSACCIONES DEL DIA 02/14/2019SPYRAL - GESTION ADMINISTRATIVA</t>
  </si>
  <si>
    <t>TRANSACCIONES DEL DIA 02/15/2019SPYRAL - GESTION ADMINISTRATIVA</t>
  </si>
  <si>
    <t>TRANSACCIONES DEL DIA 02/16/2019SPYRAL - GESTION ADMINISTRATIVA</t>
  </si>
  <si>
    <t>TRANSACCIONES DEL DIA 02/18/2019SPYRAL - GESTION ADMINISTRATIVA</t>
  </si>
  <si>
    <t>TRANSACCIONES DEL DIA 02/19/2019SPYRAL - GESTION ADMINISTRATIVA</t>
  </si>
  <si>
    <t>TRANSACCIONES DEL DIA 02/20/2019SPYRAL - GESTION ADMINISTRATIVA</t>
  </si>
  <si>
    <t>TRANSACCIONES DEL DIA 02/21/2019SPYRAL - GESTION ADMINISTRATIVA</t>
  </si>
  <si>
    <t>TRANSACCIONES DEL DIA 02/22/2019SPYRAL - GESTION ADMINISTRATIVA</t>
  </si>
  <si>
    <t>TRANSACCIONES DEL DIA 02/25/2019SPYRAL - GESTION ADMINISTRATIVA</t>
  </si>
  <si>
    <t>TRANSACCIONES DEL DIA 02/25/2019 RECURSOS HUMANOS</t>
  </si>
  <si>
    <t>TRANSACCIONES DEL DIA 02/26/2019SPYRAL - GESTION ADMINISTRATIVA</t>
  </si>
  <si>
    <t>REVERSION PROVISION CUENTA DE RECONOCIMIENTOS</t>
  </si>
  <si>
    <t>TRANSACCIONES DEL DIA 02/27/2019SPYRAL - GESTION ADMINISTRATIVA</t>
  </si>
  <si>
    <t>TRANSACCIONES DEL DIA 02/27/2019 RECURSOS HUMANOS</t>
  </si>
  <si>
    <t>TRANSACCIONES DEL DIA 03/01/2019SPYRAL - GESTION ADMINISTRATIVA</t>
  </si>
  <si>
    <t>TRANSACCIONES DEL DIA 03/06/2019SPYRAL - GESTION ADMINISTRATIVA</t>
  </si>
  <si>
    <t>TRANSACCIONES DEL DIA 03/07/2019SPYRAL - GESTION ADMINISTRATIVA</t>
  </si>
  <si>
    <t>TRANSACCIONES DEL DIA 03/08/2019SPYRAL - GESTION ADMINISTRATIVA</t>
  </si>
  <si>
    <t>TRANSACCIONES DEL DIA 03/09/2019SPYRAL - GESTION ADMINISTRATIVA</t>
  </si>
  <si>
    <t>TRANSACCIONES DEL DIA 03/09/2019 RECURSOS HUMANOS</t>
  </si>
  <si>
    <t>TRANSACCIONES DEL DIA 03/11/2019SPYRAL - GESTION ADMINISTRATIVA</t>
  </si>
  <si>
    <t>TRANSACCIONES DEL DIA 03/12/2019SPYRAL - GESTION ADMINISTRATIVA</t>
  </si>
  <si>
    <t>TRANSACCIONES DEL DIA 03/12/2019 RECURSOS HUMANOS</t>
  </si>
  <si>
    <t>TRANSACCIONES DEL DIA 03/13/2019SPYRAL - GESTION ADMINISTRATIVA</t>
  </si>
  <si>
    <t>TRANSACCIONES DEL DIA 03/14/2019SPYRAL - GESTION ADMINISTRATIVA</t>
  </si>
  <si>
    <t>TRANSACCIONES DEL DIA 03/15/2019SPYRAL - GESTION ADMINISTRATIVA</t>
  </si>
  <si>
    <t>TRANSACCIONES DEL DIA 03/16/2019SPYRAL - GESTION ADMINISTRATIVA</t>
  </si>
  <si>
    <t>TRANSACCIONES DEL DIA 03/18/2019SPYRAL - GESTION ADMINISTRATIVA</t>
  </si>
  <si>
    <t>TRANSACCIONES DEL DIA 03/19/2019SPYRAL - GESTION ADMINISTRATIVA</t>
  </si>
  <si>
    <t>TRANSACCIONES DEL DIA 03/20/2019SPYRAL - GESTION ADMINISTRATIVA</t>
  </si>
  <si>
    <t>TRANSACCIONES DEL DIA 03/21/2019SPYRAL - GESTION ADMINISTRATIVA</t>
  </si>
  <si>
    <t>CORRECCION DE REGISTRO DE VIATICO MAL POSTEADO</t>
  </si>
  <si>
    <t>TRANSACCIONES DEL DIA 03/22/2019SPYRAL - GESTION ADMINISTRATIVA</t>
  </si>
  <si>
    <t>TRANSACCIONES DEL DIA 03/23/2019SPYRAL - GESTION ADMINISTRATIVA</t>
  </si>
  <si>
    <t>TRANSACCIONES DEL DIA 03/25/2019SPYRAL - GESTION ADMINISTRATIVA</t>
  </si>
  <si>
    <t>OTROS EGRESOS 1.P.O (OR:54/DES:54 TRN:86 PERF:300086 CAU: 17</t>
  </si>
  <si>
    <t>TRANSACCIONES DEL DIA 03/25/2019 RECURSOS HUMANOS</t>
  </si>
  <si>
    <t>TRANSACCIONES DEL DIA 03/26/2019SPYRAL - GESTION ADMINISTRATIVA</t>
  </si>
  <si>
    <t>TRANSACCIONES DEL DIA 03/27/2019SPYRAL - GESTION ADMINISTRATIVA</t>
  </si>
  <si>
    <t>TRANSACCIONES DEL DIA 03/28/2019SPYRAL - GESTION ADMINISTRATIVA</t>
  </si>
  <si>
    <t>TRANSACCIONES DEL DIA 03/29/2019SPYRAL - GESTION ADMINISTRATIVA</t>
  </si>
  <si>
    <t>TRANSACCIONES DEL DIA 04/01/2019SPYRAL - GESTION ADMINISTRATIVA</t>
  </si>
  <si>
    <t>TRANSACCIONES DEL DIA 04/02/2019SPYRAL - GESTION ADMINISTRATIVA</t>
  </si>
  <si>
    <t>TRANSACCIONES DEL DIA 04/03/2019SPYRAL - GESTION ADMINISTRATIVA</t>
  </si>
  <si>
    <t>TRANSACCIONES DEL DIA 04/04/2019SPYRAL - GESTION ADMINISTRATIVA</t>
  </si>
  <si>
    <t>TRANSACCIONES DEL DIA 04/05/2019SPYRAL - GESTION ADMINISTRATIVA</t>
  </si>
  <si>
    <t>TRANSACCIONES DEL DIA 04/06/2019SPYRAL - GESTION ADMINISTRATIVA</t>
  </si>
  <si>
    <t>TRANSACCIONES DEL DIA 04/08/2019SPYRAL - GESTION ADMINISTRATIVA</t>
  </si>
  <si>
    <t>OTROS EGRESOS 1.P.O (OR:68/DES:68 TRN:86 PERF:300086 CAU: 18</t>
  </si>
  <si>
    <t>TRANSACCIONES DEL DIA 04/09/2019SPYRAL - GESTION ADMINISTRATIVA</t>
  </si>
  <si>
    <t>TRANSACCIONES DEL DIA 04/10/2019 RECURSOS HUMANOS</t>
  </si>
  <si>
    <t>TRANSACCIONES DEL DIA 04/10/2019SPYRAL - GESTION ADMINISTRATIVA</t>
  </si>
  <si>
    <t>TRANSACCIONES DEL DIA 04/11/2019SPYRAL - GESTION ADMINISTRATIVA</t>
  </si>
  <si>
    <t>TRANSACCIONES DEL DIA 04/12/2019SPYRAL - GESTION ADMINISTRATIVA</t>
  </si>
  <si>
    <t>TRANSACCIONES DEL DIA 04/13/2019SPYRAL - GESTION ADMINISTRATIVA</t>
  </si>
  <si>
    <t>TRANSACCIONES DEL DIA 04/15/2019SPYRAL - GESTION ADMINISTRATIVA</t>
  </si>
  <si>
    <t>TRANSACCIONES DEL DIA 04/16/2019SPYRAL - GESTION ADMINISTRATIVA</t>
  </si>
  <si>
    <t>TRANSACCIONES DEL DIA 04/16/2019 RECURSOS HUMANOS</t>
  </si>
  <si>
    <t>TRANSACCIONES DEL DIA 04/17/2019SPYRAL - GESTION ADMINISTRATIVA</t>
  </si>
  <si>
    <t>TRANSACCIONES DEL DIA 04/18/2019SPYRAL - GESTION ADMINISTRATIVA</t>
  </si>
  <si>
    <t>TRANSACCIONES DEL DIA 04/22/2019SPYRAL - GESTION ADMINISTRATIVA</t>
  </si>
  <si>
    <t>TRANSACCIONES DEL DIA 04/23/2019SPYRAL - GESTION ADMINISTRATIVA</t>
  </si>
  <si>
    <t>OTROS EGRESOS 1.P.O (OR:45/DES:45 TRN:86 PERF:300086 CAU: 18</t>
  </si>
  <si>
    <t>TRANSACCIONES DEL DIA 04/24/2019SPYRAL - GESTION ADMINISTRATIVA</t>
  </si>
  <si>
    <t>TRANSACCIONES DEL DIA 04/25/2019SPYRAL - GESTION ADMINISTRATIVA</t>
  </si>
  <si>
    <t>TRANSACCIONES DEL DIA 04/25/2019 RECURSOS HUMANOS</t>
  </si>
  <si>
    <t>TRANSACCIONES DEL DIA 04/26/2019SPYRAL - GESTION ADMINISTRATIVA</t>
  </si>
  <si>
    <t>TRANSACCIONES DEL DIA 04/29/2019SPYRAL - GESTION ADMINISTRATIVA</t>
  </si>
  <si>
    <t>TRANSACCIONES DEL DIA 04/29/2019 RECURSOS HUMANOS</t>
  </si>
  <si>
    <t>TRANSACCIONES DEL DIA 04/30/2019SPYRAL - GESTION ADMINISTRATIVA</t>
  </si>
  <si>
    <t>TRANSACCIONES DEL DIA 05/02/2019SPYRAL - GESTION ADMINISTRATIVA</t>
  </si>
  <si>
    <t>TRANSACCIONES DEL DIA 05/03/2019SPYRAL - GESTION ADMINISTRATIVA</t>
  </si>
  <si>
    <t>TRANSACCIONES DEL DIA 05/04/2019SPYRAL - GESTION ADMINISTRATIVA</t>
  </si>
  <si>
    <t>TRANSACCIONES DEL DIA 05/06/2019SPYRAL - GESTION ADMINISTRATIVA</t>
  </si>
  <si>
    <t>TRANSACCIONES DEL DIA 05/07/2019SPYRAL - GESTION ADMINISTRATIVA</t>
  </si>
  <si>
    <t>TRANSACCIONES DEL DIA 05/07/2019 RECURSOS HUMANOS</t>
  </si>
  <si>
    <t>TRANSACCIONES DEL DIA 05/08/2019SPYRAL - GESTION ADMINISTRATIVA</t>
  </si>
  <si>
    <t>TRANSACCIONES DEL DIA 05/09/2019SPYRAL - GESTION ADMINISTRATIVA</t>
  </si>
  <si>
    <t>TRANSACCIONES DEL DIA 05/10/2019SPYRAL - GESTION ADMINISTRATIVA</t>
  </si>
  <si>
    <t>TRANSACCIONES DEL DIA 05/10/2019 RECURSOS HUMANOS</t>
  </si>
  <si>
    <t>TRANSACCIONES DEL DIA 05/13/2019SPYRAL - GESTION ADMINISTRATIVA</t>
  </si>
  <si>
    <t>TRANSACCIONES DEL DIA 05/14/2019SPYRAL - GESTION ADMINISTRATIVA</t>
  </si>
  <si>
    <t>TRANSACCIONES DEL DIA 05/15/2019SPYRAL - GESTION ADMINISTRATIVA</t>
  </si>
  <si>
    <t>TRANSACCIONES DEL DIA 05/16/2019SPYRAL - GESTION ADMINISTRATIVA</t>
  </si>
  <si>
    <t>TRANSACCIONES DEL DIA 05/17/2019SPYRAL - GESTION ADMINISTRATIVA</t>
  </si>
  <si>
    <t>TRANSACCIONES DEL DIA 05/17/2019 RECURSOS HUMANOS</t>
  </si>
  <si>
    <t>TRANSACCIONES DEL DIA 05/18/2019SPYRAL - GESTION ADMINISTRATIVA</t>
  </si>
  <si>
    <t>TRANSACCIONES DEL DIA 05/20/2019SPYRAL - GESTION ADMINISTRATIVA</t>
  </si>
  <si>
    <t>TRANSACCIONES DEL DIA 05/21/2019SPYRAL - GESTION ADMINISTRATIVA</t>
  </si>
  <si>
    <t>TRANSACCIONES DEL DIA 05/22/2019SPYRAL - GESTION ADMINISTRATIVA</t>
  </si>
  <si>
    <t>TRANSACCIONES DEL DIA 05/23/2019SPYRAL - GESTION ADMINISTRATIVA</t>
  </si>
  <si>
    <t>TRANSACCIONES DEL DIA 05/24/2019SPYRAL - GESTION ADMINISTRATIVA</t>
  </si>
  <si>
    <t>TRANSACCIONES DEL DIA 05/25/2019 RECURSOS HUMANOS</t>
  </si>
  <si>
    <t>TRANSACCIONES DEL DIA 05/25/2019SPYRAL - GESTION ADMINISTRATIVA</t>
  </si>
  <si>
    <t>TRANSACCIONES DEL DIA 05/27/2019SPYRAL - GESTION ADMINISTRATIVA</t>
  </si>
  <si>
    <t>TRANSACCIONES DEL DIA 05/28/2019SPYRAL - GESTION ADMINISTRATIVA</t>
  </si>
  <si>
    <t>TRANSACCIONES DEL DIA 05/29/2019SPYRAL - GESTION ADMINISTRATIVA</t>
  </si>
  <si>
    <t>TRANSACCIONES DEL DIA 05/30/2019SPYRAL - GESTION ADMINISTRATIVA</t>
  </si>
  <si>
    <t>OTROS EGRESOS 1.P.O (OR:98/DES:98 TRN:86 PERF:300086 CAU: 18</t>
  </si>
  <si>
    <t>TRANSACCIONES DEL DIA 06/01/2019SPYRAL - GESTION ADMINISTRATIVA</t>
  </si>
  <si>
    <t>TRANSACCIONES DEL DIA 06/03/2019SPYRAL - GESTION ADMINISTRATIVA</t>
  </si>
  <si>
    <t>TRANSACCIONES DEL DIA 06/04/2019SPYRAL - GESTION ADMINISTRATIVA</t>
  </si>
  <si>
    <t>TRANSACCIONES DEL DIA 06/05/2019SPYRAL - GESTION ADMINISTRATIVA</t>
  </si>
  <si>
    <t>TRANSACCIONES DEL DIA 06/06/2019SPYRAL - GESTION ADMINISTRATIVA</t>
  </si>
  <si>
    <t>CORRECCION DE RECHAZOS EN LA INTERFAZ CONTABLE</t>
  </si>
  <si>
    <t>TRANSACCIONES DEL DIA 06/07/2019SPYRAL - GESTION ADMINISTRATIVA</t>
  </si>
  <si>
    <t>TRANSACCIONES DEL DIA 06/08/2019SPYRAL - GESTION ADMINISTRATIVA</t>
  </si>
  <si>
    <t>TRANSACCIONES DEL DIA 06/10/2019SPYRAL - GESTION ADMINISTRATIVA</t>
  </si>
  <si>
    <t>TRANSACCIONES DEL DIA 06/10/2019 RECURSOS HUMANOS</t>
  </si>
  <si>
    <t>TRANSACCIONES DEL DIA 06/11/2019SPYRAL - GESTION ADMINISTRATIVA</t>
  </si>
  <si>
    <t>TRANSACCIONES DEL DIA 06/12/2019SPYRAL - GESTION ADMINISTRATIVA</t>
  </si>
  <si>
    <t>TRANSACCIONES DEL DIA 06/13/2019SPYRAL - GESTION ADMINISTRATIVA</t>
  </si>
  <si>
    <t>TRANSACCIONES DEL DIA 06/14/2019SPYRAL - GESTION ADMINISTRATIVA</t>
  </si>
  <si>
    <t>TRANSACCIONES DEL DIA 06/15/2019SPYRAL - GESTION ADMINISTRATIVA</t>
  </si>
  <si>
    <t>TRANSACCIONES DEL DIA 06/17/2019SPYRAL - GESTION ADMINISTRATIVA</t>
  </si>
  <si>
    <t>TRANSACCIONES DEL DIA 06/18/2019SPYRAL - GESTION ADMINISTRATIVA</t>
  </si>
  <si>
    <t>TRANSACCIONES DEL DIA 06/19/2019SPYRAL - GESTION ADMINISTRATIVA</t>
  </si>
  <si>
    <t>TRANSACCIONES DEL DIA 06/20/2019SPYRAL - GESTION ADMINISTRATIVA</t>
  </si>
  <si>
    <t>TRANSACCIONES DEL DIA 06/21/2019SPYRAL - GESTION ADMINISTRATIVA</t>
  </si>
  <si>
    <t>TRANSACCIONES DEL DIA 06/22/2019SPYRAL - GESTION ADMINISTRATIVA</t>
  </si>
  <si>
    <t>TRANSACCIONES DEL DIA 06/24/2019SPYRAL - GESTION ADMINISTRATIVA</t>
  </si>
  <si>
    <t>TRANSACCIONES DEL DIA 06/25/2019SPYRAL - GESTION ADMINISTRATIVA</t>
  </si>
  <si>
    <t>TRANSACCIONES DEL DIA 06/25/2019 RECURSOS HUMANOS</t>
  </si>
  <si>
    <t>TRANSACCIONES DEL DIA 06/26/2019SPYRAL - GESTION ADMINISTRATIVA</t>
  </si>
  <si>
    <t>TRANSACCIONES DEL DIA 06/27/2019SPYRAL - GESTION ADMINISTRATIVA</t>
  </si>
  <si>
    <t>OTROS EGRESOS 1.P.O (OR:154/DES:154 TRN:86 PERF:300086 CAU: 18</t>
  </si>
  <si>
    <t>OTROS EGRESOS 1.P.O (OR:42/DES:42 TRN:86 PERF:300086 CAU: 18</t>
  </si>
  <si>
    <t>TRANSACCIONES DEL DIA 06/28/2019SPYRAL - GESTION ADMINISTRATIVA</t>
  </si>
  <si>
    <t>TRANSACCIONES DEL DIA 07/02/2019SPYRAL - GESTION ADMINISTRATIVA</t>
  </si>
  <si>
    <t>OTROS EGRESOS 1.P.O (OR:162/DES:162 TRN:86 PERF:300086 CAU: 17</t>
  </si>
  <si>
    <t>TRANSACCIONES DEL DIA 07/03/2019SPYRAL - GESTION ADMINISTRATIVA</t>
  </si>
  <si>
    <t>TRANSACCIONES DEL DIA 07/04/2019SPYRAL - GESTION ADMINISTRATIVA</t>
  </si>
  <si>
    <t>TRANSACCIONES DEL DIA 07/05/2019SPYRAL - GESTION ADMINISTRATIVA</t>
  </si>
  <si>
    <t>TRANSACCIONES DEL DIA 07/08/2019SPYRAL - GESTION ADMINISTRATIVA</t>
  </si>
  <si>
    <t>TRANSACCIONES DEL DIA 07/09/2019SPYRAL - GESTION ADMINISTRATIVA</t>
  </si>
  <si>
    <t>TRANSACCIONES DEL DIA 07/10/2019 RECURSOS HUMANOS</t>
  </si>
  <si>
    <t>TRANSACCIONES DEL DIA 07/10/2019SPYRAL - GESTION ADMINISTRATIVA</t>
  </si>
  <si>
    <t>TRANSACCIONES DEL DIA 07/11/2019SPYRAL - GESTION ADMINISTRATIVA</t>
  </si>
  <si>
    <t>TRANSACCIONES DEL DIA 07/12/2019SPYRAL - GESTION ADMINISTRATIVA</t>
  </si>
  <si>
    <t>TRANSACCIONES DEL DIA 07/13/2019SPYRAL - GESTION ADMINISTRATIVA</t>
  </si>
  <si>
    <t>TRANSACCIONES DEL DIA 07/15/2019SPYRAL - GESTION ADMINISTRATIVA</t>
  </si>
  <si>
    <t>TRANSACCIONES DEL DIA 07/16/2019SPYRAL - GESTION ADMINISTRATIVA</t>
  </si>
  <si>
    <t>TRANSACCIONES DEL DIA 07/17/2019SPYRAL - GESTION ADMINISTRATIVA</t>
  </si>
  <si>
    <t>TRANSACCIONES DEL DIA 07/18/2019SPYRAL - GESTION ADMINISTRATIVA</t>
  </si>
  <si>
    <t>TRANSACCIONES DEL DIA 07/19/2019SPYRAL - GESTION ADMINISTRATIVA</t>
  </si>
  <si>
    <t>TRANSACCIONES DEL DIA 07/19/2019 RECURSOS HUMANOS</t>
  </si>
  <si>
    <t>TRANSACCIONES DEL DIA 07/20/2019SPYRAL - GESTION ADMINISTRATIVA</t>
  </si>
  <si>
    <t>OTROS EGRESOS 1.P.O (OR:157/DES:157 TRN:86 PERF:300086 CAU: 18</t>
  </si>
  <si>
    <t>TRANSACCIONES DEL DIA 07/22/2019SPYRAL - GESTION ADMINISTRATIVA</t>
  </si>
  <si>
    <t>TRANSACCIONES DEL DIA 07/23/2019SPYRAL - GESTION ADMINISTRATIVA</t>
  </si>
  <si>
    <t>TRANSACCIONES DEL DIA 07/24/2019SPYRAL - GESTION ADMINISTRATIVA</t>
  </si>
  <si>
    <t>TRANSACCIONES DEL DIA 07/25/2019 RECURSOS HUMANOS</t>
  </si>
  <si>
    <t>TRANSACCIONES DEL DIA 07/25/2019SPYRAL - GESTION ADMINISTRATIVA</t>
  </si>
  <si>
    <t>TRANSACCIONES DEL DIA 07/26/2019SPYRAL - GESTION ADMINISTRATIVA</t>
  </si>
  <si>
    <t>TRANSACCIONES DEL DIA 07/27/2019SPYRAL - GESTION ADMINISTRATIVA</t>
  </si>
  <si>
    <t>TRANSACCIONES DEL DIA 07/29/2019SPYRAL - GESTION ADMINISTRATIVA</t>
  </si>
  <si>
    <t>TRANSACCIONES DEL DIA 07/29/2019 RECURSOS HUMANOS</t>
  </si>
  <si>
    <t>TRANSACCIONES DEL DIA 07/30/2019SPYRAL - GESTION ADMINISTRATIVA</t>
  </si>
  <si>
    <t>TRANSACCIONES DEL DIA 07/30/2019 RECURSOS HUMANOS</t>
  </si>
  <si>
    <t>Mes</t>
  </si>
  <si>
    <t>Credito</t>
  </si>
  <si>
    <t>Debito</t>
  </si>
  <si>
    <t>Area</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</si>
</sst>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5" formatCode="&quot;$&quot;#,##0_);\(&quot;$&quot;#,##0\)"/>
    <numFmt numFmtId="6" formatCode="&quot;$&quot;#,##0_);[Red]\(&quot;$&quot;#,##0\)"/>
    <numFmt numFmtId="8" formatCode="&quot;$&quot;#,##0.00_);[Red]\(&quot;$&quot;#,##0.00\)"/>
    <numFmt numFmtId="43" formatCode="_(* #,##0.00_);_(* \(#,##0.00\);_(* &quot;-&quot;??_);_(@_)"/>
    <numFmt numFmtId="164" formatCode=";;;"/>
    <numFmt numFmtId="165" formatCode="0.0%"/>
    <numFmt numFmtId="166" formatCode="d/m/yy;"/>
    <numFmt numFmtId="167" formatCode="0.0"/>
    <numFmt numFmtId="168" formatCode="&quot;$&quot;#,##0.00;[Red]&quot;$&quot;#,##0.00"/>
  </numFmts>
  <fonts count="39" x14ac:knownFonts="1">
    <font>
      <sz val="11"/>
      <color theme="1"/>
      <name val="Calibri"/>
      <family val="2"/>
      <scheme val="minor"/>
    </font>
    <font>
      <sz val="11"/>
      <color theme="1"/>
      <name val="Calibri"/>
      <family val="2"/>
      <scheme val="minor"/>
    </font>
    <font>
      <b/>
      <sz val="11"/>
      <color theme="1"/>
      <name val="Calibri"/>
      <family val="2"/>
      <scheme val="minor"/>
    </font>
    <font>
      <sz val="16"/>
      <color theme="1"/>
      <name val="Calibri"/>
      <family val="2"/>
      <scheme val="minor"/>
    </font>
    <font>
      <sz val="11"/>
      <color theme="1" tint="0.14999847407452621"/>
      <name val="Calibri"/>
      <family val="2"/>
      <scheme val="minor"/>
    </font>
    <font>
      <b/>
      <sz val="20"/>
      <color theme="1" tint="0.14999847407452621"/>
      <name val="Bookman Old Style"/>
      <family val="1"/>
    </font>
    <font>
      <b/>
      <sz val="18"/>
      <color theme="1"/>
      <name val="Calibri"/>
      <family val="2"/>
    </font>
    <font>
      <sz val="10"/>
      <name val="Calibri"/>
      <family val="2"/>
      <scheme val="minor"/>
    </font>
    <font>
      <sz val="13"/>
      <color theme="1"/>
      <name val="Calibri"/>
      <family val="2"/>
      <scheme val="minor"/>
    </font>
    <font>
      <sz val="13"/>
      <color theme="4" tint="0.79998168889431442"/>
      <name val="Calibri"/>
      <family val="2"/>
      <scheme val="minor"/>
    </font>
    <font>
      <sz val="12"/>
      <name val="Arial Narrow"/>
      <family val="2"/>
    </font>
    <font>
      <b/>
      <sz val="14"/>
      <color theme="1"/>
      <name val="Webdings"/>
      <family val="1"/>
      <charset val="2"/>
    </font>
    <font>
      <b/>
      <sz val="20"/>
      <color theme="1"/>
      <name val="Calibri"/>
      <family val="2"/>
      <scheme val="minor"/>
    </font>
    <font>
      <sz val="14"/>
      <color theme="1"/>
      <name val="Calibri"/>
      <family val="2"/>
      <scheme val="minor"/>
    </font>
    <font>
      <b/>
      <sz val="11"/>
      <color theme="0"/>
      <name val="Calibri"/>
      <family val="2"/>
      <scheme val="minor"/>
    </font>
    <font>
      <b/>
      <sz val="20"/>
      <color theme="0"/>
      <name val="Calibri"/>
      <family val="2"/>
      <scheme val="minor"/>
    </font>
    <font>
      <b/>
      <sz val="11"/>
      <color theme="1"/>
      <name val="Arial"/>
      <family val="2"/>
    </font>
    <font>
      <sz val="13"/>
      <name val="Arial"/>
      <family val="2"/>
    </font>
    <font>
      <b/>
      <sz val="10"/>
      <color theme="1"/>
      <name val="Calibri"/>
      <family val="2"/>
      <scheme val="minor"/>
    </font>
    <font>
      <sz val="10"/>
      <color theme="1"/>
      <name val="Calibri"/>
      <family val="2"/>
      <scheme val="minor"/>
    </font>
    <font>
      <b/>
      <sz val="17"/>
      <color theme="1"/>
      <name val="Webdings"/>
      <family val="1"/>
      <charset val="2"/>
    </font>
    <font>
      <b/>
      <sz val="16"/>
      <color theme="1" tint="0.34998626667073579"/>
      <name val="Webdings"/>
      <family val="1"/>
      <charset val="2"/>
    </font>
    <font>
      <sz val="14"/>
      <color theme="1" tint="0.249977111117893"/>
      <name val="Arial"/>
      <family val="2"/>
    </font>
    <font>
      <sz val="13"/>
      <color theme="1" tint="0.249977111117893"/>
      <name val="Arial"/>
      <family val="2"/>
    </font>
    <font>
      <b/>
      <sz val="18"/>
      <color theme="1" tint="0.34998626667073579"/>
      <name val="Arial"/>
      <family val="2"/>
    </font>
    <font>
      <sz val="18"/>
      <color theme="1" tint="0.34998626667073579"/>
      <name val="Arial"/>
      <family val="2"/>
    </font>
    <font>
      <sz val="11"/>
      <color rgb="FFFF0000"/>
      <name val="Calibri"/>
      <family val="2"/>
      <scheme val="minor"/>
    </font>
    <font>
      <sz val="15"/>
      <color theme="1" tint="0.34998626667073579"/>
      <name val="Arial"/>
      <family val="2"/>
    </font>
    <font>
      <sz val="11"/>
      <name val="Calibri"/>
      <family val="2"/>
      <scheme val="minor"/>
    </font>
    <font>
      <b/>
      <sz val="20"/>
      <color rgb="FF00B0F0"/>
      <name val="Webdings"/>
      <family val="1"/>
      <charset val="2"/>
    </font>
    <font>
      <sz val="11"/>
      <color rgb="FF00B0F0"/>
      <name val="Webdings"/>
      <family val="1"/>
      <charset val="2"/>
    </font>
    <font>
      <sz val="11.5"/>
      <color theme="1" tint="0.14999847407452621"/>
      <name val="Arial"/>
      <family val="2"/>
    </font>
    <font>
      <sz val="10"/>
      <name val="Arial"/>
      <family val="2"/>
    </font>
    <font>
      <sz val="7"/>
      <color indexed="14"/>
      <name val="Verdana"/>
      <family val="2"/>
    </font>
    <font>
      <sz val="11"/>
      <name val="Tahoma"/>
      <family val="2"/>
    </font>
    <font>
      <b/>
      <sz val="11"/>
      <name val="Tahoma"/>
      <family val="2"/>
    </font>
    <font>
      <sz val="10"/>
      <color theme="3"/>
      <name val="Arial"/>
      <family val="2"/>
    </font>
    <font>
      <b/>
      <sz val="11"/>
      <color theme="3"/>
      <name val="Tahoma"/>
      <family val="2"/>
    </font>
    <font>
      <sz val="13"/>
      <name val="Tahoma"/>
      <family val="2"/>
    </font>
  </fonts>
  <fills count="10">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theme="0"/>
        <bgColor indexed="64"/>
      </patternFill>
    </fill>
    <fill>
      <patternFill patternType="solid">
        <fgColor indexed="22"/>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theme="1" tint="0.499984740745262"/>
        <bgColor indexed="64"/>
      </patternFill>
    </fill>
    <fill>
      <patternFill patternType="solid">
        <fgColor rgb="FFFFF5EB"/>
        <bgColor indexed="64"/>
      </patternFill>
    </fill>
  </fills>
  <borders count="17">
    <border>
      <left/>
      <right/>
      <top/>
      <bottom/>
      <diagonal/>
    </border>
    <border>
      <left style="thin">
        <color theme="4" tint="0.79998168889431442"/>
      </left>
      <right/>
      <top/>
      <bottom/>
      <diagonal/>
    </border>
    <border>
      <left style="dotted">
        <color auto="1"/>
      </left>
      <right style="dotted">
        <color auto="1"/>
      </right>
      <top style="dotted">
        <color auto="1"/>
      </top>
      <bottom style="dotted">
        <color auto="1"/>
      </bottom>
      <diagonal/>
    </border>
    <border>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6">
    <xf numFmtId="0" fontId="0" fillId="0" borderId="0"/>
    <xf numFmtId="9" fontId="1" fillId="0" borderId="0" applyFont="0" applyFill="0" applyBorder="0" applyAlignment="0" applyProtection="0"/>
    <xf numFmtId="0" fontId="7" fillId="0" borderId="0"/>
    <xf numFmtId="43" fontId="1" fillId="0" borderId="0" applyFont="0" applyFill="0" applyBorder="0" applyAlignment="0" applyProtection="0"/>
    <xf numFmtId="0" fontId="10" fillId="0" borderId="0"/>
    <xf numFmtId="0" fontId="32" fillId="0" borderId="0"/>
  </cellStyleXfs>
  <cellXfs count="139">
    <xf numFmtId="0" fontId="0" fillId="0" borderId="0" xfId="0"/>
    <xf numFmtId="0" fontId="0" fillId="0" borderId="0" xfId="0" applyAlignment="1">
      <alignment horizontal="left"/>
    </xf>
    <xf numFmtId="0" fontId="0" fillId="2" borderId="0" xfId="0" applyFill="1"/>
    <xf numFmtId="0" fontId="0" fillId="0" borderId="0" xfId="0" applyAlignment="1">
      <alignment horizontal="center"/>
    </xf>
    <xf numFmtId="0" fontId="0" fillId="0" borderId="0" xfId="0" applyAlignment="1">
      <alignment vertical="center"/>
    </xf>
    <xf numFmtId="164" fontId="0" fillId="0" borderId="0" xfId="0" applyNumberFormat="1" applyProtection="1">
      <protection locked="0"/>
    </xf>
    <xf numFmtId="0" fontId="4" fillId="0" borderId="0" xfId="0" applyFont="1" applyFill="1" applyAlignment="1">
      <alignment vertical="center"/>
    </xf>
    <xf numFmtId="0" fontId="5" fillId="0" borderId="0" xfId="0" applyFont="1" applyFill="1" applyAlignment="1">
      <alignment vertical="center"/>
    </xf>
    <xf numFmtId="0" fontId="0" fillId="3" borderId="0" xfId="0" applyFill="1"/>
    <xf numFmtId="0" fontId="0" fillId="0" borderId="0" xfId="0" applyFill="1"/>
    <xf numFmtId="4" fontId="0" fillId="0" borderId="0" xfId="0" applyNumberFormat="1" applyFill="1"/>
    <xf numFmtId="0" fontId="0" fillId="0" borderId="0" xfId="0" applyFill="1" applyProtection="1"/>
    <xf numFmtId="0" fontId="0" fillId="0" borderId="0" xfId="0" applyBorder="1" applyAlignment="1">
      <alignment horizontal="center"/>
    </xf>
    <xf numFmtId="0" fontId="0" fillId="0" borderId="0" xfId="0" applyBorder="1"/>
    <xf numFmtId="0" fontId="0" fillId="0" borderId="0" xfId="0" applyBorder="1" applyAlignment="1">
      <alignment horizontal="right"/>
    </xf>
    <xf numFmtId="0" fontId="0" fillId="0" borderId="0" xfId="0" applyBorder="1" applyAlignment="1">
      <alignment horizontal="left"/>
    </xf>
    <xf numFmtId="0" fontId="2" fillId="0" borderId="0" xfId="0" applyFont="1" applyBorder="1"/>
    <xf numFmtId="0" fontId="0" fillId="2" borderId="0" xfId="0" applyFill="1" applyBorder="1"/>
    <xf numFmtId="9" fontId="0" fillId="0" borderId="0" xfId="1" applyFont="1" applyBorder="1" applyAlignment="1">
      <alignment horizontal="right"/>
    </xf>
    <xf numFmtId="9" fontId="0" fillId="0" borderId="0" xfId="1" applyFont="1" applyBorder="1" applyAlignment="1">
      <alignment horizontal="center"/>
    </xf>
    <xf numFmtId="9" fontId="0" fillId="0" borderId="0" xfId="0" applyNumberFormat="1" applyBorder="1"/>
    <xf numFmtId="1" fontId="0" fillId="0" borderId="0" xfId="0" applyNumberFormat="1" applyFill="1" applyBorder="1" applyAlignment="1">
      <alignment horizontal="right"/>
    </xf>
    <xf numFmtId="9" fontId="0" fillId="0" borderId="0" xfId="1" applyFont="1" applyFill="1" applyBorder="1" applyAlignment="1">
      <alignment horizontal="right"/>
    </xf>
    <xf numFmtId="1" fontId="0" fillId="0" borderId="0" xfId="1" applyNumberFormat="1" applyFont="1" applyFill="1" applyBorder="1" applyAlignment="1">
      <alignment horizontal="center"/>
    </xf>
    <xf numFmtId="1" fontId="0" fillId="0" borderId="0" xfId="0" applyNumberFormat="1" applyBorder="1"/>
    <xf numFmtId="0" fontId="2" fillId="0" borderId="0" xfId="0" applyFont="1" applyBorder="1" applyAlignment="1">
      <alignment horizontal="left"/>
    </xf>
    <xf numFmtId="0" fontId="2" fillId="0" borderId="0" xfId="0" applyFont="1" applyBorder="1" applyAlignment="1">
      <alignment horizontal="right"/>
    </xf>
    <xf numFmtId="0" fontId="2" fillId="0" borderId="0" xfId="0" applyFont="1" applyBorder="1" applyAlignment="1">
      <alignment horizontal="center"/>
    </xf>
    <xf numFmtId="1" fontId="0" fillId="0" borderId="0" xfId="0" applyNumberFormat="1" applyBorder="1" applyAlignment="1">
      <alignment horizontal="right"/>
    </xf>
    <xf numFmtId="2" fontId="0" fillId="0" borderId="0" xfId="0" applyNumberFormat="1" applyBorder="1" applyAlignment="1">
      <alignment horizontal="right"/>
    </xf>
    <xf numFmtId="0" fontId="0" fillId="0" borderId="0" xfId="0" applyFill="1" applyAlignment="1">
      <alignment vertical="center"/>
    </xf>
    <xf numFmtId="0" fontId="11" fillId="2" borderId="0" xfId="0" applyFont="1" applyFill="1" applyBorder="1" applyAlignment="1" applyProtection="1">
      <alignment horizontal="center" vertical="center"/>
    </xf>
    <xf numFmtId="0" fontId="23" fillId="2" borderId="1" xfId="0" applyFont="1" applyFill="1" applyBorder="1" applyAlignment="1" applyProtection="1">
      <alignment horizontal="left" vertical="center" indent="1"/>
    </xf>
    <xf numFmtId="0" fontId="22" fillId="2" borderId="0" xfId="0" applyFont="1" applyFill="1" applyBorder="1" applyAlignment="1" applyProtection="1">
      <alignment horizontal="center" vertical="center"/>
    </xf>
    <xf numFmtId="0" fontId="23" fillId="2" borderId="0" xfId="0" applyFont="1" applyFill="1" applyBorder="1" applyAlignment="1" applyProtection="1">
      <alignment horizontal="left" vertical="center" indent="1"/>
    </xf>
    <xf numFmtId="0" fontId="22" fillId="2" borderId="0" xfId="0" applyFont="1" applyFill="1" applyBorder="1" applyAlignment="1" applyProtection="1">
      <alignment vertical="center"/>
    </xf>
    <xf numFmtId="0" fontId="20" fillId="4" borderId="0" xfId="0" applyFont="1" applyFill="1" applyBorder="1" applyAlignment="1" applyProtection="1">
      <alignment horizontal="center" vertical="center"/>
    </xf>
    <xf numFmtId="0" fontId="0" fillId="4" borderId="0" xfId="0" applyFill="1"/>
    <xf numFmtId="0" fontId="2" fillId="4" borderId="0" xfId="0" applyFont="1" applyFill="1" applyAlignment="1" applyProtection="1">
      <alignment horizontal="left" vertical="center" indent="1"/>
    </xf>
    <xf numFmtId="0" fontId="11" fillId="4" borderId="0" xfId="0" applyFont="1" applyFill="1" applyBorder="1" applyAlignment="1" applyProtection="1">
      <alignment horizontal="center" vertical="center"/>
    </xf>
    <xf numFmtId="0" fontId="0" fillId="4" borderId="0" xfId="0" applyFill="1" applyProtection="1"/>
    <xf numFmtId="0" fontId="23" fillId="2" borderId="0" xfId="0" applyFont="1" applyFill="1" applyBorder="1" applyAlignment="1">
      <alignment vertical="center" wrapText="1"/>
    </xf>
    <xf numFmtId="4" fontId="0" fillId="0" borderId="6" xfId="0" applyNumberFormat="1" applyFill="1" applyBorder="1"/>
    <xf numFmtId="0" fontId="0" fillId="0" borderId="6" xfId="0" applyFill="1" applyBorder="1"/>
    <xf numFmtId="4" fontId="0" fillId="0" borderId="6" xfId="0" applyNumberFormat="1" applyBorder="1"/>
    <xf numFmtId="4" fontId="0" fillId="0" borderId="6" xfId="0" applyNumberFormat="1" applyFill="1" applyBorder="1" applyAlignment="1">
      <alignment horizontal="center"/>
    </xf>
    <xf numFmtId="0" fontId="0" fillId="0" borderId="6" xfId="0" applyFill="1" applyBorder="1" applyAlignment="1">
      <alignment horizontal="center"/>
    </xf>
    <xf numFmtId="0" fontId="17" fillId="0" borderId="0" xfId="0" applyFont="1" applyFill="1" applyBorder="1" applyAlignment="1">
      <alignment vertical="center" wrapText="1"/>
    </xf>
    <xf numFmtId="0" fontId="0" fillId="0" borderId="0" xfId="0" pivotButton="1"/>
    <xf numFmtId="0" fontId="26" fillId="3" borderId="0" xfId="0" applyFont="1" applyFill="1" applyBorder="1" applyAlignment="1">
      <alignment horizontal="center"/>
    </xf>
    <xf numFmtId="0" fontId="0" fillId="0" borderId="0" xfId="0" applyNumberFormat="1"/>
    <xf numFmtId="166" fontId="0" fillId="0" borderId="0" xfId="0" applyNumberFormat="1"/>
    <xf numFmtId="0" fontId="32" fillId="0" borderId="0" xfId="5"/>
    <xf numFmtId="0" fontId="32" fillId="0" borderId="7" xfId="5" applyBorder="1"/>
    <xf numFmtId="0" fontId="32" fillId="0" borderId="8" xfId="5" applyBorder="1"/>
    <xf numFmtId="0" fontId="32" fillId="0" borderId="9" xfId="5" applyBorder="1"/>
    <xf numFmtId="0" fontId="32" fillId="0" borderId="10" xfId="5" applyBorder="1"/>
    <xf numFmtId="0" fontId="32" fillId="0" borderId="0" xfId="5" applyBorder="1"/>
    <xf numFmtId="0" fontId="32" fillId="0" borderId="11" xfId="5" applyBorder="1"/>
    <xf numFmtId="0" fontId="33" fillId="0" borderId="0" xfId="5" applyFont="1" applyBorder="1"/>
    <xf numFmtId="0" fontId="34" fillId="0" borderId="11" xfId="5" applyFont="1" applyBorder="1" applyAlignment="1">
      <alignment horizontal="left" indent="1"/>
    </xf>
    <xf numFmtId="0" fontId="34" fillId="0" borderId="12" xfId="5" applyFont="1" applyBorder="1" applyAlignment="1">
      <alignment horizontal="left" indent="1"/>
    </xf>
    <xf numFmtId="0" fontId="32" fillId="0" borderId="13" xfId="5" applyBorder="1"/>
    <xf numFmtId="0" fontId="34" fillId="0" borderId="11" xfId="5" applyFont="1" applyBorder="1" applyAlignment="1"/>
    <xf numFmtId="0" fontId="35" fillId="0" borderId="0" xfId="5" applyFont="1" applyAlignment="1"/>
    <xf numFmtId="0" fontId="34" fillId="0" borderId="0" xfId="5" applyFont="1" applyAlignment="1">
      <alignment horizontal="left" indent="1"/>
    </xf>
    <xf numFmtId="0" fontId="34" fillId="0" borderId="0" xfId="5" applyFont="1" applyAlignment="1"/>
    <xf numFmtId="0" fontId="36" fillId="0" borderId="0" xfId="5" applyFont="1"/>
    <xf numFmtId="0" fontId="37" fillId="0" borderId="0" xfId="5" applyFont="1" applyAlignment="1"/>
    <xf numFmtId="167" fontId="35" fillId="0" borderId="0" xfId="5" applyNumberFormat="1" applyFont="1" applyAlignment="1">
      <alignment horizontal="left"/>
    </xf>
    <xf numFmtId="0" fontId="35" fillId="0" borderId="0" xfId="5" applyFont="1" applyAlignment="1">
      <alignment horizontal="right"/>
    </xf>
    <xf numFmtId="0" fontId="38" fillId="0" borderId="0" xfId="5" applyFont="1" applyAlignment="1">
      <alignment horizontal="left" indent="5"/>
    </xf>
    <xf numFmtId="0" fontId="0" fillId="7" borderId="0" xfId="0" applyFill="1" applyProtection="1"/>
    <xf numFmtId="0" fontId="0" fillId="7" borderId="0" xfId="0" applyFill="1"/>
    <xf numFmtId="0" fontId="2" fillId="6" borderId="0" xfId="0" applyFont="1" applyFill="1" applyAlignment="1" applyProtection="1">
      <alignment horizontal="left" vertical="center" indent="1"/>
    </xf>
    <xf numFmtId="0" fontId="11" fillId="6" borderId="0" xfId="0" applyFont="1" applyFill="1" applyBorder="1" applyAlignment="1" applyProtection="1">
      <alignment horizontal="center" vertical="center"/>
    </xf>
    <xf numFmtId="0" fontId="20" fillId="6" borderId="0" xfId="0" applyFont="1" applyFill="1" applyBorder="1" applyAlignment="1" applyProtection="1">
      <alignment horizontal="center" vertical="center"/>
    </xf>
    <xf numFmtId="0" fontId="0" fillId="6" borderId="0" xfId="0" applyFill="1" applyProtection="1"/>
    <xf numFmtId="164" fontId="3" fillId="0" borderId="0" xfId="0" applyNumberFormat="1" applyFont="1" applyFill="1" applyAlignment="1">
      <alignment horizontal="left" vertical="center"/>
    </xf>
    <xf numFmtId="164" fontId="0" fillId="0" borderId="0" xfId="0" applyNumberFormat="1" applyFill="1" applyAlignment="1">
      <alignment horizontal="left"/>
    </xf>
    <xf numFmtId="0" fontId="3" fillId="0" borderId="0" xfId="0" applyFont="1" applyFill="1" applyAlignment="1">
      <alignment horizontal="center" vertical="center"/>
    </xf>
    <xf numFmtId="0" fontId="2" fillId="0" borderId="0" xfId="0" applyFont="1" applyFill="1" applyBorder="1" applyAlignment="1" applyProtection="1">
      <alignment horizontal="left" vertical="center" indent="1"/>
    </xf>
    <xf numFmtId="164" fontId="9" fillId="0" borderId="0" xfId="0" applyNumberFormat="1" applyFont="1" applyFill="1" applyBorder="1" applyAlignment="1" applyProtection="1"/>
    <xf numFmtId="164" fontId="8" fillId="0" borderId="0" xfId="0" applyNumberFormat="1" applyFont="1" applyFill="1" applyBorder="1" applyAlignment="1" applyProtection="1"/>
    <xf numFmtId="0" fontId="2" fillId="0" borderId="0" xfId="0" applyFont="1" applyFill="1" applyAlignment="1" applyProtection="1">
      <alignment horizontal="left" vertical="center" indent="1"/>
    </xf>
    <xf numFmtId="0" fontId="11" fillId="0" borderId="0" xfId="0" applyFont="1" applyFill="1" applyBorder="1" applyAlignment="1" applyProtection="1">
      <alignment horizontal="center" vertical="center"/>
    </xf>
    <xf numFmtId="0" fontId="6" fillId="0" borderId="0" xfId="0" applyFont="1" applyFill="1" applyAlignment="1">
      <alignment horizontal="center" vertical="center"/>
    </xf>
    <xf numFmtId="0" fontId="20" fillId="0" borderId="0" xfId="0" applyFont="1" applyFill="1" applyBorder="1" applyAlignment="1" applyProtection="1">
      <alignment horizontal="center" vertical="center"/>
    </xf>
    <xf numFmtId="0" fontId="6" fillId="0" borderId="0" xfId="0" applyFont="1" applyFill="1" applyAlignment="1" applyProtection="1">
      <alignment horizontal="center" vertical="center"/>
    </xf>
    <xf numFmtId="0" fontId="0" fillId="0" borderId="0" xfId="0" applyFill="1" applyBorder="1"/>
    <xf numFmtId="0" fontId="0" fillId="0" borderId="0" xfId="0" applyFill="1" applyAlignment="1">
      <alignment horizontal="center"/>
    </xf>
    <xf numFmtId="0" fontId="0" fillId="0" borderId="0" xfId="0" applyFill="1" applyBorder="1" applyAlignment="1"/>
    <xf numFmtId="0" fontId="30" fillId="0" borderId="0" xfId="0" applyFont="1" applyFill="1" applyBorder="1" applyAlignment="1">
      <alignment horizontal="center" vertical="center"/>
    </xf>
    <xf numFmtId="0" fontId="30" fillId="0" borderId="0" xfId="0" applyFont="1" applyFill="1" applyBorder="1" applyAlignment="1">
      <alignment vertical="center"/>
    </xf>
    <xf numFmtId="0" fontId="24" fillId="9" borderId="0" xfId="0" applyFont="1" applyFill="1" applyBorder="1" applyAlignment="1" applyProtection="1">
      <alignment vertical="center"/>
    </xf>
    <xf numFmtId="0" fontId="2" fillId="9" borderId="0" xfId="0" applyFont="1" applyFill="1" applyBorder="1" applyAlignment="1" applyProtection="1">
      <alignment vertical="center"/>
    </xf>
    <xf numFmtId="0" fontId="25" fillId="9" borderId="0" xfId="0" applyFont="1" applyFill="1" applyBorder="1" applyAlignment="1" applyProtection="1">
      <alignment vertical="center"/>
    </xf>
    <xf numFmtId="165" fontId="25" fillId="9" borderId="0" xfId="0" applyNumberFormat="1" applyFont="1" applyFill="1" applyBorder="1" applyAlignment="1" applyProtection="1">
      <alignment vertical="center"/>
    </xf>
    <xf numFmtId="5" fontId="25" fillId="9" borderId="0" xfId="0" applyNumberFormat="1" applyFont="1" applyFill="1" applyBorder="1" applyAlignment="1" applyProtection="1">
      <alignment vertical="center"/>
    </xf>
    <xf numFmtId="164" fontId="2" fillId="9" borderId="0" xfId="0" applyNumberFormat="1" applyFont="1" applyFill="1" applyBorder="1" applyAlignment="1" applyProtection="1">
      <alignment vertical="center"/>
    </xf>
    <xf numFmtId="0" fontId="16" fillId="9" borderId="0" xfId="0" applyFont="1" applyFill="1" applyBorder="1" applyAlignment="1" applyProtection="1">
      <alignment vertical="center"/>
    </xf>
    <xf numFmtId="164" fontId="15" fillId="9" borderId="0" xfId="0" applyNumberFormat="1" applyFont="1" applyFill="1" applyBorder="1" applyAlignment="1" applyProtection="1">
      <alignment vertical="center"/>
    </xf>
    <xf numFmtId="164" fontId="12" fillId="9" borderId="0" xfId="0" applyNumberFormat="1" applyFont="1" applyFill="1" applyBorder="1" applyAlignment="1" applyProtection="1">
      <alignment vertical="center"/>
    </xf>
    <xf numFmtId="0" fontId="35" fillId="5" borderId="15" xfId="5" applyFont="1" applyFill="1" applyBorder="1" applyAlignment="1">
      <alignment horizontal="center"/>
    </xf>
    <xf numFmtId="0" fontId="35" fillId="5" borderId="14" xfId="5" applyFont="1" applyFill="1" applyBorder="1" applyAlignment="1">
      <alignment horizontal="center"/>
    </xf>
    <xf numFmtId="0" fontId="35" fillId="5" borderId="16" xfId="5" applyFont="1" applyFill="1" applyBorder="1" applyAlignment="1">
      <alignment horizontal="center"/>
    </xf>
    <xf numFmtId="164" fontId="0" fillId="0" borderId="0" xfId="0" applyNumberFormat="1" applyFill="1" applyAlignment="1">
      <alignment horizontal="center"/>
    </xf>
    <xf numFmtId="0" fontId="31" fillId="9" borderId="4" xfId="0" applyFont="1" applyFill="1" applyBorder="1" applyAlignment="1">
      <alignment horizontal="left" vertical="center"/>
    </xf>
    <xf numFmtId="0" fontId="0" fillId="0" borderId="0" xfId="0" applyFill="1" applyAlignment="1">
      <alignment horizontal="center"/>
    </xf>
    <xf numFmtId="0" fontId="31" fillId="9" borderId="4" xfId="0" applyFont="1" applyFill="1" applyBorder="1" applyAlignment="1">
      <alignment horizontal="center" vertical="center"/>
    </xf>
    <xf numFmtId="164" fontId="28" fillId="0" borderId="0" xfId="0" applyNumberFormat="1" applyFont="1" applyFill="1" applyAlignment="1">
      <alignment horizontal="center"/>
    </xf>
    <xf numFmtId="8" fontId="31" fillId="9" borderId="4" xfId="0" applyNumberFormat="1" applyFont="1" applyFill="1" applyBorder="1" applyAlignment="1">
      <alignment horizontal="right" vertical="center" indent="1"/>
    </xf>
    <xf numFmtId="0" fontId="29" fillId="8" borderId="0" xfId="0" applyFont="1" applyFill="1" applyBorder="1" applyAlignment="1">
      <alignment vertical="center"/>
    </xf>
    <xf numFmtId="14" fontId="31" fillId="9" borderId="3" xfId="0" applyNumberFormat="1" applyFont="1" applyFill="1" applyBorder="1" applyAlignment="1">
      <alignment horizontal="center" vertical="center" wrapText="1"/>
    </xf>
    <xf numFmtId="14" fontId="31" fillId="9" borderId="4" xfId="0" applyNumberFormat="1" applyFont="1" applyFill="1" applyBorder="1" applyAlignment="1">
      <alignment horizontal="center" vertical="center" wrapText="1"/>
    </xf>
    <xf numFmtId="0" fontId="20" fillId="0" borderId="0" xfId="0" applyFont="1" applyFill="1" applyBorder="1" applyAlignment="1" applyProtection="1">
      <alignment horizontal="center" vertical="center"/>
    </xf>
    <xf numFmtId="8" fontId="31" fillId="9" borderId="5" xfId="0" applyNumberFormat="1" applyFont="1" applyFill="1" applyBorder="1" applyAlignment="1">
      <alignment horizontal="right" vertical="center" indent="1"/>
    </xf>
    <xf numFmtId="6" fontId="25" fillId="9" borderId="0" xfId="0" applyNumberFormat="1" applyFont="1" applyFill="1" applyBorder="1" applyAlignment="1" applyProtection="1">
      <alignment horizontal="center" vertical="center"/>
    </xf>
    <xf numFmtId="6" fontId="24" fillId="9" borderId="0" xfId="0" applyNumberFormat="1" applyFont="1" applyFill="1" applyBorder="1" applyAlignment="1" applyProtection="1">
      <alignment horizontal="center" vertical="center"/>
    </xf>
    <xf numFmtId="164" fontId="26" fillId="0" borderId="0" xfId="0" applyNumberFormat="1" applyFont="1" applyFill="1" applyAlignment="1">
      <alignment horizontal="center"/>
    </xf>
    <xf numFmtId="165" fontId="25" fillId="9" borderId="0" xfId="0" applyNumberFormat="1" applyFont="1" applyFill="1" applyBorder="1" applyAlignment="1" applyProtection="1">
      <alignment horizontal="center" vertical="center"/>
    </xf>
    <xf numFmtId="5" fontId="25" fillId="9" borderId="0" xfId="0" applyNumberFormat="1" applyFont="1" applyFill="1" applyBorder="1" applyAlignment="1" applyProtection="1">
      <alignment horizontal="center" vertical="center"/>
    </xf>
    <xf numFmtId="164" fontId="14" fillId="9" borderId="0" xfId="0" applyNumberFormat="1" applyFont="1" applyFill="1" applyBorder="1" applyAlignment="1" applyProtection="1">
      <alignment horizontal="center" vertical="center"/>
    </xf>
    <xf numFmtId="4" fontId="27" fillId="2" borderId="0" xfId="0" applyNumberFormat="1" applyFont="1" applyFill="1" applyBorder="1" applyAlignment="1" applyProtection="1">
      <alignment horizontal="center" vertical="center"/>
    </xf>
    <xf numFmtId="0" fontId="27" fillId="2" borderId="0" xfId="0" applyNumberFormat="1" applyFont="1" applyFill="1" applyBorder="1" applyAlignment="1" applyProtection="1">
      <alignment horizontal="center" vertical="center"/>
    </xf>
    <xf numFmtId="0" fontId="20" fillId="9" borderId="0" xfId="0" applyFont="1" applyFill="1" applyBorder="1" applyAlignment="1" applyProtection="1">
      <alignment horizontal="center" vertical="center"/>
    </xf>
    <xf numFmtId="0" fontId="3" fillId="0" borderId="0" xfId="0" applyFont="1" applyAlignment="1">
      <alignment horizontal="center" vertical="center"/>
    </xf>
    <xf numFmtId="0" fontId="11" fillId="0" borderId="0" xfId="0" applyFont="1" applyFill="1" applyBorder="1" applyAlignment="1" applyProtection="1">
      <alignment horizontal="center" vertical="center"/>
    </xf>
    <xf numFmtId="0" fontId="21" fillId="2" borderId="0" xfId="0" applyFont="1" applyFill="1" applyBorder="1" applyAlignment="1" applyProtection="1">
      <alignment horizontal="center" vertical="center"/>
    </xf>
    <xf numFmtId="0" fontId="13" fillId="2" borderId="0" xfId="0" applyFont="1" applyFill="1" applyBorder="1" applyAlignment="1" applyProtection="1">
      <alignment horizontal="center" vertical="center"/>
    </xf>
    <xf numFmtId="0" fontId="29" fillId="8" borderId="0" xfId="0" applyFont="1" applyFill="1" applyBorder="1" applyAlignment="1">
      <alignment horizontal="right" vertical="center" wrapText="1"/>
    </xf>
    <xf numFmtId="0" fontId="29" fillId="8" borderId="0" xfId="0" applyFont="1" applyFill="1" applyBorder="1" applyAlignment="1">
      <alignment vertical="center" wrapText="1"/>
    </xf>
    <xf numFmtId="0" fontId="11" fillId="2" borderId="0" xfId="0" applyFont="1" applyFill="1" applyBorder="1" applyAlignment="1" applyProtection="1">
      <alignment horizontal="center" vertical="center"/>
    </xf>
    <xf numFmtId="0" fontId="18" fillId="0" borderId="2" xfId="0" applyFont="1" applyBorder="1" applyAlignment="1">
      <alignment horizontal="left" vertical="center"/>
    </xf>
    <xf numFmtId="0" fontId="19" fillId="0" borderId="2" xfId="0" applyFont="1" applyBorder="1" applyAlignment="1">
      <alignment vertical="center" wrapText="1"/>
    </xf>
    <xf numFmtId="0" fontId="19" fillId="0" borderId="2" xfId="0" applyFont="1" applyBorder="1" applyAlignment="1">
      <alignment horizontal="left" vertical="center" wrapText="1"/>
    </xf>
    <xf numFmtId="14" fontId="0" fillId="0" borderId="0" xfId="0" applyNumberFormat="1"/>
    <xf numFmtId="168" fontId="0" fillId="0" borderId="0" xfId="0" applyNumberFormat="1"/>
    <xf numFmtId="2" fontId="0" fillId="0" borderId="0" xfId="0" applyNumberFormat="1"/>
  </cellXfs>
  <cellStyles count="6">
    <cellStyle name="Millares 2" xfId="3"/>
    <cellStyle name="Normal" xfId="0" builtinId="0"/>
    <cellStyle name="Normal 2" xfId="2"/>
    <cellStyle name="Normal 2 2" xfId="4"/>
    <cellStyle name="Normal 2 3" xfId="5"/>
    <cellStyle name="Porcentaje" xfId="1" builtinId="5"/>
  </cellStyles>
  <dxfs count="8">
    <dxf>
      <fill>
        <patternFill>
          <bgColor theme="0" tint="-4.9989318521683403E-2"/>
        </patternFill>
      </fill>
    </dxf>
    <dxf>
      <font>
        <color theme="0"/>
      </font>
      <fill>
        <patternFill>
          <bgColor rgb="FF00B0F0"/>
        </patternFill>
      </fill>
    </dxf>
    <dxf>
      <font>
        <b/>
        <i val="0"/>
        <color theme="4" tint="-0.499984740745262"/>
      </font>
      <fill>
        <patternFill patternType="solid">
          <bgColor theme="0" tint="-4.9989318521683403E-2"/>
        </patternFill>
      </fill>
    </dxf>
    <dxf>
      <font>
        <b/>
        <i val="0"/>
        <color theme="4" tint="-0.499984740745262"/>
      </font>
      <fill>
        <patternFill patternType="solid">
          <bgColor theme="0" tint="-4.9989318521683403E-2"/>
        </patternFill>
      </fill>
    </dxf>
    <dxf>
      <font>
        <color auto="1"/>
      </font>
      <fill>
        <patternFill>
          <bgColor theme="0" tint="-4.9989318521683403E-2"/>
        </patternFill>
      </fill>
      <border>
        <left/>
        <right/>
        <top/>
        <bottom/>
      </border>
    </dxf>
    <dxf>
      <font>
        <b/>
        <i val="0"/>
        <color theme="4" tint="-0.499984740745262"/>
      </font>
      <fill>
        <patternFill patternType="solid">
          <bgColor theme="0" tint="-4.9989318521683403E-2"/>
        </patternFill>
      </fill>
    </dxf>
    <dxf>
      <font>
        <color theme="0"/>
      </font>
      <fill>
        <patternFill>
          <bgColor theme="3"/>
        </patternFill>
      </fill>
    </dxf>
    <dxf>
      <font>
        <color theme="0"/>
      </font>
      <fill>
        <patternFill>
          <bgColor theme="3"/>
        </patternFill>
      </fill>
    </dxf>
  </dxfs>
  <tableStyles count="0" defaultTableStyle="TableStyleMedium9" defaultPivotStyle="PivotStyleLight16"/>
  <colors>
    <mruColors>
      <color rgb="FFFFF5EB"/>
      <color rgb="FFFFF3E7"/>
      <color rgb="FFFEE4CA"/>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pivotCacheDefinition" Target="pivotCache/pivotCacheDefinition4.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(Data!$C$4,Data!$C$5,Data!$C$6)</c:f>
              <c:numCache>
                <c:formatCode>#,##0.00</c:formatCode>
                <c:ptCount val="3"/>
                <c:pt idx="0">
                  <c:v>0.8451679830613773</c:v>
                </c:pt>
                <c:pt idx="1">
                  <c:v>0.1548320169386227</c:v>
                </c:pt>
                <c:pt idx="2">
                  <c:v>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(Data!$H$4,Data!$H$5,Data!$H$6)</c:f>
              <c:numCache>
                <c:formatCode>#,##0.00</c:formatCode>
                <c:ptCount val="3"/>
                <c:pt idx="0">
                  <c:v>0.94974613912882788</c:v>
                </c:pt>
                <c:pt idx="1">
                  <c:v>5.0253860871172118E-2</c:v>
                </c:pt>
                <c:pt idx="2">
                  <c:v>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(Data!$F$4,Data!$F$5,Data!$F$6)</c:f>
              <c:numCache>
                <c:formatCode>#,##0.00</c:formatCode>
                <c:ptCount val="3"/>
                <c:pt idx="0">
                  <c:v>1</c:v>
                </c:pt>
                <c:pt idx="1">
                  <c:v>0</c:v>
                </c:pt>
                <c:pt idx="2">
                  <c:v>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(Data!$D$4,Data!$D$5,Data!$D$6)</c:f>
              <c:numCache>
                <c:formatCode>#,##0.00</c:formatCode>
                <c:ptCount val="3"/>
                <c:pt idx="0">
                  <c:v>0.88121118029160539</c:v>
                </c:pt>
                <c:pt idx="1">
                  <c:v>0.11878881970839461</c:v>
                </c:pt>
                <c:pt idx="2">
                  <c:v>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(Data!$E$4,Data!$E$5,Data!$E$6)</c:f>
              <c:numCache>
                <c:formatCode>#,##0.00</c:formatCode>
                <c:ptCount val="3"/>
                <c:pt idx="0">
                  <c:v>1</c:v>
                </c:pt>
                <c:pt idx="1">
                  <c:v>0</c:v>
                </c:pt>
                <c:pt idx="2">
                  <c:v>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(Data!$G$4,Data!$G$5,Data!$G$6)</c:f>
              <c:numCache>
                <c:formatCode>#,##0.00</c:formatCode>
                <c:ptCount val="3"/>
                <c:pt idx="0">
                  <c:v>1</c:v>
                </c:pt>
                <c:pt idx="1">
                  <c:v>0</c:v>
                </c:pt>
                <c:pt idx="2">
                  <c:v>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max="100" page="10" val="0"/>
</file>

<file path=xl/ctrlProps/ctrlProp2.xml><?xml version="1.0" encoding="utf-8"?>
<formControlPr xmlns="http://schemas.microsoft.com/office/spreadsheetml/2009/9/main" objectType="Drop" dropStyle="combo" dx="16" noThreeD="1" sel="0" val="0"/>
</file>

<file path=xl/ctrlProps/ctrlProp3.xml><?xml version="1.0" encoding="utf-8"?>
<formControlPr xmlns="http://schemas.microsoft.com/office/spreadsheetml/2009/9/main" objectType="Radio" firstButton="1" fmlaLink="Data!$B$10" lockText="1"/>
</file>

<file path=xl/ctrlProps/ctrlProp4.xml><?xml version="1.0" encoding="utf-8"?>
<formControlPr xmlns="http://schemas.microsoft.com/office/spreadsheetml/2009/9/main" objectType="Radio"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checked="Checked"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List" dx="22" fmlaLink="Data!$E$20" fmlaRange="Data!$B$20:$B$21" val="0"/>
</file>

<file path=xl/ctrlProps/ctrlProp10.xml><?xml version="1.0" encoding="utf-8"?>
<formControlPr xmlns="http://schemas.microsoft.com/office/spreadsheetml/2009/9/main" objectType="Drop" dropStyle="combo" dx="16" noThreeD="1" sel="0" val="0"/>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161925</xdr:colOff>
      <xdr:row>12</xdr:row>
      <xdr:rowOff>114300</xdr:rowOff>
    </xdr:from>
    <xdr:to>
      <xdr:col>7</xdr:col>
      <xdr:colOff>323850</xdr:colOff>
      <xdr:row>15</xdr:row>
      <xdr:rowOff>28575</xdr:rowOff>
    </xdr:to>
    <xdr:grpSp>
      <xdr:nvGrpSpPr>
        <xdr:cNvPr id="2" name="7 Grupo"/>
        <xdr:cNvGrpSpPr>
          <a:grpSpLocks/>
        </xdr:cNvGrpSpPr>
      </xdr:nvGrpSpPr>
      <xdr:grpSpPr bwMode="auto">
        <a:xfrm>
          <a:off x="261316" y="2607365"/>
          <a:ext cx="4733925" cy="411232"/>
          <a:chOff x="266700" y="400050"/>
          <a:chExt cx="5781675" cy="400050"/>
        </a:xfrm>
      </xdr:grpSpPr>
      <xdr:pic>
        <xdr:nvPicPr>
          <xdr:cNvPr id="3" name="Picture 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8124" r="52579" b="77000"/>
          <a:stretch>
            <a:fillRect/>
          </a:stretch>
        </xdr:blipFill>
        <xdr:spPr bwMode="auto">
          <a:xfrm>
            <a:off x="266700" y="428625"/>
            <a:ext cx="578167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4" name="3 Rectángulo">
            <a:extLst>
              <a:ext uri="{FF2B5EF4-FFF2-40B4-BE49-F238E27FC236}"/>
            </a:extLst>
          </xdr:cNvPr>
          <xdr:cNvSpPr/>
        </xdr:nvSpPr>
        <xdr:spPr>
          <a:xfrm>
            <a:off x="4361568" y="400050"/>
            <a:ext cx="1058617" cy="3905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twoCellAnchor>
    <xdr:from>
      <xdr:col>1</xdr:col>
      <xdr:colOff>171450</xdr:colOff>
      <xdr:row>16</xdr:row>
      <xdr:rowOff>57150</xdr:rowOff>
    </xdr:from>
    <xdr:to>
      <xdr:col>7</xdr:col>
      <xdr:colOff>295275</xdr:colOff>
      <xdr:row>37</xdr:row>
      <xdr:rowOff>57150</xdr:rowOff>
    </xdr:to>
    <xdr:grpSp>
      <xdr:nvGrpSpPr>
        <xdr:cNvPr id="5" name="6 Grupo"/>
        <xdr:cNvGrpSpPr>
          <a:grpSpLocks/>
        </xdr:cNvGrpSpPr>
      </xdr:nvGrpSpPr>
      <xdr:grpSpPr bwMode="auto">
        <a:xfrm>
          <a:off x="270841" y="3212824"/>
          <a:ext cx="4695825" cy="3478696"/>
          <a:chOff x="4019550" y="1285875"/>
          <a:chExt cx="5391150" cy="4229100"/>
        </a:xfrm>
      </xdr:grpSpPr>
      <xdr:pic>
        <xdr:nvPicPr>
          <xdr:cNvPr id="6" name="Picture 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31172" t="21500" r="24609" b="23000"/>
          <a:stretch>
            <a:fillRect/>
          </a:stretch>
        </xdr:blipFill>
        <xdr:spPr bwMode="auto">
          <a:xfrm>
            <a:off x="4019550" y="1285875"/>
            <a:ext cx="5391150" cy="422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7" name="6 Rectángulo">
            <a:extLst>
              <a:ext uri="{FF2B5EF4-FFF2-40B4-BE49-F238E27FC236}"/>
            </a:extLst>
          </xdr:cNvPr>
          <xdr:cNvSpPr/>
        </xdr:nvSpPr>
        <xdr:spPr>
          <a:xfrm>
            <a:off x="4292935" y="3607734"/>
            <a:ext cx="1530955" cy="17769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sp macro="" textlink="">
        <xdr:nvSpPr>
          <xdr:cNvPr id="8" name="7 Rectángulo">
            <a:extLst>
              <a:ext uri="{FF2B5EF4-FFF2-40B4-BE49-F238E27FC236}"/>
            </a:extLst>
          </xdr:cNvPr>
          <xdr:cNvSpPr/>
        </xdr:nvSpPr>
        <xdr:spPr>
          <a:xfrm>
            <a:off x="4325741" y="4851587"/>
            <a:ext cx="1530955" cy="165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oneCellAnchor>
    <xdr:from>
      <xdr:col>1</xdr:col>
      <xdr:colOff>9525</xdr:colOff>
      <xdr:row>0</xdr:row>
      <xdr:rowOff>38100</xdr:rowOff>
    </xdr:from>
    <xdr:ext cx="2085975" cy="441877"/>
    <xdr:pic>
      <xdr:nvPicPr>
        <xdr:cNvPr id="9" name="webImgShrinked" descr="Imagen"/>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l="3523" t="14122" b="11342"/>
        <a:stretch>
          <a:fillRect/>
        </a:stretch>
      </xdr:blipFill>
      <xdr:spPr bwMode="auto">
        <a:xfrm>
          <a:off x="771525" y="38100"/>
          <a:ext cx="2085975" cy="4418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8</xdr:col>
      <xdr:colOff>419100</xdr:colOff>
      <xdr:row>17</xdr:row>
      <xdr:rowOff>47625</xdr:rowOff>
    </xdr:from>
    <xdr:to>
      <xdr:col>13</xdr:col>
      <xdr:colOff>400050</xdr:colOff>
      <xdr:row>28</xdr:row>
      <xdr:rowOff>104775</xdr:rowOff>
    </xdr:to>
    <xdr:grpSp>
      <xdr:nvGrpSpPr>
        <xdr:cNvPr id="10" name="11 Grupo"/>
        <xdr:cNvGrpSpPr>
          <a:grpSpLocks/>
        </xdr:cNvGrpSpPr>
      </xdr:nvGrpSpPr>
      <xdr:grpSpPr bwMode="auto">
        <a:xfrm>
          <a:off x="5852491" y="3368951"/>
          <a:ext cx="3790950" cy="1879324"/>
          <a:chOff x="5753100" y="2305050"/>
          <a:chExt cx="3790950" cy="1838325"/>
        </a:xfrm>
      </xdr:grpSpPr>
      <xdr:pic>
        <xdr:nvPicPr>
          <xdr:cNvPr id="11" name="Picture 839"/>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9357" t="36719" r="51855" b="38152"/>
          <a:stretch>
            <a:fillRect/>
          </a:stretch>
        </xdr:blipFill>
        <xdr:spPr bwMode="auto">
          <a:xfrm>
            <a:off x="5753100" y="2305050"/>
            <a:ext cx="3790950" cy="1838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2" name="11 Rectángulo">
            <a:extLst>
              <a:ext uri="{FF2B5EF4-FFF2-40B4-BE49-F238E27FC236}"/>
            </a:extLst>
          </xdr:cNvPr>
          <xdr:cNvSpPr/>
        </xdr:nvSpPr>
        <xdr:spPr>
          <a:xfrm>
            <a:off x="7048500" y="3743325"/>
            <a:ext cx="1228725" cy="3810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22</xdr:row>
      <xdr:rowOff>54428</xdr:rowOff>
    </xdr:from>
    <xdr:to>
      <xdr:col>28</xdr:col>
      <xdr:colOff>228918</xdr:colOff>
      <xdr:row>31</xdr:row>
      <xdr:rowOff>365793</xdr:rowOff>
    </xdr:to>
    <xdr:sp macro="" textlink="">
      <xdr:nvSpPr>
        <xdr:cNvPr id="35" name="Rounded Rectangle 5">
          <a:extLst>
            <a:ext uri="{FF2B5EF4-FFF2-40B4-BE49-F238E27FC236}">
              <a16:creationId xmlns:a16="http://schemas.microsoft.com/office/drawing/2014/main" xmlns="" id="{00000000-0008-0000-0000-000015000000}"/>
            </a:ext>
          </a:extLst>
        </xdr:cNvPr>
        <xdr:cNvSpPr/>
      </xdr:nvSpPr>
      <xdr:spPr>
        <a:xfrm>
          <a:off x="176893" y="5578928"/>
          <a:ext cx="13563918" cy="4420722"/>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0</xdr:col>
      <xdr:colOff>57149</xdr:colOff>
      <xdr:row>0</xdr:row>
      <xdr:rowOff>68036</xdr:rowOff>
    </xdr:from>
    <xdr:ext cx="4168487" cy="817789"/>
    <xdr:sp macro="" textlink="">
      <xdr:nvSpPr>
        <xdr:cNvPr id="18" name="TextBox 14">
          <a:extLst>
            <a:ext uri="{FF2B5EF4-FFF2-40B4-BE49-F238E27FC236}">
              <a16:creationId xmlns:a16="http://schemas.microsoft.com/office/drawing/2014/main" xmlns="" id="{00000000-0008-0000-0000-000012000000}"/>
            </a:ext>
          </a:extLst>
        </xdr:cNvPr>
        <xdr:cNvSpPr txBox="1"/>
      </xdr:nvSpPr>
      <xdr:spPr>
        <a:xfrm>
          <a:off x="57149" y="68036"/>
          <a:ext cx="4168487" cy="8177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2200" b="1">
              <a:ln w="3175">
                <a:noFill/>
              </a:ln>
              <a:solidFill>
                <a:schemeClr val="bg1"/>
              </a:solidFill>
              <a:effectLst/>
              <a:latin typeface="Arial" panose="020B0604020202020204" pitchFamily="34" charset="0"/>
              <a:cs typeface="Arial" panose="020B0604020202020204" pitchFamily="34" charset="0"/>
            </a:rPr>
            <a:t>Balance de cuentas de gasto</a:t>
          </a:r>
        </a:p>
      </xdr:txBody>
    </xdr:sp>
    <xdr:clientData/>
  </xdr:oneCellAnchor>
  <xdr:twoCellAnchor>
    <xdr:from>
      <xdr:col>1</xdr:col>
      <xdr:colOff>0</xdr:colOff>
      <xdr:row>6</xdr:row>
      <xdr:rowOff>56028</xdr:rowOff>
    </xdr:from>
    <xdr:to>
      <xdr:col>29</xdr:col>
      <xdr:colOff>11205</xdr:colOff>
      <xdr:row>21</xdr:row>
      <xdr:rowOff>0</xdr:rowOff>
    </xdr:to>
    <xdr:sp macro="" textlink="">
      <xdr:nvSpPr>
        <xdr:cNvPr id="21" name="Rounded Rectangle 5">
          <a:extLst>
            <a:ext uri="{FF2B5EF4-FFF2-40B4-BE49-F238E27FC236}">
              <a16:creationId xmlns:a16="http://schemas.microsoft.com/office/drawing/2014/main" xmlns="" id="{00000000-0008-0000-0000-000015000000}"/>
            </a:ext>
          </a:extLst>
        </xdr:cNvPr>
        <xdr:cNvSpPr/>
      </xdr:nvSpPr>
      <xdr:spPr>
        <a:xfrm>
          <a:off x="168088" y="661146"/>
          <a:ext cx="13570323" cy="4448736"/>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6</xdr:row>
      <xdr:rowOff>57150</xdr:rowOff>
    </xdr:from>
    <xdr:to>
      <xdr:col>29</xdr:col>
      <xdr:colOff>9525</xdr:colOff>
      <xdr:row>8</xdr:row>
      <xdr:rowOff>11206</xdr:rowOff>
    </xdr:to>
    <xdr:sp macro="" textlink="">
      <xdr:nvSpPr>
        <xdr:cNvPr id="20" name="Round Same Side Corner Rectangle 8">
          <a:extLst>
            <a:ext uri="{FF2B5EF4-FFF2-40B4-BE49-F238E27FC236}">
              <a16:creationId xmlns:a16="http://schemas.microsoft.com/office/drawing/2014/main" xmlns="" id="{00000000-0008-0000-0000-000014000000}"/>
            </a:ext>
          </a:extLst>
        </xdr:cNvPr>
        <xdr:cNvSpPr/>
      </xdr:nvSpPr>
      <xdr:spPr>
        <a:xfrm>
          <a:off x="168088" y="662268"/>
          <a:ext cx="13568643" cy="424703"/>
        </a:xfrm>
        <a:prstGeom prst="round2SameRect">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chemeClr val="bg1"/>
              </a:solidFill>
              <a:effectLst/>
              <a:latin typeface="Arial" panose="020B0604020202020204" pitchFamily="34" charset="0"/>
              <a:cs typeface="Arial" panose="020B0604020202020204" pitchFamily="34" charset="0"/>
            </a:rPr>
            <a:t>Análisis de partidas e indicadores</a:t>
          </a:r>
        </a:p>
      </xdr:txBody>
    </xdr:sp>
    <xdr:clientData/>
  </xdr:twoCellAnchor>
  <xdr:twoCellAnchor>
    <xdr:from>
      <xdr:col>9</xdr:col>
      <xdr:colOff>134471</xdr:colOff>
      <xdr:row>16</xdr:row>
      <xdr:rowOff>324971</xdr:rowOff>
    </xdr:from>
    <xdr:to>
      <xdr:col>10</xdr:col>
      <xdr:colOff>437030</xdr:colOff>
      <xdr:row>18</xdr:row>
      <xdr:rowOff>33618</xdr:rowOff>
    </xdr:to>
    <xdr:graphicFrame macro="">
      <xdr:nvGraphicFramePr>
        <xdr:cNvPr id="16" name="Gráfico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112058</xdr:colOff>
      <xdr:row>16</xdr:row>
      <xdr:rowOff>324971</xdr:rowOff>
    </xdr:from>
    <xdr:to>
      <xdr:col>6</xdr:col>
      <xdr:colOff>414617</xdr:colOff>
      <xdr:row>18</xdr:row>
      <xdr:rowOff>33618</xdr:rowOff>
    </xdr:to>
    <xdr:graphicFrame macro="">
      <xdr:nvGraphicFramePr>
        <xdr:cNvPr id="17" name="Gráfico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145676</xdr:colOff>
      <xdr:row>16</xdr:row>
      <xdr:rowOff>324971</xdr:rowOff>
    </xdr:from>
    <xdr:to>
      <xdr:col>22</xdr:col>
      <xdr:colOff>448235</xdr:colOff>
      <xdr:row>18</xdr:row>
      <xdr:rowOff>33618</xdr:rowOff>
    </xdr:to>
    <xdr:graphicFrame macro="">
      <xdr:nvGraphicFramePr>
        <xdr:cNvPr id="22"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123265</xdr:colOff>
      <xdr:row>16</xdr:row>
      <xdr:rowOff>324971</xdr:rowOff>
    </xdr:from>
    <xdr:to>
      <xdr:col>14</xdr:col>
      <xdr:colOff>425824</xdr:colOff>
      <xdr:row>18</xdr:row>
      <xdr:rowOff>33618</xdr:rowOff>
    </xdr:to>
    <xdr:graphicFrame macro="">
      <xdr:nvGraphicFramePr>
        <xdr:cNvPr id="23"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123264</xdr:colOff>
      <xdr:row>16</xdr:row>
      <xdr:rowOff>324971</xdr:rowOff>
    </xdr:from>
    <xdr:to>
      <xdr:col>18</xdr:col>
      <xdr:colOff>425823</xdr:colOff>
      <xdr:row>18</xdr:row>
      <xdr:rowOff>33618</xdr:rowOff>
    </xdr:to>
    <xdr:graphicFrame macro="">
      <xdr:nvGraphicFramePr>
        <xdr:cNvPr id="24"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168088</xdr:colOff>
      <xdr:row>16</xdr:row>
      <xdr:rowOff>324971</xdr:rowOff>
    </xdr:from>
    <xdr:to>
      <xdr:col>26</xdr:col>
      <xdr:colOff>470647</xdr:colOff>
      <xdr:row>18</xdr:row>
      <xdr:rowOff>33618</xdr:rowOff>
    </xdr:to>
    <xdr:graphicFrame macro="">
      <xdr:nvGraphicFramePr>
        <xdr:cNvPr id="25"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419542</xdr:colOff>
      <xdr:row>17</xdr:row>
      <xdr:rowOff>216634</xdr:rowOff>
    </xdr:from>
    <xdr:to>
      <xdr:col>3</xdr:col>
      <xdr:colOff>139364</xdr:colOff>
      <xdr:row>17</xdr:row>
      <xdr:rowOff>537882</xdr:rowOff>
    </xdr:to>
    <xdr:pic>
      <xdr:nvPicPr>
        <xdr:cNvPr id="2" name="Imagen 1"/>
        <xdr:cNvPicPr>
          <a:picLocks noChangeAspect="1"/>
        </xdr:cNvPicPr>
      </xdr:nvPicPr>
      <xdr:blipFill>
        <a:blip xmlns:r="http://schemas.openxmlformats.org/officeDocument/2006/relationships" r:embed="rId7"/>
        <a:stretch>
          <a:fillRect/>
        </a:stretch>
      </xdr:blipFill>
      <xdr:spPr>
        <a:xfrm>
          <a:off x="811748" y="3768899"/>
          <a:ext cx="324940" cy="321248"/>
        </a:xfrm>
        <a:prstGeom prst="rect">
          <a:avLst/>
        </a:prstGeom>
      </xdr:spPr>
    </xdr:pic>
    <xdr:clientData/>
  </xdr:twoCellAnchor>
  <xdr:twoCellAnchor editAs="absolute">
    <xdr:from>
      <xdr:col>0</xdr:col>
      <xdr:colOff>168087</xdr:colOff>
      <xdr:row>21</xdr:row>
      <xdr:rowOff>149679</xdr:rowOff>
    </xdr:from>
    <xdr:to>
      <xdr:col>28</xdr:col>
      <xdr:colOff>213631</xdr:colOff>
      <xdr:row>23</xdr:row>
      <xdr:rowOff>176893</xdr:rowOff>
    </xdr:to>
    <xdr:sp macro="" textlink="">
      <xdr:nvSpPr>
        <xdr:cNvPr id="19" name="Round Same Side Corner Rectangle 8">
          <a:extLst>
            <a:ext uri="{FF2B5EF4-FFF2-40B4-BE49-F238E27FC236}">
              <a16:creationId xmlns:a16="http://schemas.microsoft.com/office/drawing/2014/main" xmlns="" id="{00000000-0008-0000-0000-000014000000}"/>
            </a:ext>
          </a:extLst>
        </xdr:cNvPr>
        <xdr:cNvSpPr/>
      </xdr:nvSpPr>
      <xdr:spPr>
        <a:xfrm>
          <a:off x="168087" y="5320393"/>
          <a:ext cx="13584651" cy="489857"/>
        </a:xfrm>
        <a:prstGeom prst="round2SameRect">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a:solidFill>
                <a:schemeClr val="bg1"/>
              </a:solidFill>
              <a:effectLst/>
              <a:latin typeface="Arial" panose="020B0604020202020204" pitchFamily="34" charset="0"/>
              <a:cs typeface="Arial" panose="020B0604020202020204" pitchFamily="34" charset="0"/>
            </a:rPr>
            <a:t>Detalle de asientos y comprobantes contables</a:t>
          </a:r>
        </a:p>
      </xdr:txBody>
    </xdr:sp>
    <xdr:clientData/>
  </xdr:twoCellAnchor>
  <mc:AlternateContent xmlns:mc="http://schemas.openxmlformats.org/markup-compatibility/2006">
    <mc:Choice xmlns:a14="http://schemas.microsoft.com/office/drawing/2010/main" Requires="a14">
      <xdr:twoCellAnchor editAs="oneCell">
        <xdr:from>
          <xdr:col>26</xdr:col>
          <xdr:colOff>514350</xdr:colOff>
          <xdr:row>24</xdr:row>
          <xdr:rowOff>0</xdr:rowOff>
        </xdr:from>
        <xdr:to>
          <xdr:col>28</xdr:col>
          <xdr:colOff>28575</xdr:colOff>
          <xdr:row>29</xdr:row>
          <xdr:rowOff>323850</xdr:rowOff>
        </xdr:to>
        <xdr:sp macro="" textlink="">
          <xdr:nvSpPr>
            <xdr:cNvPr id="2050" name="Scroll Bar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190500</xdr:colOff>
          <xdr:row>1</xdr:row>
          <xdr:rowOff>66675</xdr:rowOff>
        </xdr:from>
        <xdr:to>
          <xdr:col>29</xdr:col>
          <xdr:colOff>0</xdr:colOff>
          <xdr:row>3</xdr:row>
          <xdr:rowOff>38100</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22</xdr:col>
      <xdr:colOff>107256</xdr:colOff>
      <xdr:row>1</xdr:row>
      <xdr:rowOff>93649</xdr:rowOff>
    </xdr:from>
    <xdr:to>
      <xdr:col>25</xdr:col>
      <xdr:colOff>84845</xdr:colOff>
      <xdr:row>4</xdr:row>
      <xdr:rowOff>250531</xdr:rowOff>
    </xdr:to>
    <xdr:sp macro="" textlink="">
      <xdr:nvSpPr>
        <xdr:cNvPr id="3" name="CuadroTexto 2"/>
        <xdr:cNvSpPr txBox="1"/>
      </xdr:nvSpPr>
      <xdr:spPr>
        <a:xfrm>
          <a:off x="10639185" y="284149"/>
          <a:ext cx="1433553" cy="347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solidFill>
                <a:schemeClr val="bg1"/>
              </a:solidFill>
              <a:latin typeface="Arial" panose="020B0604020202020204" pitchFamily="34" charset="0"/>
              <a:cs typeface="Arial" panose="020B0604020202020204" pitchFamily="34" charset="0"/>
            </a:rPr>
            <a:t>Filtrar</a:t>
          </a:r>
          <a:r>
            <a:rPr lang="es-PA" sz="1100" baseline="0">
              <a:solidFill>
                <a:schemeClr val="bg1"/>
              </a:solidFill>
              <a:latin typeface="Arial" panose="020B0604020202020204" pitchFamily="34" charset="0"/>
              <a:cs typeface="Arial" panose="020B0604020202020204" pitchFamily="34" charset="0"/>
            </a:rPr>
            <a:t> </a:t>
          </a:r>
          <a:r>
            <a:rPr lang="es-PA" sz="1100">
              <a:solidFill>
                <a:schemeClr val="bg1"/>
              </a:solidFill>
              <a:latin typeface="Arial" panose="020B0604020202020204" pitchFamily="34" charset="0"/>
              <a:cs typeface="Arial" panose="020B0604020202020204" pitchFamily="34" charset="0"/>
            </a:rPr>
            <a:t>por año:</a:t>
          </a:r>
        </a:p>
      </xdr:txBody>
    </xdr:sp>
    <xdr:clientData/>
  </xdr:twoCellAnchor>
  <mc:AlternateContent xmlns:mc="http://schemas.openxmlformats.org/markup-compatibility/2006">
    <mc:Choice xmlns:a14="http://schemas.microsoft.com/office/drawing/2010/main" Requires="a14">
      <xdr:twoCellAnchor>
        <xdr:from>
          <xdr:col>3</xdr:col>
          <xdr:colOff>492417</xdr:colOff>
          <xdr:row>36</xdr:row>
          <xdr:rowOff>69316</xdr:rowOff>
        </xdr:from>
        <xdr:to>
          <xdr:col>27</xdr:col>
          <xdr:colOff>218034</xdr:colOff>
          <xdr:row>37</xdr:row>
          <xdr:rowOff>118622</xdr:rowOff>
        </xdr:to>
        <xdr:grpSp>
          <xdr:nvGrpSpPr>
            <xdr:cNvPr id="4" name="Grupo 3"/>
            <xdr:cNvGrpSpPr/>
          </xdr:nvGrpSpPr>
          <xdr:grpSpPr>
            <a:xfrm>
              <a:off x="1499346" y="9362995"/>
              <a:ext cx="11767938" cy="239806"/>
              <a:chOff x="462802" y="6022041"/>
              <a:chExt cx="11819965" cy="239806"/>
            </a:xfrm>
          </xdr:grpSpPr>
          <xdr:sp macro="" textlink="">
            <xdr:nvSpPr>
              <xdr:cNvPr id="2056" name="Option Button 8" hidden="1">
                <a:extLst>
                  <a:ext uri="{63B3BB69-23CF-44E3-9099-C40C66FF867C}">
                    <a14:compatExt spid="_x0000_s2056"/>
                  </a:ext>
                </a:extLst>
              </xdr:cNvPr>
              <xdr:cNvSpPr/>
            </xdr:nvSpPr>
            <xdr:spPr bwMode="auto">
              <a:xfrm>
                <a:off x="4177553" y="6024843"/>
                <a:ext cx="304800" cy="2370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7" name="Option Button 9" hidden="1">
                <a:extLst>
                  <a:ext uri="{63B3BB69-23CF-44E3-9099-C40C66FF867C}">
                    <a14:compatExt spid="_x0000_s2057"/>
                  </a:ext>
                </a:extLst>
              </xdr:cNvPr>
              <xdr:cNvSpPr/>
            </xdr:nvSpPr>
            <xdr:spPr bwMode="auto">
              <a:xfrm>
                <a:off x="7177368" y="6022041"/>
                <a:ext cx="309282"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8" name="Option Button 10" hidden="1">
                <a:extLst>
                  <a:ext uri="{63B3BB69-23CF-44E3-9099-C40C66FF867C}">
                    <a14:compatExt spid="_x0000_s2058"/>
                  </a:ext>
                </a:extLst>
              </xdr:cNvPr>
              <xdr:cNvSpPr/>
            </xdr:nvSpPr>
            <xdr:spPr bwMode="auto">
              <a:xfrm>
                <a:off x="11065809" y="6022041"/>
                <a:ext cx="309282"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9" name="Option Button 11" hidden="1">
                <a:extLst>
                  <a:ext uri="{63B3BB69-23CF-44E3-9099-C40C66FF867C}">
                    <a14:compatExt spid="_x0000_s2059"/>
                  </a:ext>
                </a:extLst>
              </xdr:cNvPr>
              <xdr:cNvSpPr/>
            </xdr:nvSpPr>
            <xdr:spPr bwMode="auto">
              <a:xfrm>
                <a:off x="11973485" y="6022041"/>
                <a:ext cx="309282"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0" name="Option Button 12" hidden="1">
                <a:extLst>
                  <a:ext uri="{63B3BB69-23CF-44E3-9099-C40C66FF867C}">
                    <a14:compatExt spid="_x0000_s2060"/>
                  </a:ext>
                </a:extLst>
              </xdr:cNvPr>
              <xdr:cNvSpPr/>
            </xdr:nvSpPr>
            <xdr:spPr bwMode="auto">
              <a:xfrm>
                <a:off x="1612527" y="6028204"/>
                <a:ext cx="304800" cy="23364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1" name="Option Button 13" hidden="1">
                <a:extLst>
                  <a:ext uri="{63B3BB69-23CF-44E3-9099-C40C66FF867C}">
                    <a14:compatExt spid="_x0000_s2061"/>
                  </a:ext>
                </a:extLst>
              </xdr:cNvPr>
              <xdr:cNvSpPr/>
            </xdr:nvSpPr>
            <xdr:spPr bwMode="auto">
              <a:xfrm>
                <a:off x="462802" y="6022041"/>
                <a:ext cx="307041"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133350</xdr:colOff>
          <xdr:row>21</xdr:row>
          <xdr:rowOff>219075</xdr:rowOff>
        </xdr:from>
        <xdr:to>
          <xdr:col>19</xdr:col>
          <xdr:colOff>133350</xdr:colOff>
          <xdr:row>23</xdr:row>
          <xdr:rowOff>66675</xdr:rowOff>
        </xdr:to>
        <xdr:sp macro="" textlink="">
          <xdr:nvSpPr>
            <xdr:cNvPr id="2063" name="List Box 15"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13</xdr:col>
      <xdr:colOff>185698</xdr:colOff>
      <xdr:row>21</xdr:row>
      <xdr:rowOff>213712</xdr:rowOff>
    </xdr:from>
    <xdr:to>
      <xdr:col>15</xdr:col>
      <xdr:colOff>308165</xdr:colOff>
      <xdr:row>22</xdr:row>
      <xdr:rowOff>202505</xdr:rowOff>
    </xdr:to>
    <xdr:sp macro="" textlink="">
      <xdr:nvSpPr>
        <xdr:cNvPr id="5" name="CuadroTexto 4"/>
        <xdr:cNvSpPr txBox="1"/>
      </xdr:nvSpPr>
      <xdr:spPr>
        <a:xfrm>
          <a:off x="6213662" y="5384426"/>
          <a:ext cx="1183824" cy="2201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a:latin typeface="Arial" panose="020B0604020202020204" pitchFamily="34" charset="0"/>
              <a:cs typeface="Arial" panose="020B0604020202020204" pitchFamily="34" charset="0"/>
            </a:rPr>
            <a:t>Ordenar</a:t>
          </a:r>
          <a:r>
            <a:rPr lang="es-PA" sz="1200" baseline="0">
              <a:latin typeface="Arial" panose="020B0604020202020204" pitchFamily="34" charset="0"/>
              <a:cs typeface="Arial" panose="020B0604020202020204" pitchFamily="34" charset="0"/>
            </a:rPr>
            <a:t> datos</a:t>
          </a:r>
          <a:endParaRPr lang="es-PA" sz="1200">
            <a:latin typeface="Arial" panose="020B0604020202020204" pitchFamily="34" charset="0"/>
            <a:cs typeface="Arial" panose="020B0604020202020204" pitchFamily="34" charset="0"/>
          </a:endParaRPr>
        </a:p>
      </xdr:txBody>
    </xdr:sp>
    <xdr:clientData/>
  </xdr:twoCellAnchor>
  <xdr:twoCellAnchor>
    <xdr:from>
      <xdr:col>2</xdr:col>
      <xdr:colOff>128067</xdr:colOff>
      <xdr:row>30</xdr:row>
      <xdr:rowOff>96850</xdr:rowOff>
    </xdr:from>
    <xdr:to>
      <xdr:col>4</xdr:col>
      <xdr:colOff>394607</xdr:colOff>
      <xdr:row>31</xdr:row>
      <xdr:rowOff>260935</xdr:rowOff>
    </xdr:to>
    <xdr:sp macro="" textlink="">
      <xdr:nvSpPr>
        <xdr:cNvPr id="6" name="Rectángulo redondeado 5"/>
        <xdr:cNvSpPr/>
      </xdr:nvSpPr>
      <xdr:spPr>
        <a:xfrm>
          <a:off x="536281" y="10234171"/>
          <a:ext cx="1450362" cy="354585"/>
        </a:xfrm>
        <a:prstGeom prst="roundRect">
          <a:avLst/>
        </a:prstGeom>
        <a:solidFill>
          <a:schemeClr val="tx2">
            <a:lumMod val="20000"/>
            <a:lumOff val="80000"/>
          </a:schemeClr>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PA" sz="1200">
              <a:latin typeface="Arial" panose="020B0604020202020204" pitchFamily="34" charset="0"/>
              <a:cs typeface="Arial" panose="020B0604020202020204" pitchFamily="34" charset="0"/>
            </a:rPr>
            <a:t>Exportar</a:t>
          </a:r>
        </a:p>
      </xdr:txBody>
    </xdr:sp>
    <xdr:clientData/>
  </xdr:twoCellAnchor>
  <mc:AlternateContent xmlns:mc="http://schemas.openxmlformats.org/markup-compatibility/2006">
    <mc:Choice xmlns:a14="http://schemas.microsoft.com/office/drawing/2010/main" Requires="a14">
      <xdr:twoCellAnchor editAs="oneCell">
        <xdr:from>
          <xdr:col>23</xdr:col>
          <xdr:colOff>285750</xdr:colOff>
          <xdr:row>22</xdr:row>
          <xdr:rowOff>28575</xdr:rowOff>
        </xdr:from>
        <xdr:to>
          <xdr:col>26</xdr:col>
          <xdr:colOff>438150</xdr:colOff>
          <xdr:row>23</xdr:row>
          <xdr:rowOff>57150</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20</xdr:col>
      <xdr:colOff>409015</xdr:colOff>
      <xdr:row>21</xdr:row>
      <xdr:rowOff>205708</xdr:rowOff>
    </xdr:from>
    <xdr:to>
      <xdr:col>23</xdr:col>
      <xdr:colOff>318568</xdr:colOff>
      <xdr:row>23</xdr:row>
      <xdr:rowOff>97651</xdr:rowOff>
    </xdr:to>
    <xdr:sp macro="" textlink="">
      <xdr:nvSpPr>
        <xdr:cNvPr id="29" name="CuadroTexto 28"/>
        <xdr:cNvSpPr txBox="1"/>
      </xdr:nvSpPr>
      <xdr:spPr>
        <a:xfrm>
          <a:off x="9947622" y="5376422"/>
          <a:ext cx="1433553" cy="3545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200">
              <a:solidFill>
                <a:schemeClr val="bg1"/>
              </a:solidFill>
              <a:latin typeface="Arial" panose="020B0604020202020204" pitchFamily="34" charset="0"/>
              <a:cs typeface="Arial" panose="020B0604020202020204" pitchFamily="34" charset="0"/>
            </a:rPr>
            <a:t>Filtrar por mes:</a:t>
          </a:r>
        </a:p>
      </xdr:txBody>
    </xdr:sp>
    <xdr:clientData/>
  </xdr:twoCellAnchor>
  <xdr:twoCellAnchor>
    <xdr:from>
      <xdr:col>2</xdr:col>
      <xdr:colOff>58428</xdr:colOff>
      <xdr:row>37</xdr:row>
      <xdr:rowOff>37460</xdr:rowOff>
    </xdr:from>
    <xdr:to>
      <xdr:col>3</xdr:col>
      <xdr:colOff>148075</xdr:colOff>
      <xdr:row>39</xdr:row>
      <xdr:rowOff>17450</xdr:rowOff>
    </xdr:to>
    <xdr:sp macro="" textlink="">
      <xdr:nvSpPr>
        <xdr:cNvPr id="7" name="CuadroTexto 6"/>
        <xdr:cNvSpPr txBox="1"/>
      </xdr:nvSpPr>
      <xdr:spPr>
        <a:xfrm>
          <a:off x="466642" y="10882353"/>
          <a:ext cx="688362"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Fecha</a:t>
          </a:r>
        </a:p>
      </xdr:txBody>
    </xdr:sp>
    <xdr:clientData/>
  </xdr:twoCellAnchor>
  <xdr:twoCellAnchor>
    <xdr:from>
      <xdr:col>5</xdr:col>
      <xdr:colOff>400529</xdr:colOff>
      <xdr:row>33</xdr:row>
      <xdr:rowOff>23852</xdr:rowOff>
    </xdr:from>
    <xdr:to>
      <xdr:col>8</xdr:col>
      <xdr:colOff>315365</xdr:colOff>
      <xdr:row>35</xdr:row>
      <xdr:rowOff>3842</xdr:rowOff>
    </xdr:to>
    <xdr:sp macro="" textlink="">
      <xdr:nvSpPr>
        <xdr:cNvPr id="30" name="CuadroTexto 29"/>
        <xdr:cNvSpPr txBox="1"/>
      </xdr:nvSpPr>
      <xdr:spPr>
        <a:xfrm>
          <a:off x="2455208" y="10106745"/>
          <a:ext cx="1438836"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Área contable</a:t>
          </a:r>
        </a:p>
      </xdr:txBody>
    </xdr:sp>
    <xdr:clientData/>
  </xdr:twoCellAnchor>
  <xdr:twoCellAnchor>
    <xdr:from>
      <xdr:col>9</xdr:col>
      <xdr:colOff>134309</xdr:colOff>
      <xdr:row>34</xdr:row>
      <xdr:rowOff>10245</xdr:rowOff>
    </xdr:from>
    <xdr:to>
      <xdr:col>12</xdr:col>
      <xdr:colOff>49146</xdr:colOff>
      <xdr:row>35</xdr:row>
      <xdr:rowOff>180735</xdr:rowOff>
    </xdr:to>
    <xdr:sp macro="" textlink="">
      <xdr:nvSpPr>
        <xdr:cNvPr id="31" name="CuadroTexto 30"/>
        <xdr:cNvSpPr txBox="1"/>
      </xdr:nvSpPr>
      <xdr:spPr>
        <a:xfrm>
          <a:off x="4175630" y="10283638"/>
          <a:ext cx="1438837"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Asiento contable</a:t>
          </a:r>
        </a:p>
      </xdr:txBody>
    </xdr:sp>
    <xdr:clientData/>
  </xdr:twoCellAnchor>
  <xdr:twoCellAnchor>
    <xdr:from>
      <xdr:col>14</xdr:col>
      <xdr:colOff>329932</xdr:colOff>
      <xdr:row>34</xdr:row>
      <xdr:rowOff>78282</xdr:rowOff>
    </xdr:from>
    <xdr:to>
      <xdr:col>18</xdr:col>
      <xdr:colOff>489057</xdr:colOff>
      <xdr:row>36</xdr:row>
      <xdr:rowOff>58272</xdr:rowOff>
    </xdr:to>
    <xdr:sp macro="" textlink="">
      <xdr:nvSpPr>
        <xdr:cNvPr id="32" name="CuadroTexto 31"/>
        <xdr:cNvSpPr txBox="1"/>
      </xdr:nvSpPr>
      <xdr:spPr>
        <a:xfrm>
          <a:off x="6888575" y="10351675"/>
          <a:ext cx="2145768"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Comprobante contable</a:t>
          </a:r>
        </a:p>
      </xdr:txBody>
    </xdr:sp>
    <xdr:clientData/>
  </xdr:twoCellAnchor>
  <xdr:twoCellAnchor>
    <xdr:from>
      <xdr:col>23</xdr:col>
      <xdr:colOff>128068</xdr:colOff>
      <xdr:row>34</xdr:row>
      <xdr:rowOff>132709</xdr:rowOff>
    </xdr:from>
    <xdr:to>
      <xdr:col>24</xdr:col>
      <xdr:colOff>94449</xdr:colOff>
      <xdr:row>36</xdr:row>
      <xdr:rowOff>112699</xdr:rowOff>
    </xdr:to>
    <xdr:sp macro="" textlink="">
      <xdr:nvSpPr>
        <xdr:cNvPr id="33" name="CuadroTexto 32"/>
        <xdr:cNvSpPr txBox="1"/>
      </xdr:nvSpPr>
      <xdr:spPr>
        <a:xfrm>
          <a:off x="11190675" y="10406102"/>
          <a:ext cx="429024"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PA" sz="1200" b="1">
              <a:solidFill>
                <a:srgbClr val="FF0000"/>
              </a:solidFill>
              <a:latin typeface="Arial" panose="020B0604020202020204" pitchFamily="34" charset="0"/>
              <a:cs typeface="Arial" panose="020B0604020202020204" pitchFamily="34" charset="0"/>
            </a:rPr>
            <a:t>DB</a:t>
          </a:r>
        </a:p>
      </xdr:txBody>
    </xdr:sp>
    <xdr:clientData/>
  </xdr:twoCellAnchor>
  <xdr:twoCellAnchor>
    <xdr:from>
      <xdr:col>25</xdr:col>
      <xdr:colOff>89643</xdr:colOff>
      <xdr:row>35</xdr:row>
      <xdr:rowOff>12648</xdr:rowOff>
    </xdr:from>
    <xdr:to>
      <xdr:col>25</xdr:col>
      <xdr:colOff>515470</xdr:colOff>
      <xdr:row>36</xdr:row>
      <xdr:rowOff>77642</xdr:rowOff>
    </xdr:to>
    <xdr:sp macro="" textlink="">
      <xdr:nvSpPr>
        <xdr:cNvPr id="34" name="CuadroTexto 33"/>
        <xdr:cNvSpPr txBox="1"/>
      </xdr:nvSpPr>
      <xdr:spPr>
        <a:xfrm>
          <a:off x="12077536" y="10476541"/>
          <a:ext cx="425827" cy="255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CR</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gocios\canales%20tradicionales\Medicion%20Financiera\SVR_MEDFIN\PROYECTOS\CUENTAS%20CAPITAL%20HUMANO\Dep\D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Bosquej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Dashboard"/>
      <sheetName val="Data"/>
      <sheetName val="Leyenda"/>
      <sheetName val="Cálculos"/>
    </sheetNames>
    <sheetDataSet>
      <sheetData sheetId="0"/>
      <sheetData sheetId="1"/>
      <sheetData sheetId="2"/>
      <sheetData sheetId="3"/>
      <sheetData sheetId="4">
        <row r="2">
          <cell r="C2" t="str">
            <v>Alimentación</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2)"/>
      <sheetName val="Infosheet"/>
      <sheetName val="Dashboard"/>
      <sheetName val="Leyenda"/>
      <sheetName val="Data"/>
      <sheetName val="Tabla"/>
    </sheetNames>
    <sheetDataSet>
      <sheetData sheetId="0" refreshError="1"/>
      <sheetData sheetId="1" refreshError="1"/>
      <sheetData sheetId="2" refreshError="1"/>
      <sheetData sheetId="3" refreshError="1"/>
      <sheetData sheetId="4" refreshError="1"/>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rereyes" refreshedDate="43426.554992476849" createdVersion="5" refreshedVersion="5" minRefreshableVersion="3" recordCount="456">
  <cacheSource type="external" connectionId="3"/>
  <cacheFields count="6">
    <cacheField name="as_oficina" numFmtId="0" sqlType="8">
      <sharedItems containsSemiMixedTypes="0" containsString="0" containsNumber="1" containsInteger="1" minValue="1" maxValue="196" count="76">
        <n v="1"/>
        <n v="2"/>
        <n v="3"/>
        <n v="4"/>
        <n v="5"/>
        <n v="6"/>
        <n v="7"/>
        <n v="8"/>
        <n v="9"/>
        <n v="10"/>
        <n v="11"/>
        <n v="13"/>
        <n v="14"/>
        <n v="15"/>
        <n v="16"/>
        <n v="17"/>
        <n v="18"/>
        <n v="19"/>
        <n v="20"/>
        <n v="21"/>
        <n v="22"/>
        <n v="23"/>
        <n v="24"/>
        <n v="26"/>
        <n v="27"/>
        <n v="28"/>
        <n v="29"/>
        <n v="30"/>
        <n v="32"/>
        <n v="33"/>
        <n v="34"/>
        <n v="35"/>
        <n v="37"/>
        <n v="38"/>
        <n v="39"/>
        <n v="40"/>
        <n v="41"/>
        <n v="42"/>
        <n v="43"/>
        <n v="44"/>
        <n v="45"/>
        <n v="46"/>
        <n v="47"/>
        <n v="48"/>
        <n v="49"/>
        <n v="51"/>
        <n v="53"/>
        <n v="54"/>
        <n v="66"/>
        <n v="68"/>
        <n v="69"/>
        <n v="70"/>
        <n v="71"/>
        <n v="72"/>
        <n v="73"/>
        <n v="74"/>
        <n v="76"/>
        <n v="77"/>
        <n v="78"/>
        <n v="79"/>
        <n v="80"/>
        <n v="89"/>
        <n v="95"/>
        <n v="97"/>
        <n v="98"/>
        <n v="99"/>
        <n v="101"/>
        <n v="102"/>
        <n v="103"/>
        <n v="125"/>
        <n v="131"/>
        <n v="157"/>
        <n v="162"/>
        <n v="164"/>
        <n v="165"/>
        <n v="196"/>
      </sharedItems>
    </cacheField>
    <cacheField name="as_cuenta" numFmtId="0" sqlType="8">
      <sharedItems containsSemiMixedTypes="0" containsString="0" containsNumber="1" containsInteger="1" minValue="1" maxValue="504012201" count="6">
        <n v="1"/>
        <n v="5040102"/>
        <n v="5040113"/>
        <n v="5041001"/>
        <n v="504012001"/>
        <n v="504012201"/>
      </sharedItems>
    </cacheField>
    <cacheField name="DESCRIPCION" numFmtId="0" sqlType="-9">
      <sharedItems count="6">
        <s v="BRINDIS DE PARTICIPACIÓN"/>
        <s v="HORAS EXTRAS"/>
        <s v="VIATICOS"/>
        <s v="CELEBRACIONES "/>
        <s v="ALIMENTACIÓN"/>
        <s v="RECONOCIMIENTO "/>
      </sharedItems>
    </cacheField>
    <cacheField name="BALANCE" numFmtId="0" sqlType="8">
      <sharedItems containsString="0" containsBlank="1" containsNumber="1" minValue="0" maxValue="2909.6400000000003"/>
    </cacheField>
    <cacheField name="PLAN" numFmtId="0" sqlType="2">
      <sharedItems containsSemiMixedTypes="0" containsString="0" containsNumber="1" minValue="0" maxValue="25711.073100000001"/>
    </cacheField>
    <cacheField name="as_año" numFmtId="0" sqlType="8">
      <sharedItems containsSemiMixedTypes="0" containsString="0" containsNumber="1" containsInteger="1" minValue="2018" maxValue="2018" count="1">
        <n v="201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ereyes" refreshedDate="43426.563854398148" createdVersion="5" refreshedVersion="5" minRefreshableVersion="3" recordCount="412">
  <cacheSource type="external" connectionId="4"/>
  <cacheFields count="15">
    <cacheField name="as_fecha_tran" numFmtId="0" sqlType="11">
      <sharedItems containsSemiMixedTypes="0" containsNonDate="0" containsDate="1" containsString="0" minDate="2018-08-01T00:00:00" maxDate="2018-08-31T00:00:00" count="26">
        <d v="2018-08-25T00:00:00"/>
        <d v="2018-08-10T00:00:00"/>
        <d v="2018-08-15T00:00:00"/>
        <d v="2018-08-07T00:00:00"/>
        <d v="2018-08-02T00:00:00"/>
        <d v="2018-08-13T00:00:00"/>
        <d v="2018-08-27T00:00:00"/>
        <d v="2018-08-17T00:00:00"/>
        <d v="2018-08-29T00:00:00"/>
        <d v="2018-08-06T00:00:00"/>
        <d v="2018-08-24T00:00:00"/>
        <d v="2018-08-08T00:00:00"/>
        <d v="2018-08-21T00:00:00"/>
        <d v="2018-08-11T00:00:00"/>
        <d v="2018-08-01T00:00:00"/>
        <d v="2018-08-20T00:00:00"/>
        <d v="2018-08-23T00:00:00"/>
        <d v="2018-08-28T00:00:00"/>
        <d v="2018-08-18T00:00:00"/>
        <d v="2018-08-30T00:00:00"/>
        <d v="2018-08-09T00:00:00"/>
        <d v="2018-08-16T00:00:00"/>
        <d v="2018-08-04T00:00:00"/>
        <d v="2018-08-14T00:00:00"/>
        <d v="2018-08-03T00:00:00"/>
        <d v="2018-08-22T00:00:00"/>
      </sharedItems>
      <fieldGroup par="14" base="0">
        <rangePr groupBy="days" startDate="2018-08-01T00:00:00" endDate="2018-08-31T00:00:00"/>
        <groupItems count="368">
          <s v="&lt;08/01/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8/31/2018"/>
        </groupItems>
      </fieldGroup>
    </cacheField>
    <cacheField name="as_comprobante" numFmtId="0" sqlType="4">
      <sharedItems containsSemiMixedTypes="0" containsString="0" containsNumber="1" containsInteger="1" minValue="175575701" maxValue="177008095"/>
    </cacheField>
    <cacheField name="as_asiento" numFmtId="0" sqlType="4">
      <sharedItems containsSemiMixedTypes="0" containsString="0" containsNumber="1" containsInteger="1" minValue="1" maxValue="2042" count="242">
        <n v="13"/>
        <n v="19"/>
        <n v="24"/>
        <n v="26"/>
        <n v="43"/>
        <n v="73"/>
        <n v="76"/>
        <n v="82"/>
        <n v="88"/>
        <n v="95"/>
        <n v="125"/>
        <n v="142"/>
        <n v="153"/>
        <n v="159"/>
        <n v="165"/>
        <n v="181"/>
        <n v="188"/>
        <n v="193"/>
        <n v="194"/>
        <n v="199"/>
        <n v="252"/>
        <n v="257"/>
        <n v="269"/>
        <n v="274"/>
        <n v="285"/>
        <n v="290"/>
        <n v="333"/>
        <n v="338"/>
        <n v="339"/>
        <n v="350"/>
        <n v="354"/>
        <n v="356"/>
        <n v="1"/>
        <n v="362"/>
        <n v="365"/>
        <n v="369"/>
        <n v="372"/>
        <n v="375"/>
        <n v="378"/>
        <n v="418"/>
        <n v="421"/>
        <n v="424"/>
        <n v="2"/>
        <n v="436"/>
        <n v="438"/>
        <n v="459"/>
        <n v="482"/>
        <n v="485"/>
        <n v="488"/>
        <n v="494"/>
        <n v="532"/>
        <n v="533"/>
        <n v="538"/>
        <n v="549"/>
        <n v="580"/>
        <n v="612"/>
        <n v="7"/>
        <n v="618"/>
        <n v="624"/>
        <n v="623"/>
        <n v="631"/>
        <n v="630"/>
        <n v="637"/>
        <n v="664"/>
        <n v="662"/>
        <n v="668"/>
        <n v="696"/>
        <n v="695"/>
        <n v="712"/>
        <n v="711"/>
        <n v="718"/>
        <n v="724"/>
        <n v="731"/>
        <n v="728"/>
        <n v="737"/>
        <n v="794"/>
        <n v="790"/>
        <n v="831"/>
        <n v="837"/>
        <n v="859"/>
        <n v="868"/>
        <n v="875"/>
        <n v="871"/>
        <n v="881"/>
        <n v="887"/>
        <n v="923"/>
        <n v="917"/>
        <n v="970"/>
        <n v="964"/>
        <n v="976"/>
        <n v="985"/>
        <n v="1878"/>
        <n v="1875"/>
        <n v="1884"/>
        <n v="1881"/>
        <n v="1896"/>
        <n v="1893"/>
        <n v="1902"/>
        <n v="1899"/>
        <n v="1944"/>
        <n v="1941"/>
        <n v="2034"/>
        <n v="2042"/>
        <n v="29"/>
        <n v="58"/>
        <n v="42"/>
        <n v="48"/>
        <n v="104"/>
        <n v="32"/>
        <n v="33"/>
        <n v="108"/>
        <n v="56"/>
        <n v="81"/>
        <n v="130"/>
        <n v="87"/>
        <n v="139"/>
        <n v="84"/>
        <n v="111"/>
        <n v="54"/>
        <n v="250"/>
        <n v="1532"/>
        <n v="12"/>
        <n v="3"/>
        <n v="38"/>
        <n v="20"/>
        <n v="21"/>
        <n v="9"/>
        <n v="22"/>
        <n v="46"/>
        <n v="44"/>
        <n v="91"/>
        <n v="15"/>
        <n v="72"/>
        <n v="70"/>
        <n v="83"/>
        <n v="148"/>
        <n v="28"/>
        <n v="16"/>
        <n v="8"/>
        <n v="75"/>
        <n v="101"/>
        <n v="39"/>
        <n v="30"/>
        <n v="31"/>
        <n v="79"/>
        <n v="117"/>
        <n v="112"/>
        <n v="123"/>
        <n v="249"/>
        <n v="90"/>
        <n v="296"/>
        <n v="11"/>
        <n v="307"/>
        <n v="309"/>
        <n v="191"/>
        <n v="68"/>
        <n v="66"/>
        <n v="403"/>
        <n v="232"/>
        <n v="52"/>
        <n v="196"/>
        <n v="184"/>
        <n v="200"/>
        <n v="417"/>
        <n v="197"/>
        <n v="27"/>
        <n v="251"/>
        <n v="61"/>
        <n v="202"/>
        <n v="74"/>
        <n v="47"/>
        <n v="258"/>
        <n v="127"/>
        <n v="207"/>
        <n v="131"/>
        <n v="59"/>
        <n v="135"/>
        <n v="180"/>
        <n v="225"/>
        <n v="484"/>
        <n v="67"/>
        <n v="136"/>
        <n v="63"/>
        <n v="241"/>
        <n v="508"/>
        <n v="248"/>
        <n v="254"/>
        <n v="551"/>
        <n v="216"/>
        <n v="36"/>
        <n v="166"/>
        <n v="221"/>
        <n v="292"/>
        <n v="596"/>
        <n v="219"/>
        <n v="598"/>
        <n v="220"/>
        <n v="37"/>
        <n v="171"/>
        <n v="173"/>
        <n v="295"/>
        <n v="304"/>
        <n v="89"/>
        <n v="297"/>
        <n v="65"/>
        <n v="299"/>
        <n v="341"/>
        <n v="782"/>
        <n v="412"/>
        <n v="331"/>
        <n v="503"/>
        <n v="593"/>
        <n v="616"/>
        <n v="671"/>
        <n v="1519"/>
        <n v="287"/>
        <n v="222"/>
        <n v="201"/>
        <n v="363"/>
        <n v="672"/>
        <n v="1521"/>
        <n v="5"/>
        <n v="106"/>
        <n v="77"/>
        <n v="14"/>
        <n v="18"/>
        <n v="71"/>
        <n v="17"/>
        <n v="25"/>
        <n v="226"/>
        <n v="134"/>
        <n v="253"/>
        <n v="190"/>
        <n v="34"/>
        <n v="575"/>
        <n v="23"/>
        <n v="64"/>
        <n v="329"/>
        <n v="499"/>
        <n v="203"/>
        <n v="10"/>
        <n v="45"/>
      </sharedItems>
    </cacheField>
    <cacheField name="as_cuenta" numFmtId="0" sqlType="8">
      <sharedItems containsSemiMixedTypes="0" containsString="0" containsNumber="1" containsInteger="1" minValue="5040102" maxValue="504012201" count="5">
        <n v="5040102"/>
        <n v="5040113"/>
        <n v="504012001"/>
        <n v="504012201"/>
        <n v="5041001"/>
      </sharedItems>
    </cacheField>
    <cacheField name="as_oficina_dest" numFmtId="0" sqlType="8">
      <sharedItems containsSemiMixedTypes="0" containsString="0" containsNumber="1" containsInteger="1" minValue="1" maxValue="196" count="66">
        <n v="1"/>
        <n v="2"/>
        <n v="3"/>
        <n v="5"/>
        <n v="6"/>
        <n v="8"/>
        <n v="9"/>
        <n v="10"/>
        <n v="13"/>
        <n v="17"/>
        <n v="18"/>
        <n v="19"/>
        <n v="22"/>
        <n v="23"/>
        <n v="26"/>
        <n v="29"/>
        <n v="30"/>
        <n v="32"/>
        <n v="34"/>
        <n v="35"/>
        <n v="38"/>
        <n v="39"/>
        <n v="41"/>
        <n v="43"/>
        <n v="44"/>
        <n v="46"/>
        <n v="48"/>
        <n v="49"/>
        <n v="51"/>
        <n v="68"/>
        <n v="70"/>
        <n v="71"/>
        <n v="72"/>
        <n v="73"/>
        <n v="74"/>
        <n v="77"/>
        <n v="80"/>
        <n v="89"/>
        <n v="95"/>
        <n v="97"/>
        <n v="101"/>
        <n v="162"/>
        <n v="4"/>
        <n v="7"/>
        <n v="15"/>
        <n v="20"/>
        <n v="27"/>
        <n v="28"/>
        <n v="33"/>
        <n v="37"/>
        <n v="40"/>
        <n v="53"/>
        <n v="54"/>
        <n v="78"/>
        <n v="99"/>
        <n v="102"/>
        <n v="125"/>
        <n v="131"/>
        <n v="157"/>
        <n v="164"/>
        <n v="196"/>
        <n v="69"/>
        <n v="76"/>
        <n v="98"/>
        <n v="14"/>
        <n v="103"/>
      </sharedItems>
    </cacheField>
    <cacheField name="as_area_dest" numFmtId="0" sqlType="4">
      <sharedItems containsSemiMixedTypes="0" containsString="0" containsNumber="1" containsInteger="1" minValue="216020401" maxValue="216020403" count="3">
        <n v="216020403"/>
        <n v="216020401"/>
        <n v="216020402"/>
      </sharedItems>
    </cacheField>
    <cacheField name="as_credito" numFmtId="0" sqlType="8">
      <sharedItems containsSemiMixedTypes="0" containsString="0" containsNumber="1" minValue="0" maxValue="1500" count="7">
        <n v="0"/>
        <n v="1100"/>
        <n v="1500"/>
        <n v="22"/>
        <n v="1200"/>
        <n v="6.85"/>
        <n v="0.01"/>
      </sharedItems>
    </cacheField>
    <cacheField name="as_debito" numFmtId="0" sqlType="8">
      <sharedItems containsSemiMixedTypes="0" containsString="0" containsNumber="1" minValue="0" maxValue="1520.74"/>
    </cacheField>
    <cacheField name="as_concepto" numFmtId="0" sqlType="-9">
      <sharedItems count="21">
        <s v="PAGO NOMINA QUINCENA 2 AGOSTO 2018"/>
        <s v="PAGO NOMINA QUINCENA 1 AGOSTO 2018"/>
        <s v="PLANILLAS DE LIQUIDACIONES AGO 2018"/>
        <s v="OTROS EGRESOS 18"/>
        <s v="VIATICOS"/>
        <s v="CORREGIMOS ENTRADA DEL 20 DE AGOSTO POR ERROR EN CAUSA. SE DEBIO"/>
        <s v="CORRIGE ENTRADA DE GASTOS DE DECORACION DE FIESTAS PATRIAS 2018-"/>
        <s v="VIATICOS 2"/>
        <s v="NC VIATICOS"/>
        <s v="SE CORRIGE ENTRADA DEL DIA 1 DE AGOSTO, SE UTILIZO LA CAUSA INCO"/>
        <s v="CORRECCION DE ENTRADA DE PARTIDA DE FIESTAS PATRIAS"/>
        <s v="EL 21 DE AGOSTO SE SACO EL PRESUPUESTO DE FISTAS PATRIAS POR CAU"/>
        <s v="O/ING. EFECTIVO 18"/>
        <s v="CORRIGE DIFERENCIA EN RECHAZO MODULO DE CONTABILIDAD"/>
        <s v="INGRESO DE PAGO DE VIATICO DEL 27 DE AGOSTO DE 2018"/>
        <s v="NC ALIMENTACION DE EMPLEADOS NVA"/>
        <s v="ALIMENTACION DE EMPLEADOS CTA NUEVA"/>
        <s v="RECONOCIMIENTO"/>
        <s v="NC  RECONOCIMIENTOS"/>
        <s v="NC GASTO NO DEDUCIBLES"/>
        <s v="GASTOS NO DEDUCIBLES"/>
      </sharedItems>
    </cacheField>
    <cacheField name="of_nombre" numFmtId="0" sqlType="-9">
      <sharedItems/>
    </cacheField>
    <cacheField name="cu_nombre" numFmtId="0" sqlType="-9">
      <sharedItems count="5">
        <s v="HORAS EXTRAS"/>
        <s v="VIATICOS"/>
        <s v="ALIMENTACION DE EMPLEADOS"/>
        <s v="RECONOCIMIENTOS"/>
        <s v="GASTOS NO DEDUCIBLES"/>
      </sharedItems>
    </cacheField>
    <cacheField name="co_descripcion" numFmtId="0" sqlType="-9">
      <sharedItems count="73">
        <s v="TRANSACCIONES DEL DIA 08/25/2018 RECURSOS HUMANOS"/>
        <s v="TRANSACCIONES DEL DIA 08/10/2018 RECURSOS HUMANOS"/>
        <s v="TRANSACCIONES DEL DIA 08/15/2018 RECURSOS HUMANOS"/>
        <s v="TRANSACCIONES DEL DIA 08/07/2018 RECURSOS HUMANOS"/>
        <s v="OTROS EGRESOS 1.P.O (OR:1/DES:1 TRN:86 PERF:300086 CAU: 18"/>
        <s v="OTROS EGRESOS 1.P.O (OR:3/DES:3 TRN:86 PERF:300086 CAU: 18"/>
        <s v="OTROS EGRESOS 1.P.O (OR:4/DES:4 TRN:86 PERF:300086 CAU: 18"/>
        <s v="OTROS EGRESOS 1.P.O (OR:5/DES:5 TRN:86 PERF:300086 CAU: 18"/>
        <s v="OTROS EGRESOS 1.P.O (OR:6/DES:6 TRN:86 PERF:300086 CAU: 18"/>
        <s v="OTROS EGRESOS 1.P.O (OR:7/DES:7 TRN:86 PERF:300086 CAU: 18"/>
        <s v="OTROS EGRESOS 1.P.O (OR:8/DES:8 TRN:86 PERF:300086 CAU: 18"/>
        <s v="OTROS EGRESOS 1.P.O (OR:9/DES:9 TRN:86 PERF:300086 CAU: 18"/>
        <s v="OTROS EGRESOS 1.P.O (OR:10/DES:10 TRN:86 PERF:300086 CAU: 18"/>
        <s v="OTROS EGRESOS 1.P.O (OR:13/DES:13 TRN:86 PERF:300086 CAU: 18"/>
        <s v="OTROS EGRESOS 1.P.O (OR:15/DES:15 TRN:86 PERF:300086 CAU: 18"/>
        <s v="TRANSACCIONES DEL DIA 08/13/2018SPYRAL - GESTION ADMINISTRATIVA"/>
        <s v="OTROS EGRESOS 1.P.O (OR:19/DES:19 TRN:86 PERF:300086 CAU: 18"/>
        <s v="OTROS EGRESOS 1.P.O (OR:20/DES:20 TRN:86 PERF:300086 CAU: 18"/>
        <s v="REGISTRO DE ENTRADA DE CAJA"/>
        <s v="OTROS EGRESOS 1.P.O (OR:22/DES:22 TRN:86 PERF:300086 CAU: 18"/>
        <s v="OTROS EGRESOS 1.P.O (OR:23/DES:23 TRN:86 PERF:300086 CAU: 18"/>
        <s v="TRANSACCIONES DEL DIA 08/08/2018SPYRAL - GESTION ADMINISTRATIVA"/>
        <s v="OTROS EGRESOS 1.P.O (OR:27/DES:27 TRN:86 PERF:300086 CAU: 18"/>
        <s v="REGISTRO DE ENTRADA DE ADMINISTRACION"/>
        <s v="OTROS EGRESOS 1.P.O (OR:28/DES:28 TRN:86 PERF:300086 CAU: 18"/>
        <s v="TRANSACCIONES DEL DIA 08/07/2018SPYRAL - GESTION ADMINISTRATIVA"/>
        <s v="TRANSACCIONES DEL DIA 08/09/2018SPYRAL - GESTION ADMINISTRATIVA"/>
        <s v="OTROS EGRESOS 1.P.O (OR:32/DES:32 TRN:86 PERF:300086 CAU: 18"/>
        <s v="OTROS EGRESOS 1.P.O (OR:33/DES:33 TRN:86 PERF:300086 CAU: 18"/>
        <s v="TRANSACCIONES DEL DIA 08/17/2018SPYRAL - GESTION ADMINISTRATIVA"/>
        <s v="TRANSACCIONES DEL DIA 08/16/2018SPYRAL - GESTION ADMINISTRATIVA"/>
        <s v="OTROS EGRESOS 1.P.O (OR:34/DES:34 TRN:86 PERF:300086 CAU: 18"/>
        <s v="OTROS EGRESOS 1.P.O (OR:35/DES:35 TRN:86 PERF:300086 CAU: 18"/>
        <s v="OTROS EGRESOS 1.P.O (OR:37/DES:37 TRN:86 PERF:300086 CAU: 18"/>
        <s v="OTROS EGRESOS 1.P.O (OR:38/DES:38 TRN:86 PERF:300086 CAU: 18"/>
        <s v="OTROS EGRESOS 1.P.O (OR:39/DES:39 TRN:86 PERF:300086 CAU: 18"/>
        <s v="OTROS EGRESOS 1.P.O (OR:40/DES:40 TRN:86 PERF:300086 CAU: 18"/>
        <s v="OTROS EGRESOS 1.P.O (OR:41/DES:41 TRN:86 PERF:300086 CAU: 18"/>
        <s v="OTROS EGRESOS 1.P.O (OR:43/DES:43 TRN:86 PERF:300086 CAU: 18"/>
        <s v="TRANSACCIONES DEL DIA 08/02/2018SPYRAL - GESTION ADMINISTRATIVA"/>
        <s v="OTROS EGRESOS 1.P.O (OR:48/DES:48 TRN:86 PERF:300086 CAU: 18"/>
        <s v="TRANSACCIONES DEL DIA 08/28/2018SPYRAL - GESTION ADMINISTRATIVA"/>
        <s v="OTROS EGRESOS 1.P.O (OR:51/DES:51 TRN:86 PERF:300086 CAU: 18"/>
        <s v="OTROS EGRESOS 1.P.O (OR:53/DES:53 TRN:86 PERF:300086 CAU: 18"/>
        <s v="TRANSACCIONES DEL DIA 08/10/2018SPYRAL - GESTION ADMINISTRATIVA"/>
        <s v="TRANSACCIONES DEL DIA 08/21/2018SPYRAL - GESTION ADMINISTRATIVA"/>
        <s v="OTROS EGRESOS 1.P.O (OR:70/DES:70 TRN:86 PERF:300086 CAU: 18"/>
        <s v="OTROS EGRESOS 1.P.O (OR:71/DES:71 TRN:86 PERF:300086 CAU: 18"/>
        <s v="OTROS EGRESOS 1.P.O (OR:72/DES:72 TRN:86 PERF:300086 CAU: 18"/>
        <s v="OTROS EGRESOS 1.P.O (OR:73/DES:73 TRN:86 PERF:300086 CAU: 18"/>
        <s v="OTROS EGRESOS 1.P.O (OR:74/DES:74 TRN:86 PERF:300086 CAU: 18"/>
        <s v="OTROS EGRESOS 1.P.O (OR:78/DES:78 TRN:86 PERF:300086 CAU: 18"/>
        <s v="TRANSACCIONES DEL DIA 08/24/2018SPYRAL - GESTION ADMINISTRATIVA"/>
        <s v="OTROS EGRESOS 1.P.O (OR:101/DES:101 TRN:86 PERF:300086 CAU: 18"/>
        <s v="OTROS EGRESOS 1.P.O (OR:102/DES:102 TRN:86 PERF:300086 CAU: 18"/>
        <s v="TRANSACCIONES DEL DIA 08/14/2018SPYRAL - GESTION ADMINISTRATIVA"/>
        <s v="OTROS EGRESOS 1.P.O (OR:125/DES:125 TRN:86 PERF:300086 CAU: 18"/>
        <s v="OTROS EGRESOS 1.P.O (OR:131/DES:131 TRN:86 PERF:300086 CAU: 18"/>
        <s v="O/ING. EFECTIVO 1.P.O (OR:131/DES:131 TRN:32 PERF:300032E CAU: 1"/>
        <s v="PARA REGISTRAR CAJA"/>
        <s v="OTROS EGRESOS 1.P.O (OR:162/DES:162 TRN:86 PERF:300086 CAU: 18"/>
        <s v="OTROS EGRESOS 1.P.O (OR:164/DES:164 TRN:86 PERF:300086 CAU: 18"/>
        <s v="OTROS EGRESOS 1.P.O (OR:196/DES:196 TRN:86 PERF:300086 CAU: 18"/>
        <s v="TRANSACCIONES DEL DIA 08/23/2018SPYRAL - GESTION ADMINISTRATIVA"/>
        <s v="TRANSACCIONES DEL DIA 08/22/2018SPYRAL - GESTION ADMINISTRATIVA"/>
        <s v="TRANSACCIONES DEL DIA 08/25/2018SPYRAL - GESTION ADMINISTRATIVA"/>
        <s v="TRANSACCIONES DEL DIA 08/06/2018SPYRAL - GESTION ADMINISTRATIVA"/>
        <s v="TRANSACCIONES DEL DIA 08/20/2018SPYRAL - GESTION ADMINISTRATIVA"/>
        <s v="TRANSACCIONES DEL DIA 08/27/2018SPYRAL - GESTION ADMINISTRATIVA"/>
        <s v="TRANSACCIONES DEL DIA 08/03/2018SPYRAL - GESTION ADMINISTRATIVA"/>
        <s v="TRANSACCIONES DEL DIA 08/15/2018SPYRAL - GESTION ADMINISTRATIVA"/>
        <s v="TRANSACCIONES DEL DIA 08/29/2018SPYRAL - GESTION ADMINISTRATIVA"/>
        <s v="TRANSACCIONES DEL DIA 08/01/2018SPYRAL - GESTION ADMINISTRATIVA"/>
      </sharedItems>
    </cacheField>
    <cacheField name="ar_area" numFmtId="0" sqlType="4">
      <sharedItems containsSemiMixedTypes="0" containsString="0" containsNumber="1" containsInteger="1" minValue="216020401" maxValue="216020403" count="3">
        <n v="216020403"/>
        <n v="216020401"/>
        <n v="216020402"/>
      </sharedItems>
    </cacheField>
    <cacheField name="ar_descripcion" numFmtId="0" sqlType="-9">
      <sharedItems count="3">
        <s v="SERVICIOS PERSONALES"/>
        <s v="ADMINISTRACION DE SUCURSALES"/>
        <s v="CAJA"/>
      </sharedItems>
    </cacheField>
    <cacheField name="Años" numFmtId="0" databaseField="0">
      <fieldGroup base="0">
        <rangePr groupBy="years" startDate="2018-08-01T00:00:00" endDate="2018-08-31T00:00:00"/>
        <groupItems count="3">
          <s v="&lt;08/01/2018"/>
          <s v="2018"/>
          <s v="&gt;08/31/2018"/>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Axel Amaya" refreshedDate="43703.664433564816" createdVersion="5" refreshedVersion="5" minRefreshableVersion="3" recordCount="456">
  <cacheSource type="external" connectionId="1"/>
  <cacheFields count="6">
    <cacheField name="Oficina" numFmtId="0">
      <sharedItems containsSemiMixedTypes="0" containsString="0" containsNumber="1" containsInteger="1" minValue="1" maxValue="196" count="76">
        <n v="1"/>
        <n v="2"/>
        <n v="3"/>
        <n v="4"/>
        <n v="5"/>
        <n v="6"/>
        <n v="7"/>
        <n v="8"/>
        <n v="9"/>
        <n v="10"/>
        <n v="11"/>
        <n v="13"/>
        <n v="14"/>
        <n v="15"/>
        <n v="16"/>
        <n v="17"/>
        <n v="18"/>
        <n v="19"/>
        <n v="20"/>
        <n v="21"/>
        <n v="22"/>
        <n v="23"/>
        <n v="24"/>
        <n v="26"/>
        <n v="27"/>
        <n v="28"/>
        <n v="29"/>
        <n v="30"/>
        <n v="32"/>
        <n v="33"/>
        <n v="34"/>
        <n v="35"/>
        <n v="37"/>
        <n v="38"/>
        <n v="39"/>
        <n v="40"/>
        <n v="41"/>
        <n v="42"/>
        <n v="43"/>
        <n v="44"/>
        <n v="45"/>
        <n v="46"/>
        <n v="47"/>
        <n v="48"/>
        <n v="49"/>
        <n v="51"/>
        <n v="53"/>
        <n v="54"/>
        <n v="66"/>
        <n v="68"/>
        <n v="69"/>
        <n v="70"/>
        <n v="71"/>
        <n v="72"/>
        <n v="73"/>
        <n v="74"/>
        <n v="76"/>
        <n v="77"/>
        <n v="78"/>
        <n v="79"/>
        <n v="80"/>
        <n v="89"/>
        <n v="95"/>
        <n v="97"/>
        <n v="98"/>
        <n v="99"/>
        <n v="101"/>
        <n v="102"/>
        <n v="103"/>
        <n v="125"/>
        <n v="131"/>
        <n v="157"/>
        <n v="162"/>
        <n v="164"/>
        <n v="165"/>
        <n v="196"/>
      </sharedItems>
    </cacheField>
    <cacheField name="Cuenta" numFmtId="0">
      <sharedItems containsSemiMixedTypes="0" containsString="0" containsNumber="1" containsInteger="1" minValue="1" maxValue="504012201" count="6">
        <n v="1"/>
        <n v="5040102"/>
        <n v="5040113"/>
        <n v="5041001"/>
        <n v="504012001"/>
        <n v="504012201"/>
      </sharedItems>
    </cacheField>
    <cacheField name="Descripcion" numFmtId="0">
      <sharedItems count="6">
        <s v="BRINDIS DE PARTICIPACIÓN"/>
        <s v="HORAS EXTRAS"/>
        <s v="VIATICOS"/>
        <s v="CELEBRACIONES "/>
        <s v="ALIMENTACIÓN"/>
        <s v="RECONOCIMIENTO "/>
      </sharedItems>
    </cacheField>
    <cacheField name="Balance" numFmtId="0">
      <sharedItems containsString="0" containsBlank="1" containsNumber="1" minValue="-1075.98" maxValue="6513.8500000000076"/>
    </cacheField>
    <cacheField name="Plan" numFmtId="0">
      <sharedItems containsSemiMixedTypes="0" containsString="0" containsNumber="1" minValue="0" maxValue="25711.073100000001"/>
    </cacheField>
    <cacheField name="Año" numFmtId="0">
      <sharedItems containsSemiMixedTypes="0" containsString="0" containsNumber="1" containsInteger="1" minValue="2019" maxValue="2019" count="1">
        <n v="2019"/>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Axel Amaya" refreshedDate="43703.683186111113" createdVersion="5" refreshedVersion="5" minRefreshableVersion="3" recordCount="8161">
  <cacheSource type="external" connectionId="2"/>
  <cacheFields count="12">
    <cacheField name="Oficina" numFmtId="0">
      <sharedItems containsSemiMixedTypes="0" containsString="0" containsNumber="1" containsInteger="1" minValue="1" maxValue="196" count="79">
        <n v="1"/>
        <n v="2"/>
        <n v="3"/>
        <n v="4"/>
        <n v="5"/>
        <n v="6"/>
        <n v="7"/>
        <n v="8"/>
        <n v="9"/>
        <n v="10"/>
        <n v="13"/>
        <n v="14"/>
        <n v="15"/>
        <n v="16"/>
        <n v="17"/>
        <n v="18"/>
        <n v="19"/>
        <n v="20"/>
        <n v="21"/>
        <n v="22"/>
        <n v="23"/>
        <n v="26"/>
        <n v="28"/>
        <n v="29"/>
        <n v="30"/>
        <n v="32"/>
        <n v="33"/>
        <n v="34"/>
        <n v="35"/>
        <n v="38"/>
        <n v="39"/>
        <n v="40"/>
        <n v="41"/>
        <n v="42"/>
        <n v="43"/>
        <n v="44"/>
        <n v="46"/>
        <n v="47"/>
        <n v="48"/>
        <n v="49"/>
        <n v="51"/>
        <n v="66"/>
        <n v="68"/>
        <n v="69"/>
        <n v="70"/>
        <n v="71"/>
        <n v="72"/>
        <n v="73"/>
        <n v="74"/>
        <n v="76"/>
        <n v="77"/>
        <n v="78"/>
        <n v="79"/>
        <n v="80"/>
        <n v="89"/>
        <n v="91"/>
        <n v="95"/>
        <n v="97"/>
        <n v="98"/>
        <n v="99"/>
        <n v="101"/>
        <n v="102"/>
        <n v="103"/>
        <n v="125"/>
        <n v="131"/>
        <n v="157"/>
        <n v="162"/>
        <n v="164"/>
        <n v="165"/>
        <n v="196"/>
        <n v="11"/>
        <n v="12"/>
        <n v="27"/>
        <n v="37"/>
        <n v="53"/>
        <n v="54"/>
        <n v="36"/>
        <n v="45"/>
        <n v="154"/>
      </sharedItems>
    </cacheField>
    <cacheField name="Fecha" numFmtId="0">
      <sharedItems containsSemiMixedTypes="0" containsNonDate="0" containsDate="1" containsString="0" minDate="2018-06-01T00:00:00" maxDate="2019-08-01T00:00:00" count="341">
        <d v="2018-10-10T00:00:00"/>
        <d v="2018-12-31T00:00:00"/>
        <d v="2018-06-25T00:00:00"/>
        <d v="2018-08-25T00:00:00"/>
        <d v="2018-09-25T00:00:00"/>
        <d v="2018-10-25T00:00:00"/>
        <d v="2018-11-24T00:00:00"/>
        <d v="2018-06-09T00:00:00"/>
        <d v="2018-12-19T00:00:00"/>
        <d v="2018-07-10T00:00:00"/>
        <d v="2018-08-10T00:00:00"/>
        <d v="2018-07-25T00:00:00"/>
        <d v="2018-09-10T00:00:00"/>
        <d v="2018-11-09T00:00:00"/>
        <d v="2018-12-10T00:00:00"/>
        <d v="2018-07-19T00:00:00"/>
        <d v="2018-06-05T00:00:00"/>
        <d v="2018-06-27T00:00:00"/>
        <d v="2018-08-15T00:00:00"/>
        <d v="2018-08-07T00:00:00"/>
        <d v="2018-11-29T00:00:00"/>
        <d v="2018-07-26T00:00:00"/>
        <d v="2018-12-14T00:00:00"/>
        <d v="2018-08-03T00:00:00"/>
        <d v="2018-06-14T00:00:00"/>
        <d v="2018-06-19T00:00:00"/>
        <d v="2018-08-02T00:00:00"/>
        <d v="2018-08-13T00:00:00"/>
        <d v="2018-08-27T00:00:00"/>
        <d v="2018-09-12T00:00:00"/>
        <d v="2018-09-17T00:00:00"/>
        <d v="2018-09-24T00:00:00"/>
        <d v="2018-11-01T00:00:00"/>
        <d v="2018-12-20T00:00:00"/>
        <d v="2018-11-15T00:00:00"/>
        <d v="2018-06-22T00:00:00"/>
        <d v="2018-07-06T00:00:00"/>
        <d v="2018-07-31T00:00:00"/>
        <d v="2018-09-21T00:00:00"/>
        <d v="2018-09-28T00:00:00"/>
        <d v="2018-12-04T00:00:00"/>
        <d v="2018-12-12T00:00:00"/>
        <d v="2018-12-17T00:00:00"/>
        <d v="2018-08-17T00:00:00"/>
        <d v="2018-08-29T00:00:00"/>
        <d v="2018-10-18T00:00:00"/>
        <d v="2018-10-19T00:00:00"/>
        <d v="2018-06-08T00:00:00"/>
        <d v="2018-06-30T00:00:00"/>
        <d v="2018-08-06T00:00:00"/>
        <d v="2018-09-11T00:00:00"/>
        <d v="2018-09-27T00:00:00"/>
        <d v="2018-10-05T00:00:00"/>
        <d v="2018-10-17T00:00:00"/>
        <d v="2018-11-26T00:00:00"/>
        <d v="2018-12-26T00:00:00"/>
        <d v="2018-08-24T00:00:00"/>
        <d v="2018-10-04T00:00:00"/>
        <d v="2018-12-01T00:00:00"/>
        <d v="2018-07-11T00:00:00"/>
        <d v="2018-08-08T00:00:00"/>
        <d v="2018-08-21T00:00:00"/>
        <d v="2018-09-20T00:00:00"/>
        <d v="2018-11-20T00:00:00"/>
        <d v="2018-06-07T00:00:00"/>
        <d v="2018-07-04T00:00:00"/>
        <d v="2018-09-13T00:00:00"/>
        <d v="2018-07-28T00:00:00"/>
        <d v="2018-09-03T00:00:00"/>
        <d v="2018-08-11T00:00:00"/>
        <d v="2018-06-01T00:00:00"/>
        <d v="2018-07-12T00:00:00"/>
        <d v="2018-11-12T00:00:00"/>
        <d v="2018-12-18T00:00:00"/>
        <d v="2018-08-01T00:00:00"/>
        <d v="2018-08-20T00:00:00"/>
        <d v="2018-11-02T00:00:00"/>
        <d v="2018-11-16T00:00:00"/>
        <d v="2018-09-26T00:00:00"/>
        <d v="2018-08-23T00:00:00"/>
        <d v="2018-09-01T00:00:00"/>
        <d v="2018-09-05T00:00:00"/>
        <d v="2018-10-13T00:00:00"/>
        <d v="2018-12-03T00:00:00"/>
        <d v="2018-06-21T00:00:00"/>
        <d v="2018-06-11T00:00:00"/>
        <d v="2018-07-02T00:00:00"/>
        <d v="2018-07-09T00:00:00"/>
        <d v="2018-07-18T00:00:00"/>
        <d v="2018-09-14T00:00:00"/>
        <d v="2018-10-01T00:00:00"/>
        <d v="2018-10-11T00:00:00"/>
        <d v="2018-10-22T00:00:00"/>
        <d v="2018-10-30T00:00:00"/>
        <d v="2018-10-31T00:00:00"/>
        <d v="2018-12-06T00:00:00"/>
        <d v="2018-07-27T00:00:00"/>
        <d v="2018-11-07T00:00:00"/>
        <d v="2018-12-27T00:00:00"/>
        <d v="2018-08-28T00:00:00"/>
        <d v="2018-10-15T00:00:00"/>
        <d v="2018-12-21T00:00:00"/>
        <d v="2018-07-17T00:00:00"/>
        <d v="2018-08-18T00:00:00"/>
        <d v="2018-08-30T00:00:00"/>
        <d v="2018-12-29T00:00:00"/>
        <d v="2018-06-06T00:00:00"/>
        <d v="2018-06-15T00:00:00"/>
        <d v="2018-08-09T00:00:00"/>
        <d v="2018-12-22T00:00:00"/>
        <d v="2018-06-26T00:00:00"/>
        <d v="2018-06-29T00:00:00"/>
        <d v="2018-06-18T00:00:00"/>
        <d v="2018-07-20T00:00:00"/>
        <d v="2018-08-16T00:00:00"/>
        <d v="2018-11-06T00:00:00"/>
        <d v="2018-10-03T00:00:00"/>
        <d v="2018-10-23T00:00:00"/>
        <d v="2018-06-13T00:00:00"/>
        <d v="2018-10-08T00:00:00"/>
        <d v="2018-10-09T00:00:00"/>
        <d v="2018-10-12T00:00:00"/>
        <d v="2018-10-27T00:00:00"/>
        <d v="2018-11-22T00:00:00"/>
        <d v="2018-11-30T00:00:00"/>
        <d v="2018-11-13T00:00:00"/>
        <d v="2018-09-22T00:00:00"/>
        <d v="2018-12-13T00:00:00"/>
        <d v="2018-12-28T00:00:00"/>
        <d v="2018-06-28T00:00:00"/>
        <d v="2018-08-04T00:00:00"/>
        <d v="2018-08-31T00:00:00"/>
        <d v="2018-09-07T00:00:00"/>
        <d v="2018-06-23T00:00:00"/>
        <d v="2018-07-21T00:00:00"/>
        <d v="2018-08-14T00:00:00"/>
        <d v="2018-10-26T00:00:00"/>
        <d v="2018-07-30T00:00:00"/>
        <d v="2018-10-06T00:00:00"/>
        <d v="2018-11-19T00:00:00"/>
        <d v="2018-09-04T00:00:00"/>
        <d v="2018-11-21T00:00:00"/>
        <d v="2018-10-24T00:00:00"/>
        <d v="2018-06-12T00:00:00"/>
        <d v="2018-06-20T00:00:00"/>
        <d v="2018-11-08T00:00:00"/>
        <d v="2018-07-03T00:00:00"/>
        <d v="2018-07-24T00:00:00"/>
        <d v="2018-08-22T00:00:00"/>
        <d v="2018-07-13T00:00:00"/>
        <d v="2018-11-27T00:00:00"/>
        <d v="2018-12-11T00:00:00"/>
        <d v="2018-12-24T00:00:00"/>
        <d v="2018-11-23T00:00:00"/>
        <d v="2018-09-18T00:00:00"/>
        <d v="2018-12-07T00:00:00"/>
        <d v="2018-09-06T00:00:00"/>
        <d v="2018-06-16T00:00:00"/>
        <d v="2018-06-02T00:00:00"/>
        <d v="2018-10-02T00:00:00"/>
        <d v="2018-10-16T00:00:00"/>
        <d v="2018-12-05T00:00:00"/>
        <d v="2018-09-08T00:00:00"/>
        <d v="2018-07-14T00:00:00"/>
        <d v="2018-07-23T00:00:00"/>
        <d v="2018-09-19T00:00:00"/>
        <d v="2018-10-29T00:00:00"/>
        <d v="2018-07-05T00:00:00"/>
        <d v="2018-11-14T00:00:00"/>
        <d v="2018-07-16T00:00:00"/>
        <d v="2018-06-04T00:00:00"/>
        <d v="2019-01-25T00:00:00"/>
        <d v="2019-02-09T00:00:00"/>
        <d v="2019-02-25T00:00:00"/>
        <d v="2019-07-25T00:00:00"/>
        <d v="2019-03-09T00:00:00"/>
        <d v="2019-04-25T00:00:00"/>
        <d v="2019-05-10T00:00:00"/>
        <d v="2019-03-25T00:00:00"/>
        <d v="2019-01-10T00:00:00"/>
        <d v="2019-04-10T00:00:00"/>
        <d v="2019-05-25T00:00:00"/>
        <d v="2019-06-10T00:00:00"/>
        <d v="2019-06-25T00:00:00"/>
        <d v="2019-07-10T00:00:00"/>
        <d v="2019-02-27T00:00:00"/>
        <d v="2019-04-16T00:00:00"/>
        <d v="2019-05-07T00:00:00"/>
        <d v="2019-07-19T00:00:00"/>
        <d v="2019-04-29T00:00:00"/>
        <d v="2019-07-29T00:00:00"/>
        <d v="2019-07-30T00:00:00"/>
        <d v="2019-02-04T00:00:00"/>
        <d v="2019-05-17T00:00:00"/>
        <d v="2019-03-12T00:00:00"/>
        <d v="2019-02-14T00:00:00"/>
        <d v="2019-02-20T00:00:00"/>
        <d v="2019-03-18T00:00:00"/>
        <d v="2019-04-01T00:00:00"/>
        <d v="2019-04-26T00:00:00"/>
        <d v="2019-05-03T00:00:00"/>
        <d v="2019-05-13T00:00:00"/>
        <d v="2019-05-21T00:00:00"/>
        <d v="2019-07-15T00:00:00"/>
        <d v="2019-07-16T00:00:00"/>
        <d v="2019-01-16T00:00:00"/>
        <d v="2019-01-18T00:00:00"/>
        <d v="2019-02-19T00:00:00"/>
        <d v="2019-02-22T00:00:00"/>
        <d v="2019-01-21T00:00:00"/>
        <d v="2019-01-30T00:00:00"/>
        <d v="2019-03-20T00:00:00"/>
        <d v="2019-04-04T00:00:00"/>
        <d v="2019-05-14T00:00:00"/>
        <d v="2019-05-27T00:00:00"/>
        <d v="2019-06-04T00:00:00"/>
        <d v="2019-06-14T00:00:00"/>
        <d v="2019-07-05T00:00:00"/>
        <d v="2019-07-22T00:00:00"/>
        <d v="2019-03-23T00:00:00"/>
        <d v="2019-05-09T00:00:00"/>
        <d v="2019-06-06T00:00:00"/>
        <d v="2019-06-08T00:00:00"/>
        <d v="2019-06-19T00:00:00"/>
        <d v="2019-06-24T00:00:00"/>
        <d v="2019-01-14T00:00:00"/>
        <d v="2019-02-21T00:00:00"/>
        <d v="2019-03-07T00:00:00"/>
        <d v="2019-03-30T00:00:00"/>
        <d v="2019-07-26T00:00:00"/>
        <d v="2019-03-29T00:00:00"/>
        <d v="2019-04-08T00:00:00"/>
        <d v="2019-04-15T00:00:00"/>
        <d v="2019-04-24T00:00:00"/>
        <d v="2019-05-31T00:00:00"/>
        <d v="2019-06-26T00:00:00"/>
        <d v="2019-07-18T00:00:00"/>
        <d v="2019-01-29T00:00:00"/>
        <d v="2019-03-15T00:00:00"/>
        <d v="2019-04-09T00:00:00"/>
        <d v="2019-06-17T00:00:00"/>
        <d v="2019-07-27T00:00:00"/>
        <d v="2019-03-19T00:00:00"/>
        <d v="2019-04-11T00:00:00"/>
        <d v="2019-04-23T00:00:00"/>
        <d v="2019-02-18T00:00:00"/>
        <d v="2019-06-27T00:00:00"/>
        <d v="2019-02-05T00:00:00"/>
        <d v="2019-04-22T00:00:00"/>
        <d v="2019-05-15T00:00:00"/>
        <d v="2019-06-29T00:00:00"/>
        <d v="2019-02-01T00:00:00"/>
        <d v="2019-01-17T00:00:00"/>
        <d v="2019-01-24T00:00:00"/>
        <d v="2019-02-08T00:00:00"/>
        <d v="2019-03-27T00:00:00"/>
        <d v="2019-05-20T00:00:00"/>
        <d v="2019-06-18T00:00:00"/>
        <d v="2019-01-08T00:00:00"/>
        <d v="2019-01-11T00:00:00"/>
        <d v="2019-01-28T00:00:00"/>
        <d v="2019-02-13T00:00:00"/>
        <d v="2019-03-22T00:00:00"/>
        <d v="2019-04-03T00:00:00"/>
        <d v="2019-07-02T00:00:00"/>
        <d v="2019-07-08T00:00:00"/>
        <d v="2019-07-12T00:00:00"/>
        <d v="2019-02-16T00:00:00"/>
        <d v="2019-04-12T00:00:00"/>
        <d v="2019-05-02T00:00:00"/>
        <d v="2019-06-13T00:00:00"/>
        <d v="2019-07-24T00:00:00"/>
        <d v="2019-05-08T00:00:00"/>
        <d v="2019-05-22T00:00:00"/>
        <d v="2019-05-28T00:00:00"/>
        <d v="2019-05-29T00:00:00"/>
        <d v="2019-06-21T00:00:00"/>
        <d v="2019-01-03T00:00:00"/>
        <d v="2019-01-05T00:00:00"/>
        <d v="2019-01-31T00:00:00"/>
        <d v="2019-06-15T00:00:00"/>
        <d v="2019-07-03T00:00:00"/>
        <d v="2019-05-06T00:00:00"/>
        <d v="2019-05-11T00:00:00"/>
        <d v="2019-06-07T00:00:00"/>
        <d v="2019-07-04T00:00:00"/>
        <d v="2019-04-02T00:00:00"/>
        <d v="2019-04-27T00:00:00"/>
        <d v="2019-01-07T00:00:00"/>
        <d v="2019-02-06T00:00:00"/>
        <d v="2019-03-13T00:00:00"/>
        <d v="2019-03-28T00:00:00"/>
        <d v="2019-03-08T00:00:00"/>
        <d v="2019-03-14T00:00:00"/>
        <d v="2019-05-30T00:00:00"/>
        <d v="2019-06-11T00:00:00"/>
        <d v="2019-07-13T00:00:00"/>
        <d v="2019-07-17T00:00:00"/>
        <d v="2019-04-30T00:00:00"/>
        <d v="2019-05-16T00:00:00"/>
        <d v="2019-06-01T00:00:00"/>
        <d v="2019-03-02T00:00:00"/>
        <d v="2019-05-18T00:00:00"/>
        <d v="2019-03-11T00:00:00"/>
        <d v="2019-06-22T00:00:00"/>
        <d v="2019-07-09T00:00:00"/>
        <d v="2019-03-01T00:00:00"/>
        <d v="2019-06-12T00:00:00"/>
        <d v="2019-01-02T00:00:00"/>
        <d v="2019-01-15T00:00:00"/>
        <d v="2019-04-05T00:00:00"/>
        <d v="2019-05-23T00:00:00"/>
        <d v="2019-06-28T00:00:00"/>
        <d v="2019-07-20T00:00:00"/>
        <d v="2019-07-11T00:00:00"/>
        <d v="2019-06-03T00:00:00"/>
        <d v="2019-06-20T00:00:00"/>
        <d v="2019-04-06T00:00:00"/>
        <d v="2019-02-12T00:00:00"/>
        <d v="2019-02-26T00:00:00"/>
        <d v="2019-02-11T00:00:00"/>
        <d v="2019-02-02T00:00:00"/>
        <d v="2019-01-23T00:00:00"/>
        <d v="2019-02-15T00:00:00"/>
        <d v="2019-07-31T00:00:00"/>
        <d v="2019-05-04T00:00:00"/>
        <d v="2019-02-07T00:00:00"/>
        <d v="2019-01-04T00:00:00"/>
        <d v="2019-01-19T00:00:00"/>
        <d v="2019-04-17T00:00:00"/>
        <d v="2019-05-24T00:00:00"/>
        <d v="2019-03-26T00:00:00"/>
        <d v="2019-01-22T00:00:00"/>
        <d v="2019-03-16T00:00:00"/>
        <d v="2019-06-05T00:00:00"/>
        <d v="2019-07-23T00:00:00"/>
        <d v="2019-04-13T00:00:00"/>
        <d v="2019-03-06T00:00:00"/>
        <d v="2019-03-21T00:00:00"/>
        <d v="2019-04-18T00:00:00"/>
        <d v="2019-02-28T00:00:00"/>
      </sharedItems>
    </cacheField>
    <cacheField name="MesNum" numFmtId="0">
      <sharedItems containsSemiMixedTypes="0" containsString="0" containsNumber="1" containsInteger="1" minValue="1" maxValue="12" count="12">
        <n v="10"/>
        <n v="12"/>
        <n v="6"/>
        <n v="8"/>
        <n v="9"/>
        <n v="11"/>
        <n v="7"/>
        <n v="1"/>
        <n v="2"/>
        <n v="3"/>
        <n v="4"/>
        <n v="5"/>
      </sharedItems>
    </cacheField>
    <cacheField name="Mes" numFmtId="0">
      <sharedItems count="12">
        <s v="octubre"/>
        <s v="diciembre"/>
        <s v="junio"/>
        <s v="agosto"/>
        <s v="septiembre"/>
        <s v="noviembre"/>
        <s v="julio"/>
        <s v="enero"/>
        <s v="febrero"/>
        <s v="marzo"/>
        <s v="abril"/>
        <s v="mayo"/>
      </sharedItems>
    </cacheField>
    <cacheField name="Año" numFmtId="0">
      <sharedItems containsSemiMixedTypes="0" containsString="0" containsNumber="1" containsInteger="1" minValue="2018" maxValue="2019" count="2">
        <n v="2018"/>
        <n v="2019"/>
      </sharedItems>
    </cacheField>
    <cacheField name="Area" numFmtId="0">
      <sharedItems count="41">
        <s v="CAJA"/>
        <s v="SERVICIOS PERSONALES"/>
        <s v="ADMINISTRACION DE SUCURSALES"/>
        <s v="HIPOTECAS"/>
        <s v="GESTION HIPOTECARIA"/>
        <s v="BANCA DE CONSUMO"/>
        <s v="CANALES DE DISTRIBUCION"/>
        <s v="CENTRO DE TARJETAS"/>
        <s v="CANALES ALTERNOS"/>
        <s v="TELEMERCADEO"/>
        <s v="ATM"/>
        <s v="ATENCION A CLIENTES"/>
        <s v="DESARROLLO DE PRODUCTOS"/>
        <s v="VENTAS CONSUMO"/>
        <s v="FUERZAS DE VENTAS PANAMA"/>
        <s v="FUERZA DE VENTAS AUTOS"/>
        <s v="CAMPAðA"/>
        <s v="BANCA COMERCIAL INTERIOR"/>
        <s v="IMAGEN CORPORATIVA"/>
        <s v="NEGOCIOS"/>
        <s v="BANCA CORPORATIVA"/>
        <s v="INTERINOS"/>
        <s v="CUENTAS CORPORATIVAS"/>
        <s v="ZONA LIBRE"/>
        <s v="CANALES EXTERNOS HIP"/>
        <s v="AUTOS"/>
        <s v="BANCA EN LINEA"/>
        <s v="FUERZA DE VENTAS INTERIOR"/>
        <s v="SEGMENTO DE NEGOCIOS"/>
        <s v="BANCA PRIVADA"/>
        <s v="BANCA COMERCIAL"/>
        <s v="BANCA COMERCIAL CENTRO"/>
        <s v="BANCA COMERCIAL PERIFERIA"/>
        <s v="MERCADEO"/>
        <s v="SERVICIOS AL CLIENTE"/>
        <s v="EMISOR DE TARJETAS"/>
        <s v="GESTION Y CONTROL CANALES ALTERNOS"/>
        <s v="MERCADEO Y PUBLICIDAD"/>
        <s v="PERSONALES"/>
        <s v="AFILIACIONES DE COMERCIOS"/>
        <s v="OPERACIONES DE CENTRO DE TARJETAS"/>
      </sharedItems>
    </cacheField>
    <cacheField name="Asiento" numFmtId="0">
      <sharedItems count="69">
        <s v="PAGO NOMINA QUINCENA 1 OCTUBRE 2018"/>
        <s v="CIERRE DE ANIO FISCAL"/>
        <s v="PAGO NOMINA QUINCENA 2 JUNIO 2018"/>
        <s v="PAGO NOMINA QUINCENA 2 AGOSTO 2018"/>
        <s v="PAGO NOMINA QUINCENA 2 SEPTIEMBRE 2018"/>
        <s v="PAGO NOMINA QUINCENA 2 OCTUBRE 2018"/>
        <s v="PAGO NOMINA QUINCENA 2 NOVIEMBRE 2018"/>
        <s v="PAGO NOMINA QUINCENA 1 JUNIO 2018"/>
        <s v="PAGO NOMINA QUINCENA 2 DICIEMBRE 2018"/>
        <s v="PAGO NOMINA QUINCENA 1 JULIO 2018"/>
        <s v="PAGO NOMINA QUINCENA 1 AGOSTO 2018"/>
        <s v="PAGO NOMINA QUINCENA 2 JULIO 2018"/>
        <s v="PAGO NOMINA QUINCENA 1 SEPTIEMBRE 2018"/>
        <s v="PAGO NOMINA QUINCENA 1 NOVIEMBRE 2018"/>
        <s v="PAGO NOMINA QUINCENA 1 DICIEMBRE 2018"/>
        <s v="PLANILLAS DE LIQUIDACIONES JUL 2018"/>
        <s v="PLANILLAS DE LIQUIDACIONES JUN 2018"/>
        <s v="PLANILLAS DE LIQUIDACIONES AGO 2018"/>
        <s v="PLANILLAS DE LIQUIDACIONES NOV 2018"/>
        <s v="PLANILLAS DE LIQUIDACIONES DIC 2018"/>
        <s v="OTROS EGRESOS 18"/>
        <s v="VIATICOS"/>
        <s v="CORREGIMOS ENTRADA DEL 20 DE AGOSTO POR ERROR EN CAUSA. SE DEBIO"/>
        <s v="O/ING. EFECTIVO 18"/>
        <s v="CORRIGE ENTRADA DE GASTOS DE DECORACION DE FIESTAS PATRIAS 2018-"/>
        <s v="VIATICOS 2"/>
        <s v="NC VIATICOS"/>
        <s v="SE CORRIGE ENTRADA DEL DIA 1 DE AGOSTO, SE UTILIZO LA CAUSA INCO"/>
        <s v="CORRECCION DE ENTRADA DE PARTIDA DE FIESTAS PATRIAS"/>
        <s v="EL 21 DE AGOSTO SE SACO EL PRESUPUESTO DE FISTAS PATRIAS POR CAU"/>
        <s v="CORRIGE DIFERENCIA EN RECHAZO MODULO DE CONTABILIDAD"/>
        <s v="INGRESO DE PAGO DE VIATICO DEL 27 DE AGOSTO DE 2018"/>
        <s v="NC ALIMENTACION DE EMPLEADOS NVA"/>
        <s v="ALIMENTACION DE EMPLEADOS CTA NUEVA"/>
        <s v="OTROS EGRESOS 17"/>
        <s v="ALIMENTACION DE EMPLEADOS"/>
        <s v="CORRECCION REG.20/07/2018 CENA"/>
        <s v="NC  RECONOCIMIENTOS"/>
        <s v="RECONOCIMIENTO"/>
        <s v="NC GASTO NO DEDUCIBLES"/>
        <s v="GASTOS NO DEDUCIBLES"/>
        <s v="PAGO NOMINA QUINCENA 2 ENERO 2019"/>
        <s v="PAGO NOMINA QUINCENA 1 FEBRERO 2019"/>
        <s v="PAGO NOMINA QUINCENA 2 FEBRERO 2019"/>
        <s v="PAGO NOMINA QUINCENA 2 JULIO 2019"/>
        <s v="PAGO NOMINA QUINCENA 1 MARZO 2019"/>
        <s v="PAGO NOMINA QUINCENA 2 ABRIL 2019"/>
        <s v="PAGO NOMINA QUINCENA 1 MAYO 2019"/>
        <s v="PAGO NOMINA QUINCENA 2 MARZO 2019"/>
        <s v="PAGO NOMINA QUINCENA 1 ENERO 2019"/>
        <s v="PAGO NOMINA QUINCENA 1 ABRIL 2019"/>
        <s v="PAGO NOMINA QUINCENA 2 MAYO 2019"/>
        <s v="PAGO NOMINA QUINCENA 1 JUNIO 2019"/>
        <s v="PAGO NOMINA QUINCENA 2 JUNIO 2019"/>
        <s v="PAGO NOMINA QUINCENA 1 JULIO 2019"/>
        <s v="PLANILLAS DE LIQUIDACIONES FEB 2019"/>
        <s v="PLANILLAS DE LIQUIDACIONES ABR 2019"/>
        <s v="PLANILLAS DE LIQUIDACIONES MAY 2019"/>
        <s v="PLANILLAS DE LIQUIDACIONES JUL 2019"/>
        <s v="PLANILLAS DE LIQUIDACIONES MAR 2019"/>
        <s v="CORRRECCION DEL 21/03/2019 POR CAUSA DE REGISTRO DE VIATICO MAL"/>
        <s v="CORRIGE  RECHAZO 05-JUNIO-2019"/>
        <s v="CORRECCION DE RECHAZO REG. 08/06/2019"/>
        <s v="CORRIGE RECHAZO 05/JUNIO/2019"/>
        <s v="ALIMENTACION DE EMPLEADOS [EMPL]"/>
        <s v="PROVISION DEL MES ENERO 2019"/>
        <s v="REVERSI╦N - FEBRERO 2019"/>
        <s v="REVERSION - ABRIL 2019"/>
        <s v="REVERSION MAYO 2019"/>
      </sharedItems>
    </cacheField>
    <cacheField name="Comprobante" numFmtId="0">
      <sharedItems count="457">
        <s v="TRANSACCIONES DEL DIA 10/10/2018 RECURSOS HUMANOS"/>
        <s v="CIERRE_DE_CTAS_NOMINALES"/>
        <s v="TRANSACCIONES DEL DIA 06/25/2018 RECURSOS HUMANOS"/>
        <s v="TRANSACCIONES DEL DIA 08/25/2018 RECURSOS HUMANOS"/>
        <s v="TRANSACCIONES DEL DIA 09/25/2018 RECURSOS HUMANOS"/>
        <s v="TRANSACCIONES DEL DIA 10/25/2018 RECURSOS HUMANOS"/>
        <s v="TRANSACCIONES DEL DIA 11/24/2018 RECURSOS HUMANOS"/>
        <s v="TRANSACCIONES DEL DIA 06/09/2018 RECURSOS HUMANOS"/>
        <s v="TRANSACCIONES DEL DIA 12/19/2018 RECURSOS HUMANOS"/>
        <s v="TRANSACCIONES DEL DIA 07/10/2018 RECURSOS HUMANOS"/>
        <s v="TRANSACCIONES DEL DIA 08/10/2018 RECURSOS HUMANOS"/>
        <s v="TRANSACCIONES DEL DIA 07/25/2018 RECURSOS HUMANOS"/>
        <s v="TRANSACCIONES DEL DIA 09/10/2018 RECURSOS HUMANOS"/>
        <s v="TRANSACCIONES DEL DIA 11/09/2018 RECURSOS HUMANOS"/>
        <s v="TRANSACCIONES DEL DIA 12/10/2018 RECURSOS HUMANOS"/>
        <s v="TRANSACCIONES DEL DIA 07/19/2018 RECURSOS HUMANOS"/>
        <s v="TRANSACCIONES DEL DIA 06/05/2018 RECURSOS HUMANOS"/>
        <s v="TRANSACCIONES DEL DIA 06/27/2018 RECURSOS HUMANOS"/>
        <s v="TRANSACCIONES DEL DIA 08/15/2018 RECURSOS HUMANOS"/>
        <s v="TRANSACCIONES DEL DIA 08/07/2018 RECURSOS HUMANOS"/>
        <s v="TRANSACCIONES DEL DIA 11/29/2018 RECURSOS HUMANOS"/>
        <s v="TRANSACCIONES DEL DIA 07/26/2018 RECURSOS HUMANOS"/>
        <s v="TRANSACCIONES DEL DIA 12/14/2018 RECURSOS HUMANOS"/>
        <s v="TRANSACCIONES DEL DIA 08/03/2018 RECURSOS HUMANOS"/>
        <s v="OTROS EGRESOS 1.P.O (OR:1/DES:1 TRN:86 PERF:300086 CAU: 18"/>
        <s v="OTROS EGRESOS 1.P.O (OR:2/DES:2 TRN:86 PERF:300086 CAU: 18"/>
        <s v="OTROS EGRESOS 1.P.O (OR:3/DES:3 TRN:86 PERF:300086 CAU: 18"/>
        <s v="OTROS EGRESOS 1.P.O (OR:4/DES:4 TRN:86 PERF:300086 CAU: 18"/>
        <s v="OTROS EGRESOS 1.P.O (OR:5/DES:5 TRN:86 PERF:300086 CAU: 18"/>
        <s v="OTROS EGRESOS 1.P.O (OR:6/DES:6 TRN:86 PERF:300086 CAU: 18"/>
        <s v="OTROS EGRESOS 1.P.O (OR:7/DES:7 TRN:86 PERF:300086 CAU: 18"/>
        <s v="OTROS EGRESOS 1.P.O (OR:8/DES:8 TRN:86 PERF:300086 CAU: 18"/>
        <s v="TRANSACCIONES DEL DIA 07/28/2018SPYRAL - GESTION ADMINISTRATIVA"/>
        <s v="OTROS EGRESOS 1.P.O (OR:9/DES:9 TRN:86 PERF:300086 CAU: 18"/>
        <s v="TRANSACCIONES DEL DIA 09/27/2018SPYRAL - GESTION ADMINISTRATIVA"/>
        <s v="OTROS EGRESOS 1.P.O (OR:10/DES:10 TRN:86 PERF:300086 CAU: 18"/>
        <s v="TRANSACCIONES DEL DIA 06/01/2018SPYRAL - GESTION ADMINISTRATIVA"/>
        <s v="TRANSACCIONES DEL DIA 07/12/2018SPYRAL - GESTION ADMINISTRATIVA"/>
        <s v="TRANSACCIONES DEL DIA 11/12/2018SPYRAL - GESTION ADMINISTRATIVA"/>
        <s v="TRANSACCIONES DEL DIA 12/18/2018SPYRAL - GESTION ADMINISTRATIVA"/>
        <s v="OTROS EGRESOS 1.P.O (OR:13/DES:13 TRN:86 PERF:300086 CAU: 18"/>
        <s v="OTROS EGRESOS 1.P.O (OR:14/DES:14 TRN:86 PERF:300086 CAU: 18"/>
        <s v="OTROS EGRESOS 1.P.O (OR:15/DES:15 TRN:86 PERF:300086 CAU: 18"/>
        <s v="TRANSACCIONES DEL DIA 08/13/2018SPYRAL - GESTION ADMINISTRATIVA"/>
        <s v="TRANSACCIONES DEL DIA 10/04/2018SPYRAL - GESTION ADMINISTRATIVA"/>
        <s v="TRANSACCIONES DEL DIA 11/29/2018SPYRAL - GESTION ADMINISTRATIVA"/>
        <s v="OTROS EGRESOS 1.P.O (OR:16/DES:16 TRN:86 PERF:300086 CAU: 18"/>
        <s v="OTROS EGRESOS 1.P.O (OR:17/DES:17 TRN:86 PERF:300086 CAU: 18"/>
        <s v="OTROS EGRESOS 1.P.O (OR:18/DES:18 TRN:86 PERF:300086 CAU: 18"/>
        <s v="OTROS EGRESOS 1.P.O (OR:19/DES:19 TRN:86 PERF:300086 CAU: 18"/>
        <s v="OTROS EGRESOS 1.P.O (OR:20/DES:20 TRN:86 PERF:300086 CAU: 18"/>
        <s v="REGISTRO DE ENTRADA DE CAJA"/>
        <s v="OTROS EGRESOS 1.P.O (OR:21/DES:21 TRN:86 PERF:300086 CAU: 18"/>
        <s v="OTROS EGRESOS 1.P.O (OR:22/DES:22 TRN:86 PERF:300086 CAU: 18"/>
        <s v="OTROS EGRESOS 1.P.O (OR:23/DES:23 TRN:86 PERF:300086 CAU: 18"/>
        <s v="OTROS EGRESOS 1.P.O (OR:26/DES:26 TRN:86 PERF:300086 CAU: 18"/>
        <s v="O/ING. EFECTIVO 1.P.O (OR:26/DES:26 TRN:32 PERF:300032E CAU: 18"/>
        <s v="TRANSACCIONES DEL DIA 08/08/2018SPYRAL - GESTION ADMINISTRATIVA"/>
        <s v="OTROS EGRESOS 1.P.O (OR:27/DES:27 TRN:86 PERF:300086 CAU: 18"/>
        <s v="REGISTRO DE ENTRADA DE ADMINISTRACION"/>
        <s v="OTROS EGRESOS 1.P.O (OR:28/DES:28 TRN:86 PERF:300086 CAU: 18"/>
        <s v="OTROS EGRESOS 1.P.O (OR:29/DES:29 TRN:86 PERF:300086 CAU: 18"/>
        <s v="TRANSACCIONES DEL DIA 08/07/2018SPYRAL - GESTION ADMINISTRATIVA"/>
        <s v="TRANSACCIONES DEL DIA 08/09/2018SPYRAL - GESTION ADMINISTRATIVA"/>
        <s v="TRANSACCIONES DEL DIA 10/03/2018SPYRAL - GESTION ADMINISTRATIVA"/>
        <s v="TRANSACCIONES DEL DIA 10/23/2018SPYRAL - GESTION ADMINISTRATIVA"/>
        <s v="OTROS EGRESOS 1.P.O (OR:32/DES:32 TRN:86 PERF:300086 CAU: 18"/>
        <s v="OTROS EGRESOS 1.P.O (OR:33/DES:33 TRN:86 PERF:300086 CAU: 18"/>
        <s v="TRANSACCIONES DEL DIA 06/08/2018SPYRAL - GESTION ADMINISTRATIVA"/>
        <s v="TRANSACCIONES DEL DIA 06/13/2018SPYRAL - GESTION ADMINISTRATIVA"/>
        <s v="TRANSACCIONES DEL DIA 07/26/2018SPYRAL - GESTION ADMINISTRATIVA"/>
        <s v="TRANSACCIONES DEL DIA 08/17/2018SPYRAL - GESTION ADMINISTRATIVA"/>
        <s v="TRANSACCIONES DEL DIA 09/24/2018SPYRAL - GESTION ADMINISTRATIVA"/>
        <s v="TRANSACCIONES DEL DIA 10/15/2018SPYRAL - GESTION ADMINISTRATIVA"/>
        <s v="TRANSACCIONES DEL DIA 11/22/2018SPYRAL - GESTION ADMINISTRATIVA"/>
        <s v="TRANSACCIONES DEL DIA 06/29/2018SPYRAL - GESTION ADMINISTRATIVA"/>
        <s v="TRANSACCIONES DEL DIA 08/16/2018SPYRAL - GESTION ADMINISTRATIVA"/>
        <s v="TRANSACCIONES DEL DIA 09/11/2018SPYRAL - GESTION ADMINISTRATIVA"/>
        <s v="TRANSACCIONES DEL DIA 09/13/2018SPYRAL - GESTION ADMINISTRATIVA"/>
        <s v="TRANSACCIONES DEL DIA 10/01/2018SPYRAL - GESTION ADMINISTRATIVA"/>
        <s v="TRANSACCIONES DEL DIA 10/12/2018SPYRAL - GESTION ADMINISTRATIVA"/>
        <s v="TRANSACCIONES DEL DIA 11/01/2018SPYRAL - GESTION ADMINISTRATIVA"/>
        <s v="TRANSACCIONES DEL DIA 11/13/2018SPYRAL - GESTION ADMINISTRATIVA"/>
        <s v="TRANSACCIONES DEL DIA 09/22/2018SPYRAL - GESTION ADMINISTRATIVA"/>
        <s v="TRANSACCIONES DEL DIA 12/01/2018SPYRAL - GESTION ADMINISTRATIVA"/>
        <s v="TRANSACCIONES DEL DIA 12/13/2018SPYRAL - GESTION ADMINISTRATIVA"/>
        <s v="OTROS EGRESOS 1.P.O (OR:34/DES:34 TRN:86 PERF:300086 CAU: 18"/>
        <s v="OTROS EGRESOS 1.P.O (OR:35/DES:35 TRN:86 PERF:300086 CAU: 18"/>
        <s v="OTROS EGRESOS 1.P.O (OR:37/DES:37 TRN:86 PERF:300086 CAU: 18"/>
        <s v="TRANSACCIONES DEL DIA 07/20/2018SPYRAL - GESTION ADMINISTRATIVA"/>
        <s v="TRANSACCIONES DEL DIA 09/01/2018SPYRAL - GESTION ADMINISTRATIVA"/>
        <s v="TRANSACCIONES DEL DIA 07/25/2018SPYRAL - GESTION ADMINISTRATIVA"/>
        <s v="OTROS EGRESOS 1.P.O (OR:38/DES:38 TRN:86 PERF:300086 CAU: 18"/>
        <s v="TRANSACCIONES DEL DIA 06/05/2018SPYRAL - GESTION ADMINISTRATIVA"/>
        <s v="TRANSACCIONES DEL DIA 07/06/2018SPYRAL - GESTION ADMINISTRATIVA"/>
        <s v="TRANSACCIONES DEL DIA 09/07/2018SPYRAL - GESTION ADMINISTRATIVA"/>
        <s v="TRANSACCIONES DEL DIA 10/08/2018SPYRAL - GESTION ADMINISTRATIVA"/>
        <s v="TRANSACCIONES DEL DIA 12/06/2018SPYRAL - GESTION ADMINISTRATIVA"/>
        <s v="OTROS EGRESOS 1.P.O (OR:39/DES:39 TRN:86 PERF:300086 CAU: 18"/>
        <s v="OTROS EGRESOS 1.P.O (OR:40/DES:40 TRN:86 PERF:300086 CAU: 18"/>
        <s v="TRANSACCIONES DEL DIA 10/26/2018SPYRAL - GESTION ADMINISTRATIVA"/>
        <s v="OTROS EGRESOS 1.P.O (OR:41/DES:41 TRN:86 PERF:300086 CAU: 18"/>
        <s v="TRANSACCIONES DEL DIA 07/30/2018SPYRAL - GESTION ADMINISTRATIVA"/>
        <s v="OTROS EGRESOS 1.P.O (OR:43/DES:43 TRN:86 PERF:300086 CAU: 18"/>
        <s v="OTROS EGRESOS 1.P.O (OR:44/DES:44 TRN:86 PERF:300086 CAU: 18"/>
        <s v="OTROS EGRESOS 1.P.O (OR:46/DES:46 TRN:86 PERF:300086 CAU: 18"/>
        <s v="TRANSACCIONES DEL DIA 09/21/2018SPYRAL - GESTION ADMINISTRATIVA"/>
        <s v="TRANSACCIONES DEL DIA 10/05/2018SPYRAL - GESTION ADMINISTRATIVA"/>
        <s v="OTROS EGRESOS 1.P.O (OR:47/DES:47 TRN:86 PERF:300086 CAU: 18"/>
        <s v="TRANSACCIONES DEL DIA 10/22/2018SPYRAL - GESTION ADMINISTRATIVA"/>
        <s v="TRANSACCIONES DEL DIA 11/19/2018SPYRAL - GESTION ADMINISTRATIVA"/>
        <s v="TRANSACCIONES DEL DIA 11/20/2018SPYRAL - GESTION ADMINISTRATIVA"/>
        <s v="TRANSACCIONES DEL DIA 12/10/2018SPYRAL - GESTION ADMINISTRATIVA"/>
        <s v="TRANSACCIONES DEL DIA 12/12/2018SPYRAL - GESTION ADMINISTRATIVA"/>
        <s v="OTROS EGRESOS 1.P.O (OR:48/DES:48 TRN:86 PERF:300086 CAU: 18"/>
        <s v="TRANSACCIONES DEL DIA 08/02/2018SPYRAL - GESTION ADMINISTRATIVA"/>
        <s v="TRANSACCIONES DEL DIA 08/28/2018SPYRAL - GESTION ADMINISTRATIVA"/>
        <s v="TRANSACCIONES DEL DIA 09/04/2018SPYRAL - GESTION ADMINISTRATIVA"/>
        <s v="TRANSACCIONES DEL DIA 10/11/2018SPYRAL - GESTION ADMINISTRATIVA"/>
        <s v="TRANSACCIONES DEL DIA 10/24/2018SPYRAL - GESTION ADMINISTRATIVA"/>
        <s v="TRANSACCIONES DEL DIA 11/09/2018SPYRAL - GESTION ADMINISTRATIVA"/>
        <s v="OTROS EGRESOS 1.P.O (OR:51/DES:51 TRN:86 PERF:300086 CAU: 18"/>
        <s v="OTROS EGRESOS 1.P.O (OR:53/DES:53 TRN:86 PERF:300086 CAU: 18"/>
        <s v="TRANSACCIONES DEL DIA 08/10/2018SPYRAL - GESTION ADMINISTRATIVA"/>
        <s v="TRANSACCIONES DEL DIA 11/08/2018SPYRAL - GESTION ADMINISTRATIVA"/>
        <s v="TRANSACCIONES DEL DIA 12/04/2018SPYRAL - GESTION ADMINISTRATIVA"/>
        <s v="TRANSACCIONES DEL DIA 08/21/2018SPYRAL - GESTION ADMINISTRATIVA"/>
        <s v="OTROS EGRESOS 1.P.O (OR:69/DES:69 TRN:86 PERF:300086 CAU: 18"/>
        <s v="OTROS EGRESOS 1.P.O (OR:70/DES:70 TRN:86 PERF:300086 CAU: 18"/>
        <s v="OTROS EGRESOS 1.P.O (OR:71/DES:71 TRN:86 PERF:300086 CAU: 18"/>
        <s v="OTROS EGRESOS 1.P.O (OR:72/DES:72 TRN:86 PERF:300086 CAU: 18"/>
        <s v="OTROS EGRESOS 1.P.O (OR:73/DES:73 TRN:86 PERF:300086 CAU: 18"/>
        <s v="TRANSACCIONES DEL DIA 07/24/2018SPYRAL - GESTION ADMINISTRATIVA"/>
        <s v="OTROS EGRESOS 1.P.O (OR:74/DES:74 TRN:86 PERF:300086 CAU: 18"/>
        <s v="OTROS EGRESOS 1.P.O (OR:76/DES:76 TRN:86 PERF:300086 CAU: 18"/>
        <s v="OTROS EGRESOS 1.P.O (OR:77/DES:77 TRN:86 PERF:300086 CAU: 18"/>
        <s v="OTROS EGRESOS 1.P.O (OR:78/DES:78 TRN:86 PERF:300086 CAU: 18"/>
        <s v="OTROS EGRESOS 1.P.O (OR:79/DES:79 TRN:86 PERF:300086 CAU: 18"/>
        <s v="OTROS EGRESOS 1.P.O (OR:89/DES:89 TRN:86 PERF:300086 CAU: 18"/>
        <s v="TRANSACCIONES DEL DIA 06/07/2018SPYRAL - GESTION ADMINISTRATIVA"/>
        <s v="TRANSACCIONES DEL DIA 06/25/2018SPYRAL - GESTION ADMINISTRATIVA"/>
        <s v="TRANSACCIONES DEL DIA 07/17/2018SPYRAL - GESTION ADMINISTRATIVA"/>
        <s v="TRANSACCIONES DEL DIA 08/23/2018SPYRAL - GESTION ADMINISTRATIVA"/>
        <s v="TRANSACCIONES DEL DIA 09/18/2018SPYRAL - GESTION ADMINISTRATIVA"/>
        <s v="TRANSACCIONES DEL DIA 10/17/2018SPYRAL - GESTION ADMINISTRATIVA"/>
        <s v="TRANSACCIONES DEL DIA 12/07/2018SPYRAL - GESTION ADMINISTRATIVA"/>
        <s v="TRANSACCIONES DEL DIA 09/06/2018SPYRAL - GESTION ADMINISTRATIVA"/>
        <s v="TRANSACCIONES DEL DIA 06/16/2018SPYRAL - GESTION ADMINISTRATIVA"/>
        <s v="TRANSACCIONES DEL DIA 07/13/2018SPYRAL - GESTION ADMINISTRATIVA"/>
        <s v="TRANSACCIONES DEL DIA 08/14/2018SPYRAL - GESTION ADMINISTRATIVA"/>
        <s v="TRANSACCIONES DEL DIA 06/27/2018SPYRAL - GESTION ADMINISTRATIVA"/>
        <s v="TRANSACCIONES DEL DIA 08/01/2018SPYRAL - GESTION ADMINISTRATIVA"/>
        <s v="TRANSACCIONES DEL DIA 08/11/2018SPYRAL - GESTION ADMINISTRATIVA"/>
        <s v="TRANSACCIONES DEL DIA 08/24/2018SPYRAL - GESTION ADMINISTRATIVA"/>
        <s v="TRANSACCIONES DEL DIA 09/14/2018SPYRAL - GESTION ADMINISTRATIVA"/>
        <s v="TRANSACCIONES DEL DIA 10/19/2018SPYRAL - GESTION ADMINISTRATIVA"/>
        <s v="TRANSACCIONES DEL DIA 11/16/2018SPYRAL - GESTION ADMINISTRATIVA"/>
        <s v="TRANSACCIONES DEL DIA 11/23/2018SPYRAL - GESTION ADMINISTRATIVA"/>
        <s v="TRANSACCIONES DEL DIA 06/15/2018SPYRAL - GESTION ADMINISTRATIVA"/>
        <s v="TRANSACCIONES DEL DIA 09/17/2018SPYRAL - GESTION ADMINISTRATIVA"/>
        <s v="TRANSACCIONES DEL DIA 09/26/2018SPYRAL - GESTION ADMINISTRATIVA"/>
        <s v="TRANSACCIONES DEL DIA 06/11/2018SPYRAL - GESTION ADMINISTRATIVA"/>
        <s v="TRANSACCIONES DEL DIA 06/20/2018SPYRAL - GESTION ADMINISTRATIVA"/>
        <s v="TRANSACCIONES DEL DIA 08/31/2018SPYRAL - GESTION ADMINISTRATIVA"/>
        <s v="TRANSACCIONES DEL DIA 12/28/2018SPYRAL - GESTION ADMINISTRATIVA"/>
        <s v="TRANSACCIONES DEL DIA 07/27/2018SPYRAL - GESTION ADMINISTRATIVA"/>
        <s v="TRANSACCIONES DEL DIA 12/11/2018SPYRAL - GESTION ADMINISTRATIVA"/>
        <s v="TRANSACCIONES DEL DIA 12/17/2018SPYRAL - GESTION ADMINISTRATIVA"/>
        <s v="TRANSACCIONES DEL DIA 06/02/2018SPYRAL - GESTION ADMINISTRATIVA"/>
        <s v="TRANSACCIONES DEL DIA 06/19/2018SPYRAL - GESTION ADMINISTRATIVA"/>
        <s v="TRANSACCIONES DEL DIA 06/22/2018SPYRAL - GESTION ADMINISTRATIVA"/>
        <s v="TRANSACCIONES DEL DIA 06/26/2018SPYRAL - GESTION ADMINISTRATIVA"/>
        <s v="TRANSACCIONES DEL DIA 07/03/2018SPYRAL - GESTION ADMINISTRATIVA"/>
        <s v="TRANSACCIONES DEL DIA 08/18/2018SPYRAL - GESTION ADMINISTRATIVA"/>
        <s v="TRANSACCIONES DEL DIA 08/22/2018SPYRAL - GESTION ADMINISTRATIVA"/>
        <s v="TRANSACCIONES DEL DIA 09/05/2018SPYRAL - GESTION ADMINISTRATIVA"/>
        <s v="TRANSACCIONES DEL DIA 09/20/2018SPYRAL - GESTION ADMINISTRATIVA"/>
        <s v="TRANSACCIONES DEL DIA 10/02/2018SPYRAL - GESTION ADMINISTRATIVA"/>
        <s v="TRANSACCIONES DEL DIA 10/13/2018SPYRAL - GESTION ADMINISTRATIVA"/>
        <s v="TRANSACCIONES DEL DIA 10/16/2018SPYRAL - GESTION ADMINISTRATIVA"/>
        <s v="TRANSACCIONES DEL DIA 10/18/2018SPYRAL - GESTION ADMINISTRATIVA"/>
        <s v="TRANSACCIONES DEL DIA 10/27/2018SPYRAL - GESTION ADMINISTRATIVA"/>
        <s v="TRANSACCIONES DEL DIA 11/02/2018SPYRAL - GESTION ADMINISTRATIVA"/>
        <s v="TRANSACCIONES DEL DIA 11/07/2018SPYRAL - GESTION ADMINISTRATIVA"/>
        <s v="TRANSACCIONES DEL DIA 11/15/2018SPYRAL - GESTION ADMINISTRATIVA"/>
        <s v="TRANSACCIONES DEL DIA 11/21/2018SPYRAL - GESTION ADMINISTRATIVA"/>
        <s v="TRANSACCIONES DEL DIA 12/05/2018SPYRAL - GESTION ADMINISTRATIVA"/>
        <s v="TRANSACCIONES DEL DIA 12/19/2018SPYRAL - GESTION ADMINISTRATIVA"/>
        <s v="TRANSACCIONES DEL DIA 12/26/2018SPYRAL - GESTION ADMINISTRATIVA"/>
        <s v="TRANSACCIONES DEL DIA 07/09/2018SPYRAL - GESTION ADMINISTRATIVA"/>
        <s v="TRANSACCIONES DEL DIA 07/04/2018SPYRAL - GESTION ADMINISTRATIVA"/>
        <s v="TRANSACCIONES DEL DIA 08/29/2018SPYRAL - GESTION ADMINISTRATIVA"/>
        <s v="TRANSACCIONES DEL DIA 09/08/2018SPYRAL - GESTION ADMINISTRATIVA"/>
        <s v="TRANSACCIONES DEL DIA 11/24/2018SPYRAL - GESTION ADMINISTRATIVA"/>
        <s v="TRANSACCIONES DEL DIA 12/24/2018SPYRAL - GESTION ADMINISTRATIVA"/>
        <s v="TRANSACCIONES DEL DIA 07/14/2018SPYRAL - GESTION ADMINISTRATIVA"/>
        <s v="TRANSACCIONES DEL DIA 08/30/2018SPYRAL - GESTION ADMINISTRATIVA"/>
        <s v="TRANSACCIONES DEL DIA 10/10/2018SPYRAL - GESTION ADMINISTRATIVA"/>
        <s v="TRANSACCIONES DEL DIA 12/27/2018SPYRAL - GESTION ADMINISTRATIVA"/>
        <s v="TRANSACCIONES DEL DIA 09/25/2018SPYRAL - GESTION ADMINISTRATIVA"/>
        <s v="TRANSACCIONES DEL DIA 07/23/2018SPYRAL - GESTION ADMINISTRATIVA"/>
        <s v="TRANSACCIONES DEL DIA 06/12/2018SPYRAL - GESTION ADMINISTRATIVA"/>
        <s v="TRANSACCIONES DEL DIA 06/14/2018SPYRAL - GESTION ADMINISTRATIVA"/>
        <s v="TRANSACCIONES DEL DIA 06/21/2018SPYRAL - GESTION ADMINISTRATIVA"/>
        <s v="TRANSACCIONES DEL DIA 06/28/2018SPYRAL - GESTION ADMINISTRATIVA"/>
        <s v="TRANSACCIONES DEL DIA 09/19/2018SPYRAL - GESTION ADMINISTRATIVA"/>
        <s v="TRANSACCIONES DEL DIA 11/30/2018SPYRAL - GESTION ADMINISTRATIVA"/>
        <s v="TRANSACCIONES DEL DIA 12/21/2018SPYRAL - GESTION ADMINISTRATIVA"/>
        <s v="TRANSACCIONES DEL DIA 12/22/2018SPYRAL - GESTION ADMINISTRATIVA"/>
        <s v="TRANSACCIONES DEL DIA 06/18/2018SPYRAL - GESTION ADMINISTRATIVA"/>
        <s v="TRANSACCIONES DEL DIA 09/28/2018SPYRAL - GESTION ADMINISTRATIVA"/>
        <s v="TRANSACCIONES DEL DIA 12/14/2018SPYRAL - GESTION ADMINISTRATIVA"/>
        <s v="TRANSACCIONES DEL DIA 10/09/2018SPYRAL - GESTION ADMINISTRATIVA"/>
        <s v="TRANSACCIONES DEL DIA 11/06/2018SPYRAL - GESTION ADMINISTRATIVA"/>
        <s v="TRANSACCIONES DEL DIA 11/27/2018SPYRAL - GESTION ADMINISTRATIVA"/>
        <s v="TRANSACCIONES DEL DIA 12/03/2018SPYRAL - GESTION ADMINISTRATIVA"/>
        <s v="TRANSACCIONES DEL DIA 07/19/2018SPYRAL - GESTION ADMINISTRATIVA"/>
        <s v="TRANSACCIONES DEL DIA 10/29/2018SPYRAL - GESTION ADMINISTRATIVA"/>
        <s v="TRANSACCIONES DEL DIA 07/05/2018SPYRAL - GESTION ADMINISTRATIVA"/>
        <s v="TRANSACCIONES DEL DIA 08/15/2018SPYRAL - GESTION ADMINISTRATIVA"/>
        <s v="TRANSACCIONES DEL DIA 08/20/2018SPYRAL - GESTION ADMINISTRATIVA"/>
        <s v="TRANSACCIONES DEL DIA 08/03/2018SPYRAL - GESTION ADMINISTRATIVA"/>
        <s v="TRANSACCIONES DEL DIA 09/03/2018SPYRAL - GESTION ADMINISTRATIVA"/>
        <s v="TRANSACCIONES DEL DIA 06/06/2018SPYRAL - GESTION ADMINISTRATIVA"/>
        <s v="TRANSACCIONES DEL DIA 07/02/2018SPYRAL - GESTION ADMINISTRATIVA"/>
        <s v="TRANSACCIONES DEL DIA 11/14/2018SPYRAL - GESTION ADMINISTRATIVA"/>
        <s v="TRANSACCIONES DEL DIA 07/21/2018SPYRAL - GESTION ADMINISTRATIVA"/>
        <s v="OTROS EGRESOS 1.P.O (OR:95/DES:95 TRN:86 PERF:300086 CAU: 18"/>
        <s v="OTROS EGRESOS 1.P.O (OR:97/DES:97 TRN:86 PERF:300086 CAU: 18"/>
        <s v="OTROS EGRESOS 1.P.O (OR:99/DES:99 TRN:86 PERF:300086 CAU: 18"/>
        <s v="OTROS EGRESOS 1.P.O (OR:101/DES:101 TRN:86 PERF:300086 CAU: 18"/>
        <s v="OTROS EGRESOS 1.P.O (OR:102/DES:102 TRN:86 PERF:300086 CAU: 18"/>
        <s v="OTROS EGRESOS 1.P.O (OR:103/DES:103 TRN:86 PERF:300086 CAU: 18"/>
        <s v="OTROS EGRESOS 1.P.O (OR:125/DES:125 TRN:86 PERF:300086 CAU: 18"/>
        <s v="OTROS EGRESOS 1.P.O (OR:131/DES:131 TRN:86 PERF:300086 CAU: 18"/>
        <s v="O/ING. EFECTIVO 1.P.O (OR:131/DES:131 TRN:32 PERF:300032E CAU: 1"/>
        <s v="PARA REGISTRAR CAJA"/>
        <s v="OTROS EGRESOS 1.P.O (OR:162/DES:162 TRN:86 PERF:300086 CAU: 18"/>
        <s v="OTROS EGRESOS 1.P.O (OR:164/DES:164 TRN:86 PERF:300086 CAU: 18"/>
        <s v="OTROS EGRESOS 1.P.O (OR:165/DES:165 TRN:86 PERF:300086 CAU: 18"/>
        <s v="OTROS EGRESOS 1.P.O (OR:196/DES:196 TRN:86 PERF:300086 CAU: 18"/>
        <s v="TRANSACCIONES DEL DIA 12/20/2018SPYRAL - GESTION ADMINISTRATIVA"/>
        <s v="TRANSACCIONES DEL DIA 07/18/2018SPYRAL - GESTION ADMINISTRATIVA"/>
        <s v="TRANSACCIONES DEL DIA 08/25/2018SPYRAL - GESTION ADMINISTRATIVA"/>
        <s v="TRANSACCIONES DEL DIA 08/06/2018SPYRAL - GESTION ADMINISTRATIVA"/>
        <s v="TRANSACCIONES DEL DIA 08/27/2018SPYRAL - GESTION ADMINISTRATIVA"/>
        <s v="TRANSACCIONES DEL DIA 11/26/2018SPYRAL - GESTION ADMINISTRATIVA"/>
        <s v="TRANSACCIONES DEL DIA 09/10/2018SPYRAL - GESTION ADMINISTRATIVA"/>
        <s v="TRANSACCIONES DEL DIA 09/12/2018SPYRAL - GESTION ADMINISTRATIVA"/>
        <s v="TRANSACCIONES DEL DIA 07/16/2018SPYRAL - GESTION ADMINISTRATIVA"/>
        <s v="TRANSACCIONES DEL DIA 07/31/2018SPYRAL - GESTION ADMINISTRATIVA"/>
        <s v="OTROS EGRESOS 1.P.O (OR:53/DES:53 TRN:86 PERF:300086 CAU: 17"/>
        <s v="TRANSACCIONES DEL DIA 06/04/2018SPYRAL - GESTION ADMINISTRATIVA"/>
        <s v="CORRECCION REG.20/07/2018 CENA"/>
        <s v="TRANSACCIONES DEL DIA 06/23/2018SPYRAL - GESTION ADMINISTRATIVA"/>
        <s v="TRANSACCIONES DEL DIA 07/10/2018SPYRAL - GESTION ADMINISTRATIVA"/>
        <s v="TRANSACCIONES DEL DIA 07/11/2018SPYRAL - GESTION ADMINISTRATIVA"/>
        <s v="TRANSACCIONES DEL DIA 01/25/2019 RECURSOS HUMANOS"/>
        <s v="TRANSACCIONES DEL DIA 02/09/2019 RECURSOS HUMANOS"/>
        <s v="TRANSACCIONES DEL DIA 02/25/2019 RECURSOS HUMANOS"/>
        <s v="TRANSACCIONES DEL DIA 07/25/2019 RECURSOS HUMANOS"/>
        <s v="TRANSACCIONES DEL DIA 03/09/2019 RECURSOS HUMANOS"/>
        <s v="TRANSACCIONES DEL DIA 04/25/2019 RECURSOS HUMANOS"/>
        <s v="TRANSACCIONES DEL DIA 05/10/2019 RECURSOS HUMANOS"/>
        <s v="TRANSACCIONES DEL DIA 03/25/2019 RECURSOS HUMANOS"/>
        <s v="TRANSACCIONES DEL DIA 01/10/2019 RECURSOS HUMANOS"/>
        <s v="TRANSACCIONES DEL DIA 04/10/2019 RECURSOS HUMANOS"/>
        <s v="TRANSACCIONES DEL DIA 05/25/2019 RECURSOS HUMANOS"/>
        <s v="TRANSACCIONES DEL DIA 06/10/2019 RECURSOS HUMANOS"/>
        <s v="TRANSACCIONES DEL DIA 06/25/2019 RECURSOS HUMANOS"/>
        <s v="TRANSACCIONES DEL DIA 07/10/2019 RECURSOS HUMANOS"/>
        <s v="TRANSACCIONES DEL DIA 02/27/2019 RECURSOS HUMANOS"/>
        <s v="TRANSACCIONES DEL DIA 04/16/2019 RECURSOS HUMANOS"/>
        <s v="TRANSACCIONES DEL DIA 05/07/2019 RECURSOS HUMANOS"/>
        <s v="TRANSACCIONES DEL DIA 07/19/2019 RECURSOS HUMANOS"/>
        <s v="TRANSACCIONES DEL DIA 04/29/2019 RECURSOS HUMANOS"/>
        <s v="TRANSACCIONES DEL DIA 07/29/2019 RECURSOS HUMANOS"/>
        <s v="TRANSACCIONES DEL DIA 07/30/2019 RECURSOS HUMANOS"/>
        <s v="TRANSACCIONES DEL DIA 02/04/2019 RECURSOS HUMANOS"/>
        <s v="TRANSACCIONES DEL DIA 05/17/2019 RECURSOS HUMANOS"/>
        <s v="TRANSACCIONES DEL DIA 03/12/2019 RECURSOS HUMANOS"/>
        <s v="TRANSACCIONES DEL DIA 07/26/2019SPYRAL - GESTION ADMINISTRATIVA"/>
        <s v="TRANSACCIONES DEL DIA 07/25/2019SPYRAL - GESTION ADMINISTRATIVA"/>
        <s v="TRANSACCIONES DEL DIA 03/29/2019SPYRAL - GESTION ADMINISTRATIVA"/>
        <s v="TRANSACCIONES DEL DIA 01/18/2019SPYRAL - GESTION ADMINISTRATIVA"/>
        <s v="TRANSACCIONES DEL DIA 02/18/2019SPYRAL - GESTION ADMINISTRATIVA"/>
        <s v="TRANSACCIONES DEL DIA 03/20/2019SPYRAL - GESTION ADMINISTRATIVA"/>
        <s v="TRANSACCIONES DEL DIA 06/27/2019SPYRAL - GESTION ADMINISTRATIVA"/>
        <s v="TRANSACCIONES DEL DIA 07/15/2019SPYRAL - GESTION ADMINISTRATIVA"/>
        <s v="TRANSACCIONES DEL DIA 02/05/2019SPYRAL - GESTION ADMINISTRATIVA"/>
        <s v="TRANSACCIONES DEL DIA 04/15/2019SPYRAL - GESTION ADMINISTRATIVA"/>
        <s v="TRANSACCIONES DEL DIA 02/01/2019SPYRAL - GESTION ADMINISTRATIVA"/>
        <s v="TRANSACCIONES DEL DIA 01/24/2019SPYRAL - GESTION ADMINISTRATIVA"/>
        <s v="TRANSACCIONES DEL DIA 03/27/2019SPYRAL - GESTION ADMINISTRATIVA"/>
        <s v="TRANSACCIONES DEL DIA 05/20/2019SPYRAL - GESTION ADMINISTRATIVA"/>
        <s v="TRANSACCIONES DEL DIA 06/15/2019SPYRAL - GESTION ADMINISTRATIVA"/>
        <s v="TRANSACCIONES DEL DIA 02/27/2019SPYRAL - GESTION ADMINISTRATIVA"/>
        <s v="TRANSACCIONES DEL DIA 04/02/2019SPYRAL - GESTION ADMINISTRATIVA"/>
        <s v="TRANSACCIONES DEL DIA 04/26/2019SPYRAL - GESTION ADMINISTRATIVA"/>
        <s v="TRANSACCIONES DEL DIA 01/16/2019SPYRAL - GESTION ADMINISTRATIVA"/>
        <s v="TRANSACCIONES DEL DIA 02/04/2019SPYRAL - GESTION ADMINISTRATIVA"/>
        <s v="TRANSACCIONES DEL DIA 02/06/2019SPYRAL - GESTION ADMINISTRATIVA"/>
        <s v="TRANSACCIONES DEL DIA 03/13/2019SPYRAL - GESTION ADMINISTRATIVA"/>
        <s v="TRANSACCIONES DEL DIA 03/28/2019SPYRAL - GESTION ADMINISTRATIVA"/>
        <s v="TRANSACCIONES DEL DIA 04/22/2019SPYRAL - GESTION ADMINISTRATIVA"/>
        <s v="TRANSACCIONES DEL DIA 05/21/2019SPYRAL - GESTION ADMINISTRATIVA"/>
        <s v="TRANSACCIONES DEL DIA 05/27/2019SPYRAL - GESTION ADMINISTRATIVA"/>
        <s v="TRANSACCIONES DEL DIA 05/29/2019SPYRAL - GESTION ADMINISTRATIVA"/>
        <s v="TRANSACCIONES DEL DIA 03/23/2019SPYRAL - GESTION ADMINISTRATIVA"/>
        <s v="TRANSACCIONES DEL DIA 05/09/2019SPYRAL - GESTION ADMINISTRATIVA"/>
        <s v="TRANSACCIONES DEL DIA 06/11/2019SPYRAL - GESTION ADMINISTRATIVA"/>
        <s v="TRANSACCIONES DEL DIA 07/02/2019SPYRAL - GESTION ADMINISTRATIVA"/>
        <s v="TRANSACCIONES DEL DIA 07/13/2019SPYRAL - GESTION ADMINISTRATIVA"/>
        <s v="TRANSACCIONES DEL DIA 07/17/2019SPYRAL - GESTION ADMINISTRATIVA"/>
        <s v="TRANSACCIONES DEL DIA 04/30/2019SPYRAL - GESTION ADMINISTRATIVA"/>
        <s v="TRANSACCIONES DEL DIA 05/16/2019SPYRAL - GESTION ADMINISTRATIVA"/>
        <s v="TRANSACCIONES DEL DIA 06/01/2019SPYRAL - GESTION ADMINISTRATIVA"/>
        <s v="TRANSACCIONES DEL DIA 07/16/2019SPYRAL - GESTION ADMINISTRATIVA"/>
        <s v="TRANSACCIONES DEL DIA 07/30/2019SPYRAL - GESTION ADMINISTRATIVA"/>
        <s v="TRANSACCIONES DEL DIA 04/04/2019SPYRAL - GESTION ADMINISTRATIVA"/>
        <s v="TRANSACCIONES DEL DIA 02/13/2019SPYRAL - GESTION ADMINISTRATIVA"/>
        <s v="TRANSACCIONES DEL DIA 04/16/2019SPYRAL - GESTION ADMINISTRATIVA"/>
        <s v="TRANSACCIONES DEL DIA 06/04/2019SPYRAL - GESTION ADMINISTRATIVA"/>
        <s v="TRANSACCIONES DEL DIA 07/05/2019SPYRAL - GESTION ADMINISTRATIVA"/>
        <s v="TRANSACCIONES DEL DIA 05/18/2019SPYRAL - GESTION ADMINISTRATIVA"/>
        <s v="TRANSACCIONES DEL DIA 01/03/2019SPYRAL - GESTION ADMINISTRATIVA"/>
        <s v="TRANSACCIONES DEL DIA 02/08/2019SPYRAL - GESTION ADMINISTRATIVA"/>
        <s v="TRANSACCIONES DEL DIA 03/11/2019SPYRAL - GESTION ADMINISTRATIVA"/>
        <s v="TRANSACCIONES DEL DIA 05/07/2019SPYRAL - GESTION ADMINISTRATIVA"/>
        <s v="TRANSACCIONES DEL DIA 06/22/2019SPYRAL - GESTION ADMINISTRATIVA"/>
        <s v="TRANSACCIONES DEL DIA 06/25/2019SPYRAL - GESTION ADMINISTRATIVA"/>
        <s v="TRANSACCIONES DEL DIA 07/09/2019SPYRAL - GESTION ADMINISTRATIVA"/>
        <s v="TRANSACCIONES DEL DIA 06/14/2019SPYRAL - GESTION ADMINISTRATIVA"/>
        <s v="TRANSACCIONES DEL DIA 01/02/2019SPYRAL - GESTION ADMINISTRATIVA"/>
        <s v="TRANSACCIONES DEL DIA 01/15/2019SPYRAL - GESTION ADMINISTRATIVA"/>
        <s v="TRANSACCIONES DEL DIA 04/05/2019SPYRAL - GESTION ADMINISTRATIVA"/>
        <s v="TRANSACCIONES DEL DIA 03/01/2019SPYRAL - GESTION ADMINISTRATIVA"/>
        <s v="TRANSACCIONES DEL DIA 03/14/2019SPYRAL - GESTION ADMINISTRATIVA"/>
        <s v="TRANSACCIONES DEL DIA 04/01/2019SPYRAL - GESTION ADMINISTRATIVA"/>
        <s v="TRANSACCIONES DEL DIA 04/12/2019SPYRAL - GESTION ADMINISTRATIVA"/>
        <s v="OTROS EGRESOS 1.P.O (OR:42/DES:42 TRN:86 PERF:300086 CAU: 18"/>
        <s v="TRANSACCIONES DEL DIA 07/20/2019SPYRAL - GESTION ADMINISTRATIVA"/>
        <s v="TRANSACCIONES DEL DIA 07/29/2019SPYRAL - GESTION ADMINISTRATIVA"/>
        <s v="OTROS EGRESOS 1.P.O (OR:45/DES:45 TRN:86 PERF:300086 CAU: 18"/>
        <s v="TRANSACCIONES DEL DIA 04/24/2019SPYRAL - GESTION ADMINISTRATIVA"/>
        <s v="TRANSACCIONES DEL DIA 04/29/2019SPYRAL - GESTION ADMINISTRATIVA"/>
        <s v="TRANSACCIONES DEL DIA 05/10/2019SPYRAL - GESTION ADMINISTRATIVA"/>
        <s v="TRANSACCIONES DEL DIA 06/06/2019SPYRAL - GESTION ADMINISTRATIVA"/>
        <s v="TRANSACCIONES DEL DIA 06/20/2019SPYRAL - GESTION ADMINISTRATIVA"/>
        <s v="TRANSACCIONES DEL DIA 01/08/2019SPYRAL - GESTION ADMINISTRATIVA"/>
        <s v="TRANSACCIONES DEL DIA 02/26/2019SPYRAL - GESTION ADMINISTRATIVA"/>
        <s v="TRANSACCIONES DEL DIA 05/03/2019SPYRAL - GESTION ADMINISTRATIVA"/>
        <s v="TRANSACCIONES DEL DIA 03/08/2019SPYRAL - GESTION ADMINISTRATIVA"/>
        <s v="TRANSACCIONES DEL DIA 03/25/2019SPYRAL - GESTION ADMINISTRATIVA"/>
        <s v="TRANSACCIONES DEL DIA 05/22/2019SPYRAL - GESTION ADMINISTRATIVA"/>
        <s v="TRANSACCIONES DEL DIA 01/11/2019SPYRAL - GESTION ADMINISTRATIVA"/>
        <s v="OTROS EGRESOS 1.P.O (OR:66/DES:66 TRN:86 PERF:300086 CAU: 18"/>
        <s v="OTROS EGRESOS 1.P.O (OR:68/DES:68 TRN:86 PERF:300086 CAU: 18"/>
        <s v="TRANSACCIONES DEL DIA 05/06/2019SPYRAL - GESTION ADMINISTRATIVA"/>
        <s v="TRANSACCIONES DEL DIA 05/15/2019SPYRAL - GESTION ADMINISTRATIVA"/>
        <s v="TRANSACCIONES DEL DIA 05/08/2019SPYRAL - GESTION ADMINISTRATIVA"/>
        <s v="TRANSACCIONES DEL DIA 05/14/2019SPYRAL - GESTION ADMINISTRATIVA"/>
        <s v="TRANSACCIONES DEL DIA 05/25/2019SPYRAL - GESTION ADMINISTRATIVA"/>
        <s v="TRANSACCIONES DEL DIA 06/13/2019SPYRAL - GESTION ADMINISTRATIVA"/>
        <s v="OTROS EGRESOS 1.P.O (OR:80/DES:80 TRN:86 PERF:300086 CAU: 18"/>
        <s v="CORRECCION DE REGISTRO DE VIATICO MAL POSTEADO"/>
        <s v="TRANSACCIONES DEL DIA 01/19/2019SPYRAL - GESTION ADMINISTRATIVA"/>
        <s v="TRANSACCIONES DEL DIA 02/15/2019SPYRAL - GESTION ADMINISTRATIVA"/>
        <s v="TRANSACCIONES DEL DIA 03/22/2019SPYRAL - GESTION ADMINISTRATIVA"/>
        <s v="TRANSACCIONES DEL DIA 05/17/2019SPYRAL - GESTION ADMINISTRATIVA"/>
        <s v="TRANSACCIONES DEL DIA 07/12/2019SPYRAL - GESTION ADMINISTRATIVA"/>
        <s v="TRANSACCIONES DEL DIA 07/18/2019SPYRAL - GESTION ADMINISTRATIVA"/>
        <s v="TRANSACCIONES DEL DIA 07/11/2019SPYRAL - GESTION ADMINISTRATIVA"/>
        <s v="TRANSACCIONES DEL DIA 02/14/2019SPYRAL - GESTION ADMINISTRATIVA"/>
        <s v="TRANSACCIONES DEL DIA 02/19/2019SPYRAL - GESTION ADMINISTRATIVA"/>
        <s v="TRANSACCIONES DEL DIA 02/20/2019SPYRAL - GESTION ADMINISTRATIVA"/>
        <s v="TRANSACCIONES DEL DIA 02/21/2019SPYRAL - GESTION ADMINISTRATIVA"/>
        <s v="TRANSACCIONES DEL DIA 02/22/2019SPYRAL - GESTION ADMINISTRATIVA"/>
        <s v="TRANSACCIONES DEL DIA 02/25/2019SPYRAL - GESTION ADMINISTRATIVA"/>
        <s v="TRANSACCIONES DEL DIA 03/15/2019SPYRAL - GESTION ADMINISTRATIVA"/>
        <s v="TRANSACCIONES DEL DIA 04/17/2019SPYRAL - GESTION ADMINISTRATIVA"/>
        <s v="TRANSACCIONES DEL DIA 05/24/2019SPYRAL - GESTION ADMINISTRATIVA"/>
        <s v="TRANSACCIONES DEL DIA 05/30/2019SPYRAL - GESTION ADMINISTRATIVA"/>
        <s v="TRANSACCIONES DEL DIA 06/07/2019SPYRAL - GESTION ADMINISTRATIVA"/>
        <s v="TRANSACCIONES DEL DIA 06/08/2019SPYRAL - GESTION ADMINISTRATIVA"/>
        <s v="TRANSACCIONES DEL DIA 06/21/2019SPYRAL - GESTION ADMINISTRATIVA"/>
        <s v="TRANSACCIONES DEL DIA 07/08/2019SPYRAL - GESTION ADMINISTRATIVA"/>
        <s v="TRANSACCIONES DEL DIA 01/04/2019SPYRAL - GESTION ADMINISTRATIVA"/>
        <s v="TRANSACCIONES DEL DIA 02/12/2019SPYRAL - GESTION ADMINISTRATIVA"/>
        <s v="TRANSACCIONES DEL DIA 03/09/2019SPYRAL - GESTION ADMINISTRATIVA"/>
        <s v="TRANSACCIONES DEL DIA 03/12/2019SPYRAL - GESTION ADMINISTRATIVA"/>
        <s v="TRANSACCIONES DEL DIA 03/26/2019SPYRAL - GESTION ADMINISTRATIVA"/>
        <s v="TRANSACCIONES DEL DIA 06/10/2019SPYRAL - GESTION ADMINISTRATIVA"/>
        <s v="TRANSACCIONES DEL DIA 06/26/2019SPYRAL - GESTION ADMINISTRATIVA"/>
        <s v="TRANSACCIONES DEL DIA 06/28/2019SPYRAL - GESTION ADMINISTRATIVA"/>
        <s v="TRANSACCIONES DEL DIA 07/03/2019SPYRAL - GESTION ADMINISTRATIVA"/>
        <s v="TRANSACCIONES DEL DIA 01/17/2019SPYRAL - GESTION ADMINISTRATIVA"/>
        <s v="TRANSACCIONES DEL DIA 01/22/2019SPYRAL - GESTION ADMINISTRATIVA"/>
        <s v="TRANSACCIONES DEL DIA 02/11/2019SPYRAL - GESTION ADMINISTRATIVA"/>
        <s v="TRANSACCIONES DEL DIA 03/07/2019SPYRAL - GESTION ADMINISTRATIVA"/>
        <s v="TRANSACCIONES DEL DIA 03/16/2019SPYRAL - GESTION ADMINISTRATIVA"/>
        <s v="TRANSACCIONES DEL DIA 04/06/2019SPYRAL - GESTION ADMINISTRATIVA"/>
        <s v="TRANSACCIONES DEL DIA 04/08/2019SPYRAL - GESTION ADMINISTRATIVA"/>
        <s v="TRANSACCIONES DEL DIA 05/02/2019SPYRAL - GESTION ADMINISTRATIVA"/>
        <s v="TRANSACCIONES DEL DIA 05/28/2019SPYRAL - GESTION ADMINISTRATIVA"/>
        <s v="TRANSACCIONES DEL DIA 06/03/2019SPYRAL - GESTION ADMINISTRATIVA"/>
        <s v="TRANSACCIONES DEL DIA 06/05/2019SPYRAL - GESTION ADMINISTRATIVA"/>
        <s v="TRANSACCIONES DEL DIA 07/19/2019SPYRAL - GESTION ADMINISTRATIVA"/>
        <s v="TRANSACCIONES DEL DIA 07/23/2019SPYRAL - GESTION ADMINISTRATIVA"/>
        <s v="TRANSACCIONES DEL DIA 07/04/2019SPYRAL - GESTION ADMINISTRATIVA"/>
        <s v="TRANSACCIONES DEL DIA 06/18/2019SPYRAL - GESTION ADMINISTRATIVA"/>
        <s v="TRANSACCIONES DEL DIA 04/11/2019SPYRAL - GESTION ADMINISTRATIVA"/>
        <s v="TRANSACCIONES DEL DIA 04/25/2019SPYRAL - GESTION ADMINISTRATIVA"/>
        <s v="TRANSACCIONES DEL DIA 07/10/2019SPYRAL - GESTION ADMINISTRATIVA"/>
        <s v="TRANSACCIONES DEL DIA 06/24/2019SPYRAL - GESTION ADMINISTRATIVA"/>
        <s v="TRANSACCIONES DEL DIA 01/10/2019SPYRAL - GESTION ADMINISTRATIVA"/>
        <s v="TRANSACCIONES DEL DIA 01/14/2019SPYRAL - GESTION ADMINISTRATIVA"/>
        <s v="TRANSACCIONES DEL DIA 01/29/2019SPYRAL - GESTION ADMINISTRATIVA"/>
        <s v="TRANSACCIONES DEL DIA 01/30/2019SPYRAL - GESTION ADMINISTRATIVA"/>
        <s v="TRANSACCIONES DEL DIA 04/09/2019SPYRAL - GESTION ADMINISTRATIVA"/>
        <s v="TRANSACCIONES DEL DIA 04/13/2019SPYRAL - GESTION ADMINISTRATIVA"/>
        <s v="TRANSACCIONES DEL DIA 05/04/2019SPYRAL - GESTION ADMINISTRATIVA"/>
        <s v="TRANSACCIONES DEL DIA 05/13/2019SPYRAL - GESTION ADMINISTRATIVA"/>
        <s v="TRANSACCIONES DEL DIA 02/07/2019SPYRAL - GESTION ADMINISTRATIVA"/>
        <s v="TRANSACCIONES DEL DIA 03/06/2019SPYRAL - GESTION ADMINISTRATIVA"/>
        <s v="TRANSACCIONES DEL DIA 03/21/2019SPYRAL - GESTION ADMINISTRATIVA"/>
        <s v="TRANSACCIONES DEL DIA 07/24/2019SPYRAL - GESTION ADMINISTRATIVA"/>
        <s v="TRANSACCIONES DEL DIA 04/18/2019SPYRAL - GESTION ADMINISTRATIVA"/>
        <s v="TRANSACCIONES DEL DIA 01/21/2019SPYRAL - GESTION ADMINISTRATIVA"/>
        <s v="TRANSACCIONES DEL DIA 01/25/2019SPYRAL - GESTION ADMINISTRATIVA"/>
        <s v="TRANSACCIONES DEL DIA 02/02/2019SPYRAL - GESTION ADMINISTRATIVA"/>
        <s v="TRANSACCIONES DEL DIA 02/09/2019SPYRAL - GESTION ADMINISTRATIVA"/>
        <s v="TRANSACCIONES DEL DIA 03/18/2019SPYRAL - GESTION ADMINISTRATIVA"/>
        <s v="TRANSACCIONES DEL DIA 04/23/2019SPYRAL - GESTION ADMINISTRATIVA"/>
        <s v="TRANSACCIONES DEL DIA 06/19/2019SPYRAL - GESTION ADMINISTRATIVA"/>
        <s v="TRANSACCIONES DEL DIA 03/19/2019SPYRAL - GESTION ADMINISTRATIVA"/>
        <s v="TRANSACCIONES DEL DIA 04/03/2019SPYRAL - GESTION ADMINISTRATIVA"/>
        <s v="TRANSACCIONES DEL DIA 01/28/2019SPYRAL - GESTION ADMINISTRATIVA"/>
        <s v="TRANSACCIONES DEL DIA 02/16/2019SPYRAL - GESTION ADMINISTRATIVA"/>
        <s v="TRANSACCIONES DEL DIA 01/07/2019SPYRAL - GESTION ADMINISTRATIVA"/>
        <s v="TRANSACCIONES DEL DIA 05/23/2019SPYRAL - GESTION ADMINISTRATIVA"/>
        <s v="TRANSACCIONES DEL DIA 06/12/2019SPYRAL - GESTION ADMINISTRATIVA"/>
        <s v="TRANSACCIONES DEL DIA 06/17/2019SPYRAL - GESTION ADMINISTRATIVA"/>
        <s v="OTROS EGRESOS 1.P.O (OR:98/DES:98 TRN:86 PERF:300086 CAU: 18"/>
        <s v="OTROS EGRESOS 1.P.O (OR:154/DES:154 TRN:86 PERF:300086 CAU: 18"/>
        <s v="OTROS EGRESOS 1.P.O (OR:157/DES:157 TRN:86 PERF:300086 CAU: 18"/>
        <s v="CORRECCION DE RECHAZOS EN LA INTERFAZ CONTABLE"/>
        <s v="TRANSACCIONES DEL DIA 07/27/2019SPYRAL - GESTION ADMINISTRATIVA"/>
        <s v="TRANSACCIONES DEL DIA 01/23/2019SPYRAL - GESTION ADMINISTRATIVA"/>
        <s v="TRANSACCIONES DEL DIA 01/31/2019SPYRAL - GESTION ADMINISTRATIVA"/>
        <s v="TRANSACCIONES DEL DIA 01/05/2019SPYRAL - GESTION ADMINISTRATIVA"/>
        <s v="TRANSACCIONES DEL DIA 07/22/2019SPYRAL - GESTION ADMINISTRATIVA"/>
        <s v="TRANSACCIONES DEL DIA 04/10/2019SPYRAL - GESTION ADMINISTRATIVA"/>
        <s v="OTROS EGRESOS 1.P.O (OR:54/DES:54 TRN:86 PERF:300086 CAU: 17"/>
        <s v="OTROS EGRESOS 1.P.O (OR:162/DES:162 TRN:86 PERF:300086 CAU: 17"/>
        <s v="PROVISION CUENTA DE RECONOCIMIENTOS"/>
        <s v="REVERSION PROVISION CUENTA DE RECONOCIMIENTOS"/>
      </sharedItems>
    </cacheField>
    <cacheField name="Debito" numFmtId="0">
      <sharedItems containsSemiMixedTypes="0" containsString="0" containsNumber="1" minValue="0" maxValue="48000" count="3565">
        <n v="15.46"/>
        <n v="0"/>
        <n v="24.18"/>
        <n v="55.37"/>
        <n v="26.82"/>
        <n v="83.96"/>
        <n v="81.67"/>
        <n v="54.12"/>
        <n v="73.349999999999994"/>
        <n v="71.12"/>
        <n v="150.84"/>
        <n v="23.77"/>
        <n v="25.11"/>
        <n v="12.79"/>
        <n v="31.39"/>
        <n v="23.9"/>
        <n v="38.840000000000003"/>
        <n v="60.69"/>
        <n v="83.09"/>
        <n v="29.39"/>
        <n v="101.33"/>
        <n v="45.24"/>
        <n v="268.72000000000003"/>
        <n v="439.17"/>
        <n v="15.88"/>
        <n v="83.42"/>
        <n v="138.41"/>
        <n v="941.68"/>
        <n v="927.86"/>
        <n v="717.88"/>
        <n v="679.01"/>
        <n v="639.87"/>
        <n v="938.84"/>
        <n v="751.63"/>
        <n v="1220.46"/>
        <n v="686.59"/>
        <n v="578.47"/>
        <n v="940.44"/>
        <n v="784.57"/>
        <n v="492.62"/>
        <n v="728.85"/>
        <n v="31.74"/>
        <n v="33.28"/>
        <n v="6.31"/>
        <n v="30.92"/>
        <n v="58.09"/>
        <n v="12.87"/>
        <n v="15.84"/>
        <n v="13.67"/>
        <n v="6.94"/>
        <n v="49.82"/>
        <n v="25.14"/>
        <n v="53.39"/>
        <n v="17"/>
        <n v="18.77"/>
        <n v="17.649999999999999"/>
        <n v="21.74"/>
        <n v="52.73"/>
        <n v="39.39"/>
        <n v="6.66"/>
        <n v="49.41"/>
        <n v="52.52"/>
        <n v="8.6199999999999992"/>
        <n v="13.79"/>
        <n v="19.079999999999998"/>
        <n v="6.79"/>
        <n v="7.95"/>
        <n v="32.06"/>
        <n v="356.87"/>
        <n v="374.44"/>
        <n v="272.77"/>
        <n v="21.79"/>
        <n v="281.14"/>
        <n v="234.75"/>
        <n v="281.75"/>
        <n v="337.57"/>
        <n v="295.95"/>
        <n v="170.87"/>
        <n v="466.63"/>
        <n v="210.68"/>
        <n v="341.38"/>
        <n v="176.55"/>
        <n v="381.53"/>
        <n v="57.73"/>
        <n v="43.81"/>
        <n v="88.76"/>
        <n v="13.38"/>
        <n v="44.52"/>
        <n v="24.12"/>
        <n v="53.34"/>
        <n v="72.33"/>
        <n v="92.26"/>
        <n v="42.42"/>
        <n v="23.76"/>
        <n v="636.30999999999995"/>
        <n v="598.84"/>
        <n v="560.16999999999996"/>
        <n v="548.05999999999995"/>
        <n v="316.97000000000003"/>
        <n v="867.93"/>
        <n v="821.4"/>
        <n v="1086.4000000000001"/>
        <n v="502.17"/>
        <n v="581.75"/>
        <n v="722.42"/>
        <n v="564.22"/>
        <n v="348.54"/>
        <n v="816.62"/>
        <n v="8.57"/>
        <n v="80.14"/>
        <n v="49"/>
        <n v="121.69"/>
        <n v="49.7"/>
        <n v="50.95"/>
        <n v="27.72"/>
        <n v="13.61"/>
        <n v="28.09"/>
        <n v="41.72"/>
        <n v="48.91"/>
        <n v="55.5"/>
        <n v="36.590000000000003"/>
        <n v="15.09"/>
        <n v="59.61"/>
        <n v="14.73"/>
        <n v="36.61"/>
        <n v="66.27"/>
        <n v="10.68"/>
        <n v="24.85"/>
        <n v="214.05"/>
        <n v="52.41"/>
        <n v="523.71"/>
        <n v="254.33"/>
        <n v="429.05"/>
        <n v="339.08"/>
        <n v="339.37"/>
        <n v="403.79"/>
        <n v="224.35"/>
        <n v="120.64"/>
        <n v="450.39"/>
        <n v="261.58999999999997"/>
        <n v="302.99"/>
        <n v="384.79"/>
        <n v="204.94"/>
        <n v="174.44"/>
        <n v="14.79"/>
        <n v="46.15"/>
        <n v="24"/>
        <n v="39.19"/>
        <n v="111.78"/>
        <n v="1317.94"/>
        <n v="1283.47"/>
        <n v="16.38"/>
        <n v="1749.39"/>
        <n v="1542.51"/>
        <n v="1520.74"/>
        <n v="1388.9"/>
        <n v="1534.32"/>
        <n v="1092.69"/>
        <n v="861.99"/>
        <n v="512.05999999999995"/>
        <n v="713.18"/>
        <n v="1129.82"/>
        <n v="1421.56"/>
        <n v="1708.76"/>
        <n v="23.46"/>
        <n v="36.14"/>
        <n v="32.4"/>
        <n v="28.76"/>
        <n v="35.549999999999997"/>
        <n v="24.55"/>
        <n v="38.090000000000003"/>
        <n v="29.9"/>
        <n v="4.6399999999999997"/>
        <n v="441.03"/>
        <n v="193.81"/>
        <n v="178.36"/>
        <n v="288.79000000000002"/>
        <n v="164.81"/>
        <n v="327.9"/>
        <n v="620.96"/>
        <n v="653.11"/>
        <n v="415.3"/>
        <n v="421.31"/>
        <n v="563.80999999999995"/>
        <n v="524.77"/>
        <n v="853.72"/>
        <n v="823.91"/>
        <n v="28"/>
        <n v="23.27"/>
        <n v="5.63"/>
        <n v="7.73"/>
        <n v="4.2"/>
        <n v="11.02"/>
        <n v="41.65"/>
        <n v="415.06"/>
        <n v="493.74"/>
        <n v="383.97"/>
        <n v="469.33"/>
        <n v="362.75"/>
        <n v="471.52"/>
        <n v="882.86"/>
        <n v="1197.99"/>
        <n v="523.47"/>
        <n v="332.9"/>
        <n v="460.64"/>
        <n v="580.74"/>
        <n v="525.66"/>
        <n v="438.4"/>
        <n v="27.87"/>
        <n v="13.33"/>
        <n v="15.81"/>
        <n v="44.34"/>
        <n v="28.7"/>
        <n v="131.9"/>
        <n v="12.26"/>
        <n v="11.99"/>
        <n v="48.24"/>
        <n v="33.58"/>
        <n v="34.42"/>
        <n v="21.04"/>
        <n v="40.35"/>
        <n v="21.44"/>
        <n v="38.81"/>
        <n v="556.64"/>
        <n v="98.72"/>
        <n v="298.81"/>
        <n v="496.79"/>
        <n v="1473.5"/>
        <n v="446.09"/>
        <n v="607.30999999999995"/>
        <n v="503.22"/>
        <n v="389.72"/>
        <n v="508.37"/>
        <n v="631.69000000000005"/>
        <n v="292.58"/>
        <n v="685.88"/>
        <n v="88.67"/>
        <n v="52.49"/>
        <n v="23.08"/>
        <n v="85.08"/>
        <n v="25.68"/>
        <n v="36.28"/>
        <n v="27.64"/>
        <n v="66.94"/>
        <n v="24.25"/>
        <n v="31.72"/>
        <n v="52.32"/>
        <n v="41.48"/>
        <n v="80.37"/>
        <n v="27.29"/>
        <n v="39.61"/>
        <n v="14.97"/>
        <n v="14.42"/>
        <n v="21.15"/>
        <n v="54.75"/>
        <n v="86.75"/>
        <n v="34.28"/>
        <n v="8.85"/>
        <n v="20.13"/>
        <n v="17.36"/>
        <n v="37.049999999999997"/>
        <n v="55.36"/>
        <n v="17.47"/>
        <n v="571.73"/>
        <n v="420.53"/>
        <n v="541.79999999999995"/>
        <n v="649.70000000000005"/>
        <n v="61.02"/>
        <n v="244"/>
        <n v="465.27"/>
        <n v="492.88"/>
        <n v="297.5"/>
        <n v="401.01"/>
        <n v="434.25"/>
        <n v="444.88"/>
        <n v="657.63"/>
        <n v="855.44"/>
        <n v="659.88"/>
        <n v="148.30000000000001"/>
        <n v="144.5"/>
        <n v="21.29"/>
        <n v="99.04"/>
        <n v="69.900000000000006"/>
        <n v="102.33"/>
        <n v="24.92"/>
        <n v="209.41"/>
        <n v="54.42"/>
        <n v="29.29"/>
        <n v="33.96"/>
        <n v="17.63"/>
        <n v="26.81"/>
        <n v="24.09"/>
        <n v="404.26"/>
        <n v="481.94"/>
        <n v="380.09"/>
        <n v="417.96"/>
        <n v="365.79"/>
        <n v="451.51"/>
        <n v="540.01"/>
        <n v="591.12"/>
        <n v="322.37"/>
        <n v="359.5"/>
        <n v="467.29"/>
        <n v="563.71"/>
        <n v="15.62"/>
        <n v="284.25"/>
        <n v="410.5"/>
        <n v="17.350000000000001"/>
        <n v="15.68"/>
        <n v="45.96"/>
        <n v="34.340000000000003"/>
        <n v="17.829999999999998"/>
        <n v="30.17"/>
        <n v="33.92"/>
        <n v="17.760000000000002"/>
        <n v="53.28"/>
        <n v="64.58"/>
        <n v="74.66"/>
        <n v="15.55"/>
        <n v="68.88"/>
        <n v="29.22"/>
        <n v="96.53"/>
        <n v="40.72"/>
        <n v="51.66"/>
        <n v="14.23"/>
        <n v="26.86"/>
        <n v="26.62"/>
        <n v="28.41"/>
        <n v="88.07"/>
        <n v="70.97"/>
        <n v="211.01"/>
        <n v="30.02"/>
        <n v="83.43"/>
        <n v="100.66"/>
        <n v="190.22"/>
        <n v="108.73"/>
        <n v="133.29"/>
        <n v="78.69"/>
        <n v="236.28"/>
        <n v="24.74"/>
        <n v="132.25"/>
        <n v="31.42"/>
        <n v="63.84"/>
        <n v="22.58"/>
        <n v="147.52000000000001"/>
        <n v="94.97"/>
        <n v="33.25"/>
        <n v="123.9"/>
        <n v="86.54"/>
        <n v="323.60000000000002"/>
        <n v="128.56"/>
        <n v="396.15"/>
        <n v="210.3"/>
        <n v="221.42"/>
        <n v="93.58"/>
        <n v="253.1"/>
        <n v="233.35"/>
        <n v="195.92"/>
        <n v="58.8"/>
        <n v="31.05"/>
        <n v="32.17"/>
        <n v="39.01"/>
        <n v="57.12"/>
        <n v="8.17"/>
        <n v="24.02"/>
        <n v="39.130000000000003"/>
        <n v="29.5"/>
        <n v="51.73"/>
        <n v="16.12"/>
        <n v="299.97000000000003"/>
        <n v="439.82"/>
        <n v="387.3"/>
        <n v="418.53"/>
        <n v="338.3"/>
        <n v="79.02"/>
        <n v="235.92"/>
        <n v="516.44000000000005"/>
        <n v="465.99"/>
        <n v="379.72"/>
        <n v="203.3"/>
        <n v="214.21"/>
        <n v="263.73"/>
        <n v="224.67"/>
        <n v="420.08"/>
        <n v="28.57"/>
        <n v="28.78"/>
        <n v="59.19"/>
        <n v="43.57"/>
        <n v="41.23"/>
        <n v="29.14"/>
        <n v="31.68"/>
        <n v="66.569999999999993"/>
        <n v="55.58"/>
        <n v="51.1"/>
        <n v="28.22"/>
        <n v="37.04"/>
        <n v="28.4"/>
        <n v="46.7"/>
        <n v="165.96"/>
        <n v="102.96"/>
        <n v="125.74"/>
        <n v="174.24"/>
        <n v="51.02"/>
        <n v="301.62"/>
        <n v="110.13"/>
        <n v="111.56"/>
        <n v="124.99"/>
        <n v="247.59"/>
        <n v="209.54"/>
        <n v="228.43"/>
        <n v="164.05"/>
        <n v="151.01"/>
        <n v="72.03"/>
        <n v="30.26"/>
        <n v="33.15"/>
        <n v="59.5"/>
        <n v="22.78"/>
        <n v="24.9"/>
        <n v="42.85"/>
        <n v="49.33"/>
        <n v="109.68"/>
        <n v="68.73"/>
        <n v="133.16999999999999"/>
        <n v="219.43"/>
        <n v="46.95"/>
        <n v="145.5"/>
        <n v="246.81"/>
        <n v="389.07"/>
        <n v="278.27"/>
        <n v="196.6"/>
        <n v="191.55"/>
        <n v="319.35000000000002"/>
        <n v="322.63"/>
        <n v="318.16000000000003"/>
        <n v="283.88"/>
        <n v="28.84"/>
        <n v="24.94"/>
        <n v="154.03"/>
        <n v="25.26"/>
        <n v="13.86"/>
        <n v="58.52"/>
        <n v="50.06"/>
        <n v="28.51"/>
        <n v="18.29"/>
        <n v="72.040000000000006"/>
        <n v="30.9"/>
        <n v="15.38"/>
        <n v="30.14"/>
        <n v="45.75"/>
        <n v="162.99"/>
        <n v="69.8"/>
        <n v="40.1"/>
        <n v="217.67"/>
        <n v="233.51"/>
        <n v="172.65"/>
        <n v="158.68"/>
        <n v="138.18"/>
        <n v="229.55"/>
        <n v="148.88999999999999"/>
        <n v="251.59"/>
        <n v="250"/>
        <n v="224.28"/>
        <n v="160.21"/>
        <n v="26.27"/>
        <n v="30.87"/>
        <n v="36.020000000000003"/>
        <n v="62.37"/>
        <n v="224.45"/>
        <n v="221.32"/>
        <n v="210.16"/>
        <n v="252.54"/>
        <n v="228.39"/>
        <n v="306.07"/>
        <n v="262.12"/>
        <n v="298.35000000000002"/>
        <n v="236.68"/>
        <n v="277.51"/>
        <n v="329.37"/>
        <n v="265.14999999999998"/>
        <n v="332.19"/>
        <n v="414.55"/>
        <n v="74.63"/>
        <n v="29.74"/>
        <n v="14.38"/>
        <n v="169.99"/>
        <n v="27.07"/>
        <n v="10.86"/>
        <n v="84.37"/>
        <n v="16.13"/>
        <n v="50.1"/>
        <n v="45.5"/>
        <n v="53.14"/>
        <n v="35.75"/>
        <n v="23.96"/>
        <n v="116.28"/>
        <n v="33.85"/>
        <n v="11.54"/>
        <n v="9.59"/>
        <n v="33.21"/>
        <n v="67.930000000000007"/>
        <n v="77.28"/>
        <n v="26.26"/>
        <n v="25.91"/>
        <n v="69.349999999999994"/>
        <n v="61.01"/>
        <n v="45.54"/>
        <n v="17.34"/>
        <n v="153.78"/>
        <n v="43.44"/>
        <n v="113.23"/>
        <n v="1082.95"/>
        <n v="945.08"/>
        <n v="873.47"/>
        <n v="978.46"/>
        <n v="549.44000000000005"/>
        <n v="1066.53"/>
        <n v="952.83"/>
        <n v="852.46"/>
        <n v="580.63"/>
        <n v="665.7"/>
        <n v="653.28"/>
        <n v="763.6"/>
        <n v="1091.8399999999999"/>
        <n v="780.23"/>
        <n v="84.76"/>
        <n v="28.28"/>
        <n v="14.06"/>
        <n v="31.75"/>
        <n v="94.73"/>
        <n v="185.43"/>
        <n v="32.549999999999997"/>
        <n v="43.34"/>
        <n v="29.88"/>
        <n v="14.1"/>
        <n v="51.17"/>
        <n v="12.89"/>
        <n v="41.1"/>
        <n v="25.82"/>
        <n v="197.67"/>
        <n v="134.44999999999999"/>
        <n v="170.92"/>
        <n v="195.78"/>
        <n v="143.71"/>
        <n v="281.07"/>
        <n v="188.36"/>
        <n v="42.03"/>
        <n v="110.17"/>
        <n v="133.07"/>
        <n v="154.83000000000001"/>
        <n v="189.44"/>
        <n v="198.07"/>
        <n v="244.87"/>
        <n v="13.4"/>
        <n v="12.88"/>
        <n v="27.45"/>
        <n v="13.48"/>
        <n v="14.5"/>
        <n v="161.36000000000001"/>
        <n v="30.44"/>
        <n v="28.06"/>
        <n v="164.44"/>
        <n v="343.2"/>
        <n v="144.66999999999999"/>
        <n v="64.55"/>
        <n v="120.7"/>
        <n v="257.27999999999997"/>
        <n v="437.8"/>
        <n v="2622.92"/>
        <n v="145.36000000000001"/>
        <n v="127.94"/>
        <n v="1091.26"/>
        <n v="783.85"/>
        <n v="980.2"/>
        <n v="467.52"/>
        <n v="77.819999999999993"/>
        <n v="313.26"/>
        <n v="1356.16"/>
        <n v="278.75"/>
        <n v="571.72"/>
        <n v="117.52"/>
        <n v="231.17"/>
        <n v="340.7"/>
        <n v="873.71"/>
        <n v="1744.43"/>
        <n v="114.84"/>
        <n v="8.99"/>
        <n v="43.71"/>
        <n v="35.08"/>
        <n v="21.39"/>
        <n v="31.19"/>
        <n v="64.95"/>
        <n v="35.71"/>
        <n v="35.32"/>
        <n v="49.45"/>
        <n v="570.05999999999995"/>
        <n v="116.6"/>
        <n v="117.78"/>
        <n v="90.61"/>
        <n v="68.5"/>
        <n v="549.17999999999995"/>
        <n v="488.12"/>
        <n v="76.7"/>
        <n v="59.34"/>
        <n v="171.88"/>
        <n v="97"/>
        <n v="93.43"/>
        <n v="128.75"/>
        <n v="14.22"/>
        <n v="86.85"/>
        <n v="66.36"/>
        <n v="16.79"/>
        <n v="10.58"/>
        <n v="367.27"/>
        <n v="2620.46"/>
        <n v="311.67"/>
        <n v="4.22"/>
        <n v="512.62"/>
        <n v="514.69000000000005"/>
        <n v="1091"/>
        <n v="343.02"/>
        <n v="344.36"/>
        <n v="513.04999999999995"/>
        <n v="757.98"/>
        <n v="858.47"/>
        <n v="986.6"/>
        <n v="415.81"/>
        <n v="5973.76"/>
        <n v="3585"/>
        <n v="535.44000000000005"/>
        <n v="283.48"/>
        <n v="447.54"/>
        <n v="833.5"/>
        <n v="167.5"/>
        <n v="205.24"/>
        <n v="2846.89"/>
        <n v="5485.2"/>
        <n v="2715.03"/>
        <n v="1367.19"/>
        <n v="7.84"/>
        <n v="3292.47"/>
        <n v="3012.69"/>
        <n v="8498.83"/>
        <n v="3781.53"/>
        <n v="19187.669999999998"/>
        <n v="2912.65"/>
        <n v="2032.34"/>
        <n v="2595.87"/>
        <n v="9024.7000000000007"/>
        <n v="8494.94"/>
        <n v="480.62"/>
        <n v="951.08"/>
        <n v="52.88"/>
        <n v="435.82"/>
        <n v="610.65"/>
        <n v="1650.01"/>
        <n v="380.73"/>
        <n v="3783.38"/>
        <n v="3298.03"/>
        <n v="96.97"/>
        <n v="74.11"/>
        <n v="33.51"/>
        <n v="111.6"/>
        <n v="43.04"/>
        <n v="88.55"/>
        <n v="13.57"/>
        <n v="106.23"/>
        <n v="53.95"/>
        <n v="69.489999999999995"/>
        <n v="64.41"/>
        <n v="157.83000000000001"/>
        <n v="118.76"/>
        <n v="152.76"/>
        <n v="406.42"/>
        <n v="26.02"/>
        <n v="268.98"/>
        <n v="21.26"/>
        <n v="13.04"/>
        <n v="30.27"/>
        <n v="29.35"/>
        <n v="30.67"/>
        <n v="25.59"/>
        <n v="77.98"/>
        <n v="25.94"/>
        <n v="426.16"/>
        <n v="422.74"/>
        <n v="413.49"/>
        <n v="578.76"/>
        <n v="503.99"/>
        <n v="661.6"/>
        <n v="602.92999999999995"/>
        <n v="566.08000000000004"/>
        <n v="609.58000000000004"/>
        <n v="422.93"/>
        <n v="590.33000000000004"/>
        <n v="745.07"/>
        <n v="628.98"/>
        <n v="498.38"/>
        <n v="112.18"/>
        <n v="92"/>
        <n v="49.79"/>
        <n v="15.39"/>
        <n v="29.04"/>
        <n v="44.56"/>
        <n v="29.17"/>
        <n v="87.19"/>
        <n v="41.82"/>
        <n v="14.52"/>
        <n v="8.0500000000000007"/>
        <n v="37.19"/>
        <n v="12.65"/>
        <n v="51.51"/>
        <n v="190.33"/>
        <n v="26.11"/>
        <n v="16.46"/>
        <n v="34.29"/>
        <n v="10.94"/>
        <n v="16.670000000000002"/>
        <n v="266.67"/>
        <n v="7.36"/>
        <n v="50.21"/>
        <n v="19.489999999999998"/>
        <n v="48.04"/>
        <n v="69.010000000000005"/>
        <n v="39.04"/>
        <n v="119.59"/>
        <n v="39.68"/>
        <n v="179.88"/>
        <n v="75.209999999999994"/>
        <n v="86.35"/>
        <n v="73.16"/>
        <n v="26.47"/>
        <n v="60.4"/>
        <n v="38.729999999999997"/>
        <n v="56.68"/>
        <n v="14.18"/>
        <n v="5"/>
        <n v="10"/>
        <n v="2.4"/>
        <n v="5.55"/>
        <n v="6"/>
        <n v="4"/>
        <n v="2"/>
        <n v="3"/>
        <n v="3.5"/>
        <n v="1.8"/>
        <n v="9.1999999999999993"/>
        <n v="18.399999999999999"/>
        <n v="3.6"/>
        <n v="2.25"/>
        <n v="5.4"/>
        <n v="2.7"/>
        <n v="6.5"/>
        <n v="14.7"/>
        <n v="9.5500000000000007"/>
        <n v="3.15"/>
        <n v="2.1"/>
        <n v="3.7"/>
        <n v="12.1"/>
        <n v="115"/>
        <n v="16"/>
        <n v="35.200000000000003"/>
        <n v="130"/>
        <n v="2.65"/>
        <n v="10.25"/>
        <n v="39"/>
        <n v="32"/>
        <n v="51.6"/>
        <n v="86.8"/>
        <n v="10.7"/>
        <n v="19"/>
        <n v="9"/>
        <n v="4.5"/>
        <n v="38"/>
        <n v="12.75"/>
        <n v="8.4"/>
        <n v="6.75"/>
        <n v="6.85"/>
        <n v="4.75"/>
        <n v="2.9"/>
        <n v="7"/>
        <n v="1100"/>
        <n v="11.5"/>
        <n v="30"/>
        <n v="27.4"/>
        <n v="8.6999999999999993"/>
        <n v="14"/>
        <n v="7.4"/>
        <n v="7.3"/>
        <n v="64.400000000000006"/>
        <n v="36.799999999999997"/>
        <n v="41.6"/>
        <n v="1500"/>
        <n v="62.6"/>
        <n v="1.3"/>
        <n v="1.45"/>
        <n v="6.4"/>
        <n v="24.34"/>
        <n v="176"/>
        <n v="45"/>
        <n v="14.55"/>
        <n v="26"/>
        <n v="104"/>
        <n v="364"/>
        <n v="338"/>
        <n v="34"/>
        <n v="13"/>
        <n v="30.4"/>
        <n v="312"/>
        <n v="67.599999999999994"/>
        <n v="62.4"/>
        <n v="90"/>
        <n v="108"/>
        <n v="286"/>
        <n v="11.3"/>
        <n v="12"/>
        <n v="15"/>
        <n v="25"/>
        <n v="1.25"/>
        <n v="124"/>
        <n v="234"/>
        <n v="5.5"/>
        <n v="252"/>
        <n v="216"/>
        <n v="126"/>
        <n v="180"/>
        <n v="136.5"/>
        <n v="17.399999999999999"/>
        <n v="113.1"/>
        <n v="147.9"/>
        <n v="165.3"/>
        <n v="95.7"/>
        <n v="43.5"/>
        <n v="221"/>
        <n v="22.8"/>
        <n v="16.5"/>
        <n v="42"/>
        <n v="154"/>
        <n v="27.84"/>
        <n v="91"/>
        <n v="182"/>
        <n v="168"/>
        <n v="14.35"/>
        <n v="7.35"/>
        <n v="132"/>
        <n v="178"/>
        <n v="11.25"/>
        <n v="245.24"/>
        <n v="65"/>
        <n v="88"/>
        <n v="22.5"/>
        <n v="185.85"/>
        <n v="183.93"/>
        <n v="22"/>
        <n v="136.61000000000001"/>
        <n v="6.95"/>
        <n v="10.8"/>
        <n v="6.3"/>
        <n v="6.6"/>
        <n v="18"/>
        <n v="72"/>
        <n v="91.5"/>
        <n v="149.5"/>
        <n v="264"/>
        <n v="208.8"/>
        <n v="176.8"/>
        <n v="47"/>
        <n v="183.8"/>
        <n v="190.4"/>
        <n v="163.19999999999999"/>
        <n v="88.6"/>
        <n v="6.83"/>
        <n v="1.5"/>
        <n v="13.3"/>
        <n v="10.5"/>
        <n v="8"/>
        <n v="514.79999999999995"/>
        <n v="9.4499999999999993"/>
        <n v="1200"/>
        <n v="620.70000000000005"/>
        <n v="13.8"/>
        <n v="41.4"/>
        <n v="23"/>
        <n v="50.75"/>
        <n v="112.2"/>
        <n v="91.6"/>
        <n v="98"/>
        <n v="139.44999999999999"/>
        <n v="82.6"/>
        <n v="92.95"/>
        <n v="125.7"/>
        <n v="138.80000000000001"/>
        <n v="60"/>
        <n v="217.6"/>
        <n v="156.66"/>
        <n v="133"/>
        <n v="1020"/>
        <n v="37"/>
        <n v="108.4"/>
        <n v="114"/>
        <n v="40"/>
        <n v="50"/>
        <n v="49.6"/>
        <n v="2166"/>
        <n v="43.2"/>
        <n v="101.6"/>
        <n v="35"/>
        <n v="137.63999999999999"/>
        <n v="85"/>
        <n v="20.5"/>
        <n v="70"/>
        <n v="135"/>
        <n v="20"/>
        <n v="0.96"/>
        <n v="6.63"/>
        <n v="7.99"/>
        <n v="17.899999999999999"/>
        <n v="35.299999999999997"/>
        <n v="50.47"/>
        <n v="25.3"/>
        <n v="13.52"/>
        <n v="23.55"/>
        <n v="689.98"/>
        <n v="3354.82"/>
        <n v="1185.1500000000001"/>
        <n v="240.29"/>
        <n v="150"/>
        <n v="722.68"/>
        <n v="326.42"/>
        <n v="940.61"/>
        <n v="185.5"/>
        <n v="62.7"/>
        <n v="1067.8800000000001"/>
        <n v="409.83"/>
        <n v="128"/>
        <n v="56"/>
        <n v="1197.1400000000001"/>
        <n v="76"/>
        <n v="58.75"/>
        <n v="301"/>
        <n v="1166.69"/>
        <n v="131.68"/>
        <n v="236"/>
        <n v="549.85"/>
        <n v="168.3"/>
        <n v="287"/>
        <n v="141"/>
        <n v="170.6"/>
        <n v="54.15"/>
        <n v="342.04"/>
        <n v="180.2"/>
        <n v="327.18"/>
        <n v="120"/>
        <n v="80"/>
        <n v="1026.1199999999999"/>
        <n v="362.32"/>
        <n v="1169.25"/>
        <n v="340"/>
        <n v="167.26"/>
        <n v="196.71"/>
        <n v="114.23"/>
        <n v="200.5"/>
        <n v="1734.36"/>
        <n v="1172.83"/>
        <n v="13.25"/>
        <n v="45.35"/>
        <n v="1930.91"/>
        <n v="29.4"/>
        <n v="42.9"/>
        <n v="158.69"/>
        <n v="1400.56"/>
        <n v="23.4"/>
        <n v="36.15"/>
        <n v="48.3"/>
        <n v="29.6"/>
        <n v="237.9"/>
        <n v="27.6"/>
        <n v="33.799999999999997"/>
        <n v="34.299999999999997"/>
        <n v="10.74"/>
        <n v="35.6"/>
        <n v="8.94"/>
        <n v="371"/>
        <n v="96"/>
        <n v="134"/>
        <n v="166"/>
        <n v="7.14"/>
        <n v="3.53"/>
        <n v="16.440000000000001"/>
        <n v="175"/>
        <n v="1.04"/>
        <n v="26.78"/>
        <n v="638.95000000000005"/>
        <n v="805.4"/>
        <n v="15.73"/>
        <n v="677.55"/>
        <n v="607.75"/>
        <n v="10.029999999999999"/>
        <n v="612.1"/>
        <n v="551.15"/>
        <n v="12.6"/>
        <n v="507.6"/>
        <n v="77.8"/>
        <n v="122.2"/>
        <n v="370.5"/>
        <n v="39.200000000000003"/>
        <n v="62"/>
        <n v="15.65"/>
        <n v="205.8"/>
        <n v="22.92"/>
        <n v="27.05"/>
        <n v="9.43"/>
        <n v="139.4"/>
        <n v="96.21"/>
        <n v="14.6"/>
        <n v="19.239999999999998"/>
        <n v="63.8"/>
        <n v="232.15"/>
        <n v="34.33"/>
        <n v="1.57"/>
        <n v="24.6"/>
        <n v="12.45"/>
        <n v="106"/>
        <n v="232.5"/>
        <n v="44.35"/>
        <n v="70.23"/>
        <n v="222.6"/>
        <n v="5.35"/>
        <n v="5.79"/>
        <n v="137.44"/>
        <n v="208.6"/>
        <n v="71.7"/>
        <n v="324.14999999999998"/>
        <n v="34.6"/>
        <n v="5.2"/>
        <n v="4.87"/>
        <n v="28.37"/>
        <n v="794.05"/>
        <n v="37.94"/>
        <n v="915.4"/>
        <n v="814.45"/>
        <n v="884.55"/>
        <n v="214.34"/>
        <n v="713.5"/>
        <n v="741.65"/>
        <n v="617.29999999999995"/>
        <n v="100.6"/>
        <n v="9.5"/>
        <n v="1127.92"/>
        <n v="70.7"/>
        <n v="225.5"/>
        <n v="700.28"/>
        <n v="57.9"/>
        <n v="57.55"/>
        <n v="10.27"/>
        <n v="71.3"/>
        <n v="197"/>
        <n v="642.15"/>
        <n v="51.7"/>
        <n v="681.65"/>
        <n v="549.04999999999995"/>
        <n v="639.4"/>
        <n v="75"/>
        <n v="619.5"/>
        <n v="100.4"/>
        <n v="443.8"/>
        <n v="32.33"/>
        <n v="553.25"/>
        <n v="170"/>
        <n v="654.45000000000005"/>
        <n v="113.34"/>
        <n v="256.83999999999997"/>
        <n v="2700"/>
        <n v="116.82"/>
        <n v="26.1"/>
        <n v="177.6"/>
        <n v="27.22"/>
        <n v="37.06"/>
        <n v="10.28"/>
        <n v="15.16"/>
        <n v="10.71"/>
        <n v="26.64"/>
        <n v="107.95"/>
        <n v="10.45"/>
        <n v="3.47"/>
        <n v="33.770000000000003"/>
        <n v="27.7"/>
        <n v="150.08000000000001"/>
        <n v="2550"/>
        <n v="19.37"/>
        <n v="17.61"/>
        <n v="27.28"/>
        <n v="20.11"/>
        <n v="15.64"/>
        <n v="39.700000000000003"/>
        <n v="2400"/>
        <n v="10.07"/>
        <n v="177.5"/>
        <n v="38.08"/>
        <n v="10.85"/>
        <n v="29.83"/>
        <n v="10.67"/>
        <n v="9.98"/>
        <n v="19.71"/>
        <n v="37.01"/>
        <n v="2100"/>
        <n v="21.98"/>
        <n v="9.81"/>
        <n v="27.54"/>
        <n v="29.46"/>
        <n v="14.03"/>
        <n v="186.89"/>
        <n v="5.25"/>
        <n v="2250"/>
        <n v="4.37"/>
        <n v="16.28"/>
        <n v="22.45"/>
        <n v="14.17"/>
        <n v="9.34"/>
        <n v="11.44"/>
        <n v="20.100000000000001"/>
        <n v="360"/>
        <n v="210"/>
        <n v="24.03"/>
        <n v="11.03"/>
        <n v="10.49"/>
        <n v="38.799999999999997"/>
        <n v="300"/>
        <n v="46.33"/>
        <n v="145"/>
        <n v="57"/>
        <n v="126.96"/>
        <n v="52.8"/>
        <n v="64"/>
        <n v="851.9"/>
        <n v="82"/>
        <n v="3198.1"/>
        <n v="196"/>
        <n v="280"/>
        <n v="195"/>
        <n v="27.9"/>
        <n v="7.2"/>
        <n v="99.54"/>
        <n v="152.5"/>
        <n v="22.6"/>
        <n v="21.37"/>
        <n v="148"/>
        <n v="212.39"/>
        <n v="1385.75"/>
        <n v="89.45"/>
        <n v="287.39999999999998"/>
        <n v="9.0500000000000007"/>
        <n v="356"/>
        <n v="12.84"/>
        <n v="17.09"/>
        <n v="50.73"/>
        <n v="94"/>
        <n v="95"/>
        <n v="27"/>
        <n v="202"/>
        <n v="239"/>
        <n v="227"/>
        <n v="94.65"/>
        <n v="3.34"/>
        <n v="513.05999999999995"/>
        <n v="99.55"/>
        <n v="21"/>
        <n v="58.35"/>
        <n v="160.46"/>
        <n v="82.55"/>
        <n v="130.16"/>
        <n v="51.5"/>
        <n v="89.7"/>
        <n v="589.76"/>
        <n v="204.22"/>
        <n v="365.74"/>
        <n v="67.430000000000007"/>
        <n v="125"/>
        <n v="403.6"/>
        <n v="93.37"/>
        <n v="115.43"/>
        <n v="87.73"/>
        <n v="1027.55"/>
        <n v="48"/>
        <n v="46"/>
        <n v="321.10000000000002"/>
        <n v="45.59"/>
        <n v="102.36"/>
        <n v="106.09"/>
        <n v="599.70000000000005"/>
        <n v="188.98"/>
        <n v="410.32"/>
        <n v="211.02"/>
        <n v="141.15"/>
        <n v="73.680000000000007"/>
        <n v="43"/>
        <n v="122.77"/>
        <n v="1411"/>
        <n v="106.36"/>
        <n v="121.63"/>
        <n v="255.81"/>
        <n v="68"/>
        <n v="497.56"/>
        <n v="66"/>
        <n v="55"/>
        <n v="131.15"/>
        <n v="146.56"/>
        <n v="211.95"/>
        <n v="70.069999999999993"/>
        <n v="152.05000000000001"/>
        <n v="154.43"/>
        <n v="667.23"/>
        <n v="112.79"/>
        <n v="33"/>
        <n v="87.84"/>
        <n v="171.02"/>
        <n v="112"/>
        <n v="124.27"/>
        <n v="37.25"/>
        <n v="97.74"/>
        <n v="83"/>
        <n v="107"/>
        <n v="44.15"/>
        <n v="89"/>
        <n v="121.68"/>
        <n v="122.01"/>
        <n v="93.15"/>
        <n v="158.59"/>
        <n v="83.01"/>
        <n v="80.5"/>
        <n v="159.38999999999999"/>
        <n v="82.01"/>
        <n v="138"/>
        <n v="110.57"/>
        <n v="215.17"/>
        <n v="167.82"/>
        <n v="82.5"/>
        <n v="48.5"/>
        <n v="56.8"/>
        <n v="103.2"/>
        <n v="174.7"/>
        <n v="53.65"/>
        <n v="127"/>
        <n v="41"/>
        <n v="46.3"/>
        <n v="75.7"/>
        <n v="172.7"/>
        <n v="136.02000000000001"/>
        <n v="33.4"/>
        <n v="323.38"/>
        <n v="54.4"/>
        <n v="256.27999999999997"/>
        <n v="243.6"/>
        <n v="70.650000000000006"/>
        <n v="363.7"/>
        <n v="96.94"/>
        <n v="68.22"/>
        <n v="212.77"/>
        <n v="711.35"/>
        <n v="192.67"/>
        <n v="67.48"/>
        <n v="52.3"/>
        <n v="622.37"/>
        <n v="48.18"/>
        <n v="99.01"/>
        <n v="209.84"/>
        <n v="87.6"/>
        <n v="81.3"/>
        <n v="110.95"/>
        <n v="98.86"/>
        <n v="198.85"/>
        <n v="384.98"/>
        <n v="188.4"/>
        <n v="152.30000000000001"/>
        <n v="439.52"/>
        <n v="54.34"/>
        <n v="280.37"/>
        <n v="16.600000000000001"/>
        <n v="22.05"/>
        <n v="69.400000000000006"/>
        <n v="6.12"/>
        <n v="37.299999999999997"/>
        <n v="127.7"/>
        <n v="19.95"/>
        <n v="152"/>
        <n v="104.6"/>
        <n v="392.89"/>
        <n v="13.99"/>
        <n v="43.49"/>
        <n v="62.73"/>
        <n v="21.65"/>
        <n v="8.31"/>
        <n v="80.66"/>
        <n v="17.149999999999999"/>
        <n v="1.1000000000000001"/>
        <n v="30.24"/>
        <n v="137.5"/>
        <n v="42.84"/>
        <n v="16.649999999999999"/>
        <n v="22.2"/>
        <n v="5.9"/>
        <n v="9.75"/>
        <n v="16.399999999999999"/>
        <n v="19.5"/>
        <n v="36"/>
        <n v="18.75"/>
        <n v="63.13"/>
        <n v="71.31"/>
        <n v="113.93"/>
        <n v="113"/>
        <n v="117.91"/>
        <n v="99.5"/>
        <n v="27.98"/>
        <n v="60.1"/>
        <n v="39.479999999999997"/>
        <n v="47.54"/>
        <n v="184"/>
        <n v="81.47"/>
        <n v="50.33"/>
        <n v="21.89"/>
        <n v="143.16999999999999"/>
        <n v="58.97"/>
        <n v="48.07"/>
        <n v="22.99"/>
        <n v="26.77"/>
        <n v="51.04"/>
        <n v="34.76"/>
        <n v="137.53"/>
        <n v="97.25"/>
        <n v="171.2"/>
        <n v="97.9"/>
        <n v="51.45"/>
        <n v="23.99"/>
        <n v="25.99"/>
        <n v="25.19"/>
        <n v="11.21"/>
        <n v="21.2"/>
        <n v="26.16"/>
        <n v="17.98"/>
        <n v="42.97"/>
        <n v="24.48"/>
        <n v="69.28"/>
        <n v="104.5"/>
        <n v="110"/>
        <n v="17.96"/>
        <n v="14.25"/>
        <n v="13.6"/>
        <n v="8.5"/>
        <n v="16.3"/>
        <n v="123.62"/>
        <n v="161.53"/>
        <n v="97.84"/>
        <n v="35.36"/>
        <n v="27.85"/>
        <n v="27.47"/>
        <n v="47.58"/>
        <n v="4.8"/>
        <n v="14.65"/>
        <n v="24.62"/>
        <n v="27.8"/>
        <n v="26.12"/>
        <n v="61.64"/>
        <n v="30.85"/>
        <n v="76.75"/>
        <n v="55.06"/>
        <n v="86.97"/>
        <n v="160"/>
        <n v="39.979999999999997"/>
        <n v="14.45"/>
        <n v="29.75"/>
        <n v="25.8"/>
        <n v="31.6"/>
        <n v="14.19"/>
        <n v="70.099999999999994"/>
        <n v="40.47"/>
        <n v="43.32"/>
        <n v="30.3"/>
        <n v="15.76"/>
        <n v="20.329999999999998"/>
        <n v="54.5"/>
        <n v="32.9"/>
        <n v="77.900000000000006"/>
        <n v="10.75"/>
        <n v="51.75"/>
        <n v="23.75"/>
        <n v="64.099999999999994"/>
        <n v="49.5"/>
        <n v="45.7"/>
        <n v="100.8"/>
        <n v="41.69"/>
        <n v="297.57"/>
        <n v="52.7"/>
        <n v="47.85"/>
        <n v="1073.46"/>
        <n v="40.340000000000003"/>
        <n v="15.1"/>
        <n v="21.45"/>
        <n v="120.18"/>
        <n v="496.11"/>
        <n v="11.38"/>
        <n v="25.4"/>
        <n v="535.41"/>
        <n v="127.57"/>
        <n v="76.5"/>
        <n v="38.5"/>
        <n v="479.83"/>
        <n v="333.89"/>
        <n v="6.28"/>
        <n v="62.42"/>
        <n v="44.68"/>
        <n v="36.479999999999997"/>
        <n v="13.7"/>
        <n v="153.04"/>
        <n v="60.95"/>
        <n v="79.8"/>
        <n v="52.55"/>
        <n v="137.13999999999999"/>
        <n v="35.26"/>
        <n v="47.99"/>
        <n v="14.24"/>
        <n v="9.1300000000000008"/>
        <n v="171.22"/>
        <n v="88.9"/>
        <n v="11.49"/>
        <n v="118.93"/>
        <n v="44.97"/>
        <n v="555.41"/>
        <n v="186.25"/>
        <n v="37.18"/>
        <n v="59.73"/>
        <n v="319.06"/>
        <n v="125.2"/>
        <n v="23.89"/>
        <n v="18.079999999999998"/>
        <n v="453.48"/>
        <n v="17.2"/>
        <n v="41.74"/>
        <n v="29.42"/>
        <n v="70.75"/>
        <n v="243.88"/>
        <n v="118.18"/>
        <n v="226.21"/>
        <n v="172"/>
        <n v="228.5"/>
        <n v="246.37"/>
        <n v="51.97"/>
        <n v="51.31"/>
        <n v="64.900000000000006"/>
        <n v="59.97"/>
        <n v="116.49"/>
        <n v="38.950000000000003"/>
        <n v="39.340000000000003"/>
        <n v="28.2"/>
        <n v="22.59"/>
        <n v="86.21"/>
        <n v="42.98"/>
        <n v="24.65"/>
        <n v="243.82"/>
        <n v="14.39"/>
        <n v="46.03"/>
        <n v="68.2"/>
        <n v="35.909999999999997"/>
        <n v="204.83"/>
        <n v="32.729999999999997"/>
        <n v="133.57"/>
        <n v="312.82"/>
        <n v="77.7"/>
        <n v="130.66"/>
        <n v="78.25"/>
        <n v="78.650000000000006"/>
        <n v="111.91"/>
        <n v="26.65"/>
        <n v="34.24"/>
        <n v="173.26"/>
        <n v="376.16"/>
        <n v="61.38"/>
        <n v="1252.82"/>
        <n v="341.81"/>
        <n v="331"/>
        <n v="94.88"/>
        <n v="83.97"/>
        <n v="23.94"/>
        <n v="40.25"/>
        <n v="28.97"/>
        <n v="490"/>
        <n v="32.049999999999997"/>
        <n v="27.55"/>
        <n v="219.25"/>
        <n v="112.77"/>
        <n v="8.9"/>
        <n v="182.22"/>
        <n v="26.23"/>
        <n v="816.22"/>
        <n v="42.94"/>
        <n v="53.82"/>
        <n v="166.14"/>
        <n v="16.510000000000002"/>
        <n v="130.75"/>
        <n v="22.28"/>
        <n v="25.28"/>
        <n v="16.75"/>
        <n v="19.649999999999999"/>
        <n v="177.7"/>
        <n v="86.3"/>
        <n v="116.25"/>
        <n v="47.25"/>
        <n v="20.75"/>
        <n v="324.01"/>
        <n v="34.47"/>
        <n v="376.61"/>
        <n v="33.549999999999997"/>
        <n v="195.56"/>
        <n v="10.46"/>
        <n v="154.13"/>
        <n v="112.62"/>
        <n v="54.63"/>
        <n v="264.52"/>
        <n v="374.62"/>
        <n v="194.17"/>
        <n v="131.99"/>
        <n v="47.75"/>
        <n v="53.85"/>
        <n v="202.75"/>
        <n v="132.62"/>
        <n v="163.9"/>
        <n v="22.74"/>
        <n v="61.6"/>
        <n v="27.24"/>
        <n v="28.5"/>
        <n v="32.299999999999997"/>
        <n v="27.48"/>
        <n v="33.76"/>
        <n v="27.95"/>
        <n v="25.67"/>
        <n v="29.98"/>
        <n v="85.93"/>
        <n v="36.950000000000003"/>
        <n v="77.040000000000006"/>
        <n v="7.7"/>
        <n v="23.53"/>
        <n v="26.97"/>
        <n v="24.42"/>
        <n v="44.85"/>
        <n v="40.450000000000003"/>
        <n v="25.39"/>
        <n v="45.45"/>
        <n v="22.48"/>
        <n v="26.98"/>
        <n v="19.96"/>
        <n v="11.9"/>
        <n v="35.96"/>
        <n v="48.48"/>
        <n v="64.92"/>
        <n v="70.819999999999993"/>
        <n v="81.260000000000005"/>
        <n v="73.790000000000006"/>
        <n v="51.35"/>
        <n v="68.459999999999994"/>
        <n v="46.98"/>
        <n v="59.16"/>
        <n v="74.680000000000007"/>
        <n v="17.5"/>
        <n v="49.98"/>
        <n v="21.21"/>
        <n v="37.47"/>
        <n v="31.98"/>
        <n v="400"/>
        <n v="32.97"/>
        <n v="41.71"/>
        <n v="91.13"/>
        <n v="10360"/>
        <n v="75.94"/>
        <n v="500"/>
        <n v="46100"/>
        <n v="1618.93"/>
        <n v="363.8"/>
        <n v="200"/>
        <n v="89.5"/>
        <n v="124.53"/>
        <n v="69.930000000000007"/>
        <n v="135.12"/>
        <n v="11"/>
        <n v="254.35"/>
        <n v="0.01"/>
        <n v="24.28"/>
        <n v="162.5"/>
        <n v="101.44"/>
        <n v="24.95"/>
        <n v="56.49"/>
        <n v="84"/>
        <n v="390"/>
        <n v="134.82"/>
        <n v="80.06"/>
        <n v="201.99"/>
        <n v="308.68"/>
        <n v="22.89"/>
        <n v="26.25"/>
        <n v="100"/>
        <n v="413"/>
        <n v="1254.5"/>
        <n v="203.77"/>
        <n v="396"/>
        <n v="106.12"/>
        <n v="95.96"/>
        <n v="71.97"/>
        <n v="76.98"/>
        <n v="279.51"/>
        <n v="133.30000000000001"/>
        <n v="5.99"/>
        <n v="49.2"/>
        <n v="29.37"/>
        <n v="42.13"/>
        <n v="86.47"/>
        <n v="78.8"/>
        <n v="57.76"/>
        <n v="60.31"/>
        <n v="99.56"/>
        <n v="107.4"/>
        <n v="40.68"/>
        <n v="48.2"/>
        <n v="47.95"/>
        <n v="88.43"/>
        <n v="50.37"/>
        <n v="187.5"/>
        <n v="202.5"/>
        <n v="9.99"/>
        <n v="203"/>
        <n v="53.41"/>
        <n v="40.19"/>
        <n v="45.62"/>
        <n v="49.32"/>
        <n v="49.58"/>
        <n v="47.35"/>
        <n v="36.11"/>
        <n v="211"/>
        <n v="170.48"/>
        <n v="86"/>
        <n v="140.30000000000001"/>
        <n v="63.77"/>
        <n v="263.25"/>
        <n v="30.84"/>
        <n v="34.99"/>
        <n v="15.95"/>
        <n v="20.99"/>
        <n v="16.149999999999999"/>
        <n v="19.100000000000001"/>
        <n v="25.02"/>
        <n v="128.04"/>
        <n v="125.21"/>
        <n v="12.93"/>
        <n v="197.14"/>
        <n v="145.18"/>
        <n v="88.74"/>
        <n v="151.84"/>
        <n v="88.19"/>
        <n v="86.74"/>
        <n v="65.22"/>
        <n v="152.08000000000001"/>
        <n v="89.33"/>
        <n v="103.39"/>
        <n v="91.81"/>
        <n v="84.26"/>
        <n v="17.05"/>
        <n v="79.73"/>
        <n v="102.39"/>
        <n v="64.069999999999993"/>
        <n v="28.82"/>
        <n v="389"/>
        <n v="55.35"/>
        <n v="95.63"/>
        <n v="40.89"/>
        <n v="45.65"/>
        <n v="49.46"/>
        <n v="35.119999999999997"/>
        <n v="34.54"/>
        <n v="152.75"/>
        <n v="27.75"/>
        <n v="126.25"/>
        <n v="77.349999999999994"/>
        <n v="43.7"/>
        <n v="184.05"/>
        <n v="145.59"/>
        <n v="305.58999999999997"/>
        <n v="29.96"/>
        <n v="31.9"/>
        <n v="130.5"/>
        <n v="110.69"/>
        <n v="285.70999999999998"/>
        <n v="98.21"/>
        <n v="148.26"/>
        <n v="113.68"/>
        <n v="64.2"/>
        <n v="142.33000000000001"/>
        <n v="84.6"/>
        <n v="75.599999999999994"/>
        <n v="44.6"/>
        <n v="215.6"/>
        <n v="169.85"/>
        <n v="5.89"/>
        <n v="79.75"/>
        <n v="246.72"/>
        <n v="87.91"/>
        <n v="197.93"/>
        <n v="38.18"/>
        <n v="85.12"/>
        <n v="87.62"/>
        <n v="40.119999999999997"/>
        <n v="71.92"/>
        <n v="57.08"/>
        <n v="79.14"/>
        <n v="45.48"/>
        <n v="89.85"/>
        <n v="88.95"/>
        <n v="118"/>
        <n v="90.4"/>
        <n v="9.3000000000000007"/>
        <n v="329.8"/>
        <n v="373"/>
        <n v="42.38"/>
        <n v="38.32"/>
        <n v="38.119999999999997"/>
        <n v="58.95"/>
        <n v="8.3800000000000008"/>
        <n v="15.98"/>
        <n v="20.94"/>
        <n v="22.54"/>
        <n v="88.75"/>
        <n v="105.75"/>
        <n v="132.9"/>
        <n v="163.36000000000001"/>
        <n v="48.05"/>
        <n v="36.380000000000003"/>
        <n v="154.26"/>
        <n v="195.75"/>
        <n v="85.02"/>
        <n v="9.2899999999999991"/>
        <n v="70.739999999999995"/>
        <n v="71"/>
        <n v="22.75"/>
        <n v="70.86"/>
        <n v="7.89"/>
        <n v="88.65"/>
        <n v="18.27"/>
        <n v="13.53"/>
        <n v="28.77"/>
        <n v="52.5"/>
        <n v="52.89"/>
        <n v="58.3"/>
        <n v="55.87"/>
        <n v="35.04"/>
        <n v="207"/>
        <n v="76.13"/>
        <n v="93.92"/>
        <n v="49.95"/>
        <n v="86.92"/>
        <n v="16.850000000000001"/>
        <n v="47.98"/>
        <n v="13.92"/>
        <n v="29.77"/>
        <n v="54.04"/>
        <n v="41.19"/>
        <n v="22.49"/>
        <n v="52.18"/>
        <n v="20.36"/>
        <n v="149.85"/>
        <n v="10.92"/>
        <n v="72.569999999999993"/>
        <n v="16.64"/>
        <n v="61.83"/>
        <n v="45.4"/>
        <n v="65.489999999999995"/>
        <n v="34.049999999999997"/>
        <n v="83.55"/>
        <n v="65.3"/>
        <n v="67.23"/>
        <n v="187.14"/>
        <n v="162.25"/>
        <n v="39.99"/>
        <n v="270"/>
        <n v="188.37"/>
        <n v="86.93"/>
        <n v="16.82"/>
        <n v="47.09"/>
        <n v="26.24"/>
        <n v="20.82"/>
        <n v="19.75"/>
        <n v="107.59"/>
        <n v="66.97"/>
        <n v="31.02"/>
        <n v="46.56"/>
        <n v="102.84"/>
        <n v="48.01"/>
        <n v="175.13"/>
        <n v="48.56"/>
        <n v="43.05"/>
        <n v="13.26"/>
        <n v="14.3"/>
        <n v="35.880000000000003"/>
        <n v="24.57"/>
        <n v="29.33"/>
        <n v="23.03"/>
        <n v="26.49"/>
        <n v="35.39"/>
        <n v="40.299999999999997"/>
        <n v="35.659999999999997"/>
        <n v="37.799999999999997"/>
        <n v="54.2"/>
        <n v="37.700000000000003"/>
        <n v="31.38"/>
        <n v="187.25"/>
        <n v="120.4"/>
        <n v="83.51"/>
        <n v="124.78"/>
        <n v="129.9"/>
        <n v="69.209999999999994"/>
        <n v="47.06"/>
        <n v="28.75"/>
        <n v="37.75"/>
        <n v="35.92"/>
        <n v="42.54"/>
        <n v="123"/>
        <n v="20.54"/>
        <n v="144.53"/>
        <n v="18.95"/>
        <n v="18.34"/>
        <n v="121.45"/>
        <n v="134.71"/>
        <n v="75.099999999999994"/>
        <n v="83.29"/>
        <n v="78.66"/>
        <n v="81.2"/>
        <n v="41.68"/>
        <n v="160.63"/>
        <n v="40.18"/>
        <n v="115.38"/>
        <n v="24.86"/>
        <n v="29.09"/>
        <n v="24.5"/>
        <n v="82.16"/>
        <n v="51.8"/>
        <n v="44.02"/>
        <n v="28.26"/>
        <n v="47.57"/>
        <n v="42.34"/>
        <n v="30.65"/>
        <n v="28.18"/>
        <n v="27.96"/>
        <n v="107.45"/>
        <n v="1876.36"/>
        <n v="684.29"/>
        <n v="52"/>
        <n v="39.5"/>
        <n v="283.58"/>
        <n v="46.99"/>
        <n v="153.57"/>
        <n v="237.6"/>
        <n v="232.73"/>
        <n v="56.06"/>
        <n v="53.55"/>
        <n v="339.5"/>
        <n v="365.04"/>
        <n v="391.87"/>
        <n v="252.9"/>
        <n v="376.89"/>
        <n v="61.5"/>
        <n v="42.69"/>
        <n v="64.849999999999994"/>
        <n v="25.95"/>
        <n v="19.32"/>
        <n v="27.5"/>
        <n v="102.25"/>
        <n v="112.11"/>
        <n v="440"/>
        <n v="154.21"/>
        <n v="34.229999999999997"/>
        <n v="36.75"/>
        <n v="578.27"/>
        <n v="555.79999999999995"/>
        <n v="1233.6400000000001"/>
        <n v="603.97"/>
        <n v="81.86"/>
        <n v="269.86"/>
        <n v="693.93"/>
        <n v="983.06"/>
        <n v="103.74"/>
        <n v="54.1"/>
        <n v="1719.06"/>
        <n v="592.47"/>
        <n v="394.99"/>
        <n v="629.41"/>
        <n v="140.93"/>
        <n v="114.97"/>
        <n v="135.55000000000001"/>
        <n v="53.93"/>
        <n v="420.14"/>
        <n v="2.5"/>
        <n v="2.14"/>
        <n v="146.36000000000001"/>
        <n v="36.35"/>
        <n v="178.7"/>
        <n v="65.86"/>
        <n v="96.8"/>
        <n v="69.790000000000006"/>
        <n v="424.76"/>
        <n v="139.69"/>
        <n v="75.260000000000005"/>
        <n v="281.54000000000002"/>
        <n v="129"/>
        <n v="20.95"/>
        <n v="37.29"/>
        <n v="79.48"/>
        <n v="329.94"/>
        <n v="11.8"/>
        <n v="51.92"/>
        <n v="12.64"/>
        <n v="54.79"/>
        <n v="41.08"/>
        <n v="81.099999999999994"/>
        <n v="54.66"/>
        <n v="282.94"/>
        <n v="80.25"/>
        <n v="221.25"/>
        <n v="138.66"/>
        <n v="56.5"/>
        <n v="498"/>
        <n v="66.86"/>
        <n v="475"/>
        <n v="101.26"/>
        <n v="75.900000000000006"/>
        <n v="67.5"/>
        <n v="7696.4"/>
        <n v="22.7"/>
        <n v="136"/>
        <n v="140.19999999999999"/>
        <n v="146.9"/>
        <n v="99.47"/>
        <n v="115.5"/>
        <n v="1008.31"/>
        <n v="30.53"/>
        <n v="436.59"/>
        <n v="44.62"/>
        <n v="99.89"/>
        <n v="17.28"/>
        <n v="15.75"/>
        <n v="351.69"/>
        <n v="99.43"/>
        <n v="1329.68"/>
        <n v="362.5"/>
        <n v="113.14"/>
        <n v="826.3"/>
        <n v="474"/>
        <n v="184.87"/>
        <n v="144"/>
        <n v="7.06"/>
        <n v="245"/>
        <n v="160.5"/>
        <n v="2200"/>
        <n v="363.13"/>
        <n v="86.5"/>
        <n v="2693.42"/>
        <n v="29.85"/>
        <n v="64.61"/>
        <n v="319.27"/>
        <n v="156.84"/>
        <n v="448.21"/>
        <n v="1020.63"/>
        <n v="1287"/>
        <n v="625"/>
        <n v="44.58"/>
        <n v="92.32"/>
        <n v="131.24"/>
        <n v="118.45"/>
        <n v="273.39999999999998"/>
        <n v="253.24"/>
        <n v="347.88"/>
        <n v="331.86"/>
        <n v="293.02"/>
        <n v="107.5"/>
        <n v="125.24"/>
        <n v="60.26"/>
        <n v="78.319999999999993"/>
        <n v="63.22"/>
        <n v="91.71"/>
        <n v="61.3"/>
        <n v="55.52"/>
        <n v="92.24"/>
        <n v="99.83"/>
        <n v="105.28"/>
        <n v="176.12"/>
        <n v="333.62"/>
        <n v="34.07"/>
        <n v="40.86"/>
        <n v="30.23"/>
        <n v="55.05"/>
        <n v="45.94"/>
        <n v="34.549999999999997"/>
        <n v="31.15"/>
        <n v="24.98"/>
        <n v="22.47"/>
        <n v="165.4"/>
        <n v="20.8"/>
        <n v="62.44"/>
        <n v="21.19"/>
        <n v="21.57"/>
        <n v="23.38"/>
        <n v="52.26"/>
        <n v="91.99"/>
        <n v="22.95"/>
        <n v="30.8"/>
        <n v="242.83"/>
        <n v="8.89"/>
        <n v="27.65"/>
        <n v="22.51"/>
        <n v="24.11"/>
        <n v="58.05"/>
        <n v="155.51"/>
        <n v="44"/>
        <n v="33.090000000000003"/>
        <n v="15.41"/>
        <n v="9.35"/>
        <n v="61.42"/>
        <n v="85.2"/>
        <n v="35.94"/>
        <n v="232.38"/>
        <n v="104.68"/>
        <n v="25.53"/>
        <n v="23.54"/>
        <n v="39.119999999999997"/>
        <n v="14.86"/>
        <n v="28.99"/>
        <n v="159.63"/>
        <n v="27.42"/>
        <n v="37.57"/>
        <n v="38.03"/>
        <n v="34.630000000000003"/>
        <n v="30.38"/>
        <n v="35.85"/>
        <n v="67.34"/>
        <n v="72.31"/>
        <n v="16.78"/>
        <n v="65.59"/>
        <n v="34.770000000000003"/>
        <n v="12.59"/>
        <n v="23.39"/>
        <n v="60.62"/>
        <n v="61"/>
        <n v="447.12"/>
        <n v="341.28"/>
        <n v="642.38"/>
        <n v="128.72"/>
        <n v="138.13"/>
        <n v="733.55"/>
        <n v="665.62"/>
        <n v="969.56"/>
        <n v="646.41"/>
        <n v="1181.26"/>
        <n v="471.73"/>
        <n v="484.74"/>
        <n v="618.82000000000005"/>
        <n v="681.89"/>
        <n v="637.09"/>
        <n v="860.35"/>
        <n v="879.61"/>
        <n v="839.9"/>
        <n v="873.5"/>
        <n v="32.01"/>
        <n v="48.99"/>
        <n v="31.77"/>
        <n v="23.73"/>
        <n v="13.14"/>
        <n v="96.22"/>
        <n v="7.26"/>
        <n v="81.55"/>
        <n v="13.32"/>
        <n v="21.92"/>
        <n v="66.95"/>
        <n v="458.67"/>
        <n v="414.52"/>
        <n v="307.33999999999997"/>
        <n v="371.65"/>
        <n v="59.91"/>
        <n v="488.85"/>
        <n v="298.99"/>
        <n v="290.17"/>
        <n v="360.46"/>
        <n v="473.77"/>
        <n v="307.27999999999997"/>
        <n v="351.43"/>
        <n v="475.27"/>
        <n v="11.08"/>
        <n v="48.03"/>
        <n v="29.15"/>
        <n v="27.99"/>
        <n v="45.08"/>
        <n v="43.11"/>
        <n v="81.08"/>
        <n v="47.78"/>
        <n v="83.57"/>
        <n v="723.12"/>
        <n v="544.92999999999995"/>
        <n v="714.31"/>
        <n v="739.91"/>
        <n v="75.819999999999993"/>
        <n v="1090.04"/>
        <n v="906.64"/>
        <n v="745.21"/>
        <n v="504.84"/>
        <n v="597.71"/>
        <n v="1045.49"/>
        <n v="1177.53"/>
        <n v="1192.95"/>
        <n v="757.32"/>
        <n v="566.5"/>
        <n v="52.04"/>
        <n v="27.18"/>
        <n v="38.9"/>
        <n v="48.4"/>
        <n v="29.05"/>
        <n v="19.899999999999999"/>
        <n v="60.7"/>
        <n v="18.510000000000002"/>
        <n v="37.36"/>
        <n v="29.64"/>
        <n v="16.88"/>
        <n v="24.81"/>
        <n v="70.28"/>
        <n v="29.99"/>
        <n v="88.26"/>
        <n v="527.12"/>
        <n v="296.87"/>
        <n v="200.77"/>
        <n v="162.05000000000001"/>
        <n v="256.25"/>
        <n v="238"/>
        <n v="349.69"/>
        <n v="486.85"/>
        <n v="368.43"/>
        <n v="250.08"/>
        <n v="518.83000000000004"/>
        <n v="635.95000000000005"/>
        <n v="453.9"/>
        <n v="423.51"/>
        <n v="14.12"/>
        <n v="44.01"/>
        <n v="44.84"/>
        <n v="48.33"/>
        <n v="1470.44"/>
        <n v="1046.49"/>
        <n v="859.78"/>
        <n v="717.11"/>
        <n v="976.58"/>
        <n v="523.55999999999995"/>
        <n v="743.95"/>
        <n v="430.92"/>
        <n v="1143.8499999999999"/>
        <n v="1334.36"/>
        <n v="1708.41"/>
        <n v="1424.84"/>
        <n v="1660.09"/>
        <n v="1098.96"/>
        <n v="34.21"/>
        <n v="77.290000000000006"/>
        <n v="21.76"/>
        <n v="26.84"/>
        <n v="82.95"/>
        <n v="98.4"/>
        <n v="60.14"/>
        <n v="150.13"/>
        <n v="48.98"/>
        <n v="122.52"/>
        <n v="85.88"/>
        <n v="112.16"/>
        <n v="135.44"/>
        <n v="112.93"/>
        <n v="9.8000000000000007"/>
        <n v="26.33"/>
        <n v="409.39"/>
        <n v="1011.2"/>
        <n v="947.29"/>
        <n v="812.98"/>
        <n v="287.85000000000002"/>
        <n v="371.73"/>
        <n v="523.57000000000005"/>
        <n v="409.61"/>
        <n v="384.42"/>
        <n v="571.58000000000004"/>
        <n v="703.22"/>
        <n v="1072.24"/>
        <n v="684.15"/>
        <n v="339.11"/>
        <n v="492.39"/>
        <n v="6.74"/>
        <n v="33.229999999999997"/>
        <n v="199.9"/>
        <n v="61.08"/>
        <n v="25.32"/>
        <n v="105.95"/>
        <n v="42.15"/>
        <n v="73.2"/>
        <n v="481.58"/>
        <n v="256.69"/>
        <n v="414.19"/>
        <n v="308.57"/>
        <n v="261.7"/>
        <n v="260.81"/>
        <n v="454.53"/>
        <n v="427.96"/>
        <n v="440.66"/>
        <n v="554.16"/>
        <n v="695.86"/>
        <n v="507.4"/>
        <n v="706.08"/>
        <n v="635.51"/>
        <n v="19.25"/>
        <n v="26.38"/>
        <n v="27.06"/>
        <n v="58.42"/>
        <n v="19.38"/>
        <n v="21.27"/>
        <n v="74.62"/>
        <n v="627.95000000000005"/>
        <n v="351.07"/>
        <n v="478.22"/>
        <n v="395.45"/>
        <n v="199.74"/>
        <n v="294.52"/>
        <n v="684.66"/>
        <n v="644.11"/>
        <n v="365.42"/>
        <n v="808.05"/>
        <n v="336.32"/>
        <n v="583.38"/>
        <n v="575.63"/>
        <n v="430.45"/>
        <n v="14.14"/>
        <n v="26.35"/>
        <n v="42.8"/>
        <n v="28.31"/>
        <n v="13.43"/>
        <n v="132.22"/>
        <n v="10.29"/>
        <n v="31.65"/>
        <n v="14.46"/>
        <n v="45.85"/>
        <n v="19.39"/>
        <n v="12.27"/>
        <n v="13.64"/>
        <n v="28.12"/>
        <n v="20.25"/>
        <n v="61.93"/>
        <n v="147.4"/>
        <n v="77.08"/>
        <n v="127.17"/>
        <n v="69.34"/>
        <n v="30.08"/>
        <n v="52.97"/>
        <n v="101.66"/>
        <n v="68.180000000000007"/>
        <n v="792.61"/>
        <n v="1065.3599999999999"/>
        <n v="983.14"/>
        <n v="536.64"/>
        <n v="708.43"/>
        <n v="369.72"/>
        <n v="560.6"/>
        <n v="59.78"/>
        <n v="396.19"/>
        <n v="597.52"/>
        <n v="936.65"/>
        <n v="683.32"/>
        <n v="478.91"/>
        <n v="551.41"/>
        <n v="402.95"/>
        <n v="12.8"/>
        <n v="10.6"/>
        <n v="17.7"/>
        <n v="72.849999999999994"/>
        <n v="22.19"/>
        <n v="130.29"/>
        <n v="17.510000000000002"/>
        <n v="23.57"/>
        <n v="21.09"/>
        <n v="67.13"/>
        <n v="91.9"/>
        <n v="27.14"/>
        <n v="20.86"/>
        <n v="303.73"/>
        <n v="263.83999999999997"/>
        <n v="387.82"/>
        <n v="231.33"/>
        <n v="480.58"/>
        <n v="456.32"/>
        <n v="443.45"/>
        <n v="379.26"/>
        <n v="355.04"/>
        <n v="365.4"/>
        <n v="513.57000000000005"/>
        <n v="617.16"/>
        <n v="531.46"/>
        <n v="540.30999999999995"/>
        <n v="46.57"/>
        <n v="143.35"/>
        <n v="76.97"/>
        <n v="55.92"/>
        <n v="17.600000000000001"/>
        <n v="63.64"/>
        <n v="28.72"/>
        <n v="32.130000000000003"/>
        <n v="77.209999999999994"/>
        <n v="103.76"/>
        <n v="84.8"/>
        <n v="99.42"/>
        <n v="131.81"/>
        <n v="82.59"/>
        <n v="152.47999999999999"/>
        <n v="20.72"/>
        <n v="56.89"/>
        <n v="88.69"/>
        <n v="122.35"/>
        <n v="203.87"/>
        <n v="123.55"/>
        <n v="132.77000000000001"/>
        <n v="173.93"/>
        <n v="77.61"/>
        <n v="12.49"/>
        <n v="25.48"/>
        <n v="60.19"/>
        <n v="558.33000000000004"/>
        <n v="456.75"/>
        <n v="123.44"/>
        <n v="140.37"/>
        <n v="277.94"/>
        <n v="165.12"/>
        <n v="277.35000000000002"/>
        <n v="138.5"/>
        <n v="125.81"/>
        <n v="250.17"/>
        <n v="391.96"/>
        <n v="414.36"/>
        <n v="253.81"/>
        <n v="40.99"/>
        <n v="61.62"/>
        <n v="64.510000000000005"/>
        <n v="37.83"/>
        <n v="30.68"/>
        <n v="20.170000000000002"/>
        <n v="107.83"/>
        <n v="17.45"/>
        <n v="193.97"/>
        <n v="324.77"/>
        <n v="41.31"/>
        <n v="138.09"/>
        <n v="85.85"/>
        <n v="567.08000000000004"/>
        <n v="246.08"/>
        <n v="209.59"/>
        <n v="319.01"/>
        <n v="258.82"/>
        <n v="231.75"/>
        <n v="247.25"/>
        <n v="330.37"/>
        <n v="114.74"/>
        <n v="252.32"/>
        <n v="213.47"/>
        <n v="292.72000000000003"/>
        <n v="318.88"/>
        <n v="16.68"/>
        <n v="250.81"/>
        <n v="108.28"/>
        <n v="77.64"/>
        <n v="30.16"/>
        <n v="32.380000000000003"/>
        <n v="22.88"/>
        <n v="119.39"/>
        <n v="54.25"/>
        <n v="46.01"/>
        <n v="58.94"/>
        <n v="384.96"/>
        <n v="397.34"/>
        <n v="295.97000000000003"/>
        <n v="127.85"/>
        <n v="87.89"/>
        <n v="214.42"/>
        <n v="149.43"/>
        <n v="215.34"/>
        <n v="305.62"/>
        <n v="329.75"/>
        <n v="330.73"/>
        <n v="170.64"/>
        <n v="246.93"/>
        <n v="90.79"/>
        <n v="37.630000000000003"/>
        <n v="25.63"/>
        <n v="38.42"/>
        <n v="91.09"/>
        <n v="95.62"/>
        <n v="52.96"/>
        <n v="386.75"/>
        <n v="455.83"/>
        <n v="264.37"/>
        <n v="215.46"/>
        <n v="181.12"/>
        <n v="242.02"/>
        <n v="322.91000000000003"/>
        <n v="321.02999999999997"/>
        <n v="259.92"/>
        <n v="486.39"/>
        <n v="216.64"/>
        <n v="318.58999999999997"/>
        <n v="217.88"/>
        <n v="257.58"/>
        <n v="26.94"/>
        <n v="15.93"/>
        <n v="39.42"/>
        <n v="69.680000000000007"/>
        <n v="40.04"/>
        <n v="73.849999999999994"/>
        <n v="33.020000000000003"/>
        <n v="80.47"/>
        <n v="63.58"/>
        <n v="35.520000000000003"/>
        <n v="449.4"/>
        <n v="95.48"/>
        <n v="39.020000000000003"/>
        <n v="132.91"/>
        <n v="155.74"/>
        <n v="226.17"/>
        <n v="168.11"/>
        <n v="183.98"/>
        <n v="226.28"/>
        <n v="208.07"/>
        <n v="241.12"/>
        <n v="477.64"/>
        <n v="812.13"/>
        <n v="18.760000000000002"/>
        <n v="31.22"/>
        <n v="36.82"/>
        <n v="42.17"/>
        <n v="85.06"/>
        <n v="514.46"/>
        <n v="65.680000000000007"/>
        <n v="212.88"/>
        <n v="243.25"/>
        <n v="247.68"/>
        <n v="397.66"/>
        <n v="163.58000000000001"/>
        <n v="204.36"/>
        <n v="303.57"/>
        <n v="210.56"/>
        <n v="306.8"/>
        <n v="402.87"/>
        <n v="392.27"/>
        <n v="287.68"/>
        <n v="55.12"/>
        <n v="49.31"/>
        <n v="24.36"/>
        <n v="77.55"/>
        <n v="108.33"/>
        <n v="107.54"/>
        <n v="12.91"/>
        <n v="12.15"/>
        <n v="26.03"/>
        <n v="5.6"/>
        <n v="39.33"/>
        <n v="85.58"/>
        <n v="50.11"/>
        <n v="24.96"/>
        <n v="75.709999999999994"/>
        <n v="45.01"/>
        <n v="79.08"/>
        <n v="37.64"/>
        <n v="18.420000000000002"/>
        <n v="9.89"/>
        <n v="34.840000000000003"/>
        <n v="93.66"/>
        <n v="51.37"/>
        <n v="41.44"/>
        <n v="50.49"/>
        <n v="83.32"/>
        <n v="88.18"/>
        <n v="86.68"/>
        <n v="62.72"/>
        <n v="57.16"/>
        <n v="1342.37"/>
        <n v="1172.44"/>
        <n v="725.25"/>
        <n v="639.91999999999996"/>
        <n v="827.43"/>
        <n v="562.41"/>
        <n v="557.19000000000005"/>
        <n v="539.51"/>
        <n v="671.12"/>
        <n v="980.37"/>
        <n v="985.64"/>
        <n v="1352.47"/>
        <n v="828.89"/>
        <n v="834.96"/>
        <n v="57.39"/>
        <n v="114.95"/>
        <n v="60.58"/>
        <n v="61.2"/>
        <n v="72.62"/>
        <n v="123.33"/>
        <n v="130.63999999999999"/>
        <n v="108.19"/>
        <n v="269.23"/>
        <n v="137.13"/>
        <n v="275.07"/>
        <n v="117.15"/>
        <n v="410.35"/>
        <n v="27.34"/>
        <n v="26.83"/>
        <n v="19.329999999999998"/>
        <n v="45.98"/>
        <n v="9.67"/>
        <n v="17.62"/>
        <n v="103.86"/>
        <n v="166.93"/>
        <n v="83.16"/>
        <n v="10.050000000000001"/>
        <n v="29.34"/>
        <n v="13.77"/>
        <n v="28.02"/>
        <n v="23.72"/>
        <n v="25.31"/>
        <n v="254.22"/>
        <n v="134.93"/>
        <n v="85.49"/>
        <n v="101.38"/>
        <n v="105.88"/>
        <n v="105.12"/>
        <n v="229.69"/>
        <n v="132.81"/>
        <n v="159.69999999999999"/>
        <n v="140"/>
        <n v="149.97999999999999"/>
        <n v="121.62"/>
        <n v="83.18"/>
        <n v="42.78"/>
        <n v="87.46"/>
        <n v="13.02"/>
        <n v="38.590000000000003"/>
        <n v="68.19"/>
        <n v="105.16"/>
        <n v="318.22000000000003"/>
        <n v="259.77"/>
        <n v="1189.81"/>
        <n v="518.6"/>
        <n v="542.38"/>
        <n v="328.77"/>
        <n v="312.97000000000003"/>
        <n v="683.57"/>
        <n v="254.94"/>
        <n v="249.64"/>
        <n v="344.62"/>
        <n v="616.58000000000004"/>
        <n v="111.49"/>
        <n v="7.31"/>
        <n v="767.82"/>
        <n v="10767.85"/>
        <n v="691.7"/>
        <n v="2484.4899999999998"/>
        <n v="519.55999999999995"/>
        <n v="1499.58"/>
        <n v="273.02999999999997"/>
        <n v="26.43"/>
        <n v="51.85"/>
        <n v="90.45"/>
        <n v="147.93"/>
        <n v="49.9"/>
        <n v="22.38"/>
        <n v="24.26"/>
        <n v="94.12"/>
        <n v="132.47"/>
        <n v="9.9600000000000009"/>
        <n v="20.9"/>
        <n v="123.3"/>
        <n v="327.85"/>
        <n v="164.7"/>
        <n v="150.58000000000001"/>
        <n v="99.97"/>
        <n v="18.37"/>
        <n v="13.97"/>
        <n v="23.05"/>
        <n v="30.39"/>
        <n v="50.79"/>
        <n v="2823.18"/>
        <n v="838"/>
        <n v="4.68"/>
        <n v="5620.07"/>
        <n v="983.17"/>
        <n v="1232.6199999999999"/>
        <n v="1283.31"/>
        <n v="2980.22"/>
        <n v="61.81"/>
        <n v="1738.68"/>
        <n v="1065.6300000000001"/>
        <n v="2.27"/>
        <n v="653.96"/>
        <n v="3294.23"/>
        <n v="944.15"/>
        <n v="804.21"/>
        <n v="1408.96"/>
        <n v="1290.4100000000001"/>
        <n v="27.2"/>
        <n v="516.86"/>
        <n v="83.12"/>
        <n v="673.32"/>
        <n v="151.41"/>
        <n v="506.95"/>
        <n v="156.97"/>
        <n v="444.29"/>
        <n v="16088.95"/>
        <n v="2256.5"/>
        <n v="2309.17"/>
        <n v="11432.58"/>
        <n v="537.59"/>
        <n v="910.15"/>
        <n v="930.71"/>
        <n v="1142.21"/>
        <n v="123.45"/>
        <n v="1127.55"/>
        <n v="191.12"/>
        <n v="305.36"/>
        <n v="158.78"/>
        <n v="519.46"/>
        <n v="537.95000000000005"/>
        <n v="1368.34"/>
        <n v="329.69"/>
        <n v="1553.8"/>
        <n v="163.72"/>
        <n v="39.43"/>
        <n v="271.64999999999998"/>
        <n v="37.49"/>
        <n v="181.36"/>
        <n v="29.16"/>
        <n v="47.61"/>
        <n v="111.83"/>
        <n v="13.68"/>
        <n v="50.38"/>
        <n v="42.39"/>
        <n v="159.55000000000001"/>
        <n v="173.16"/>
        <n v="219.83"/>
        <n v="129.44999999999999"/>
        <n v="98.19"/>
        <n v="142.01"/>
        <n v="206.84"/>
        <n v="233.45"/>
        <n v="365.3"/>
        <n v="32.5"/>
        <n v="173.81"/>
        <n v="42.2"/>
        <n v="50.62"/>
        <n v="24.4"/>
        <n v="56.43"/>
        <n v="12.62"/>
        <n v="81.11"/>
        <n v="32.450000000000003"/>
        <n v="64.22"/>
        <n v="65.63"/>
        <n v="543.25"/>
        <n v="358.78"/>
        <n v="411.2"/>
        <n v="486.58"/>
        <n v="474.74"/>
        <n v="516.62"/>
        <n v="414.01"/>
        <n v="391.03"/>
        <n v="448.2"/>
        <n v="522.20000000000005"/>
        <n v="401.95"/>
        <n v="594.01"/>
        <n v="562.02"/>
        <n v="481.35"/>
        <n v="6.56"/>
        <n v="412.97"/>
        <n v="71.099999999999994"/>
        <n v="59.35"/>
        <n v="16.690000000000001"/>
        <n v="7.42"/>
        <n v="9.66"/>
        <n v="334.93"/>
        <n v="83.6"/>
        <n v="22.42"/>
        <n v="37.5"/>
        <n v="20.239999999999998"/>
        <n v="106.5"/>
        <n v="182.59"/>
        <n v="186.05"/>
        <n v="262.45"/>
        <n v="36.630000000000003"/>
        <n v="17.670000000000002"/>
        <n v="57.69"/>
        <n v="144.43"/>
        <n v="28.91"/>
        <n v="27.71"/>
        <n v="80.13"/>
        <n v="31.11"/>
        <n v="44.13"/>
        <n v="100.79"/>
        <n v="23.25"/>
        <n v="8.35"/>
        <n v="7.15"/>
        <n v="7.6"/>
        <n v="3.95"/>
        <n v="122"/>
        <n v="46.4"/>
        <n v="44.4"/>
        <n v="25.9"/>
        <n v="12.08"/>
        <n v="7.45"/>
        <n v="51.2"/>
        <n v="21.6"/>
        <n v="359"/>
        <n v="143"/>
        <n v="43.4"/>
        <n v="11.15"/>
        <n v="9.65"/>
        <n v="536.4"/>
        <n v="33.65"/>
        <n v="30.77"/>
        <n v="31.3"/>
        <n v="16.350000000000001"/>
        <n v="676"/>
        <n v="432"/>
        <n v="572"/>
        <n v="110.5"/>
        <n v="2.75"/>
        <n v="306"/>
        <n v="52.2"/>
        <n v="34.799999999999997"/>
        <n v="139.19999999999999"/>
        <n v="69.599999999999994"/>
        <n v="131"/>
        <n v="77"/>
        <n v="266"/>
        <n v="242"/>
        <n v="359.78"/>
        <n v="193"/>
        <n v="171.6"/>
        <n v="187.2"/>
        <n v="8.9499999999999993"/>
        <n v="3.25"/>
        <n v="126.5"/>
        <n v="59.3"/>
        <n v="16.7"/>
        <n v="7.65"/>
        <n v="380"/>
        <n v="117"/>
        <n v="4.05"/>
        <n v="0.3"/>
        <n v="23.85"/>
        <n v="32.200000000000003"/>
        <n v="14.95"/>
        <n v="383.94"/>
        <n v="7.28"/>
        <n v="4.5999999999999996"/>
        <n v="6.9"/>
        <n v="4902.58"/>
        <n v="77.650000000000006"/>
        <n v="114.25"/>
        <n v="102.8"/>
        <n v="121.75"/>
        <n v="184.2"/>
        <n v="150.44999999999999"/>
        <n v="86.05"/>
        <n v="73"/>
        <n v="1539.2"/>
        <n v="353.6"/>
        <n v="74.400000000000006"/>
        <n v="1451.8"/>
        <n v="63.2"/>
        <n v="22.17"/>
        <n v="9.6"/>
        <n v="28.95"/>
        <n v="796.6"/>
        <n v="412.62"/>
        <n v="20.67"/>
        <n v="190"/>
        <n v="220"/>
        <n v="303.89999999999998"/>
        <n v="796.5"/>
        <n v="382.02"/>
        <n v="120.6"/>
        <n v="675.9"/>
        <n v="140.46"/>
        <n v="40.4"/>
        <n v="139.03"/>
        <n v="2549.17"/>
        <n v="2322.9"/>
        <n v="719.83"/>
        <n v="1578.84"/>
        <n v="1050.5999999999999"/>
        <n v="39.9"/>
        <n v="366.01"/>
        <n v="56.9"/>
        <n v="195.57"/>
        <n v="293.3"/>
        <n v="90.01"/>
        <n v="235.9"/>
        <n v="1083.51"/>
        <n v="19.399999999999999"/>
        <n v="919"/>
        <n v="1322.7"/>
        <n v="235"/>
        <n v="167.3"/>
        <n v="59"/>
        <n v="4.28"/>
        <n v="263.01"/>
        <n v="1059.9000000000001"/>
        <n v="1170"/>
        <n v="1086.1400000000001"/>
        <n v="224"/>
        <n v="450"/>
        <n v="47.45"/>
        <n v="260"/>
        <n v="1872.76"/>
        <n v="882.45"/>
        <n v="609"/>
        <n v="1789.9"/>
        <n v="2723.68"/>
        <n v="261"/>
        <n v="37.479999999999997"/>
        <n v="21.4"/>
        <n v="418.1"/>
        <n v="200.88"/>
        <n v="26.2"/>
        <n v="2023.13"/>
        <n v="247"/>
        <n v="130.18"/>
        <n v="13.91"/>
        <n v="442"/>
        <n v="448.15"/>
        <n v="444.3"/>
        <n v="17.12"/>
        <n v="51.99"/>
        <n v="26.13"/>
        <n v="349.8"/>
        <n v="684.6"/>
        <n v="16.05"/>
        <n v="395.2"/>
        <n v="37.450000000000003"/>
        <n v="344.25"/>
        <n v="102.06"/>
        <n v="269.14999999999998"/>
        <n v="12.3"/>
        <n v="193.8"/>
        <n v="22.3"/>
        <n v="147.19999999999999"/>
        <n v="4.78"/>
        <n v="14.05"/>
        <n v="17.68"/>
        <n v="20.22"/>
        <n v="383.8"/>
        <n v="30.35"/>
        <n v="15.35"/>
        <n v="73.53"/>
        <n v="187.45"/>
        <n v="9.9"/>
        <n v="223.1"/>
        <n v="96.05"/>
        <n v="109"/>
        <n v="603.04999999999995"/>
        <n v="524.4"/>
        <n v="552.95000000000005"/>
        <n v="571.54999999999995"/>
        <n v="1228.8"/>
        <n v="1227.23"/>
        <n v="743.3"/>
        <n v="771.1"/>
        <n v="246.2"/>
        <n v="517.79"/>
        <n v="12.9"/>
        <n v="9.85"/>
        <n v="42.5"/>
        <n v="436"/>
        <n v="32.65"/>
        <n v="393.11"/>
        <n v="662.4"/>
        <n v="435"/>
        <n v="20.85"/>
        <n v="265"/>
        <n v="532.04999999999995"/>
        <n v="622.45000000000005"/>
        <n v="157.69999999999999"/>
        <n v="386.65"/>
        <n v="19.420000000000002"/>
        <n v="297.27999999999997"/>
        <n v="95.6"/>
        <n v="125.68"/>
        <n v="18.68"/>
        <n v="43.86"/>
        <n v="88.61"/>
        <n v="21.1"/>
        <n v="6.25"/>
        <n v="37.14"/>
        <n v="10.57"/>
        <n v="20.51"/>
        <n v="154.85"/>
        <n v="20.69"/>
        <n v="5.96"/>
        <n v="293"/>
        <n v="1950"/>
        <n v="21.24"/>
        <n v="5.22"/>
        <n v="17.27"/>
        <n v="11.36"/>
        <n v="10.54"/>
        <n v="24.93"/>
        <n v="53.35"/>
        <n v="7.62"/>
        <n v="29.3"/>
        <n v="23.86"/>
        <n v="21.05"/>
        <n v="7.78"/>
        <n v="4.93"/>
        <n v="1957.19"/>
        <n v="8.82"/>
        <n v="71.489999999999995"/>
        <n v="3.13"/>
        <n v="4.25"/>
        <n v="9.3800000000000008"/>
        <n v="8.52"/>
        <n v="2017"/>
        <n v="205.5"/>
        <n v="425"/>
        <n v="81"/>
        <n v="13.15"/>
        <n v="95.9"/>
        <n v="93"/>
        <n v="53"/>
        <n v="513.4"/>
        <n v="103.5"/>
        <n v="25.2"/>
        <n v="50.5"/>
        <n v="1320"/>
        <n v="26.56"/>
        <n v="8.92"/>
        <n v="46.1"/>
        <n v="18.149999999999999"/>
        <n v="152.36000000000001"/>
        <n v="64.33"/>
        <n v="35.1"/>
        <n v="31.5"/>
        <n v="63.75"/>
        <n v="1.2"/>
        <n v="649.29999999999995"/>
        <n v="225.46"/>
        <n v="419.77"/>
        <n v="175.85"/>
        <n v="91.18"/>
        <n v="259.26"/>
        <n v="85.51"/>
        <n v="584.82000000000005"/>
        <n v="1496"/>
        <n v="1060.6500000000001"/>
        <n v="187.8"/>
        <n v="1418.66"/>
        <n v="888.12"/>
        <n v="228"/>
        <n v="1330.46"/>
        <n v="197.95"/>
        <n v="514.4"/>
        <n v="120.41"/>
        <n v="57.25"/>
        <n v="1304.44"/>
        <n v="174.78"/>
        <n v="349.6"/>
        <n v="97.37"/>
        <n v="130.16999999999999"/>
        <n v="606.51"/>
        <n v="1363.47"/>
        <n v="544.79999999999995"/>
        <n v="79"/>
        <n v="522.36"/>
        <n v="190.52"/>
        <n v="869.85"/>
        <n v="179.24"/>
        <n v="149.46"/>
        <n v="367.45"/>
        <n v="47.11"/>
        <n v="631.71"/>
        <n v="204.35"/>
        <n v="37.270000000000003"/>
        <n v="484.22"/>
        <n v="87"/>
        <n v="94.85"/>
        <n v="398.73"/>
        <n v="127.12"/>
        <n v="67"/>
        <n v="12.39"/>
        <n v="270.98"/>
        <n v="56.55"/>
        <n v="68.680000000000007"/>
        <n v="855.52"/>
        <n v="87.75"/>
        <n v="56.25"/>
        <n v="196.4"/>
        <n v="93.11"/>
        <n v="60.85"/>
        <n v="70.239999999999995"/>
        <n v="46.02"/>
        <n v="138.07"/>
        <n v="117.7"/>
        <n v="44.22"/>
        <n v="379.7"/>
        <n v="76.349999999999994"/>
        <n v="212.87"/>
        <n v="136.99"/>
        <n v="72.989999999999995"/>
        <n v="187.65"/>
        <n v="80.849999999999994"/>
        <n v="54.29"/>
        <n v="181.33"/>
        <n v="112.22"/>
        <n v="117.85"/>
        <n v="334.41"/>
        <n v="47.6"/>
        <n v="156.4"/>
        <n v="232.86"/>
        <n v="161.44999999999999"/>
        <n v="98.1"/>
        <n v="100.15"/>
        <n v="115.25"/>
        <n v="61.92"/>
        <n v="166.26"/>
        <n v="47.1"/>
        <n v="145.25"/>
        <n v="31.93"/>
        <n v="160.51"/>
        <n v="50.6"/>
        <n v="38.200000000000003"/>
        <n v="213.19"/>
        <n v="360.16"/>
        <n v="55.75"/>
        <n v="226.93"/>
        <n v="112.6"/>
        <n v="295.16000000000003"/>
        <n v="59.6"/>
        <n v="56.16"/>
        <n v="368.12"/>
        <n v="34.65"/>
        <n v="42.6"/>
        <n v="213.7"/>
        <n v="70.3"/>
        <n v="99.66"/>
        <n v="343.33"/>
        <n v="1.03"/>
        <n v="393.28"/>
        <n v="401"/>
        <n v="50.25"/>
        <n v="1436.31"/>
        <n v="421.36"/>
        <n v="72.48"/>
        <n v="261.10000000000002"/>
        <n v="417.29"/>
        <n v="831.18"/>
        <n v="258.66000000000003"/>
        <n v="66.900000000000006"/>
        <n v="51.55"/>
        <n v="119"/>
        <n v="407"/>
        <n v="256.42"/>
        <n v="28.17"/>
        <n v="181"/>
        <n v="101"/>
        <n v="27.1"/>
        <n v="477.97"/>
        <n v="12.07"/>
        <n v="163.91"/>
        <n v="1350"/>
        <n v="11.2"/>
        <n v="14.9"/>
        <n v="516"/>
        <n v="110.45"/>
        <n v="16.95"/>
        <n v="21.9"/>
        <n v="115.77"/>
        <n v="83.03"/>
        <n v="157.56"/>
        <n v="118.89"/>
        <n v="100.96"/>
        <n v="25.25"/>
        <n v="10.199999999999999"/>
        <n v="7.47"/>
        <n v="45.02"/>
        <n v="272"/>
        <n v="56.66"/>
        <n v="35.979999999999997"/>
        <n v="30.95"/>
        <n v="32.799999999999997"/>
        <n v="149.80000000000001"/>
        <n v="116"/>
        <n v="55.64"/>
        <n v="67.16"/>
        <n v="57.27"/>
        <n v="24.07"/>
        <n v="40.75"/>
        <n v="15.66"/>
        <n v="53.96"/>
        <n v="115.45"/>
        <n v="124.33"/>
        <n v="160.66"/>
        <n v="12.99"/>
        <n v="16.21"/>
        <n v="83.24"/>
        <n v="17.989999999999998"/>
        <n v="26.91"/>
        <n v="138.56"/>
        <n v="41.3"/>
        <n v="25.66"/>
        <n v="30.25"/>
        <n v="147.55000000000001"/>
        <n v="25.98"/>
        <n v="23.95"/>
        <n v="46.2"/>
        <n v="12.55"/>
        <n v="86.16"/>
        <n v="89.6"/>
        <n v="158.94999999999999"/>
        <n v="74.099999999999994"/>
        <n v="46.25"/>
        <n v="7.44"/>
        <n v="27.57"/>
        <n v="98.88"/>
        <n v="45.13"/>
        <n v="32.96"/>
        <n v="12.5"/>
        <n v="18.190000000000001"/>
        <n v="62.39"/>
        <n v="7.33"/>
        <n v="70.09"/>
        <n v="21.06"/>
        <n v="9.08"/>
        <n v="294.75"/>
        <n v="58.5"/>
        <n v="574.17999999999995"/>
        <n v="139.08000000000001"/>
        <n v="25.6"/>
        <n v="23.61"/>
        <n v="66.59"/>
        <n v="136.85"/>
        <n v="46.28"/>
        <n v="522.97"/>
        <n v="80.02"/>
        <n v="64.650000000000006"/>
        <n v="94.5"/>
        <n v="57.86"/>
        <n v="105.34"/>
        <n v="13.76"/>
        <n v="24.16"/>
        <n v="10.1"/>
        <n v="339.18"/>
        <n v="131.61000000000001"/>
        <n v="96.2"/>
        <n v="299"/>
        <n v="68.53"/>
        <n v="12.48"/>
        <n v="138.59"/>
        <n v="159.80000000000001"/>
        <n v="54.57"/>
        <n v="39.950000000000003"/>
        <n v="145.74"/>
        <n v="119.9"/>
        <n v="39.619999999999997"/>
        <n v="325.32"/>
        <n v="103.6"/>
        <n v="62.65"/>
        <n v="75.5"/>
        <n v="94.21"/>
        <n v="22.1"/>
        <n v="81.349999999999994"/>
        <n v="159.9"/>
        <n v="728.97"/>
        <n v="264.39999999999998"/>
        <n v="104.05"/>
        <n v="29.56"/>
        <n v="77.97"/>
        <n v="75.48"/>
        <n v="19.45"/>
        <n v="59.8"/>
        <n v="66.099999999999994"/>
        <n v="158.16999999999999"/>
        <n v="41.16"/>
        <n v="142.87"/>
        <n v="80.489999999999995"/>
        <n v="38.159999999999997"/>
        <n v="18.690000000000001"/>
        <n v="153.85"/>
        <n v="117.45"/>
        <n v="84.12"/>
        <n v="297.3"/>
        <n v="64.86"/>
        <n v="173.06"/>
        <n v="22.86"/>
        <n v="39.96"/>
        <n v="49.97"/>
        <n v="98.08"/>
        <n v="38.96"/>
        <n v="73.75"/>
        <n v="5.16"/>
        <n v="65.12"/>
        <n v="137.63"/>
        <n v="158.47999999999999"/>
        <n v="121.95"/>
        <n v="62.75"/>
        <n v="21.58"/>
        <n v="103"/>
        <n v="153.63999999999999"/>
        <n v="113.39"/>
        <n v="50.36"/>
        <n v="144.99"/>
        <n v="16.260000000000002"/>
        <n v="171.21"/>
        <n v="57.09"/>
        <n v="52.95"/>
        <n v="87.63"/>
        <n v="14.75"/>
        <n v="22.07"/>
        <n v="15.91"/>
        <n v="15.08"/>
        <n v="40.5"/>
        <n v="37.979999999999997"/>
        <n v="40.49"/>
        <n v="73.319999999999993"/>
        <n v="22.26"/>
        <n v="41.84"/>
        <n v="13.08"/>
        <n v="35.950000000000003"/>
        <n v="24.2"/>
        <n v="10.91"/>
        <n v="38.340000000000003"/>
        <n v="56.18"/>
        <n v="39.25"/>
        <n v="40.229999999999997"/>
        <n v="9.7799999999999994"/>
        <n v="52.99"/>
        <n v="32.1"/>
        <n v="17.11"/>
        <n v="117.49"/>
        <n v="18.600000000000001"/>
        <n v="1396.4"/>
        <n v="1000"/>
        <n v="67.95"/>
        <n v="49.1"/>
        <n v="48000"/>
        <n v="13570"/>
        <n v="4850"/>
        <n v="20320"/>
        <n v="15.5"/>
        <n v="81.84"/>
        <n v="53.73"/>
        <n v="132.72"/>
        <n v="281.52999999999997"/>
        <n v="90.05"/>
        <n v="4413.76"/>
        <n v="84.53"/>
        <n v="63.57"/>
        <n v="12.83"/>
        <n v="44.99"/>
        <n v="63.01"/>
        <n v="42.45"/>
        <n v="53.37"/>
        <n v="47.15"/>
        <n v="121.01"/>
        <n v="37.68"/>
        <n v="41.83"/>
        <n v="221.05"/>
        <n v="71.94"/>
        <n v="137.11000000000001"/>
        <n v="78.95"/>
        <n v="38.520000000000003"/>
        <n v="35.5"/>
        <n v="82.83"/>
        <n v="34.86"/>
        <n v="24.08"/>
        <n v="19.350000000000001"/>
        <n v="354.12"/>
        <n v="60.87"/>
        <n v="51.46"/>
        <n v="84.51"/>
        <n v="142.96"/>
        <n v="188.88"/>
        <n v="73.5"/>
        <n v="95.71"/>
        <n v="236.39"/>
        <n v="140.03"/>
        <n v="107.29"/>
        <n v="102.77"/>
        <n v="65.94"/>
        <n v="59.15"/>
        <n v="50.45"/>
        <n v="128.6"/>
        <n v="94.69"/>
        <n v="116.42"/>
        <n v="170.2"/>
        <n v="96.89"/>
        <n v="31.71"/>
        <n v="71.84"/>
        <n v="71.5"/>
        <n v="33.86"/>
        <n v="142.61000000000001"/>
        <n v="79.55"/>
        <n v="42.92"/>
        <n v="26.75"/>
        <n v="65.099999999999994"/>
        <n v="31.14"/>
        <n v="41.97"/>
        <n v="73.510000000000005"/>
        <n v="57.78"/>
        <n v="100.68"/>
        <n v="62.27"/>
        <n v="31.03"/>
        <n v="43.73"/>
        <n v="35.06"/>
        <n v="297.8"/>
        <n v="76.81"/>
        <n v="79.86"/>
        <n v="213.44"/>
        <n v="52.02"/>
        <n v="80.03"/>
        <n v="0.27"/>
        <n v="102.76"/>
        <n v="30.04"/>
        <n v="53.9"/>
        <n v="155"/>
        <n v="189.2"/>
        <n v="114.05"/>
        <n v="245.96"/>
        <n v="85.13"/>
        <n v="86.12"/>
        <n v="89.56"/>
        <n v="66.81"/>
        <n v="93.56"/>
        <n v="94.23"/>
        <n v="101.68"/>
        <n v="84.3"/>
        <n v="94.47"/>
        <n v="75.75"/>
        <n v="59.88"/>
        <n v="58.85"/>
        <n v="63.7"/>
        <n v="85.82"/>
        <n v="73.05"/>
        <n v="41.2"/>
        <n v="37.159999999999997"/>
        <n v="63.06"/>
        <n v="78"/>
        <n v="107.63"/>
        <n v="34.880000000000003"/>
        <n v="27.76"/>
        <n v="21.3"/>
        <n v="10.69"/>
        <n v="97.75"/>
        <n v="37.520000000000003"/>
        <n v="10.99"/>
        <n v="17.190000000000001"/>
        <n v="21.88"/>
        <n v="35.47"/>
        <n v="17.02"/>
        <n v="237"/>
        <n v="182.25"/>
        <n v="22.27"/>
        <n v="112.85"/>
        <n v="33.44"/>
        <n v="129.52000000000001"/>
        <n v="23.98"/>
        <n v="29.65"/>
        <n v="22.65"/>
        <n v="46.97"/>
        <n v="75.97"/>
        <n v="40.130000000000003"/>
        <n v="69.55"/>
        <n v="72.760000000000005"/>
        <n v="67.3"/>
        <n v="66.45"/>
        <n v="43.39"/>
        <n v="49.83"/>
        <n v="66.959999999999994"/>
        <n v="64.31"/>
        <n v="56.62"/>
        <n v="82.21"/>
        <n v="31.13"/>
        <n v="26.15"/>
        <n v="32.75"/>
        <n v="2.95"/>
        <n v="72.459999999999994"/>
        <n v="52.06"/>
        <n v="13.5"/>
        <n v="81.069999999999993"/>
        <n v="50.97"/>
        <n v="35.409999999999997"/>
        <n v="26.08"/>
        <n v="25.97"/>
        <n v="65.44"/>
        <n v="67.069999999999993"/>
        <n v="45.28"/>
        <n v="60.45"/>
        <n v="200.79"/>
        <n v="36.450000000000003"/>
        <n v="46.18"/>
        <n v="48.62"/>
        <n v="48.16"/>
        <n v="60.5"/>
        <n v="17.66"/>
        <n v="39.86"/>
        <n v="32.82"/>
        <n v="81.83"/>
        <n v="82.43"/>
        <n v="15.92"/>
        <n v="24.7"/>
        <n v="21.95"/>
        <n v="27.81"/>
        <n v="122.34"/>
        <n v="75.739999999999995"/>
        <n v="41.14"/>
        <n v="42.14"/>
        <n v="40.26"/>
        <n v="36.659999999999997"/>
        <n v="7.1"/>
        <n v="29.24"/>
        <n v="15.36"/>
        <n v="10.43"/>
        <n v="103.25"/>
        <n v="88.8"/>
        <n v="98.66"/>
        <n v="34.56"/>
        <n v="24.82"/>
        <n v="27.08"/>
        <n v="13.12"/>
        <n v="28.07"/>
        <n v="18.88"/>
        <n v="19.29"/>
        <n v="28.39"/>
        <n v="23.32"/>
        <n v="38.1"/>
        <n v="81.03"/>
        <n v="20.45"/>
        <n v="29.69"/>
        <n v="23.29"/>
        <n v="15.25"/>
        <n v="85.7"/>
        <n v="186.42"/>
        <n v="148.85"/>
        <n v="3909"/>
        <n v="147.5"/>
        <n v="131.35"/>
        <n v="56.75"/>
        <n v="3.35"/>
        <n v="23.26"/>
        <n v="23.19"/>
        <n v="65.75"/>
        <n v="32.68"/>
        <n v="11.26"/>
        <n v="29.95"/>
        <n v="5100"/>
        <n v="141.36000000000001"/>
        <n v="34.22"/>
        <n v="282.70999999999998"/>
        <n v="2544.39"/>
        <n v="29.86"/>
        <n v="462.62"/>
        <n v="505.25"/>
        <n v="1379.52"/>
        <n v="249.75"/>
        <n v="571.85"/>
        <n v="600"/>
        <n v="111.79"/>
        <n v="4047.41"/>
        <n v="990"/>
        <n v="58.47"/>
        <n v="19.559999999999999"/>
        <n v="69.45"/>
        <n v="185.06"/>
        <n v="68.41"/>
        <n v="764.79"/>
        <n v="5.08"/>
        <n v="59.68"/>
        <n v="129.75"/>
        <n v="96.45"/>
        <n v="136.80000000000001"/>
        <n v="106.93"/>
        <n v="91.91"/>
        <n v="126.3"/>
        <n v="57.94"/>
        <n v="41.95"/>
        <n v="400.7"/>
        <n v="40.74"/>
        <n v="46.13"/>
        <n v="181.06"/>
        <n v="44.94"/>
        <n v="74.849999999999994"/>
        <n v="70.42"/>
        <n v="96.25"/>
        <n v="30.75"/>
        <n v="156.19999999999999"/>
        <n v="101.25"/>
        <n v="70.900000000000006"/>
        <n v="63.46"/>
        <n v="225.98"/>
        <n v="59.38"/>
        <n v="157.21"/>
        <n v="256.23"/>
        <n v="8.8000000000000007"/>
        <n v="182.15"/>
        <n v="113.89"/>
        <n v="47.52"/>
        <n v="167.84"/>
        <n v="12.95"/>
        <n v="294.31"/>
        <n v="36.85"/>
        <n v="112.92"/>
        <n v="81.73"/>
        <n v="183.19"/>
        <n v="318.62"/>
        <n v="101.65"/>
        <n v="5.0599999999999996"/>
        <n v="526.63"/>
        <n v="77.95"/>
        <n v="1024.77"/>
        <n v="1076.46"/>
        <n v="1501.66"/>
        <n v="297.89"/>
        <n v="262.48"/>
        <n v="255.93"/>
        <n v="347.34"/>
        <n v="292.12"/>
        <n v="342.22"/>
        <n v="455.09"/>
        <n v="104.61"/>
        <n v="152.85"/>
        <n v="92.79"/>
        <n v="99.22"/>
        <n v="72.489999999999995"/>
        <n v="163.47999999999999"/>
        <n v="66.55"/>
        <n v="66.849999999999994"/>
        <n v="41.59"/>
        <n v="39.44"/>
        <n v="49.11"/>
        <n v="32.61"/>
        <n v="36.979999999999997"/>
        <n v="25.06"/>
        <n v="75.12"/>
        <n v="23.62"/>
        <n v="24.15"/>
        <n v="99.51"/>
        <n v="19.02"/>
        <n v="14.51"/>
        <n v="25.57"/>
        <n v="16.59"/>
        <n v="31.99"/>
        <n v="37.31"/>
        <n v="71.349999999999994"/>
        <n v="130.54"/>
        <n v="17.55"/>
        <n v="17.07"/>
        <n v="40.92"/>
        <n v="23.78"/>
        <n v="44.91"/>
        <n v="35.369999999999997"/>
        <n v="38.64"/>
        <n v="31.55"/>
        <n v="43.38"/>
        <n v="25.47"/>
      </sharedItems>
    </cacheField>
    <cacheField name="Credito" numFmtId="0">
      <sharedItems containsSemiMixedTypes="0" containsString="0" containsNumber="1" minValue="0" maxValue="138667.6" count="612">
        <n v="0"/>
        <n v="275.62"/>
        <n v="298.82"/>
        <n v="981.18"/>
        <n v="142.80000000000001"/>
        <n v="23.32"/>
        <n v="667.86"/>
        <n v="29.35"/>
        <n v="243.28"/>
        <n v="27.32"/>
        <n v="1938.67"/>
        <n v="18084.27"/>
        <n v="221.6"/>
        <n v="49.82"/>
        <n v="219.53"/>
        <n v="26.49"/>
        <n v="53.39"/>
        <n v="221.7"/>
        <n v="17.649999999999999"/>
        <n v="703.1"/>
        <n v="121.12"/>
        <n v="92.12"/>
        <n v="117.21"/>
        <n v="69.81"/>
        <n v="117.66"/>
        <n v="7742.17"/>
        <n v="378.31"/>
        <n v="604.91999999999996"/>
        <n v="13776.33"/>
        <n v="839.97"/>
        <n v="468.25"/>
        <n v="146.65"/>
        <n v="741.73"/>
        <n v="59.61"/>
        <n v="295.66000000000003"/>
        <n v="66.27"/>
        <n v="446.24"/>
        <n v="52.41"/>
        <n v="8299.23"/>
        <n v="116.79"/>
        <n v="63.19"/>
        <n v="28914.81"/>
        <n v="285.3"/>
        <n v="492.05"/>
        <n v="183.42"/>
        <n v="600.89"/>
        <n v="27.46"/>
        <n v="10469.540000000001"/>
        <n v="2827.76"/>
        <n v="108.09"/>
        <n v="11572.06"/>
        <n v="384.59"/>
        <n v="369.1"/>
        <n v="10220.83"/>
        <n v="450.79"/>
        <n v="147.72"/>
        <n v="435.52"/>
        <n v="96.29"/>
        <n v="835.33"/>
        <n v="14128.72"/>
        <n v="3667.4"/>
        <n v="12.37"/>
        <n v="24.92"/>
        <n v="175.7"/>
        <n v="909.37"/>
        <n v="449.02"/>
        <n v="50.9"/>
        <n v="9547.69"/>
        <n v="648.05999999999995"/>
        <n v="68.88"/>
        <n v="596.84"/>
        <n v="307.38"/>
        <n v="2899.26"/>
        <n v="186.53"/>
        <n v="71.959999999999994"/>
        <n v="4838.25"/>
        <n v="339.32"/>
        <n v="153.74"/>
        <n v="554.63"/>
        <n v="81.23"/>
        <n v="16.12"/>
        <n v="87.59"/>
        <n v="8514.23"/>
        <n v="453.02"/>
        <n v="353.33"/>
        <n v="4525.3100000000004"/>
        <n v="509.7"/>
        <n v="183.12"/>
        <n v="4652.25"/>
        <n v="943.52"/>
        <n v="291.97000000000003"/>
        <n v="210.62"/>
        <n v="135.25"/>
        <n v="3718.37"/>
        <n v="57.14"/>
        <n v="98.39"/>
        <n v="6432.96"/>
        <n v="472.53"/>
        <n v="43.87"/>
        <n v="279.20999999999998"/>
        <n v="182.56"/>
        <n v="58.52"/>
        <n v="57.29"/>
        <n v="318.02"/>
        <n v="133.38"/>
        <n v="195.85"/>
        <n v="155.13"/>
        <n v="986.22"/>
        <n v="20550.37"/>
        <n v="860.31"/>
        <n v="43.34"/>
        <n v="234.56"/>
        <n v="25.04"/>
        <n v="29.88"/>
        <n v="72.040000000000006"/>
        <n v="137.41999999999999"/>
        <n v="26.94"/>
        <n v="195.11"/>
        <n v="381.27"/>
        <n v="4185.47"/>
        <n v="190.91"/>
        <n v="34.42"/>
        <n v="409.17"/>
        <n v="228.07"/>
        <n v="372.01"/>
        <n v="16889.43"/>
        <n v="2828.04"/>
        <n v="19323.77"/>
        <n v="1386.2"/>
        <n v="693.29"/>
        <n v="2496.35"/>
        <n v="562.07000000000005"/>
        <n v="29631.119999999999"/>
        <n v="818.92"/>
        <n v="3084.31"/>
        <n v="125050.55"/>
        <n v="18232.189999999999"/>
        <n v="51.99"/>
        <n v="546.02"/>
        <n v="1254.9000000000001"/>
        <n v="61.05"/>
        <n v="3668.11"/>
        <n v="313.83"/>
        <n v="25.94"/>
        <n v="12275.05"/>
        <n v="716.46"/>
        <n v="22.57"/>
        <n v="25.11"/>
        <n v="417.98"/>
        <n v="300.58999999999997"/>
        <n v="107.12"/>
        <n v="22.22"/>
        <n v="411.44"/>
        <n v="15.11"/>
        <n v="286.37"/>
        <n v="44.69"/>
        <n v="13.41"/>
        <n v="282.49"/>
        <n v="136.54"/>
        <n v="901.93"/>
        <n v="241.59"/>
        <n v="129.09"/>
        <n v="60.4"/>
        <n v="95.41"/>
        <n v="26.52"/>
        <n v="14.18"/>
        <n v="67"/>
        <n v="3.15"/>
        <n v="13.25"/>
        <n v="97.05"/>
        <n v="33.1"/>
        <n v="110.8"/>
        <n v="41.95"/>
        <n v="89.6"/>
        <n v="55.15"/>
        <n v="343.85"/>
        <n v="30.75"/>
        <n v="340.5"/>
        <n v="9.1999999999999993"/>
        <n v="117.6"/>
        <n v="13.2"/>
        <n v="123.6"/>
        <n v="247.85"/>
        <n v="38"/>
        <n v="87.57"/>
        <n v="118.25"/>
        <n v="96.05"/>
        <n v="163.19999999999999"/>
        <n v="1100"/>
        <n v="61.9"/>
        <n v="16.149999999999999"/>
        <n v="294.36"/>
        <n v="1224"/>
        <n v="73.45"/>
        <n v="171.25"/>
        <n v="8.4"/>
        <n v="1500"/>
        <n v="213.4"/>
        <n v="104.2"/>
        <n v="74"/>
        <n v="29.7"/>
        <n v="300.33999999999997"/>
        <n v="38.119999999999997"/>
        <n v="32"/>
        <n v="24.1"/>
        <n v="2746.9"/>
        <n v="2252"/>
        <n v="1144"/>
        <n v="78.78"/>
        <n v="452.75"/>
        <n v="436.8"/>
        <n v="1620"/>
        <n v="586.5"/>
        <n v="240.13"/>
        <n v="1487.7"/>
        <n v="84.25"/>
        <n v="8"/>
        <n v="654.14"/>
        <n v="221"/>
        <n v="718"/>
        <n v="48"/>
        <n v="25"/>
        <n v="78.5"/>
        <n v="46.55"/>
        <n v="99.8"/>
        <n v="11.3"/>
        <n v="122.62"/>
        <n v="1544.15"/>
        <n v="22"/>
        <n v="1698.61"/>
        <n v="968"/>
        <n v="550"/>
        <n v="20"/>
        <n v="47.4"/>
        <n v="27.2"/>
        <n v="73.349999999999994"/>
        <n v="23"/>
        <n v="96"/>
        <n v="1544.52"/>
        <n v="346.5"/>
        <n v="584"/>
        <n v="626"/>
        <n v="6.6"/>
        <n v="34.68"/>
        <n v="43.65"/>
        <n v="58.15"/>
        <n v="213"/>
        <n v="522.79999999999995"/>
        <n v="28.35"/>
        <n v="72.5"/>
        <n v="4.2"/>
        <n v="1200"/>
        <n v="72.95"/>
        <n v="15.8"/>
        <n v="11.6"/>
        <n v="60.95"/>
        <n v="6332.8"/>
        <n v="453.63"/>
        <n v="70.75"/>
        <n v="77"/>
        <n v="1629.28"/>
        <n v="24"/>
        <n v="5"/>
        <n v="13255.55"/>
        <n v="23.89"/>
        <n v="50.47"/>
        <n v="334.16"/>
        <n v="7034.18"/>
        <n v="287"/>
        <n v="27734.080000000002"/>
        <n v="772.75"/>
        <n v="114.23"/>
        <n v="200.5"/>
        <n v="1734.36"/>
        <n v="1400.56"/>
        <n v="3913.88"/>
        <n v="1970.01"/>
        <n v="6820.24"/>
        <n v="2223.9299999999998"/>
        <n v="6113.41"/>
        <n v="214.34"/>
        <n v="9430.4"/>
        <n v="1765.77"/>
        <n v="1127.92"/>
        <n v="152.5"/>
        <n v="700.28"/>
        <n v="1208.8699999999999"/>
        <n v="8435.5400000000009"/>
        <n v="34721.699999999997"/>
        <n v="150"/>
        <n v="10217.549999999999"/>
        <n v="520"/>
        <n v="3380.35"/>
        <n v="170"/>
        <n v="8974.73"/>
        <n v="15218.68"/>
        <n v="7747.65"/>
        <n v="4956.46"/>
        <n v="10945.81"/>
        <n v="883.11"/>
        <n v="299.12"/>
        <n v="8574.39"/>
        <n v="62.7"/>
        <n v="113.1"/>
        <n v="59.7"/>
        <n v="869.69"/>
        <n v="54"/>
        <n v="2.5"/>
        <n v="96.1"/>
        <n v="489.8"/>
        <n v="182"/>
        <n v="20.45"/>
        <n v="160.5"/>
        <n v="71.75"/>
        <n v="6.85"/>
        <n v="195"/>
        <n v="243.4"/>
        <n v="253"/>
        <n v="641.25"/>
        <n v="14.35"/>
        <n v="71.25"/>
        <n v="213.96"/>
        <n v="232"/>
        <n v="12.69"/>
        <n v="721.17"/>
        <n v="608"/>
        <n v="27.98"/>
        <n v="1560.09"/>
        <n v="38.97"/>
        <n v="218.73"/>
        <n v="280"/>
        <n v="43.29"/>
        <n v="226.14"/>
        <n v="2776"/>
        <n v="208.82"/>
        <n v="894.71"/>
        <n v="960"/>
        <n v="4232"/>
        <n v="128"/>
        <n v="51.45"/>
        <n v="63.97"/>
        <n v="592"/>
        <n v="80"/>
        <n v="1792"/>
        <n v="184"/>
        <n v="25.99"/>
        <n v="45.97"/>
        <n v="15"/>
        <n v="1416"/>
        <n v="16"/>
        <n v="287.55"/>
        <n v="348.31"/>
        <n v="299.77999999999997"/>
        <n v="66.92"/>
        <n v="210.85"/>
        <n v="40"/>
        <n v="824.94"/>
        <n v="1152"/>
        <n v="192"/>
        <n v="28.5"/>
        <n v="42.85"/>
        <n v="400"/>
        <n v="168"/>
        <n v="127.21"/>
        <n v="1424"/>
        <n v="104"/>
        <n v="123.05"/>
        <n v="240"/>
        <n v="856"/>
        <n v="112"/>
        <n v="45.43"/>
        <n v="24.62"/>
        <n v="64"/>
        <n v="2364"/>
        <n v="80.87"/>
        <n v="41.49"/>
        <n v="591.85"/>
        <n v="3600"/>
        <n v="352"/>
        <n v="39.979999999999997"/>
        <n v="104.35"/>
        <n v="214.26"/>
        <n v="43.32"/>
        <n v="712"/>
        <n v="653.6"/>
        <n v="353.47"/>
        <n v="654.17999999999995"/>
        <n v="195.02"/>
        <n v="395.85"/>
        <n v="201.26"/>
        <n v="70"/>
        <n v="686.36"/>
        <n v="297.57"/>
        <n v="4035.26"/>
        <n v="1066.3399999999999"/>
        <n v="6.28"/>
        <n v="880.25"/>
        <n v="5347.21"/>
        <n v="1293.83"/>
        <n v="640.76"/>
        <n v="3039.58"/>
        <n v="130.24"/>
        <n v="2868.43"/>
        <n v="178.85"/>
        <n v="824.96"/>
        <n v="335.59"/>
        <n v="3806"/>
        <n v="32.049999999999997"/>
        <n v="306.87"/>
        <n v="2933.98"/>
        <n v="47.56"/>
        <n v="918.99"/>
        <n v="3533.74"/>
        <n v="12.78"/>
        <n v="909.75"/>
        <n v="203.9"/>
        <n v="101.74"/>
        <n v="247.66"/>
        <n v="840"/>
        <n v="3872"/>
        <n v="30"/>
        <n v="55.74"/>
        <n v="230.08"/>
        <n v="47"/>
        <n v="332.67"/>
        <n v="154.49"/>
        <n v="311.75"/>
        <n v="11.9"/>
        <n v="35.96"/>
        <n v="48.48"/>
        <n v="74.2"/>
        <n v="64.92"/>
        <n v="70.819999999999993"/>
        <n v="29.26"/>
        <n v="81.260000000000005"/>
        <n v="73.790000000000006"/>
        <n v="119.81"/>
        <n v="46.98"/>
        <n v="60"/>
        <n v="133.84"/>
        <n v="60.47"/>
        <n v="247.61"/>
        <n v="16.05"/>
        <n v="49.98"/>
        <n v="21.21"/>
        <n v="37.47"/>
        <n v="31.98"/>
        <n v="50"/>
        <n v="432.97"/>
        <n v="200"/>
        <n v="41.71"/>
        <n v="6415.82"/>
        <n v="138667.6"/>
        <n v="308.68"/>
        <n v="0.01"/>
        <n v="278.63"/>
        <n v="263.94"/>
        <n v="1304.6199999999999"/>
        <n v="4127"/>
        <n v="348.89"/>
        <n v="806.87"/>
        <n v="333.68"/>
        <n v="2498.0100000000002"/>
        <n v="75"/>
        <n v="420"/>
        <n v="2315.27"/>
        <n v="33.46"/>
        <n v="106.12"/>
        <n v="167.93"/>
        <n v="76.98"/>
        <n v="375.47"/>
        <n v="358.92"/>
        <n v="313.3"/>
        <n v="55.19"/>
        <n v="29.37"/>
        <n v="760.82"/>
        <n v="389.15"/>
        <n v="1392.64"/>
        <n v="321.58"/>
        <n v="1022.8"/>
        <n v="467.32"/>
        <n v="263.70999999999998"/>
        <n v="251.37"/>
        <n v="737.23"/>
        <n v="710.15"/>
        <n v="449.62"/>
        <n v="1634.07"/>
        <n v="359.06"/>
        <n v="599.23"/>
        <n v="591.87"/>
        <n v="248.26"/>
        <n v="582.41"/>
        <n v="801.28"/>
        <n v="325.76"/>
        <n v="571.4"/>
        <n v="446.58"/>
        <n v="835.37"/>
        <n v="1266.1099999999999"/>
        <n v="737.42"/>
        <n v="191.99"/>
        <n v="660.28"/>
        <n v="751.78"/>
        <n v="299.69"/>
        <n v="291.83"/>
        <n v="853.49"/>
        <n v="245.94"/>
        <n v="1003.81"/>
        <n v="489.3"/>
        <n v="136"/>
        <n v="402.31"/>
        <n v="488"/>
        <n v="338.72"/>
        <n v="685.47"/>
        <n v="314.81"/>
        <n v="842.72"/>
        <n v="250.78"/>
        <n v="34.64"/>
        <n v="1026.32"/>
        <n v="828.22"/>
        <n v="564.02"/>
        <n v="521.47"/>
        <n v="207.06"/>
        <n v="421.1"/>
        <n v="388.61"/>
        <n v="315.25"/>
        <n v="803.33"/>
        <n v="655.20000000000005"/>
        <n v="405.23"/>
        <n v="407.49"/>
        <n v="389.26"/>
        <n v="554.47"/>
        <n v="388"/>
        <n v="460.74"/>
        <n v="428.77"/>
        <n v="65.94"/>
        <n v="2785.65"/>
        <n v="52"/>
        <n v="292.89"/>
        <n v="706.98"/>
        <n v="2024.77"/>
        <n v="807.13"/>
        <n v="2116.38"/>
        <n v="555.79999999999995"/>
        <n v="7170.13"/>
        <n v="3530.96"/>
        <n v="4275.12"/>
        <n v="1027.56"/>
        <n v="979.14"/>
        <n v="2262.7600000000002"/>
        <n v="1250.5"/>
        <n v="8748.9599999999991"/>
        <n v="4787.0600000000004"/>
        <n v="5238.29"/>
        <n v="547.37"/>
        <n v="772.87"/>
        <n v="2880.13"/>
        <n v="2918.42"/>
        <n v="1616.16"/>
        <n v="287.02"/>
        <n v="1032.75"/>
        <n v="6997.73"/>
        <n v="97.08"/>
        <n v="131.24"/>
        <n v="3166.57"/>
        <n v="1151"/>
        <n v="569.9"/>
        <n v="454.99"/>
        <n v="269.43"/>
        <n v="659.3"/>
        <n v="109.7"/>
        <n v="247.67"/>
        <n v="645.97"/>
        <n v="220.13"/>
        <n v="395.86"/>
        <n v="248.23"/>
        <n v="643.86"/>
        <n v="74.75"/>
        <n v="223.74"/>
        <n v="30.77"/>
        <n v="25.5"/>
        <n v="36"/>
        <n v="220"/>
        <n v="183.93"/>
        <n v="57"/>
        <n v="92.1"/>
        <n v="2.4"/>
        <n v="382.02"/>
        <n v="2723.68"/>
        <n v="342.3"/>
        <n v="191.9"/>
        <n v="614.4"/>
        <n v="26.78"/>
        <n v="0.6"/>
        <n v="719.44"/>
        <n v="14"/>
        <n v="297.8"/>
        <n v="61.6"/>
        <n v="93.15"/>
        <n v="10"/>
        <n v="33.36"/>
        <n v="119.9"/>
        <n v="129.9"/>
        <n v="20.25"/>
        <n v="21.98"/>
        <n v="68.680000000000007"/>
        <n v="13600"/>
        <n v="6000"/>
        <n v="10400"/>
        <n v="0.17"/>
        <n v="2550"/>
        <n v="990"/>
        <n v="16.59"/>
      </sharedItems>
    </cacheField>
    <cacheField name="Sucursal" numFmtId="0">
      <sharedItems/>
    </cacheField>
    <cacheField name="Cuenta" numFmtId="0">
      <sharedItems count="5">
        <s v="HORAS EXTRAS"/>
        <s v="VIATICOS"/>
        <s v="ALIMENTACION DE EMPLEADOS"/>
        <s v="RECONOCIMIENTOS"/>
        <s v="GASTOS NO DEDUCIBLE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6">
  <r>
    <x v="0"/>
    <x v="0"/>
    <x v="0"/>
    <m/>
    <n v="170"/>
    <x v="0"/>
  </r>
  <r>
    <x v="0"/>
    <x v="1"/>
    <x v="1"/>
    <n v="55.37"/>
    <n v="85.441999999999993"/>
    <x v="0"/>
  </r>
  <r>
    <x v="0"/>
    <x v="2"/>
    <x v="2"/>
    <n v="10.35"/>
    <n v="103.2723"/>
    <x v="0"/>
  </r>
  <r>
    <x v="0"/>
    <x v="3"/>
    <x v="3"/>
    <n v="136.56"/>
    <n v="900"/>
    <x v="0"/>
  </r>
  <r>
    <x v="0"/>
    <x v="4"/>
    <x v="4"/>
    <n v="111.13"/>
    <n v="666.78700000000003"/>
    <x v="0"/>
  </r>
  <r>
    <x v="0"/>
    <x v="5"/>
    <x v="5"/>
    <m/>
    <n v="50"/>
    <x v="0"/>
  </r>
  <r>
    <x v="1"/>
    <x v="0"/>
    <x v="0"/>
    <m/>
    <n v="116"/>
    <x v="0"/>
  </r>
  <r>
    <x v="1"/>
    <x v="1"/>
    <x v="1"/>
    <n v="111.25"/>
    <n v="959.08249999999998"/>
    <x v="0"/>
  </r>
  <r>
    <x v="1"/>
    <x v="2"/>
    <x v="2"/>
    <m/>
    <n v="17.222200000000001"/>
    <x v="0"/>
  </r>
  <r>
    <x v="1"/>
    <x v="3"/>
    <x v="3"/>
    <m/>
    <n v="612"/>
    <x v="0"/>
  </r>
  <r>
    <x v="1"/>
    <x v="4"/>
    <x v="4"/>
    <n v="16"/>
    <n v="341.464"/>
    <x v="0"/>
  </r>
  <r>
    <x v="1"/>
    <x v="5"/>
    <x v="5"/>
    <m/>
    <n v="50"/>
    <x v="0"/>
  </r>
  <r>
    <x v="2"/>
    <x v="0"/>
    <x v="0"/>
    <m/>
    <n v="184"/>
    <x v="0"/>
  </r>
  <r>
    <x v="2"/>
    <x v="1"/>
    <x v="1"/>
    <n v="60.69"/>
    <n v="356.85210000000001"/>
    <x v="0"/>
  </r>
  <r>
    <x v="2"/>
    <x v="2"/>
    <x v="2"/>
    <n v="9.1999999999999993"/>
    <n v="82.199299999999994"/>
    <x v="0"/>
  </r>
  <r>
    <x v="2"/>
    <x v="3"/>
    <x v="3"/>
    <n v="202.5"/>
    <n v="972"/>
    <x v="0"/>
  </r>
  <r>
    <x v="2"/>
    <x v="4"/>
    <x v="4"/>
    <m/>
    <n v="813.77380000000005"/>
    <x v="0"/>
  </r>
  <r>
    <x v="2"/>
    <x v="5"/>
    <x v="5"/>
    <m/>
    <n v="132"/>
    <x v="0"/>
  </r>
  <r>
    <x v="3"/>
    <x v="0"/>
    <x v="0"/>
    <m/>
    <n v="123"/>
    <x v="0"/>
  </r>
  <r>
    <x v="3"/>
    <x v="1"/>
    <x v="1"/>
    <m/>
    <n v="300.6003"/>
    <x v="0"/>
  </r>
  <r>
    <x v="3"/>
    <x v="2"/>
    <x v="2"/>
    <n v="4.2"/>
    <n v="20.626000000000001"/>
    <x v="0"/>
  </r>
  <r>
    <x v="3"/>
    <x v="3"/>
    <x v="3"/>
    <m/>
    <n v="648"/>
    <x v="0"/>
  </r>
  <r>
    <x v="3"/>
    <x v="4"/>
    <x v="4"/>
    <m/>
    <n v="17.971800000000002"/>
    <x v="0"/>
  </r>
  <r>
    <x v="3"/>
    <x v="5"/>
    <x v="5"/>
    <m/>
    <n v="50"/>
    <x v="0"/>
  </r>
  <r>
    <x v="4"/>
    <x v="0"/>
    <x v="0"/>
    <m/>
    <n v="333"/>
    <x v="0"/>
  </r>
  <r>
    <x v="4"/>
    <x v="1"/>
    <x v="1"/>
    <n v="1609.63"/>
    <n v="25629.205399999999"/>
    <x v="0"/>
  </r>
  <r>
    <x v="4"/>
    <x v="2"/>
    <x v="2"/>
    <n v="20.2"/>
    <n v="121.7748"/>
    <x v="0"/>
  </r>
  <r>
    <x v="4"/>
    <x v="3"/>
    <x v="3"/>
    <n v="211"/>
    <n v="1764"/>
    <x v="0"/>
  </r>
  <r>
    <x v="4"/>
    <x v="4"/>
    <x v="4"/>
    <n v="185"/>
    <n v="1174.5012999999999"/>
    <x v="0"/>
  </r>
  <r>
    <x v="4"/>
    <x v="5"/>
    <x v="5"/>
    <m/>
    <n v="210"/>
    <x v="0"/>
  </r>
  <r>
    <x v="5"/>
    <x v="0"/>
    <x v="0"/>
    <m/>
    <n v="89"/>
    <x v="0"/>
  </r>
  <r>
    <x v="5"/>
    <x v="1"/>
    <x v="1"/>
    <n v="74.960000000000008"/>
    <n v="202.70830000000001"/>
    <x v="0"/>
  </r>
  <r>
    <x v="5"/>
    <x v="2"/>
    <x v="2"/>
    <n v="18.399999999999999"/>
    <n v="46.535600000000002"/>
    <x v="0"/>
  </r>
  <r>
    <x v="5"/>
    <x v="3"/>
    <x v="3"/>
    <n v="63.77"/>
    <n v="468"/>
    <x v="0"/>
  </r>
  <r>
    <x v="5"/>
    <x v="4"/>
    <x v="4"/>
    <n v="8"/>
    <n v="8.9859000000000009"/>
    <x v="0"/>
  </r>
  <r>
    <x v="5"/>
    <x v="5"/>
    <x v="5"/>
    <m/>
    <n v="50"/>
    <x v="0"/>
  </r>
  <r>
    <x v="6"/>
    <x v="0"/>
    <x v="0"/>
    <m/>
    <n v="68"/>
    <x v="0"/>
  </r>
  <r>
    <x v="6"/>
    <x v="1"/>
    <x v="1"/>
    <m/>
    <n v="528.49220000000003"/>
    <x v="0"/>
  </r>
  <r>
    <x v="6"/>
    <x v="2"/>
    <x v="2"/>
    <n v="21.2"/>
    <n v="61.37"/>
    <x v="0"/>
  </r>
  <r>
    <x v="6"/>
    <x v="3"/>
    <x v="3"/>
    <m/>
    <n v="360"/>
    <x v="0"/>
  </r>
  <r>
    <x v="6"/>
    <x v="4"/>
    <x v="4"/>
    <m/>
    <n v="158.99420000000001"/>
    <x v="0"/>
  </r>
  <r>
    <x v="6"/>
    <x v="5"/>
    <x v="5"/>
    <m/>
    <n v="50"/>
    <x v="0"/>
  </r>
  <r>
    <x v="7"/>
    <x v="0"/>
    <x v="0"/>
    <m/>
    <n v="109"/>
    <x v="0"/>
  </r>
  <r>
    <x v="7"/>
    <x v="1"/>
    <x v="1"/>
    <n v="52.73"/>
    <n v="105.6508"/>
    <x v="0"/>
  </r>
  <r>
    <x v="7"/>
    <x v="2"/>
    <x v="2"/>
    <n v="2.1"/>
    <n v="56.086500000000001"/>
    <x v="0"/>
  </r>
  <r>
    <x v="7"/>
    <x v="3"/>
    <x v="3"/>
    <n v="14.25"/>
    <n v="576"/>
    <x v="0"/>
  </r>
  <r>
    <x v="7"/>
    <x v="4"/>
    <x v="4"/>
    <n v="104"/>
    <n v="1377.8633"/>
    <x v="0"/>
  </r>
  <r>
    <x v="7"/>
    <x v="5"/>
    <x v="5"/>
    <m/>
    <n v="50"/>
    <x v="0"/>
  </r>
  <r>
    <x v="8"/>
    <x v="0"/>
    <x v="0"/>
    <m/>
    <n v="150"/>
    <x v="0"/>
  </r>
  <r>
    <x v="8"/>
    <x v="1"/>
    <x v="1"/>
    <n v="6.66"/>
    <n v="701.10500000000002"/>
    <x v="0"/>
  </r>
  <r>
    <x v="8"/>
    <x v="2"/>
    <x v="2"/>
    <n v="16"/>
    <n v="837.33510000000001"/>
    <x v="0"/>
  </r>
  <r>
    <x v="8"/>
    <x v="3"/>
    <x v="3"/>
    <n v="218.04"/>
    <n v="792"/>
    <x v="0"/>
  </r>
  <r>
    <x v="8"/>
    <x v="4"/>
    <x v="4"/>
    <m/>
    <n v="34.191299999999998"/>
    <x v="0"/>
  </r>
  <r>
    <x v="8"/>
    <x v="5"/>
    <x v="5"/>
    <m/>
    <n v="50"/>
    <x v="0"/>
  </r>
  <r>
    <x v="9"/>
    <x v="0"/>
    <x v="0"/>
    <m/>
    <n v="191"/>
    <x v="0"/>
  </r>
  <r>
    <x v="9"/>
    <x v="1"/>
    <x v="1"/>
    <n v="618.04"/>
    <n v="7640.5749999999998"/>
    <x v="0"/>
  </r>
  <r>
    <x v="9"/>
    <x v="2"/>
    <x v="2"/>
    <n v="10.25"/>
    <n v="17.831900000000001"/>
    <x v="0"/>
  </r>
  <r>
    <x v="9"/>
    <x v="3"/>
    <x v="3"/>
    <m/>
    <n v="1008"/>
    <x v="0"/>
  </r>
  <r>
    <x v="9"/>
    <x v="4"/>
    <x v="4"/>
    <n v="40"/>
    <n v="548.1395"/>
    <x v="0"/>
  </r>
  <r>
    <x v="9"/>
    <x v="5"/>
    <x v="5"/>
    <m/>
    <n v="50"/>
    <x v="0"/>
  </r>
  <r>
    <x v="10"/>
    <x v="0"/>
    <x v="0"/>
    <m/>
    <n v="123"/>
    <x v="0"/>
  </r>
  <r>
    <x v="10"/>
    <x v="1"/>
    <x v="1"/>
    <m/>
    <n v="0"/>
    <x v="0"/>
  </r>
  <r>
    <x v="10"/>
    <x v="2"/>
    <x v="2"/>
    <m/>
    <n v="58.829900000000002"/>
    <x v="0"/>
  </r>
  <r>
    <x v="10"/>
    <x v="3"/>
    <x v="3"/>
    <m/>
    <n v="648"/>
    <x v="0"/>
  </r>
  <r>
    <x v="10"/>
    <x v="4"/>
    <x v="4"/>
    <m/>
    <n v="700.89970000000005"/>
    <x v="0"/>
  </r>
  <r>
    <x v="10"/>
    <x v="5"/>
    <x v="5"/>
    <m/>
    <n v="50"/>
    <x v="0"/>
  </r>
  <r>
    <x v="11"/>
    <x v="0"/>
    <x v="0"/>
    <m/>
    <n v="191"/>
    <x v="0"/>
  </r>
  <r>
    <x v="11"/>
    <x v="1"/>
    <x v="1"/>
    <n v="1448.55"/>
    <n v="20399.734899999999"/>
    <x v="0"/>
  </r>
  <r>
    <x v="11"/>
    <x v="2"/>
    <x v="2"/>
    <n v="13.1"/>
    <n v="95.560500000000005"/>
    <x v="0"/>
  </r>
  <r>
    <x v="11"/>
    <x v="3"/>
    <x v="3"/>
    <n v="152.08000000000001"/>
    <n v="1008"/>
    <x v="0"/>
  </r>
  <r>
    <x v="11"/>
    <x v="4"/>
    <x v="4"/>
    <n v="408"/>
    <n v="4319.2208000000001"/>
    <x v="0"/>
  </r>
  <r>
    <x v="11"/>
    <x v="5"/>
    <x v="5"/>
    <m/>
    <n v="50"/>
    <x v="0"/>
  </r>
  <r>
    <x v="12"/>
    <x v="0"/>
    <x v="0"/>
    <m/>
    <n v="82"/>
    <x v="0"/>
  </r>
  <r>
    <x v="12"/>
    <x v="1"/>
    <x v="1"/>
    <m/>
    <n v="481.5992"/>
    <x v="0"/>
  </r>
  <r>
    <x v="12"/>
    <x v="2"/>
    <x v="2"/>
    <m/>
    <n v="18.238299999999999"/>
    <x v="0"/>
  </r>
  <r>
    <x v="12"/>
    <x v="3"/>
    <x v="3"/>
    <n v="102.39"/>
    <n v="432"/>
    <x v="0"/>
  </r>
  <r>
    <x v="12"/>
    <x v="4"/>
    <x v="4"/>
    <m/>
    <n v="8.9859000000000009"/>
    <x v="0"/>
  </r>
  <r>
    <x v="12"/>
    <x v="5"/>
    <x v="5"/>
    <m/>
    <n v="50"/>
    <x v="0"/>
  </r>
  <r>
    <x v="13"/>
    <x v="0"/>
    <x v="0"/>
    <m/>
    <n v="96"/>
    <x v="0"/>
  </r>
  <r>
    <x v="13"/>
    <x v="1"/>
    <x v="1"/>
    <m/>
    <n v="444.05349999999999"/>
    <x v="0"/>
  </r>
  <r>
    <x v="13"/>
    <x v="2"/>
    <x v="2"/>
    <n v="47"/>
    <n v="186.19300000000001"/>
    <x v="0"/>
  </r>
  <r>
    <x v="13"/>
    <x v="3"/>
    <x v="3"/>
    <n v="28.82"/>
    <n v="504"/>
    <x v="0"/>
  </r>
  <r>
    <x v="13"/>
    <x v="4"/>
    <x v="4"/>
    <n v="48.07"/>
    <n v="211.50550000000001"/>
    <x v="0"/>
  </r>
  <r>
    <x v="13"/>
    <x v="5"/>
    <x v="5"/>
    <m/>
    <n v="50"/>
    <x v="0"/>
  </r>
  <r>
    <x v="14"/>
    <x v="0"/>
    <x v="0"/>
    <m/>
    <n v="96"/>
    <x v="0"/>
  </r>
  <r>
    <x v="14"/>
    <x v="1"/>
    <x v="1"/>
    <m/>
    <n v="299.28480000000002"/>
    <x v="0"/>
  </r>
  <r>
    <x v="14"/>
    <x v="2"/>
    <x v="2"/>
    <m/>
    <n v="60.252400000000002"/>
    <x v="0"/>
  </r>
  <r>
    <x v="14"/>
    <x v="3"/>
    <x v="3"/>
    <m/>
    <n v="504"/>
    <x v="0"/>
  </r>
  <r>
    <x v="14"/>
    <x v="4"/>
    <x v="4"/>
    <m/>
    <n v="71.887200000000007"/>
    <x v="0"/>
  </r>
  <r>
    <x v="14"/>
    <x v="5"/>
    <x v="5"/>
    <m/>
    <n v="50"/>
    <x v="0"/>
  </r>
  <r>
    <x v="15"/>
    <x v="0"/>
    <x v="0"/>
    <m/>
    <n v="96"/>
    <x v="0"/>
  </r>
  <r>
    <x v="15"/>
    <x v="1"/>
    <x v="1"/>
    <n v="35.53"/>
    <n v="761.41790000000003"/>
    <x v="0"/>
  </r>
  <r>
    <x v="15"/>
    <x v="2"/>
    <x v="2"/>
    <m/>
    <n v="105.5686"/>
    <x v="0"/>
  </r>
  <r>
    <x v="15"/>
    <x v="3"/>
    <x v="3"/>
    <n v="49.46"/>
    <n v="504"/>
    <x v="0"/>
  </r>
  <r>
    <x v="15"/>
    <x v="4"/>
    <x v="4"/>
    <m/>
    <n v="119.3888"/>
    <x v="0"/>
  </r>
  <r>
    <x v="15"/>
    <x v="5"/>
    <x v="5"/>
    <m/>
    <n v="60"/>
    <x v="0"/>
  </r>
  <r>
    <x v="16"/>
    <x v="0"/>
    <x v="0"/>
    <m/>
    <n v="204"/>
    <x v="0"/>
  </r>
  <r>
    <x v="16"/>
    <x v="1"/>
    <x v="1"/>
    <n v="743.16000000000008"/>
    <n v="13544.5077"/>
    <x v="0"/>
  </r>
  <r>
    <x v="16"/>
    <x v="2"/>
    <x v="2"/>
    <m/>
    <n v="97.389399999999995"/>
    <x v="0"/>
  </r>
  <r>
    <x v="16"/>
    <x v="3"/>
    <x v="3"/>
    <n v="126.25"/>
    <n v="1080"/>
    <x v="0"/>
  </r>
  <r>
    <x v="16"/>
    <x v="4"/>
    <x v="4"/>
    <n v="155.04"/>
    <n v="2541.9746"/>
    <x v="0"/>
  </r>
  <r>
    <x v="16"/>
    <x v="5"/>
    <x v="5"/>
    <m/>
    <n v="144"/>
    <x v="0"/>
  </r>
  <r>
    <x v="17"/>
    <x v="0"/>
    <x v="0"/>
    <m/>
    <n v="197"/>
    <x v="0"/>
  </r>
  <r>
    <x v="17"/>
    <x v="1"/>
    <x v="1"/>
    <n v="2909.6400000000003"/>
    <n v="25711.073100000001"/>
    <x v="0"/>
  </r>
  <r>
    <x v="17"/>
    <x v="2"/>
    <x v="2"/>
    <n v="5.55"/>
    <n v="96.779700000000005"/>
    <x v="0"/>
  </r>
  <r>
    <x v="17"/>
    <x v="3"/>
    <x v="3"/>
    <m/>
    <n v="1044"/>
    <x v="0"/>
  </r>
  <r>
    <x v="17"/>
    <x v="4"/>
    <x v="4"/>
    <n v="504"/>
    <n v="3404.5691000000002"/>
    <x v="0"/>
  </r>
  <r>
    <x v="17"/>
    <x v="5"/>
    <x v="5"/>
    <m/>
    <n v="132"/>
    <x v="0"/>
  </r>
  <r>
    <x v="18"/>
    <x v="0"/>
    <x v="0"/>
    <m/>
    <n v="109"/>
    <x v="0"/>
  </r>
  <r>
    <x v="18"/>
    <x v="1"/>
    <x v="1"/>
    <m/>
    <n v="446.2167"/>
    <x v="0"/>
  </r>
  <r>
    <x v="18"/>
    <x v="2"/>
    <x v="2"/>
    <n v="11.5"/>
    <n v="60.506399999999999"/>
    <x v="0"/>
  </r>
  <r>
    <x v="18"/>
    <x v="3"/>
    <x v="3"/>
    <n v="29.96"/>
    <n v="576"/>
    <x v="0"/>
  </r>
  <r>
    <x v="18"/>
    <x v="4"/>
    <x v="4"/>
    <m/>
    <n v="18.275099999999998"/>
    <x v="0"/>
  </r>
  <r>
    <x v="18"/>
    <x v="5"/>
    <x v="5"/>
    <m/>
    <n v="84"/>
    <x v="0"/>
  </r>
  <r>
    <x v="19"/>
    <x v="0"/>
    <x v="0"/>
    <m/>
    <n v="109"/>
    <x v="0"/>
  </r>
  <r>
    <x v="19"/>
    <x v="1"/>
    <x v="1"/>
    <m/>
    <n v="596.98389999999995"/>
    <x v="0"/>
  </r>
  <r>
    <x v="19"/>
    <x v="2"/>
    <x v="2"/>
    <m/>
    <n v="25.401499999999999"/>
    <x v="0"/>
  </r>
  <r>
    <x v="19"/>
    <x v="3"/>
    <x v="3"/>
    <m/>
    <n v="576"/>
    <x v="0"/>
  </r>
  <r>
    <x v="19"/>
    <x v="4"/>
    <x v="4"/>
    <m/>
    <n v="195.83629999999999"/>
    <x v="0"/>
  </r>
  <r>
    <x v="19"/>
    <x v="5"/>
    <x v="5"/>
    <m/>
    <n v="96"/>
    <x v="0"/>
  </r>
  <r>
    <x v="20"/>
    <x v="0"/>
    <x v="0"/>
    <m/>
    <n v="177"/>
    <x v="0"/>
  </r>
  <r>
    <x v="20"/>
    <x v="1"/>
    <x v="1"/>
    <n v="520.71"/>
    <n v="3598.1161000000002"/>
    <x v="0"/>
  </r>
  <r>
    <x v="20"/>
    <x v="2"/>
    <x v="2"/>
    <n v="36.099999999999994"/>
    <n v="3191.4650999999999"/>
    <x v="0"/>
  </r>
  <r>
    <x v="20"/>
    <x v="3"/>
    <x v="3"/>
    <m/>
    <n v="936"/>
    <x v="0"/>
  </r>
  <r>
    <x v="20"/>
    <x v="4"/>
    <x v="4"/>
    <m/>
    <n v="110.13339999999999"/>
    <x v="0"/>
  </r>
  <r>
    <x v="20"/>
    <x v="5"/>
    <x v="5"/>
    <m/>
    <n v="120"/>
    <x v="0"/>
  </r>
  <r>
    <x v="21"/>
    <x v="0"/>
    <x v="0"/>
    <m/>
    <n v="231"/>
    <x v="0"/>
  </r>
  <r>
    <x v="21"/>
    <x v="1"/>
    <x v="1"/>
    <n v="863.41"/>
    <n v="12516.1867"/>
    <x v="0"/>
  </r>
  <r>
    <x v="21"/>
    <x v="2"/>
    <x v="2"/>
    <n v="11.100000000000001"/>
    <n v="88.651200000000003"/>
    <x v="0"/>
  </r>
  <r>
    <x v="21"/>
    <x v="3"/>
    <x v="3"/>
    <n v="84.6"/>
    <n v="1224"/>
    <x v="0"/>
  </r>
  <r>
    <x v="21"/>
    <x v="4"/>
    <x v="4"/>
    <n v="80"/>
    <n v="203.22720000000001"/>
    <x v="0"/>
  </r>
  <r>
    <x v="21"/>
    <x v="5"/>
    <x v="5"/>
    <m/>
    <n v="168"/>
    <x v="0"/>
  </r>
  <r>
    <x v="22"/>
    <x v="0"/>
    <x v="0"/>
    <m/>
    <n v="0"/>
    <x v="0"/>
  </r>
  <r>
    <x v="22"/>
    <x v="1"/>
    <x v="1"/>
    <m/>
    <n v="0"/>
    <x v="0"/>
  </r>
  <r>
    <x v="22"/>
    <x v="2"/>
    <x v="2"/>
    <m/>
    <n v="0"/>
    <x v="0"/>
  </r>
  <r>
    <x v="22"/>
    <x v="3"/>
    <x v="3"/>
    <m/>
    <n v="0"/>
    <x v="0"/>
  </r>
  <r>
    <x v="22"/>
    <x v="4"/>
    <x v="4"/>
    <m/>
    <n v="0"/>
    <x v="0"/>
  </r>
  <r>
    <x v="22"/>
    <x v="5"/>
    <x v="5"/>
    <m/>
    <n v="0"/>
    <x v="0"/>
  </r>
  <r>
    <x v="23"/>
    <x v="0"/>
    <x v="0"/>
    <m/>
    <n v="204"/>
    <x v="0"/>
  </r>
  <r>
    <x v="23"/>
    <x v="1"/>
    <x v="1"/>
    <n v="2179.4499999999998"/>
    <n v="6660.4917999999998"/>
    <x v="0"/>
  </r>
  <r>
    <x v="23"/>
    <x v="2"/>
    <x v="2"/>
    <m/>
    <n v="35.003300000000003"/>
    <x v="0"/>
  </r>
  <r>
    <x v="23"/>
    <x v="3"/>
    <x v="3"/>
    <n v="169.85"/>
    <n v="1080"/>
    <x v="0"/>
  </r>
  <r>
    <x v="23"/>
    <x v="4"/>
    <x v="4"/>
    <n v="224"/>
    <n v="1275.9969000000001"/>
    <x v="0"/>
  </r>
  <r>
    <x v="23"/>
    <x v="5"/>
    <x v="5"/>
    <m/>
    <n v="50"/>
    <x v="0"/>
  </r>
  <r>
    <x v="24"/>
    <x v="0"/>
    <x v="0"/>
    <m/>
    <n v="116"/>
    <x v="0"/>
  </r>
  <r>
    <x v="24"/>
    <x v="1"/>
    <x v="1"/>
    <m/>
    <n v="126.6735"/>
    <x v="0"/>
  </r>
  <r>
    <x v="24"/>
    <x v="2"/>
    <x v="2"/>
    <n v="41.599999999999909"/>
    <n v="176.1848"/>
    <x v="0"/>
  </r>
  <r>
    <x v="24"/>
    <x v="3"/>
    <x v="3"/>
    <n v="85.12"/>
    <n v="612"/>
    <x v="0"/>
  </r>
  <r>
    <x v="24"/>
    <x v="4"/>
    <x v="4"/>
    <m/>
    <n v="52.792099999999998"/>
    <x v="0"/>
  </r>
  <r>
    <x v="24"/>
    <x v="5"/>
    <x v="5"/>
    <m/>
    <n v="50"/>
    <x v="0"/>
  </r>
  <r>
    <x v="25"/>
    <x v="0"/>
    <x v="0"/>
    <m/>
    <n v="62"/>
    <x v="0"/>
  </r>
  <r>
    <x v="25"/>
    <x v="1"/>
    <x v="1"/>
    <m/>
    <n v="314.78210000000001"/>
    <x v="0"/>
  </r>
  <r>
    <x v="25"/>
    <x v="2"/>
    <x v="2"/>
    <n v="10.75"/>
    <n v="89.565700000000007"/>
    <x v="0"/>
  </r>
  <r>
    <x v="25"/>
    <x v="3"/>
    <x v="3"/>
    <n v="71.92"/>
    <n v="324"/>
    <x v="0"/>
  </r>
  <r>
    <x v="25"/>
    <x v="4"/>
    <x v="4"/>
    <m/>
    <n v="17.612400000000001"/>
    <x v="0"/>
  </r>
  <r>
    <x v="25"/>
    <x v="5"/>
    <x v="5"/>
    <m/>
    <n v="24"/>
    <x v="0"/>
  </r>
  <r>
    <x v="26"/>
    <x v="0"/>
    <x v="0"/>
    <m/>
    <n v="109"/>
    <x v="0"/>
  </r>
  <r>
    <x v="26"/>
    <x v="1"/>
    <x v="1"/>
    <n v="161.45999999999998"/>
    <n v="230.2878"/>
    <x v="0"/>
  </r>
  <r>
    <x v="26"/>
    <x v="2"/>
    <x v="2"/>
    <m/>
    <n v="213.22020000000001"/>
    <x v="0"/>
  </r>
  <r>
    <x v="26"/>
    <x v="3"/>
    <x v="3"/>
    <n v="45.48"/>
    <n v="576"/>
    <x v="0"/>
  </r>
  <r>
    <x v="26"/>
    <x v="4"/>
    <x v="4"/>
    <m/>
    <n v="24.688700000000001"/>
    <x v="0"/>
  </r>
  <r>
    <x v="26"/>
    <x v="5"/>
    <x v="5"/>
    <m/>
    <n v="72"/>
    <x v="0"/>
  </r>
  <r>
    <x v="27"/>
    <x v="0"/>
    <x v="0"/>
    <m/>
    <n v="306"/>
    <x v="0"/>
  </r>
  <r>
    <x v="27"/>
    <x v="1"/>
    <x v="1"/>
    <n v="770.29"/>
    <n v="21334.706099999999"/>
    <x v="0"/>
  </r>
  <r>
    <x v="27"/>
    <x v="2"/>
    <x v="2"/>
    <n v="200.34"/>
    <n v="250.49950000000001"/>
    <x v="0"/>
  </r>
  <r>
    <x v="27"/>
    <x v="3"/>
    <x v="3"/>
    <m/>
    <n v="1620"/>
    <x v="0"/>
  </r>
  <r>
    <x v="27"/>
    <x v="4"/>
    <x v="4"/>
    <n v="32"/>
    <n v="3431.4881999999998"/>
    <x v="0"/>
  </r>
  <r>
    <x v="27"/>
    <x v="5"/>
    <x v="5"/>
    <m/>
    <n v="50"/>
    <x v="0"/>
  </r>
  <r>
    <x v="28"/>
    <x v="0"/>
    <x v="0"/>
    <m/>
    <n v="96"/>
    <x v="0"/>
  </r>
  <r>
    <x v="28"/>
    <x v="1"/>
    <x v="1"/>
    <n v="24.92"/>
    <n v="389.57319999999999"/>
    <x v="0"/>
  </r>
  <r>
    <x v="28"/>
    <x v="2"/>
    <x v="2"/>
    <n v="9.5500000000000007"/>
    <n v="10.2622"/>
    <x v="0"/>
  </r>
  <r>
    <x v="28"/>
    <x v="3"/>
    <x v="3"/>
    <m/>
    <n v="504"/>
    <x v="0"/>
  </r>
  <r>
    <x v="28"/>
    <x v="4"/>
    <x v="4"/>
    <m/>
    <n v="356.78489999999999"/>
    <x v="0"/>
  </r>
  <r>
    <x v="28"/>
    <x v="5"/>
    <x v="5"/>
    <m/>
    <n v="50"/>
    <x v="0"/>
  </r>
  <r>
    <x v="29"/>
    <x v="0"/>
    <x v="0"/>
    <m/>
    <n v="48"/>
    <x v="0"/>
  </r>
  <r>
    <x v="29"/>
    <x v="1"/>
    <x v="1"/>
    <m/>
    <n v="1327.4957999999999"/>
    <x v="0"/>
  </r>
  <r>
    <x v="29"/>
    <x v="2"/>
    <x v="2"/>
    <n v="715"/>
    <n v="7617.3010000000004"/>
    <x v="0"/>
  </r>
  <r>
    <x v="29"/>
    <x v="3"/>
    <x v="3"/>
    <n v="15.98"/>
    <n v="252"/>
    <x v="0"/>
  </r>
  <r>
    <x v="29"/>
    <x v="4"/>
    <x v="4"/>
    <m/>
    <n v="79.671199999999999"/>
    <x v="0"/>
  </r>
  <r>
    <x v="29"/>
    <x v="5"/>
    <x v="5"/>
    <m/>
    <n v="48"/>
    <x v="0"/>
  </r>
  <r>
    <x v="30"/>
    <x v="0"/>
    <x v="0"/>
    <m/>
    <n v="136"/>
    <x v="0"/>
  </r>
  <r>
    <x v="30"/>
    <x v="1"/>
    <x v="1"/>
    <n v="835.13"/>
    <n v="13491.2176"/>
    <x v="0"/>
  </r>
  <r>
    <x v="30"/>
    <x v="2"/>
    <x v="2"/>
    <n v="25.1"/>
    <n v="106.9606"/>
    <x v="0"/>
  </r>
  <r>
    <x v="30"/>
    <x v="3"/>
    <x v="3"/>
    <m/>
    <n v="720"/>
    <x v="0"/>
  </r>
  <r>
    <x v="30"/>
    <x v="4"/>
    <x v="4"/>
    <m/>
    <n v="381.10300000000001"/>
    <x v="0"/>
  </r>
  <r>
    <x v="30"/>
    <x v="5"/>
    <x v="5"/>
    <m/>
    <n v="50"/>
    <x v="0"/>
  </r>
  <r>
    <x v="31"/>
    <x v="0"/>
    <x v="0"/>
    <m/>
    <n v="41"/>
    <x v="0"/>
  </r>
  <r>
    <x v="31"/>
    <x v="1"/>
    <x v="1"/>
    <n v="68.88"/>
    <n v="676.92399999999998"/>
    <x v="0"/>
  </r>
  <r>
    <x v="31"/>
    <x v="2"/>
    <x v="2"/>
    <n v="40"/>
    <n v="568.99369999999999"/>
    <x v="0"/>
  </r>
  <r>
    <x v="31"/>
    <x v="3"/>
    <x v="3"/>
    <m/>
    <n v="216"/>
    <x v="0"/>
  </r>
  <r>
    <x v="31"/>
    <x v="4"/>
    <x v="4"/>
    <m/>
    <n v="55.712499999999999"/>
    <x v="0"/>
  </r>
  <r>
    <x v="31"/>
    <x v="5"/>
    <x v="5"/>
    <m/>
    <n v="24"/>
    <x v="0"/>
  </r>
  <r>
    <x v="32"/>
    <x v="0"/>
    <x v="0"/>
    <m/>
    <n v="96"/>
    <x v="0"/>
  </r>
  <r>
    <x v="32"/>
    <x v="1"/>
    <x v="1"/>
    <m/>
    <n v="95.731899999999996"/>
    <x v="0"/>
  </r>
  <r>
    <x v="32"/>
    <x v="2"/>
    <x v="2"/>
    <n v="128.1"/>
    <n v="2094.4555"/>
    <x v="0"/>
  </r>
  <r>
    <x v="32"/>
    <x v="3"/>
    <x v="3"/>
    <m/>
    <n v="504"/>
    <x v="0"/>
  </r>
  <r>
    <x v="32"/>
    <x v="4"/>
    <x v="4"/>
    <n v="22.75"/>
    <n v="339.98129999999998"/>
    <x v="0"/>
  </r>
  <r>
    <x v="32"/>
    <x v="5"/>
    <x v="5"/>
    <m/>
    <n v="48"/>
    <x v="0"/>
  </r>
  <r>
    <x v="33"/>
    <x v="0"/>
    <x v="0"/>
    <m/>
    <n v="197"/>
    <x v="0"/>
  </r>
  <r>
    <x v="33"/>
    <x v="1"/>
    <x v="1"/>
    <n v="136.03"/>
    <n v="2706.8566999999998"/>
    <x v="0"/>
  </r>
  <r>
    <x v="33"/>
    <x v="2"/>
    <x v="2"/>
    <n v="165.3"/>
    <n v="1391.5451"/>
    <x v="0"/>
  </r>
  <r>
    <x v="33"/>
    <x v="3"/>
    <x v="3"/>
    <m/>
    <n v="1044"/>
    <x v="0"/>
  </r>
  <r>
    <x v="33"/>
    <x v="4"/>
    <x v="4"/>
    <n v="32"/>
    <n v="206.6756"/>
    <x v="0"/>
  </r>
  <r>
    <x v="33"/>
    <x v="5"/>
    <x v="5"/>
    <m/>
    <n v="50"/>
    <x v="0"/>
  </r>
  <r>
    <x v="34"/>
    <x v="0"/>
    <x v="0"/>
    <m/>
    <n v="177"/>
    <x v="0"/>
  </r>
  <r>
    <x v="34"/>
    <x v="1"/>
    <x v="1"/>
    <n v="410.14000000000004"/>
    <n v="6671.7578999999996"/>
    <x v="0"/>
  </r>
  <r>
    <x v="34"/>
    <x v="2"/>
    <x v="2"/>
    <n v="4.5"/>
    <n v="334.5378"/>
    <x v="0"/>
  </r>
  <r>
    <x v="34"/>
    <x v="3"/>
    <x v="3"/>
    <m/>
    <n v="936"/>
    <x v="0"/>
  </r>
  <r>
    <x v="34"/>
    <x v="4"/>
    <x v="4"/>
    <n v="168"/>
    <n v="2588.8809000000001"/>
    <x v="0"/>
  </r>
  <r>
    <x v="34"/>
    <x v="5"/>
    <x v="5"/>
    <m/>
    <n v="96"/>
    <x v="0"/>
  </r>
  <r>
    <x v="35"/>
    <x v="0"/>
    <x v="0"/>
    <m/>
    <n v="62"/>
    <x v="0"/>
  </r>
  <r>
    <x v="35"/>
    <x v="1"/>
    <x v="1"/>
    <m/>
    <n v="16.057500000000001"/>
    <x v="0"/>
  </r>
  <r>
    <x v="35"/>
    <x v="2"/>
    <x v="2"/>
    <n v="255"/>
    <n v="3961.8724000000002"/>
    <x v="0"/>
  </r>
  <r>
    <x v="35"/>
    <x v="3"/>
    <x v="3"/>
    <m/>
    <n v="324"/>
    <x v="0"/>
  </r>
  <r>
    <x v="35"/>
    <x v="4"/>
    <x v="4"/>
    <m/>
    <n v="9.8844999999999992"/>
    <x v="0"/>
  </r>
  <r>
    <x v="35"/>
    <x v="5"/>
    <x v="5"/>
    <m/>
    <n v="60"/>
    <x v="0"/>
  </r>
  <r>
    <x v="36"/>
    <x v="0"/>
    <x v="0"/>
    <m/>
    <n v="96"/>
    <x v="0"/>
  </r>
  <r>
    <x v="36"/>
    <x v="1"/>
    <x v="1"/>
    <n v="81.22999999999999"/>
    <n v="21.6585"/>
    <x v="0"/>
  </r>
  <r>
    <x v="36"/>
    <x v="2"/>
    <x v="2"/>
    <n v="9.5500000000000007"/>
    <n v="17.4254"/>
    <x v="0"/>
  </r>
  <r>
    <x v="36"/>
    <x v="3"/>
    <x v="3"/>
    <m/>
    <n v="504"/>
    <x v="0"/>
  </r>
  <r>
    <x v="36"/>
    <x v="4"/>
    <x v="4"/>
    <n v="42.85"/>
    <n v="173.8546"/>
    <x v="0"/>
  </r>
  <r>
    <x v="36"/>
    <x v="5"/>
    <x v="5"/>
    <m/>
    <n v="84"/>
    <x v="0"/>
  </r>
  <r>
    <x v="37"/>
    <x v="0"/>
    <x v="0"/>
    <m/>
    <n v="89"/>
    <x v="0"/>
  </r>
  <r>
    <x v="37"/>
    <x v="1"/>
    <x v="1"/>
    <m/>
    <n v="498.65159999999997"/>
    <x v="0"/>
  </r>
  <r>
    <x v="37"/>
    <x v="2"/>
    <x v="2"/>
    <m/>
    <n v="30.4818"/>
    <x v="0"/>
  </r>
  <r>
    <x v="37"/>
    <x v="3"/>
    <x v="3"/>
    <m/>
    <n v="468"/>
    <x v="0"/>
  </r>
  <r>
    <x v="37"/>
    <x v="4"/>
    <x v="4"/>
    <m/>
    <n v="153.88339999999999"/>
    <x v="0"/>
  </r>
  <r>
    <x v="37"/>
    <x v="5"/>
    <x v="5"/>
    <m/>
    <n v="60"/>
    <x v="0"/>
  </r>
  <r>
    <x v="38"/>
    <x v="0"/>
    <x v="0"/>
    <m/>
    <n v="204"/>
    <x v="0"/>
  </r>
  <r>
    <x v="38"/>
    <x v="1"/>
    <x v="1"/>
    <n v="682.02"/>
    <n v="13394.651900000001"/>
    <x v="0"/>
  </r>
  <r>
    <x v="38"/>
    <x v="2"/>
    <x v="2"/>
    <n v="7.35"/>
    <n v="67.415599999999998"/>
    <x v="0"/>
  </r>
  <r>
    <x v="38"/>
    <x v="3"/>
    <x v="3"/>
    <n v="47"/>
    <n v="1080"/>
    <x v="0"/>
  </r>
  <r>
    <x v="38"/>
    <x v="4"/>
    <x v="4"/>
    <n v="64"/>
    <n v="561.84299999999996"/>
    <x v="0"/>
  </r>
  <r>
    <x v="38"/>
    <x v="5"/>
    <x v="5"/>
    <m/>
    <n v="50"/>
    <x v="0"/>
  </r>
  <r>
    <x v="39"/>
    <x v="0"/>
    <x v="0"/>
    <m/>
    <n v="109"/>
    <x v="0"/>
  </r>
  <r>
    <x v="39"/>
    <x v="1"/>
    <x v="1"/>
    <n v="465.11"/>
    <n v="6925.3455000000004"/>
    <x v="0"/>
  </r>
  <r>
    <x v="39"/>
    <x v="2"/>
    <x v="2"/>
    <m/>
    <n v="2.4384999999999999"/>
    <x v="0"/>
  </r>
  <r>
    <x v="39"/>
    <x v="3"/>
    <x v="3"/>
    <n v="52.89"/>
    <n v="576"/>
    <x v="0"/>
  </r>
  <r>
    <x v="39"/>
    <x v="4"/>
    <x v="4"/>
    <n v="104"/>
    <n v="2350.4065000000001"/>
    <x v="0"/>
  </r>
  <r>
    <x v="39"/>
    <x v="5"/>
    <x v="5"/>
    <m/>
    <n v="60"/>
    <x v="0"/>
  </r>
  <r>
    <x v="40"/>
    <x v="0"/>
    <x v="0"/>
    <m/>
    <n v="48"/>
    <x v="0"/>
  </r>
  <r>
    <x v="40"/>
    <x v="1"/>
    <x v="1"/>
    <m/>
    <n v="155.28229999999999"/>
    <x v="0"/>
  </r>
  <r>
    <x v="40"/>
    <x v="2"/>
    <x v="2"/>
    <m/>
    <n v="4.8771000000000004"/>
    <x v="0"/>
  </r>
  <r>
    <x v="40"/>
    <x v="3"/>
    <x v="3"/>
    <m/>
    <n v="252"/>
    <x v="0"/>
  </r>
  <r>
    <x v="40"/>
    <x v="4"/>
    <x v="4"/>
    <m/>
    <n v="49.703200000000002"/>
    <x v="0"/>
  </r>
  <r>
    <x v="40"/>
    <x v="5"/>
    <x v="5"/>
    <m/>
    <n v="60"/>
    <x v="0"/>
  </r>
  <r>
    <x v="41"/>
    <x v="0"/>
    <x v="0"/>
    <m/>
    <n v="150"/>
    <x v="0"/>
  </r>
  <r>
    <x v="41"/>
    <x v="1"/>
    <x v="1"/>
    <n v="406.17"/>
    <n v="2262.0223999999998"/>
    <x v="0"/>
  </r>
  <r>
    <x v="41"/>
    <x v="2"/>
    <x v="2"/>
    <n v="12"/>
    <n v="18.289100000000001"/>
    <x v="0"/>
  </r>
  <r>
    <x v="41"/>
    <x v="3"/>
    <x v="3"/>
    <n v="43.69"/>
    <n v="792"/>
    <x v="0"/>
  </r>
  <r>
    <x v="41"/>
    <x v="4"/>
    <x v="4"/>
    <n v="235.47"/>
    <n v="1189.0921000000001"/>
    <x v="0"/>
  </r>
  <r>
    <x v="41"/>
    <x v="5"/>
    <x v="5"/>
    <m/>
    <n v="60"/>
    <x v="0"/>
  </r>
  <r>
    <x v="42"/>
    <x v="0"/>
    <x v="0"/>
    <m/>
    <n v="55"/>
    <x v="0"/>
  </r>
  <r>
    <x v="42"/>
    <x v="1"/>
    <x v="1"/>
    <m/>
    <n v="272.34199999999998"/>
    <x v="0"/>
  </r>
  <r>
    <x v="42"/>
    <x v="2"/>
    <x v="2"/>
    <m/>
    <n v="175.80889999999999"/>
    <x v="0"/>
  </r>
  <r>
    <x v="42"/>
    <x v="3"/>
    <x v="3"/>
    <m/>
    <n v="288"/>
    <x v="0"/>
  </r>
  <r>
    <x v="42"/>
    <x v="4"/>
    <x v="4"/>
    <m/>
    <n v="0"/>
    <x v="0"/>
  </r>
  <r>
    <x v="42"/>
    <x v="5"/>
    <x v="5"/>
    <m/>
    <n v="60"/>
    <x v="0"/>
  </r>
  <r>
    <x v="43"/>
    <x v="0"/>
    <x v="0"/>
    <m/>
    <n v="55"/>
    <x v="0"/>
  </r>
  <r>
    <x v="43"/>
    <x v="1"/>
    <x v="1"/>
    <n v="75.89"/>
    <n v="20.113"/>
    <x v="0"/>
  </r>
  <r>
    <x v="43"/>
    <x v="2"/>
    <x v="2"/>
    <n v="444.61"/>
    <n v="3135.277"/>
    <x v="0"/>
  </r>
  <r>
    <x v="43"/>
    <x v="3"/>
    <x v="3"/>
    <m/>
    <n v="288"/>
    <x v="0"/>
  </r>
  <r>
    <x v="43"/>
    <x v="4"/>
    <x v="4"/>
    <m/>
    <n v="0"/>
    <x v="0"/>
  </r>
  <r>
    <x v="43"/>
    <x v="5"/>
    <x v="5"/>
    <m/>
    <n v="60"/>
    <x v="0"/>
  </r>
  <r>
    <x v="44"/>
    <x v="0"/>
    <x v="0"/>
    <m/>
    <n v="184"/>
    <x v="0"/>
  </r>
  <r>
    <x v="44"/>
    <x v="1"/>
    <x v="1"/>
    <n v="437.03"/>
    <n v="3289.3627999999999"/>
    <x v="0"/>
  </r>
  <r>
    <x v="44"/>
    <x v="2"/>
    <x v="2"/>
    <m/>
    <n v="72.292699999999996"/>
    <x v="0"/>
  </r>
  <r>
    <x v="44"/>
    <x v="3"/>
    <x v="3"/>
    <n v="65.489999999999995"/>
    <n v="972"/>
    <x v="0"/>
  </r>
  <r>
    <x v="44"/>
    <x v="4"/>
    <x v="4"/>
    <n v="80"/>
    <n v="376.82350000000002"/>
    <x v="0"/>
  </r>
  <r>
    <x v="44"/>
    <x v="5"/>
    <x v="5"/>
    <m/>
    <n v="96"/>
    <x v="0"/>
  </r>
  <r>
    <x v="45"/>
    <x v="0"/>
    <x v="0"/>
    <m/>
    <n v="191"/>
    <x v="0"/>
  </r>
  <r>
    <x v="45"/>
    <x v="1"/>
    <x v="1"/>
    <n v="766.81999999999994"/>
    <n v="3801.8164000000002"/>
    <x v="0"/>
  </r>
  <r>
    <x v="45"/>
    <x v="2"/>
    <x v="2"/>
    <n v="6.85"/>
    <n v="28.6021"/>
    <x v="0"/>
  </r>
  <r>
    <x v="45"/>
    <x v="3"/>
    <x v="3"/>
    <m/>
    <n v="1008"/>
    <x v="0"/>
  </r>
  <r>
    <x v="45"/>
    <x v="4"/>
    <x v="4"/>
    <n v="96"/>
    <n v="323.49220000000003"/>
    <x v="0"/>
  </r>
  <r>
    <x v="45"/>
    <x v="5"/>
    <x v="5"/>
    <m/>
    <n v="96"/>
    <x v="0"/>
  </r>
  <r>
    <x v="46"/>
    <x v="0"/>
    <x v="0"/>
    <m/>
    <n v="55"/>
    <x v="0"/>
  </r>
  <r>
    <x v="46"/>
    <x v="1"/>
    <x v="1"/>
    <m/>
    <n v="1559.5181"/>
    <x v="0"/>
  </r>
  <r>
    <x v="46"/>
    <x v="2"/>
    <x v="2"/>
    <n v="318"/>
    <n v="3138.8737999999998"/>
    <x v="0"/>
  </r>
  <r>
    <x v="46"/>
    <x v="3"/>
    <x v="3"/>
    <n v="103.75"/>
    <n v="288"/>
    <x v="0"/>
  </r>
  <r>
    <x v="46"/>
    <x v="4"/>
    <x v="4"/>
    <m/>
    <n v="69.505899999999997"/>
    <x v="0"/>
  </r>
  <r>
    <x v="46"/>
    <x v="5"/>
    <x v="5"/>
    <m/>
    <n v="36"/>
    <x v="0"/>
  </r>
  <r>
    <x v="47"/>
    <x v="0"/>
    <x v="0"/>
    <m/>
    <n v="75"/>
    <x v="0"/>
  </r>
  <r>
    <x v="47"/>
    <x v="1"/>
    <x v="1"/>
    <m/>
    <n v="153.1328"/>
    <x v="0"/>
  </r>
  <r>
    <x v="47"/>
    <x v="2"/>
    <x v="2"/>
    <n v="229.4"/>
    <n v="143.06129999999999"/>
    <x v="0"/>
  </r>
  <r>
    <x v="47"/>
    <x v="3"/>
    <x v="3"/>
    <m/>
    <n v="396"/>
    <x v="0"/>
  </r>
  <r>
    <x v="47"/>
    <x v="4"/>
    <x v="4"/>
    <n v="24.62"/>
    <n v="31.450600000000001"/>
    <x v="0"/>
  </r>
  <r>
    <x v="47"/>
    <x v="5"/>
    <x v="5"/>
    <m/>
    <n v="48"/>
    <x v="0"/>
  </r>
  <r>
    <x v="48"/>
    <x v="0"/>
    <x v="0"/>
    <m/>
    <n v="82"/>
    <x v="0"/>
  </r>
  <r>
    <x v="48"/>
    <x v="1"/>
    <x v="1"/>
    <m/>
    <n v="145.97540000000001"/>
    <x v="0"/>
  </r>
  <r>
    <x v="48"/>
    <x v="2"/>
    <x v="2"/>
    <m/>
    <n v="22.4041"/>
    <x v="0"/>
  </r>
  <r>
    <x v="48"/>
    <x v="3"/>
    <x v="3"/>
    <m/>
    <n v="432"/>
    <x v="0"/>
  </r>
  <r>
    <x v="48"/>
    <x v="4"/>
    <x v="4"/>
    <m/>
    <n v="15.1637"/>
    <x v="0"/>
  </r>
  <r>
    <x v="48"/>
    <x v="5"/>
    <x v="5"/>
    <m/>
    <n v="60"/>
    <x v="0"/>
  </r>
  <r>
    <x v="49"/>
    <x v="0"/>
    <x v="0"/>
    <m/>
    <n v="62"/>
    <x v="0"/>
  </r>
  <r>
    <x v="49"/>
    <x v="1"/>
    <x v="1"/>
    <n v="95.6"/>
    <n v="224.0899"/>
    <x v="0"/>
  </r>
  <r>
    <x v="49"/>
    <x v="2"/>
    <x v="2"/>
    <m/>
    <n v="9.6525999999999996"/>
    <x v="0"/>
  </r>
  <r>
    <x v="49"/>
    <x v="3"/>
    <x v="3"/>
    <m/>
    <n v="324"/>
    <x v="0"/>
  </r>
  <r>
    <x v="49"/>
    <x v="4"/>
    <x v="4"/>
    <n v="8"/>
    <n v="314.50630000000001"/>
    <x v="0"/>
  </r>
  <r>
    <x v="49"/>
    <x v="5"/>
    <x v="5"/>
    <m/>
    <n v="36"/>
    <x v="0"/>
  </r>
  <r>
    <x v="50"/>
    <x v="0"/>
    <x v="0"/>
    <m/>
    <n v="102"/>
    <x v="0"/>
  </r>
  <r>
    <x v="50"/>
    <x v="1"/>
    <x v="1"/>
    <m/>
    <n v="345.98660000000001"/>
    <x v="0"/>
  </r>
  <r>
    <x v="50"/>
    <x v="2"/>
    <x v="2"/>
    <m/>
    <n v="38.610300000000002"/>
    <x v="0"/>
  </r>
  <r>
    <x v="50"/>
    <x v="3"/>
    <x v="3"/>
    <m/>
    <n v="540"/>
    <x v="0"/>
  </r>
  <r>
    <x v="50"/>
    <x v="4"/>
    <x v="4"/>
    <n v="216"/>
    <n v="2394.7406999999998"/>
    <x v="0"/>
  </r>
  <r>
    <x v="50"/>
    <x v="5"/>
    <x v="5"/>
    <m/>
    <n v="72"/>
    <x v="0"/>
  </r>
  <r>
    <x v="51"/>
    <x v="0"/>
    <x v="0"/>
    <m/>
    <n v="75"/>
    <x v="0"/>
  </r>
  <r>
    <x v="51"/>
    <x v="1"/>
    <x v="1"/>
    <n v="45.75"/>
    <n v="524.94200000000001"/>
    <x v="0"/>
  </r>
  <r>
    <x v="51"/>
    <x v="2"/>
    <x v="2"/>
    <n v="4.2"/>
    <n v="27.332000000000001"/>
    <x v="0"/>
  </r>
  <r>
    <x v="51"/>
    <x v="3"/>
    <x v="3"/>
    <n v="70"/>
    <n v="396"/>
    <x v="0"/>
  </r>
  <r>
    <x v="51"/>
    <x v="4"/>
    <x v="4"/>
    <m/>
    <n v="145.0436"/>
    <x v="0"/>
  </r>
  <r>
    <x v="51"/>
    <x v="5"/>
    <x v="5"/>
    <m/>
    <n v="60"/>
    <x v="0"/>
  </r>
  <r>
    <x v="52"/>
    <x v="0"/>
    <x v="0"/>
    <m/>
    <n v="123"/>
    <x v="0"/>
  </r>
  <r>
    <x v="52"/>
    <x v="1"/>
    <x v="1"/>
    <n v="9.59"/>
    <n v="171.66739999999999"/>
    <x v="0"/>
  </r>
  <r>
    <x v="52"/>
    <x v="2"/>
    <x v="2"/>
    <n v="3"/>
    <n v="86.669899999999998"/>
    <x v="0"/>
  </r>
  <r>
    <x v="52"/>
    <x v="3"/>
    <x v="3"/>
    <n v="29.33"/>
    <n v="648"/>
    <x v="0"/>
  </r>
  <r>
    <x v="52"/>
    <x v="4"/>
    <x v="4"/>
    <n v="27.8"/>
    <n v="67.596400000000003"/>
    <x v="0"/>
  </r>
  <r>
    <x v="52"/>
    <x v="5"/>
    <x v="5"/>
    <n v="10.7"/>
    <n v="108"/>
    <x v="0"/>
  </r>
  <r>
    <x v="53"/>
    <x v="0"/>
    <x v="0"/>
    <m/>
    <n v="136"/>
    <x v="0"/>
  </r>
  <r>
    <x v="53"/>
    <x v="1"/>
    <x v="1"/>
    <n v="77.28"/>
    <n v="309.3818"/>
    <x v="0"/>
  </r>
  <r>
    <x v="53"/>
    <x v="2"/>
    <x v="2"/>
    <n v="17.5"/>
    <n v="87.533600000000007"/>
    <x v="0"/>
  </r>
  <r>
    <x v="53"/>
    <x v="3"/>
    <x v="3"/>
    <n v="75.959999999999994"/>
    <n v="720"/>
    <x v="0"/>
  </r>
  <r>
    <x v="53"/>
    <x v="4"/>
    <x v="4"/>
    <n v="8"/>
    <n v="45.479900000000001"/>
    <x v="0"/>
  </r>
  <r>
    <x v="53"/>
    <x v="5"/>
    <x v="5"/>
    <m/>
    <n v="84"/>
    <x v="0"/>
  </r>
  <r>
    <x v="54"/>
    <x v="0"/>
    <x v="0"/>
    <m/>
    <n v="211"/>
    <x v="0"/>
  </r>
  <r>
    <x v="54"/>
    <x v="1"/>
    <x v="1"/>
    <n v="1693.26"/>
    <n v="18526.6486"/>
    <x v="0"/>
  </r>
  <r>
    <x v="54"/>
    <x v="2"/>
    <x v="2"/>
    <n v="9"/>
    <n v="536.47969999999998"/>
    <x v="0"/>
  </r>
  <r>
    <x v="54"/>
    <x v="3"/>
    <x v="3"/>
    <m/>
    <n v="1116"/>
    <x v="0"/>
  </r>
  <r>
    <x v="54"/>
    <x v="4"/>
    <x v="4"/>
    <n v="352"/>
    <n v="4025.5167999999999"/>
    <x v="0"/>
  </r>
  <r>
    <x v="54"/>
    <x v="5"/>
    <x v="5"/>
    <m/>
    <n v="108"/>
    <x v="0"/>
  </r>
  <r>
    <x v="55"/>
    <x v="0"/>
    <x v="0"/>
    <m/>
    <n v="123"/>
    <x v="0"/>
  </r>
  <r>
    <x v="55"/>
    <x v="1"/>
    <x v="1"/>
    <n v="43.34"/>
    <n v="91.813900000000004"/>
    <x v="0"/>
  </r>
  <r>
    <x v="55"/>
    <x v="2"/>
    <x v="2"/>
    <n v="9.6"/>
    <n v="29.922999999999998"/>
    <x v="0"/>
  </r>
  <r>
    <x v="55"/>
    <x v="3"/>
    <x v="3"/>
    <m/>
    <n v="648"/>
    <x v="0"/>
  </r>
  <r>
    <x v="55"/>
    <x v="4"/>
    <x v="4"/>
    <n v="39.979999999999997"/>
    <n v="31.225999999999999"/>
    <x v="0"/>
  </r>
  <r>
    <x v="55"/>
    <x v="5"/>
    <x v="5"/>
    <m/>
    <n v="60"/>
    <x v="0"/>
  </r>
  <r>
    <x v="56"/>
    <x v="0"/>
    <x v="0"/>
    <m/>
    <n v="62"/>
    <x v="0"/>
  </r>
  <r>
    <x v="56"/>
    <x v="1"/>
    <x v="1"/>
    <m/>
    <n v="371.4513"/>
    <x v="0"/>
  </r>
  <r>
    <x v="56"/>
    <x v="2"/>
    <x v="2"/>
    <m/>
    <n v="47.754800000000003"/>
    <x v="0"/>
  </r>
  <r>
    <x v="56"/>
    <x v="3"/>
    <x v="3"/>
    <m/>
    <n v="324"/>
    <x v="0"/>
  </r>
  <r>
    <x v="56"/>
    <x v="4"/>
    <x v="4"/>
    <n v="38.450000000000003"/>
    <n v="177.84209999999999"/>
    <x v="0"/>
  </r>
  <r>
    <x v="56"/>
    <x v="5"/>
    <x v="5"/>
    <m/>
    <n v="60"/>
    <x v="0"/>
  </r>
  <r>
    <x v="57"/>
    <x v="0"/>
    <x v="0"/>
    <m/>
    <n v="96"/>
    <x v="0"/>
  </r>
  <r>
    <x v="57"/>
    <x v="1"/>
    <x v="1"/>
    <n v="65.27"/>
    <n v="590.07249999999999"/>
    <x v="0"/>
  </r>
  <r>
    <x v="57"/>
    <x v="2"/>
    <x v="2"/>
    <m/>
    <n v="34.8001"/>
    <x v="0"/>
  </r>
  <r>
    <x v="57"/>
    <x v="3"/>
    <x v="3"/>
    <m/>
    <n v="504"/>
    <x v="0"/>
  </r>
  <r>
    <x v="57"/>
    <x v="4"/>
    <x v="4"/>
    <n v="31.6"/>
    <n v="64.698400000000007"/>
    <x v="0"/>
  </r>
  <r>
    <x v="57"/>
    <x v="5"/>
    <x v="5"/>
    <m/>
    <n v="60"/>
    <x v="0"/>
  </r>
  <r>
    <x v="58"/>
    <x v="0"/>
    <x v="0"/>
    <m/>
    <n v="89"/>
    <x v="0"/>
  </r>
  <r>
    <x v="58"/>
    <x v="1"/>
    <x v="1"/>
    <m/>
    <n v="207.9914"/>
    <x v="0"/>
  </r>
  <r>
    <x v="58"/>
    <x v="2"/>
    <x v="2"/>
    <n v="21.049999999999955"/>
    <n v="65.231099999999998"/>
    <x v="0"/>
  </r>
  <r>
    <x v="58"/>
    <x v="3"/>
    <x v="3"/>
    <n v="81.2"/>
    <n v="468"/>
    <x v="0"/>
  </r>
  <r>
    <x v="58"/>
    <x v="4"/>
    <x v="4"/>
    <m/>
    <n v="0"/>
    <x v="0"/>
  </r>
  <r>
    <x v="58"/>
    <x v="5"/>
    <x v="5"/>
    <m/>
    <n v="60"/>
    <x v="0"/>
  </r>
  <r>
    <x v="59"/>
    <x v="0"/>
    <x v="0"/>
    <m/>
    <n v="62"/>
    <x v="0"/>
  </r>
  <r>
    <x v="59"/>
    <x v="1"/>
    <x v="1"/>
    <m/>
    <n v="85.011700000000005"/>
    <x v="0"/>
  </r>
  <r>
    <x v="59"/>
    <x v="2"/>
    <x v="2"/>
    <m/>
    <n v="40.845599999999997"/>
    <x v="0"/>
  </r>
  <r>
    <x v="59"/>
    <x v="3"/>
    <x v="3"/>
    <m/>
    <n v="324"/>
    <x v="0"/>
  </r>
  <r>
    <x v="59"/>
    <x v="4"/>
    <x v="4"/>
    <m/>
    <n v="37.066800000000001"/>
    <x v="0"/>
  </r>
  <r>
    <x v="59"/>
    <x v="5"/>
    <x v="5"/>
    <m/>
    <n v="48"/>
    <x v="0"/>
  </r>
  <r>
    <x v="60"/>
    <x v="0"/>
    <x v="0"/>
    <m/>
    <n v="177"/>
    <x v="0"/>
  </r>
  <r>
    <x v="60"/>
    <x v="1"/>
    <x v="1"/>
    <n v="437.65999999999997"/>
    <n v="4378.9534999999996"/>
    <x v="0"/>
  </r>
  <r>
    <x v="60"/>
    <x v="2"/>
    <x v="2"/>
    <m/>
    <n v="35.765300000000003"/>
    <x v="0"/>
  </r>
  <r>
    <x v="60"/>
    <x v="3"/>
    <x v="3"/>
    <n v="24.5"/>
    <n v="936"/>
    <x v="0"/>
  </r>
  <r>
    <x v="60"/>
    <x v="4"/>
    <x v="4"/>
    <n v="104"/>
    <n v="844.67399999999998"/>
    <x v="0"/>
  </r>
  <r>
    <x v="60"/>
    <x v="5"/>
    <x v="5"/>
    <m/>
    <n v="68"/>
    <x v="0"/>
  </r>
  <r>
    <x v="61"/>
    <x v="0"/>
    <x v="0"/>
    <m/>
    <n v="102"/>
    <x v="0"/>
  </r>
  <r>
    <x v="61"/>
    <x v="1"/>
    <x v="1"/>
    <n v="28.06"/>
    <n v="237.58430000000001"/>
    <x v="0"/>
  </r>
  <r>
    <x v="61"/>
    <x v="2"/>
    <x v="2"/>
    <m/>
    <n v="46.332299999999996"/>
    <x v="0"/>
  </r>
  <r>
    <x v="61"/>
    <x v="3"/>
    <x v="3"/>
    <n v="47.57"/>
    <n v="540"/>
    <x v="0"/>
  </r>
  <r>
    <x v="61"/>
    <x v="4"/>
    <x v="4"/>
    <m/>
    <n v="48.2879"/>
    <x v="0"/>
  </r>
  <r>
    <x v="61"/>
    <x v="5"/>
    <x v="5"/>
    <m/>
    <n v="60"/>
    <x v="0"/>
  </r>
  <r>
    <x v="62"/>
    <x v="0"/>
    <x v="0"/>
    <m/>
    <n v="245"/>
    <x v="0"/>
  </r>
  <r>
    <x v="62"/>
    <x v="1"/>
    <x v="1"/>
    <n v="219.8"/>
    <n v="2041.492"/>
    <x v="0"/>
  </r>
  <r>
    <x v="62"/>
    <x v="2"/>
    <x v="2"/>
    <m/>
    <n v="191.32409999999999"/>
    <x v="0"/>
  </r>
  <r>
    <x v="62"/>
    <x v="3"/>
    <x v="3"/>
    <n v="93.22"/>
    <n v="1296"/>
    <x v="0"/>
  </r>
  <r>
    <x v="62"/>
    <x v="4"/>
    <x v="4"/>
    <n v="16"/>
    <n v="707.0326"/>
    <x v="0"/>
  </r>
  <r>
    <x v="62"/>
    <x v="5"/>
    <x v="5"/>
    <m/>
    <n v="108"/>
    <x v="0"/>
  </r>
  <r>
    <x v="63"/>
    <x v="0"/>
    <x v="0"/>
    <m/>
    <n v="191"/>
    <x v="0"/>
  </r>
  <r>
    <x v="63"/>
    <x v="1"/>
    <x v="1"/>
    <n v="1230.7700000000002"/>
    <n v="13918.9046"/>
    <x v="0"/>
  </r>
  <r>
    <x v="63"/>
    <x v="2"/>
    <x v="2"/>
    <m/>
    <n v="86.669899999999998"/>
    <x v="0"/>
  </r>
  <r>
    <x v="63"/>
    <x v="3"/>
    <x v="3"/>
    <m/>
    <n v="1008"/>
    <x v="0"/>
  </r>
  <r>
    <x v="63"/>
    <x v="4"/>
    <x v="4"/>
    <n v="408"/>
    <n v="4384.0315000000001"/>
    <x v="0"/>
  </r>
  <r>
    <x v="63"/>
    <x v="5"/>
    <x v="5"/>
    <m/>
    <n v="84"/>
    <x v="0"/>
  </r>
  <r>
    <x v="64"/>
    <x v="0"/>
    <x v="0"/>
    <m/>
    <n v="96"/>
    <x v="0"/>
  </r>
  <r>
    <x v="64"/>
    <x v="1"/>
    <x v="1"/>
    <m/>
    <n v="82.6113"/>
    <x v="0"/>
  </r>
  <r>
    <x v="64"/>
    <x v="2"/>
    <x v="2"/>
    <m/>
    <n v="1465.4635000000001"/>
    <x v="0"/>
  </r>
  <r>
    <x v="64"/>
    <x v="3"/>
    <x v="3"/>
    <n v="40.86"/>
    <n v="504"/>
    <x v="0"/>
  </r>
  <r>
    <x v="64"/>
    <x v="4"/>
    <x v="4"/>
    <m/>
    <n v="91.117000000000004"/>
    <x v="0"/>
  </r>
  <r>
    <x v="64"/>
    <x v="5"/>
    <x v="5"/>
    <n v="5.99"/>
    <n v="72"/>
    <x v="0"/>
  </r>
  <r>
    <x v="65"/>
    <x v="0"/>
    <x v="0"/>
    <m/>
    <n v="41"/>
    <x v="0"/>
  </r>
  <r>
    <x v="65"/>
    <x v="1"/>
    <x v="1"/>
    <m/>
    <n v="54.475000000000001"/>
    <x v="0"/>
  </r>
  <r>
    <x v="65"/>
    <x v="2"/>
    <x v="2"/>
    <n v="12"/>
    <n v="21.7897"/>
    <x v="0"/>
  </r>
  <r>
    <x v="65"/>
    <x v="3"/>
    <x v="3"/>
    <m/>
    <n v="216"/>
    <x v="0"/>
  </r>
  <r>
    <x v="65"/>
    <x v="4"/>
    <x v="4"/>
    <m/>
    <n v="0"/>
    <x v="0"/>
  </r>
  <r>
    <x v="65"/>
    <x v="5"/>
    <x v="5"/>
    <m/>
    <n v="36"/>
    <x v="0"/>
  </r>
  <r>
    <x v="66"/>
    <x v="0"/>
    <x v="0"/>
    <m/>
    <n v="89"/>
    <x v="0"/>
  </r>
  <r>
    <x v="66"/>
    <x v="1"/>
    <x v="1"/>
    <n v="49.839999999999996"/>
    <n v="575.94579999999996"/>
    <x v="0"/>
  </r>
  <r>
    <x v="66"/>
    <x v="2"/>
    <x v="2"/>
    <n v="12"/>
    <n v="117.47199999999999"/>
    <x v="0"/>
  </r>
  <r>
    <x v="66"/>
    <x v="3"/>
    <x v="3"/>
    <n v="34.549999999999997"/>
    <n v="468"/>
    <x v="0"/>
  </r>
  <r>
    <x v="66"/>
    <x v="4"/>
    <x v="4"/>
    <m/>
    <n v="37.061999999999998"/>
    <x v="0"/>
  </r>
  <r>
    <x v="66"/>
    <x v="5"/>
    <x v="5"/>
    <m/>
    <n v="36"/>
    <x v="0"/>
  </r>
  <r>
    <x v="67"/>
    <x v="0"/>
    <x v="0"/>
    <m/>
    <n v="55"/>
    <x v="0"/>
  </r>
  <r>
    <x v="67"/>
    <x v="1"/>
    <x v="1"/>
    <m/>
    <n v="61.7639"/>
    <x v="0"/>
  </r>
  <r>
    <x v="67"/>
    <x v="2"/>
    <x v="2"/>
    <n v="0"/>
    <n v="629.95730000000003"/>
    <x v="0"/>
  </r>
  <r>
    <x v="67"/>
    <x v="3"/>
    <x v="3"/>
    <n v="15.95"/>
    <n v="288"/>
    <x v="0"/>
  </r>
  <r>
    <x v="67"/>
    <x v="4"/>
    <x v="4"/>
    <m/>
    <n v="35"/>
    <x v="0"/>
  </r>
  <r>
    <x v="67"/>
    <x v="5"/>
    <x v="5"/>
    <m/>
    <n v="36"/>
    <x v="0"/>
  </r>
  <r>
    <x v="68"/>
    <x v="0"/>
    <x v="0"/>
    <m/>
    <n v="0"/>
    <x v="0"/>
  </r>
  <r>
    <x v="68"/>
    <x v="1"/>
    <x v="1"/>
    <m/>
    <n v="0"/>
    <x v="0"/>
  </r>
  <r>
    <x v="68"/>
    <x v="2"/>
    <x v="2"/>
    <m/>
    <n v="0"/>
    <x v="0"/>
  </r>
  <r>
    <x v="68"/>
    <x v="3"/>
    <x v="3"/>
    <n v="21.57"/>
    <n v="0"/>
    <x v="0"/>
  </r>
  <r>
    <x v="68"/>
    <x v="4"/>
    <x v="4"/>
    <m/>
    <n v="0"/>
    <x v="0"/>
  </r>
  <r>
    <x v="68"/>
    <x v="5"/>
    <x v="5"/>
    <m/>
    <n v="0"/>
    <x v="0"/>
  </r>
  <r>
    <x v="69"/>
    <x v="0"/>
    <x v="0"/>
    <m/>
    <n v="68"/>
    <x v="0"/>
  </r>
  <r>
    <x v="69"/>
    <x v="1"/>
    <x v="1"/>
    <m/>
    <n v="0"/>
    <x v="0"/>
  </r>
  <r>
    <x v="69"/>
    <x v="2"/>
    <x v="2"/>
    <n v="14"/>
    <n v="204.4821"/>
    <x v="0"/>
  </r>
  <r>
    <x v="69"/>
    <x v="3"/>
    <x v="3"/>
    <n v="91.99"/>
    <n v="360"/>
    <x v="0"/>
  </r>
  <r>
    <x v="69"/>
    <x v="4"/>
    <x v="4"/>
    <n v="61.239999999999995"/>
    <n v="263.4776"/>
    <x v="0"/>
  </r>
  <r>
    <x v="69"/>
    <x v="5"/>
    <x v="5"/>
    <m/>
    <n v="36"/>
    <x v="0"/>
  </r>
  <r>
    <x v="70"/>
    <x v="0"/>
    <x v="0"/>
    <m/>
    <n v="62"/>
    <x v="0"/>
  </r>
  <r>
    <x v="70"/>
    <x v="1"/>
    <x v="1"/>
    <m/>
    <n v="472.71570000000003"/>
    <x v="0"/>
  </r>
  <r>
    <x v="70"/>
    <x v="2"/>
    <x v="2"/>
    <n v="8.65"/>
    <n v="63.656199999999998"/>
    <x v="0"/>
  </r>
  <r>
    <x v="70"/>
    <x v="3"/>
    <x v="3"/>
    <m/>
    <n v="324"/>
    <x v="0"/>
  </r>
  <r>
    <x v="70"/>
    <x v="4"/>
    <x v="4"/>
    <m/>
    <n v="185"/>
    <x v="0"/>
  </r>
  <r>
    <x v="70"/>
    <x v="5"/>
    <x v="5"/>
    <m/>
    <n v="36"/>
    <x v="0"/>
  </r>
  <r>
    <x v="71"/>
    <x v="0"/>
    <x v="0"/>
    <m/>
    <n v="75"/>
    <x v="0"/>
  </r>
  <r>
    <x v="71"/>
    <x v="1"/>
    <x v="1"/>
    <m/>
    <n v="818.41809999999998"/>
    <x v="0"/>
  </r>
  <r>
    <x v="71"/>
    <x v="2"/>
    <x v="2"/>
    <n v="70"/>
    <n v="446.84289999999999"/>
    <x v="0"/>
  </r>
  <r>
    <x v="71"/>
    <x v="3"/>
    <x v="3"/>
    <n v="58.05"/>
    <n v="396"/>
    <x v="0"/>
  </r>
  <r>
    <x v="71"/>
    <x v="4"/>
    <x v="4"/>
    <n v="59.96"/>
    <n v="1385.242"/>
    <x v="0"/>
  </r>
  <r>
    <x v="71"/>
    <x v="5"/>
    <x v="5"/>
    <m/>
    <n v="36"/>
    <x v="0"/>
  </r>
  <r>
    <x v="72"/>
    <x v="0"/>
    <x v="0"/>
    <m/>
    <n v="41"/>
    <x v="0"/>
  </r>
  <r>
    <x v="72"/>
    <x v="1"/>
    <x v="1"/>
    <n v="205.94"/>
    <n v="1252.5023000000001"/>
    <x v="0"/>
  </r>
  <r>
    <x v="72"/>
    <x v="2"/>
    <x v="2"/>
    <n v="4.5"/>
    <n v="117.47199999999999"/>
    <x v="0"/>
  </r>
  <r>
    <x v="72"/>
    <x v="3"/>
    <x v="3"/>
    <m/>
    <n v="216"/>
    <x v="0"/>
  </r>
  <r>
    <x v="72"/>
    <x v="4"/>
    <x v="4"/>
    <n v="13.99"/>
    <n v="53.4773"/>
    <x v="0"/>
  </r>
  <r>
    <x v="72"/>
    <x v="5"/>
    <x v="5"/>
    <m/>
    <n v="36"/>
    <x v="0"/>
  </r>
  <r>
    <x v="73"/>
    <x v="0"/>
    <x v="0"/>
    <m/>
    <n v="82"/>
    <x v="0"/>
  </r>
  <r>
    <x v="73"/>
    <x v="1"/>
    <x v="1"/>
    <m/>
    <n v="1499.8046999999999"/>
    <x v="0"/>
  </r>
  <r>
    <x v="73"/>
    <x v="2"/>
    <x v="2"/>
    <n v="13"/>
    <n v="489.46660000000003"/>
    <x v="0"/>
  </r>
  <r>
    <x v="73"/>
    <x v="3"/>
    <x v="3"/>
    <n v="33"/>
    <n v="432"/>
    <x v="0"/>
  </r>
  <r>
    <x v="73"/>
    <x v="4"/>
    <x v="4"/>
    <n v="85.300000000000011"/>
    <n v="81.232500000000002"/>
    <x v="0"/>
  </r>
  <r>
    <x v="73"/>
    <x v="5"/>
    <x v="5"/>
    <m/>
    <n v="36"/>
    <x v="0"/>
  </r>
  <r>
    <x v="74"/>
    <x v="0"/>
    <x v="0"/>
    <m/>
    <n v="0"/>
    <x v="0"/>
  </r>
  <r>
    <x v="74"/>
    <x v="1"/>
    <x v="1"/>
    <m/>
    <n v="0"/>
    <x v="0"/>
  </r>
  <r>
    <x v="74"/>
    <x v="2"/>
    <x v="2"/>
    <m/>
    <n v="0"/>
    <x v="0"/>
  </r>
  <r>
    <x v="74"/>
    <x v="3"/>
    <x v="3"/>
    <m/>
    <n v="0"/>
    <x v="0"/>
  </r>
  <r>
    <x v="74"/>
    <x v="4"/>
    <x v="4"/>
    <m/>
    <n v="0"/>
    <x v="0"/>
  </r>
  <r>
    <x v="74"/>
    <x v="5"/>
    <x v="5"/>
    <m/>
    <n v="0"/>
    <x v="0"/>
  </r>
  <r>
    <x v="75"/>
    <x v="0"/>
    <x v="0"/>
    <m/>
    <n v="62"/>
    <x v="0"/>
  </r>
  <r>
    <x v="75"/>
    <x v="1"/>
    <x v="1"/>
    <m/>
    <n v="356.63709999999998"/>
    <x v="0"/>
  </r>
  <r>
    <x v="75"/>
    <x v="2"/>
    <x v="2"/>
    <n v="7.2"/>
    <n v="97.893299999999996"/>
    <x v="0"/>
  </r>
  <r>
    <x v="75"/>
    <x v="3"/>
    <x v="3"/>
    <m/>
    <n v="324"/>
    <x v="0"/>
  </r>
  <r>
    <x v="75"/>
    <x v="4"/>
    <x v="4"/>
    <m/>
    <n v="31.290099999999999"/>
    <x v="0"/>
  </r>
  <r>
    <x v="75"/>
    <x v="5"/>
    <x v="5"/>
    <m/>
    <n v="36"/>
    <x v="0"/>
  </r>
</pivotCacheRecords>
</file>

<file path=xl/pivotCache/pivotCacheRecords2.xml><?xml version="1.0" encoding="utf-8"?>
<pivotCacheRecords xmlns="http://schemas.openxmlformats.org/spreadsheetml/2006/main" xmlns:r="http://schemas.openxmlformats.org/officeDocument/2006/relationships" count="412">
  <r>
    <x v="0"/>
    <n v="176818302"/>
    <x v="0"/>
    <x v="0"/>
    <x v="0"/>
    <x v="0"/>
    <x v="0"/>
    <n v="55.37"/>
    <x v="0"/>
    <s v="CASA MATRIZ"/>
    <x v="0"/>
    <x v="0"/>
    <x v="0"/>
    <x v="0"/>
  </r>
  <r>
    <x v="0"/>
    <n v="176818302"/>
    <x v="1"/>
    <x v="0"/>
    <x v="1"/>
    <x v="1"/>
    <x v="0"/>
    <n v="73.349999999999994"/>
    <x v="0"/>
    <s v="PAITILLA"/>
    <x v="0"/>
    <x v="0"/>
    <x v="1"/>
    <x v="1"/>
  </r>
  <r>
    <x v="1"/>
    <n v="176093323"/>
    <x v="2"/>
    <x v="0"/>
    <x v="1"/>
    <x v="2"/>
    <x v="0"/>
    <n v="25.11"/>
    <x v="1"/>
    <s v="PAITILLA"/>
    <x v="0"/>
    <x v="1"/>
    <x v="2"/>
    <x v="2"/>
  </r>
  <r>
    <x v="0"/>
    <n v="176818302"/>
    <x v="3"/>
    <x v="0"/>
    <x v="1"/>
    <x v="2"/>
    <x v="0"/>
    <n v="12.79"/>
    <x v="0"/>
    <s v="PAITILLA"/>
    <x v="0"/>
    <x v="0"/>
    <x v="2"/>
    <x v="2"/>
  </r>
  <r>
    <x v="0"/>
    <n v="176818302"/>
    <x v="4"/>
    <x v="0"/>
    <x v="2"/>
    <x v="2"/>
    <x v="0"/>
    <n v="60.69"/>
    <x v="0"/>
    <s v="EL DORADO"/>
    <x v="0"/>
    <x v="0"/>
    <x v="2"/>
    <x v="2"/>
  </r>
  <r>
    <x v="1"/>
    <n v="176093323"/>
    <x v="5"/>
    <x v="0"/>
    <x v="3"/>
    <x v="2"/>
    <x v="0"/>
    <n v="639.87"/>
    <x v="1"/>
    <s v="VIA PORRAS"/>
    <x v="0"/>
    <x v="1"/>
    <x v="2"/>
    <x v="2"/>
  </r>
  <r>
    <x v="0"/>
    <n v="176818302"/>
    <x v="6"/>
    <x v="0"/>
    <x v="3"/>
    <x v="2"/>
    <x v="0"/>
    <n v="938.84"/>
    <x v="0"/>
    <s v="VIA PORRAS"/>
    <x v="0"/>
    <x v="0"/>
    <x v="2"/>
    <x v="2"/>
  </r>
  <r>
    <x v="0"/>
    <n v="176818302"/>
    <x v="7"/>
    <x v="0"/>
    <x v="3"/>
    <x v="0"/>
    <x v="0"/>
    <n v="30.92"/>
    <x v="0"/>
    <s v="VIA PORRAS"/>
    <x v="0"/>
    <x v="0"/>
    <x v="0"/>
    <x v="0"/>
  </r>
  <r>
    <x v="0"/>
    <n v="176818302"/>
    <x v="8"/>
    <x v="0"/>
    <x v="4"/>
    <x v="1"/>
    <x v="0"/>
    <n v="49.82"/>
    <x v="0"/>
    <s v="EL INGENIO"/>
    <x v="0"/>
    <x v="0"/>
    <x v="1"/>
    <x v="1"/>
  </r>
  <r>
    <x v="0"/>
    <n v="176818302"/>
    <x v="9"/>
    <x v="0"/>
    <x v="4"/>
    <x v="2"/>
    <x v="0"/>
    <n v="25.14"/>
    <x v="0"/>
    <s v="EL INGENIO"/>
    <x v="0"/>
    <x v="0"/>
    <x v="2"/>
    <x v="2"/>
  </r>
  <r>
    <x v="1"/>
    <n v="176093323"/>
    <x v="10"/>
    <x v="0"/>
    <x v="5"/>
    <x v="0"/>
    <x v="0"/>
    <n v="52.73"/>
    <x v="1"/>
    <s v="PLAZA TOCUMEN"/>
    <x v="0"/>
    <x v="1"/>
    <x v="0"/>
    <x v="0"/>
  </r>
  <r>
    <x v="0"/>
    <n v="176818302"/>
    <x v="11"/>
    <x v="0"/>
    <x v="6"/>
    <x v="2"/>
    <x v="0"/>
    <n v="6.66"/>
    <x v="0"/>
    <s v="SANTIAGO"/>
    <x v="0"/>
    <x v="0"/>
    <x v="2"/>
    <x v="2"/>
  </r>
  <r>
    <x v="1"/>
    <n v="176093323"/>
    <x v="12"/>
    <x v="0"/>
    <x v="7"/>
    <x v="2"/>
    <x v="0"/>
    <n v="234.75"/>
    <x v="1"/>
    <s v="OBARRIO"/>
    <x v="0"/>
    <x v="1"/>
    <x v="2"/>
    <x v="2"/>
  </r>
  <r>
    <x v="0"/>
    <n v="176818302"/>
    <x v="13"/>
    <x v="0"/>
    <x v="7"/>
    <x v="2"/>
    <x v="0"/>
    <n v="281.75"/>
    <x v="0"/>
    <s v="OBARRIO"/>
    <x v="0"/>
    <x v="0"/>
    <x v="2"/>
    <x v="2"/>
  </r>
  <r>
    <x v="1"/>
    <n v="176093323"/>
    <x v="13"/>
    <x v="0"/>
    <x v="7"/>
    <x v="0"/>
    <x v="0"/>
    <n v="57.73"/>
    <x v="1"/>
    <s v="OBARRIO"/>
    <x v="0"/>
    <x v="1"/>
    <x v="0"/>
    <x v="0"/>
  </r>
  <r>
    <x v="0"/>
    <n v="176818302"/>
    <x v="14"/>
    <x v="0"/>
    <x v="7"/>
    <x v="0"/>
    <x v="0"/>
    <n v="43.81"/>
    <x v="0"/>
    <s v="OBARRIO"/>
    <x v="0"/>
    <x v="0"/>
    <x v="0"/>
    <x v="0"/>
  </r>
  <r>
    <x v="1"/>
    <n v="176093323"/>
    <x v="15"/>
    <x v="0"/>
    <x v="8"/>
    <x v="1"/>
    <x v="0"/>
    <n v="92.26"/>
    <x v="1"/>
    <s v="HATO PINTADO"/>
    <x v="0"/>
    <x v="1"/>
    <x v="1"/>
    <x v="1"/>
  </r>
  <r>
    <x v="1"/>
    <n v="176093323"/>
    <x v="16"/>
    <x v="0"/>
    <x v="8"/>
    <x v="2"/>
    <x v="0"/>
    <n v="316.97000000000003"/>
    <x v="1"/>
    <s v="HATO PINTADO"/>
    <x v="0"/>
    <x v="1"/>
    <x v="2"/>
    <x v="2"/>
  </r>
  <r>
    <x v="0"/>
    <n v="176818302"/>
    <x v="17"/>
    <x v="0"/>
    <x v="8"/>
    <x v="2"/>
    <x v="0"/>
    <n v="867.93"/>
    <x v="0"/>
    <s v="HATO PINTADO"/>
    <x v="0"/>
    <x v="0"/>
    <x v="2"/>
    <x v="2"/>
  </r>
  <r>
    <x v="1"/>
    <n v="176093323"/>
    <x v="18"/>
    <x v="0"/>
    <x v="8"/>
    <x v="0"/>
    <x v="0"/>
    <n v="121.69"/>
    <x v="1"/>
    <s v="HATO PINTADO"/>
    <x v="0"/>
    <x v="1"/>
    <x v="0"/>
    <x v="0"/>
  </r>
  <r>
    <x v="0"/>
    <n v="176818302"/>
    <x v="19"/>
    <x v="0"/>
    <x v="8"/>
    <x v="0"/>
    <x v="0"/>
    <n v="49.7"/>
    <x v="0"/>
    <s v="HATO PINTADO"/>
    <x v="0"/>
    <x v="0"/>
    <x v="0"/>
    <x v="0"/>
  </r>
  <r>
    <x v="1"/>
    <n v="176093323"/>
    <x v="20"/>
    <x v="0"/>
    <x v="9"/>
    <x v="2"/>
    <x v="0"/>
    <n v="10.68"/>
    <x v="1"/>
    <s v="LOS ANGELES"/>
    <x v="0"/>
    <x v="1"/>
    <x v="2"/>
    <x v="2"/>
  </r>
  <r>
    <x v="0"/>
    <n v="176818302"/>
    <x v="21"/>
    <x v="0"/>
    <x v="9"/>
    <x v="2"/>
    <x v="0"/>
    <n v="24.85"/>
    <x v="0"/>
    <s v="LOS ANGELES"/>
    <x v="0"/>
    <x v="0"/>
    <x v="2"/>
    <x v="2"/>
  </r>
  <r>
    <x v="1"/>
    <n v="176093323"/>
    <x v="22"/>
    <x v="0"/>
    <x v="10"/>
    <x v="2"/>
    <x v="0"/>
    <n v="339.37"/>
    <x v="1"/>
    <s v="VILLA LUCRE"/>
    <x v="0"/>
    <x v="1"/>
    <x v="2"/>
    <x v="2"/>
  </r>
  <r>
    <x v="0"/>
    <n v="176818302"/>
    <x v="23"/>
    <x v="0"/>
    <x v="10"/>
    <x v="2"/>
    <x v="0"/>
    <n v="403.79"/>
    <x v="0"/>
    <s v="VILLA LUCRE"/>
    <x v="0"/>
    <x v="0"/>
    <x v="2"/>
    <x v="2"/>
  </r>
  <r>
    <x v="1"/>
    <n v="176093323"/>
    <x v="24"/>
    <x v="0"/>
    <x v="11"/>
    <x v="2"/>
    <x v="0"/>
    <n v="1520.74"/>
    <x v="1"/>
    <s v="LOS ANDES"/>
    <x v="0"/>
    <x v="1"/>
    <x v="2"/>
    <x v="2"/>
  </r>
  <r>
    <x v="0"/>
    <n v="176818302"/>
    <x v="25"/>
    <x v="0"/>
    <x v="11"/>
    <x v="2"/>
    <x v="0"/>
    <n v="1388.9"/>
    <x v="0"/>
    <s v="LOS ANDES"/>
    <x v="0"/>
    <x v="0"/>
    <x v="2"/>
    <x v="2"/>
  </r>
  <r>
    <x v="1"/>
    <n v="176093323"/>
    <x v="26"/>
    <x v="0"/>
    <x v="12"/>
    <x v="2"/>
    <x v="0"/>
    <n v="164.81"/>
    <x v="1"/>
    <s v="CHITRE"/>
    <x v="0"/>
    <x v="1"/>
    <x v="2"/>
    <x v="2"/>
  </r>
  <r>
    <x v="0"/>
    <n v="176818302"/>
    <x v="27"/>
    <x v="0"/>
    <x v="12"/>
    <x v="2"/>
    <x v="0"/>
    <n v="327.9"/>
    <x v="0"/>
    <s v="CHITRE"/>
    <x v="0"/>
    <x v="0"/>
    <x v="2"/>
    <x v="2"/>
  </r>
  <r>
    <x v="1"/>
    <n v="176093323"/>
    <x v="28"/>
    <x v="0"/>
    <x v="12"/>
    <x v="0"/>
    <x v="0"/>
    <n v="28"/>
    <x v="1"/>
    <s v="CHITRE"/>
    <x v="0"/>
    <x v="1"/>
    <x v="0"/>
    <x v="0"/>
  </r>
  <r>
    <x v="1"/>
    <n v="176093323"/>
    <x v="29"/>
    <x v="0"/>
    <x v="13"/>
    <x v="2"/>
    <x v="0"/>
    <n v="362.75"/>
    <x v="1"/>
    <s v="LOS PUEBLOS"/>
    <x v="0"/>
    <x v="1"/>
    <x v="2"/>
    <x v="2"/>
  </r>
  <r>
    <x v="0"/>
    <n v="176818302"/>
    <x v="30"/>
    <x v="0"/>
    <x v="13"/>
    <x v="2"/>
    <x v="0"/>
    <n v="471.52"/>
    <x v="0"/>
    <s v="LOS PUEBLOS"/>
    <x v="0"/>
    <x v="0"/>
    <x v="2"/>
    <x v="2"/>
  </r>
  <r>
    <x v="1"/>
    <n v="176093323"/>
    <x v="31"/>
    <x v="0"/>
    <x v="13"/>
    <x v="0"/>
    <x v="0"/>
    <n v="13.33"/>
    <x v="1"/>
    <s v="LOS PUEBLOS"/>
    <x v="0"/>
    <x v="1"/>
    <x v="0"/>
    <x v="0"/>
  </r>
  <r>
    <x v="2"/>
    <n v="176326174"/>
    <x v="32"/>
    <x v="0"/>
    <x v="13"/>
    <x v="0"/>
    <x v="0"/>
    <n v="15.81"/>
    <x v="2"/>
    <s v="LOS PUEBLOS"/>
    <x v="0"/>
    <x v="2"/>
    <x v="0"/>
    <x v="0"/>
  </r>
  <r>
    <x v="1"/>
    <n v="176093323"/>
    <x v="33"/>
    <x v="0"/>
    <x v="14"/>
    <x v="1"/>
    <x v="0"/>
    <n v="33.58"/>
    <x v="1"/>
    <s v="TRANSISTMICA"/>
    <x v="0"/>
    <x v="1"/>
    <x v="1"/>
    <x v="1"/>
  </r>
  <r>
    <x v="0"/>
    <n v="176818302"/>
    <x v="34"/>
    <x v="0"/>
    <x v="14"/>
    <x v="1"/>
    <x v="0"/>
    <n v="34.42"/>
    <x v="0"/>
    <s v="TRANSISTMICA"/>
    <x v="0"/>
    <x v="0"/>
    <x v="1"/>
    <x v="1"/>
  </r>
  <r>
    <x v="1"/>
    <n v="176093323"/>
    <x v="35"/>
    <x v="0"/>
    <x v="14"/>
    <x v="2"/>
    <x v="0"/>
    <n v="496.79"/>
    <x v="1"/>
    <s v="TRANSISTMICA"/>
    <x v="0"/>
    <x v="1"/>
    <x v="2"/>
    <x v="2"/>
  </r>
  <r>
    <x v="0"/>
    <n v="176818302"/>
    <x v="36"/>
    <x v="0"/>
    <x v="14"/>
    <x v="2"/>
    <x v="0"/>
    <n v="1473.5"/>
    <x v="0"/>
    <s v="TRANSISTMICA"/>
    <x v="0"/>
    <x v="0"/>
    <x v="2"/>
    <x v="2"/>
  </r>
  <r>
    <x v="1"/>
    <n v="176093323"/>
    <x v="37"/>
    <x v="0"/>
    <x v="14"/>
    <x v="0"/>
    <x v="0"/>
    <n v="88.67"/>
    <x v="1"/>
    <s v="TRANSISTMICA"/>
    <x v="0"/>
    <x v="1"/>
    <x v="0"/>
    <x v="0"/>
  </r>
  <r>
    <x v="0"/>
    <n v="176818302"/>
    <x v="38"/>
    <x v="0"/>
    <x v="14"/>
    <x v="0"/>
    <x v="0"/>
    <n v="52.49"/>
    <x v="0"/>
    <s v="TRANSISTMICA"/>
    <x v="0"/>
    <x v="0"/>
    <x v="0"/>
    <x v="0"/>
  </r>
  <r>
    <x v="1"/>
    <n v="176093323"/>
    <x v="39"/>
    <x v="0"/>
    <x v="15"/>
    <x v="2"/>
    <x v="0"/>
    <n v="41.48"/>
    <x v="1"/>
    <s v="PARQUE LEFEVRE"/>
    <x v="0"/>
    <x v="1"/>
    <x v="2"/>
    <x v="2"/>
  </r>
  <r>
    <x v="0"/>
    <n v="176818302"/>
    <x v="40"/>
    <x v="0"/>
    <x v="15"/>
    <x v="2"/>
    <x v="0"/>
    <n v="80.37"/>
    <x v="0"/>
    <s v="PARQUE LEFEVRE"/>
    <x v="0"/>
    <x v="0"/>
    <x v="2"/>
    <x v="2"/>
  </r>
  <r>
    <x v="1"/>
    <n v="176093323"/>
    <x v="41"/>
    <x v="0"/>
    <x v="15"/>
    <x v="0"/>
    <x v="0"/>
    <n v="39.61"/>
    <x v="1"/>
    <s v="PARQUE LEFEVRE"/>
    <x v="0"/>
    <x v="1"/>
    <x v="0"/>
    <x v="0"/>
  </r>
  <r>
    <x v="3"/>
    <n v="175921689"/>
    <x v="42"/>
    <x v="0"/>
    <x v="16"/>
    <x v="2"/>
    <x v="0"/>
    <n v="61.02"/>
    <x v="2"/>
    <s v="DAVID"/>
    <x v="0"/>
    <x v="3"/>
    <x v="2"/>
    <x v="2"/>
  </r>
  <r>
    <x v="1"/>
    <n v="176093323"/>
    <x v="43"/>
    <x v="0"/>
    <x v="16"/>
    <x v="2"/>
    <x v="0"/>
    <n v="244"/>
    <x v="1"/>
    <s v="DAVID"/>
    <x v="0"/>
    <x v="1"/>
    <x v="2"/>
    <x v="2"/>
  </r>
  <r>
    <x v="0"/>
    <n v="176818302"/>
    <x v="44"/>
    <x v="0"/>
    <x v="16"/>
    <x v="2"/>
    <x v="0"/>
    <n v="465.27"/>
    <x v="0"/>
    <s v="DAVID"/>
    <x v="0"/>
    <x v="0"/>
    <x v="2"/>
    <x v="2"/>
  </r>
  <r>
    <x v="0"/>
    <n v="176818302"/>
    <x v="45"/>
    <x v="0"/>
    <x v="17"/>
    <x v="0"/>
    <x v="0"/>
    <n v="24.92"/>
    <x v="0"/>
    <s v="PLAZA LAS AMERICAS"/>
    <x v="0"/>
    <x v="0"/>
    <x v="0"/>
    <x v="0"/>
  </r>
  <r>
    <x v="1"/>
    <n v="176093323"/>
    <x v="46"/>
    <x v="0"/>
    <x v="18"/>
    <x v="2"/>
    <x v="0"/>
    <n v="365.79"/>
    <x v="1"/>
    <s v="ALBROOK MALL"/>
    <x v="0"/>
    <x v="1"/>
    <x v="2"/>
    <x v="2"/>
  </r>
  <r>
    <x v="0"/>
    <n v="176818302"/>
    <x v="47"/>
    <x v="0"/>
    <x v="18"/>
    <x v="2"/>
    <x v="0"/>
    <n v="451.51"/>
    <x v="0"/>
    <s v="ALBROOK MALL"/>
    <x v="0"/>
    <x v="0"/>
    <x v="2"/>
    <x v="2"/>
  </r>
  <r>
    <x v="1"/>
    <n v="176093323"/>
    <x v="48"/>
    <x v="0"/>
    <x v="18"/>
    <x v="0"/>
    <x v="0"/>
    <n v="17.829999999999998"/>
    <x v="1"/>
    <s v="ALBROOK MALL"/>
    <x v="0"/>
    <x v="1"/>
    <x v="0"/>
    <x v="0"/>
  </r>
  <r>
    <x v="1"/>
    <n v="176093323"/>
    <x v="49"/>
    <x v="0"/>
    <x v="19"/>
    <x v="1"/>
    <x v="0"/>
    <n v="68.88"/>
    <x v="1"/>
    <s v="PANAMA PACIFICO"/>
    <x v="0"/>
    <x v="1"/>
    <x v="1"/>
    <x v="1"/>
  </r>
  <r>
    <x v="1"/>
    <n v="176093323"/>
    <x v="50"/>
    <x v="0"/>
    <x v="20"/>
    <x v="2"/>
    <x v="0"/>
    <n v="30.02"/>
    <x v="1"/>
    <s v="ALBROOK"/>
    <x v="0"/>
    <x v="1"/>
    <x v="2"/>
    <x v="2"/>
  </r>
  <r>
    <x v="0"/>
    <n v="176818302"/>
    <x v="51"/>
    <x v="0"/>
    <x v="20"/>
    <x v="2"/>
    <x v="0"/>
    <n v="83.43"/>
    <x v="0"/>
    <s v="ALBROOK"/>
    <x v="0"/>
    <x v="0"/>
    <x v="2"/>
    <x v="2"/>
  </r>
  <r>
    <x v="1"/>
    <n v="176093323"/>
    <x v="52"/>
    <x v="0"/>
    <x v="20"/>
    <x v="0"/>
    <x v="0"/>
    <n v="22.58"/>
    <x v="1"/>
    <s v="ALBROOK"/>
    <x v="0"/>
    <x v="1"/>
    <x v="0"/>
    <x v="0"/>
  </r>
  <r>
    <x v="1"/>
    <n v="176093323"/>
    <x v="53"/>
    <x v="0"/>
    <x v="21"/>
    <x v="2"/>
    <x v="0"/>
    <n v="86.54"/>
    <x v="1"/>
    <s v="SUCURSAL DE VISTA ALEGRE"/>
    <x v="0"/>
    <x v="1"/>
    <x v="2"/>
    <x v="2"/>
  </r>
  <r>
    <x v="0"/>
    <n v="176818302"/>
    <x v="53"/>
    <x v="0"/>
    <x v="21"/>
    <x v="2"/>
    <x v="0"/>
    <n v="323.60000000000002"/>
    <x v="0"/>
    <s v="SUCURSAL DE VISTA ALEGRE"/>
    <x v="0"/>
    <x v="0"/>
    <x v="2"/>
    <x v="2"/>
  </r>
  <r>
    <x v="1"/>
    <n v="176093323"/>
    <x v="54"/>
    <x v="0"/>
    <x v="22"/>
    <x v="2"/>
    <x v="0"/>
    <n v="29.5"/>
    <x v="1"/>
    <s v="24 DE DICIEMBRE"/>
    <x v="0"/>
    <x v="1"/>
    <x v="2"/>
    <x v="2"/>
  </r>
  <r>
    <x v="0"/>
    <n v="176818302"/>
    <x v="54"/>
    <x v="0"/>
    <x v="22"/>
    <x v="2"/>
    <x v="0"/>
    <n v="51.73"/>
    <x v="0"/>
    <s v="24 DE DICIEMBRE"/>
    <x v="0"/>
    <x v="0"/>
    <x v="2"/>
    <x v="2"/>
  </r>
  <r>
    <x v="1"/>
    <n v="176093323"/>
    <x v="55"/>
    <x v="0"/>
    <x v="23"/>
    <x v="2"/>
    <x v="0"/>
    <n v="338.3"/>
    <x v="1"/>
    <s v="COSTA DEL ESTE"/>
    <x v="0"/>
    <x v="1"/>
    <x v="2"/>
    <x v="2"/>
  </r>
  <r>
    <x v="2"/>
    <n v="176326174"/>
    <x v="56"/>
    <x v="0"/>
    <x v="23"/>
    <x v="2"/>
    <x v="0"/>
    <n v="79.02"/>
    <x v="2"/>
    <s v="COSTA DEL ESTE"/>
    <x v="0"/>
    <x v="2"/>
    <x v="2"/>
    <x v="2"/>
  </r>
  <r>
    <x v="0"/>
    <n v="176818302"/>
    <x v="55"/>
    <x v="0"/>
    <x v="23"/>
    <x v="2"/>
    <x v="0"/>
    <n v="235.92"/>
    <x v="0"/>
    <s v="COSTA DEL ESTE"/>
    <x v="0"/>
    <x v="0"/>
    <x v="2"/>
    <x v="2"/>
  </r>
  <r>
    <x v="1"/>
    <n v="176093323"/>
    <x v="57"/>
    <x v="0"/>
    <x v="23"/>
    <x v="0"/>
    <x v="0"/>
    <n v="28.78"/>
    <x v="1"/>
    <s v="COSTA DEL ESTE"/>
    <x v="0"/>
    <x v="1"/>
    <x v="0"/>
    <x v="0"/>
  </r>
  <r>
    <x v="1"/>
    <n v="176093323"/>
    <x v="58"/>
    <x v="0"/>
    <x v="24"/>
    <x v="1"/>
    <x v="0"/>
    <n v="51.1"/>
    <x v="1"/>
    <s v="MULTI PLAZA"/>
    <x v="0"/>
    <x v="1"/>
    <x v="1"/>
    <x v="1"/>
  </r>
  <r>
    <x v="0"/>
    <n v="176818302"/>
    <x v="59"/>
    <x v="0"/>
    <x v="24"/>
    <x v="1"/>
    <x v="0"/>
    <n v="28.22"/>
    <x v="0"/>
    <s v="MULTI PLAZA"/>
    <x v="0"/>
    <x v="0"/>
    <x v="1"/>
    <x v="1"/>
  </r>
  <r>
    <x v="1"/>
    <n v="176093323"/>
    <x v="60"/>
    <x v="0"/>
    <x v="24"/>
    <x v="2"/>
    <x v="0"/>
    <n v="51.02"/>
    <x v="1"/>
    <s v="MULTI PLAZA"/>
    <x v="0"/>
    <x v="1"/>
    <x v="2"/>
    <x v="2"/>
  </r>
  <r>
    <x v="0"/>
    <n v="176818302"/>
    <x v="61"/>
    <x v="0"/>
    <x v="24"/>
    <x v="2"/>
    <x v="0"/>
    <n v="301.62"/>
    <x v="0"/>
    <s v="MULTI PLAZA"/>
    <x v="0"/>
    <x v="0"/>
    <x v="2"/>
    <x v="2"/>
  </r>
  <r>
    <x v="1"/>
    <n v="176093323"/>
    <x v="62"/>
    <x v="0"/>
    <x v="24"/>
    <x v="0"/>
    <x v="0"/>
    <n v="33.15"/>
    <x v="1"/>
    <s v="MULTI PLAZA"/>
    <x v="0"/>
    <x v="1"/>
    <x v="0"/>
    <x v="0"/>
  </r>
  <r>
    <x v="1"/>
    <n v="176093323"/>
    <x v="63"/>
    <x v="0"/>
    <x v="25"/>
    <x v="2"/>
    <x v="0"/>
    <n v="145.5"/>
    <x v="1"/>
    <s v="TERMINAL DE ALBROOK"/>
    <x v="0"/>
    <x v="1"/>
    <x v="2"/>
    <x v="2"/>
  </r>
  <r>
    <x v="0"/>
    <n v="176818302"/>
    <x v="64"/>
    <x v="0"/>
    <x v="25"/>
    <x v="2"/>
    <x v="0"/>
    <n v="246.81"/>
    <x v="0"/>
    <s v="TERMINAL DE ALBROOK"/>
    <x v="0"/>
    <x v="0"/>
    <x v="2"/>
    <x v="2"/>
  </r>
  <r>
    <x v="0"/>
    <n v="176818302"/>
    <x v="65"/>
    <x v="0"/>
    <x v="25"/>
    <x v="0"/>
    <x v="0"/>
    <n v="13.86"/>
    <x v="0"/>
    <s v="TERMINAL DE ALBROOK"/>
    <x v="0"/>
    <x v="0"/>
    <x v="0"/>
    <x v="0"/>
  </r>
  <r>
    <x v="1"/>
    <n v="176093323"/>
    <x v="66"/>
    <x v="0"/>
    <x v="26"/>
    <x v="2"/>
    <x v="0"/>
    <n v="30.14"/>
    <x v="1"/>
    <s v="BOQUETE"/>
    <x v="0"/>
    <x v="1"/>
    <x v="2"/>
    <x v="2"/>
  </r>
  <r>
    <x v="0"/>
    <n v="176818302"/>
    <x v="67"/>
    <x v="0"/>
    <x v="26"/>
    <x v="2"/>
    <x v="0"/>
    <n v="45.75"/>
    <x v="0"/>
    <s v="BOQUETE"/>
    <x v="0"/>
    <x v="0"/>
    <x v="2"/>
    <x v="2"/>
  </r>
  <r>
    <x v="1"/>
    <n v="176093323"/>
    <x v="68"/>
    <x v="0"/>
    <x v="27"/>
    <x v="2"/>
    <x v="0"/>
    <n v="233.51"/>
    <x v="1"/>
    <s v="BRISAS DEL GOLF"/>
    <x v="0"/>
    <x v="1"/>
    <x v="2"/>
    <x v="2"/>
  </r>
  <r>
    <x v="0"/>
    <n v="176818302"/>
    <x v="69"/>
    <x v="0"/>
    <x v="27"/>
    <x v="2"/>
    <x v="0"/>
    <n v="172.65"/>
    <x v="0"/>
    <s v="BRISAS DEL GOLF"/>
    <x v="0"/>
    <x v="0"/>
    <x v="2"/>
    <x v="2"/>
  </r>
  <r>
    <x v="1"/>
    <n v="176093323"/>
    <x v="70"/>
    <x v="0"/>
    <x v="27"/>
    <x v="0"/>
    <x v="0"/>
    <n v="30.87"/>
    <x v="1"/>
    <s v="BRISAS DEL GOLF"/>
    <x v="0"/>
    <x v="1"/>
    <x v="0"/>
    <x v="0"/>
  </r>
  <r>
    <x v="1"/>
    <n v="176093323"/>
    <x v="71"/>
    <x v="0"/>
    <x v="28"/>
    <x v="1"/>
    <x v="0"/>
    <n v="62.37"/>
    <x v="1"/>
    <s v="PUENTE CENTENARIO"/>
    <x v="0"/>
    <x v="1"/>
    <x v="1"/>
    <x v="1"/>
  </r>
  <r>
    <x v="1"/>
    <n v="176093323"/>
    <x v="72"/>
    <x v="0"/>
    <x v="28"/>
    <x v="2"/>
    <x v="0"/>
    <n v="228.39"/>
    <x v="1"/>
    <s v="PUENTE CENTENARIO"/>
    <x v="0"/>
    <x v="1"/>
    <x v="2"/>
    <x v="2"/>
  </r>
  <r>
    <x v="0"/>
    <n v="176818302"/>
    <x v="73"/>
    <x v="0"/>
    <x v="28"/>
    <x v="2"/>
    <x v="0"/>
    <n v="306.07"/>
    <x v="0"/>
    <s v="PUENTE CENTENARIO"/>
    <x v="0"/>
    <x v="0"/>
    <x v="2"/>
    <x v="2"/>
  </r>
  <r>
    <x v="1"/>
    <n v="176093323"/>
    <x v="74"/>
    <x v="0"/>
    <x v="28"/>
    <x v="0"/>
    <x v="0"/>
    <n v="169.99"/>
    <x v="1"/>
    <s v="PUENTE CENTENARIO"/>
    <x v="0"/>
    <x v="1"/>
    <x v="0"/>
    <x v="0"/>
  </r>
  <r>
    <x v="1"/>
    <n v="176093323"/>
    <x v="75"/>
    <x v="0"/>
    <x v="29"/>
    <x v="2"/>
    <x v="0"/>
    <n v="50.1"/>
    <x v="1"/>
    <s v="ALTOS DE PANAMA"/>
    <x v="0"/>
    <x v="1"/>
    <x v="2"/>
    <x v="2"/>
  </r>
  <r>
    <x v="0"/>
    <n v="176818302"/>
    <x v="76"/>
    <x v="0"/>
    <x v="29"/>
    <x v="2"/>
    <x v="0"/>
    <n v="45.5"/>
    <x v="0"/>
    <s v="ALTOS DE PANAMA"/>
    <x v="0"/>
    <x v="0"/>
    <x v="2"/>
    <x v="2"/>
  </r>
  <r>
    <x v="1"/>
    <n v="176093323"/>
    <x v="77"/>
    <x v="0"/>
    <x v="30"/>
    <x v="0"/>
    <x v="0"/>
    <n v="45.75"/>
    <x v="1"/>
    <s v="BUSINESS PARK"/>
    <x v="0"/>
    <x v="1"/>
    <x v="0"/>
    <x v="0"/>
  </r>
  <r>
    <x v="0"/>
    <n v="176818302"/>
    <x v="78"/>
    <x v="0"/>
    <x v="31"/>
    <x v="2"/>
    <x v="0"/>
    <n v="9.59"/>
    <x v="0"/>
    <s v="SAN FRANCISCO"/>
    <x v="0"/>
    <x v="0"/>
    <x v="2"/>
    <x v="2"/>
  </r>
  <r>
    <x v="0"/>
    <n v="176818302"/>
    <x v="79"/>
    <x v="0"/>
    <x v="32"/>
    <x v="0"/>
    <x v="0"/>
    <n v="77.28"/>
    <x v="0"/>
    <s v="PLAZA BANCO GENERAL"/>
    <x v="0"/>
    <x v="0"/>
    <x v="0"/>
    <x v="0"/>
  </r>
  <r>
    <x v="1"/>
    <n v="176093323"/>
    <x v="80"/>
    <x v="0"/>
    <x v="33"/>
    <x v="1"/>
    <x v="0"/>
    <n v="45.54"/>
    <x v="1"/>
    <s v="LA CHORRERA - PARQUE 10 DE NOV."/>
    <x v="0"/>
    <x v="1"/>
    <x v="1"/>
    <x v="1"/>
  </r>
  <r>
    <x v="1"/>
    <n v="176093323"/>
    <x v="81"/>
    <x v="0"/>
    <x v="33"/>
    <x v="2"/>
    <x v="0"/>
    <n v="549.44000000000005"/>
    <x v="1"/>
    <s v="LA CHORRERA - PARQUE 10 DE NOV."/>
    <x v="0"/>
    <x v="1"/>
    <x v="2"/>
    <x v="2"/>
  </r>
  <r>
    <x v="0"/>
    <n v="176818302"/>
    <x v="82"/>
    <x v="0"/>
    <x v="33"/>
    <x v="2"/>
    <x v="0"/>
    <n v="1066.53"/>
    <x v="0"/>
    <s v="LA CHORRERA - PARQUE 10 DE NOV."/>
    <x v="0"/>
    <x v="0"/>
    <x v="2"/>
    <x v="2"/>
  </r>
  <r>
    <x v="1"/>
    <n v="176093323"/>
    <x v="83"/>
    <x v="0"/>
    <x v="33"/>
    <x v="0"/>
    <x v="0"/>
    <n v="31.75"/>
    <x v="1"/>
    <s v="LA CHORRERA - PARQUE 10 DE NOV."/>
    <x v="0"/>
    <x v="1"/>
    <x v="0"/>
    <x v="0"/>
  </r>
  <r>
    <x v="1"/>
    <n v="176093323"/>
    <x v="84"/>
    <x v="0"/>
    <x v="34"/>
    <x v="1"/>
    <x v="0"/>
    <n v="43.34"/>
    <x v="1"/>
    <s v="COSTA DEL ESTE - CENTENARIO"/>
    <x v="0"/>
    <x v="1"/>
    <x v="1"/>
    <x v="1"/>
  </r>
  <r>
    <x v="1"/>
    <n v="176093323"/>
    <x v="85"/>
    <x v="0"/>
    <x v="35"/>
    <x v="2"/>
    <x v="0"/>
    <n v="14.1"/>
    <x v="1"/>
    <s v="MARBELLA"/>
    <x v="0"/>
    <x v="1"/>
    <x v="2"/>
    <x v="2"/>
  </r>
  <r>
    <x v="0"/>
    <n v="176818302"/>
    <x v="86"/>
    <x v="0"/>
    <x v="35"/>
    <x v="2"/>
    <x v="0"/>
    <n v="51.17"/>
    <x v="0"/>
    <s v="MARBELLA"/>
    <x v="0"/>
    <x v="0"/>
    <x v="2"/>
    <x v="2"/>
  </r>
  <r>
    <x v="1"/>
    <n v="176093323"/>
    <x v="87"/>
    <x v="0"/>
    <x v="36"/>
    <x v="2"/>
    <x v="0"/>
    <n v="143.71"/>
    <x v="1"/>
    <s v="VIA SIMON BOLIVAR"/>
    <x v="0"/>
    <x v="1"/>
    <x v="2"/>
    <x v="2"/>
  </r>
  <r>
    <x v="0"/>
    <n v="176818302"/>
    <x v="88"/>
    <x v="0"/>
    <x v="36"/>
    <x v="2"/>
    <x v="0"/>
    <n v="281.07"/>
    <x v="0"/>
    <s v="VIA SIMON BOLIVAR"/>
    <x v="0"/>
    <x v="0"/>
    <x v="2"/>
    <x v="2"/>
  </r>
  <r>
    <x v="1"/>
    <n v="176093323"/>
    <x v="89"/>
    <x v="0"/>
    <x v="36"/>
    <x v="0"/>
    <x v="0"/>
    <n v="12.88"/>
    <x v="1"/>
    <s v="VIA SIMON BOLIVAR"/>
    <x v="0"/>
    <x v="1"/>
    <x v="0"/>
    <x v="0"/>
  </r>
  <r>
    <x v="0"/>
    <n v="176818302"/>
    <x v="90"/>
    <x v="0"/>
    <x v="37"/>
    <x v="0"/>
    <x v="0"/>
    <n v="28.06"/>
    <x v="0"/>
    <s v="JUSTO AROSEMENA"/>
    <x v="0"/>
    <x v="0"/>
    <x v="0"/>
    <x v="0"/>
  </r>
  <r>
    <x v="1"/>
    <n v="176093323"/>
    <x v="91"/>
    <x v="0"/>
    <x v="38"/>
    <x v="2"/>
    <x v="0"/>
    <n v="106.23"/>
    <x v="1"/>
    <s v="BOULEVARD EL DORADO"/>
    <x v="0"/>
    <x v="1"/>
    <x v="2"/>
    <x v="2"/>
  </r>
  <r>
    <x v="0"/>
    <n v="176818302"/>
    <x v="92"/>
    <x v="0"/>
    <x v="38"/>
    <x v="2"/>
    <x v="0"/>
    <n v="53.95"/>
    <x v="0"/>
    <s v="BOULEVARD EL DORADO"/>
    <x v="0"/>
    <x v="0"/>
    <x v="2"/>
    <x v="2"/>
  </r>
  <r>
    <x v="1"/>
    <n v="176093323"/>
    <x v="93"/>
    <x v="0"/>
    <x v="38"/>
    <x v="0"/>
    <x v="0"/>
    <n v="30.27"/>
    <x v="1"/>
    <s v="BOULEVARD EL DORADO"/>
    <x v="0"/>
    <x v="1"/>
    <x v="0"/>
    <x v="0"/>
  </r>
  <r>
    <x v="0"/>
    <n v="176818302"/>
    <x v="94"/>
    <x v="0"/>
    <x v="38"/>
    <x v="0"/>
    <x v="0"/>
    <n v="29.35"/>
    <x v="0"/>
    <s v="BOULEVARD EL DORADO"/>
    <x v="0"/>
    <x v="0"/>
    <x v="0"/>
    <x v="0"/>
  </r>
  <r>
    <x v="1"/>
    <n v="176093323"/>
    <x v="95"/>
    <x v="0"/>
    <x v="39"/>
    <x v="2"/>
    <x v="0"/>
    <n v="503.99"/>
    <x v="1"/>
    <s v="SAN SEBASTIAN"/>
    <x v="0"/>
    <x v="1"/>
    <x v="2"/>
    <x v="2"/>
  </r>
  <r>
    <x v="0"/>
    <n v="176818302"/>
    <x v="96"/>
    <x v="0"/>
    <x v="39"/>
    <x v="2"/>
    <x v="0"/>
    <n v="661.6"/>
    <x v="0"/>
    <s v="SAN SEBASTIAN"/>
    <x v="0"/>
    <x v="0"/>
    <x v="2"/>
    <x v="2"/>
  </r>
  <r>
    <x v="1"/>
    <n v="176093323"/>
    <x v="97"/>
    <x v="0"/>
    <x v="39"/>
    <x v="0"/>
    <x v="0"/>
    <n v="49.79"/>
    <x v="1"/>
    <s v="SAN SEBASTIAN"/>
    <x v="0"/>
    <x v="1"/>
    <x v="0"/>
    <x v="0"/>
  </r>
  <r>
    <x v="0"/>
    <n v="176818302"/>
    <x v="98"/>
    <x v="0"/>
    <x v="39"/>
    <x v="0"/>
    <x v="0"/>
    <n v="15.39"/>
    <x v="0"/>
    <s v="SAN SEBASTIAN"/>
    <x v="0"/>
    <x v="0"/>
    <x v="0"/>
    <x v="0"/>
  </r>
  <r>
    <x v="1"/>
    <n v="176093323"/>
    <x v="99"/>
    <x v="0"/>
    <x v="40"/>
    <x v="2"/>
    <x v="0"/>
    <n v="37.19"/>
    <x v="1"/>
    <s v="VILLA ZAITA"/>
    <x v="0"/>
    <x v="1"/>
    <x v="2"/>
    <x v="2"/>
  </r>
  <r>
    <x v="0"/>
    <n v="176818302"/>
    <x v="100"/>
    <x v="0"/>
    <x v="40"/>
    <x v="2"/>
    <x v="0"/>
    <n v="12.65"/>
    <x v="0"/>
    <s v="VILLA ZAITA"/>
    <x v="0"/>
    <x v="0"/>
    <x v="2"/>
    <x v="2"/>
  </r>
  <r>
    <x v="0"/>
    <n v="176818302"/>
    <x v="101"/>
    <x v="0"/>
    <x v="41"/>
    <x v="2"/>
    <x v="0"/>
    <n v="119.59"/>
    <x v="0"/>
    <s v="BRISAS DEL GOLF ARRAIJAN"/>
    <x v="0"/>
    <x v="0"/>
    <x v="2"/>
    <x v="2"/>
  </r>
  <r>
    <x v="1"/>
    <n v="176093323"/>
    <x v="102"/>
    <x v="0"/>
    <x v="41"/>
    <x v="0"/>
    <x v="0"/>
    <n v="86.35"/>
    <x v="1"/>
    <s v="BRISAS DEL GOLF ARRAIJAN"/>
    <x v="0"/>
    <x v="1"/>
    <x v="0"/>
    <x v="0"/>
  </r>
  <r>
    <x v="4"/>
    <n v="175636909"/>
    <x v="32"/>
    <x v="1"/>
    <x v="0"/>
    <x v="1"/>
    <x v="0"/>
    <n v="2.4"/>
    <x v="3"/>
    <s v="CASA MATRIZ"/>
    <x v="1"/>
    <x v="4"/>
    <x v="1"/>
    <x v="1"/>
  </r>
  <r>
    <x v="5"/>
    <n v="176134839"/>
    <x v="32"/>
    <x v="1"/>
    <x v="0"/>
    <x v="1"/>
    <x v="0"/>
    <n v="5.55"/>
    <x v="3"/>
    <s v="CASA MATRIZ"/>
    <x v="1"/>
    <x v="4"/>
    <x v="1"/>
    <x v="1"/>
  </r>
  <r>
    <x v="6"/>
    <n v="176818772"/>
    <x v="32"/>
    <x v="1"/>
    <x v="0"/>
    <x v="1"/>
    <x v="0"/>
    <n v="2.4"/>
    <x v="3"/>
    <s v="CASA MATRIZ"/>
    <x v="1"/>
    <x v="4"/>
    <x v="1"/>
    <x v="1"/>
  </r>
  <r>
    <x v="3"/>
    <n v="175864711"/>
    <x v="32"/>
    <x v="1"/>
    <x v="2"/>
    <x v="1"/>
    <x v="0"/>
    <n v="9.1999999999999993"/>
    <x v="3"/>
    <s v="EL DORADO"/>
    <x v="1"/>
    <x v="5"/>
    <x v="1"/>
    <x v="1"/>
  </r>
  <r>
    <x v="7"/>
    <n v="176391455"/>
    <x v="32"/>
    <x v="1"/>
    <x v="42"/>
    <x v="1"/>
    <x v="0"/>
    <n v="2.4"/>
    <x v="3"/>
    <s v="VIA ARGENTINA"/>
    <x v="1"/>
    <x v="6"/>
    <x v="1"/>
    <x v="1"/>
  </r>
  <r>
    <x v="8"/>
    <n v="176941062"/>
    <x v="32"/>
    <x v="1"/>
    <x v="42"/>
    <x v="1"/>
    <x v="0"/>
    <n v="1.8"/>
    <x v="3"/>
    <s v="VIA ARGENTINA"/>
    <x v="1"/>
    <x v="6"/>
    <x v="1"/>
    <x v="1"/>
  </r>
  <r>
    <x v="9"/>
    <n v="175802453"/>
    <x v="32"/>
    <x v="1"/>
    <x v="3"/>
    <x v="1"/>
    <x v="0"/>
    <n v="9.1999999999999993"/>
    <x v="3"/>
    <s v="VIA PORRAS"/>
    <x v="1"/>
    <x v="7"/>
    <x v="1"/>
    <x v="1"/>
  </r>
  <r>
    <x v="3"/>
    <n v="175865455"/>
    <x v="32"/>
    <x v="1"/>
    <x v="3"/>
    <x v="1"/>
    <x v="0"/>
    <n v="9.1999999999999993"/>
    <x v="3"/>
    <s v="VIA PORRAS"/>
    <x v="1"/>
    <x v="7"/>
    <x v="1"/>
    <x v="1"/>
  </r>
  <r>
    <x v="1"/>
    <n v="176035024"/>
    <x v="32"/>
    <x v="1"/>
    <x v="3"/>
    <x v="1"/>
    <x v="0"/>
    <n v="1.8"/>
    <x v="3"/>
    <s v="VIA PORRAS"/>
    <x v="1"/>
    <x v="7"/>
    <x v="1"/>
    <x v="1"/>
  </r>
  <r>
    <x v="10"/>
    <n v="176721494"/>
    <x v="32"/>
    <x v="1"/>
    <x v="4"/>
    <x v="1"/>
    <x v="0"/>
    <n v="18.399999999999999"/>
    <x v="3"/>
    <s v="EL INGENIO"/>
    <x v="1"/>
    <x v="8"/>
    <x v="1"/>
    <x v="1"/>
  </r>
  <r>
    <x v="11"/>
    <n v="175924036"/>
    <x v="32"/>
    <x v="1"/>
    <x v="43"/>
    <x v="1"/>
    <x v="0"/>
    <n v="14.7"/>
    <x v="3"/>
    <s v="CHANIS"/>
    <x v="1"/>
    <x v="9"/>
    <x v="1"/>
    <x v="1"/>
  </r>
  <r>
    <x v="12"/>
    <n v="176557274"/>
    <x v="32"/>
    <x v="1"/>
    <x v="43"/>
    <x v="1"/>
    <x v="0"/>
    <n v="6.5"/>
    <x v="3"/>
    <s v="CHANIS"/>
    <x v="1"/>
    <x v="9"/>
    <x v="1"/>
    <x v="1"/>
  </r>
  <r>
    <x v="11"/>
    <n v="175924258"/>
    <x v="32"/>
    <x v="1"/>
    <x v="5"/>
    <x v="1"/>
    <x v="0"/>
    <n v="2.1"/>
    <x v="3"/>
    <s v="PLAZA TOCUMEN"/>
    <x v="1"/>
    <x v="10"/>
    <x v="1"/>
    <x v="1"/>
  </r>
  <r>
    <x v="4"/>
    <n v="175639207"/>
    <x v="32"/>
    <x v="1"/>
    <x v="6"/>
    <x v="1"/>
    <x v="0"/>
    <n v="16"/>
    <x v="3"/>
    <s v="SANTIAGO"/>
    <x v="1"/>
    <x v="11"/>
    <x v="1"/>
    <x v="1"/>
  </r>
  <r>
    <x v="13"/>
    <n v="176095467"/>
    <x v="32"/>
    <x v="1"/>
    <x v="7"/>
    <x v="1"/>
    <x v="0"/>
    <n v="10.25"/>
    <x v="3"/>
    <s v="OBARRIO"/>
    <x v="1"/>
    <x v="12"/>
    <x v="1"/>
    <x v="1"/>
  </r>
  <r>
    <x v="14"/>
    <n v="175575701"/>
    <x v="32"/>
    <x v="1"/>
    <x v="8"/>
    <x v="1"/>
    <x v="0"/>
    <n v="2.4"/>
    <x v="3"/>
    <s v="HATO PINTADO"/>
    <x v="1"/>
    <x v="13"/>
    <x v="1"/>
    <x v="1"/>
  </r>
  <r>
    <x v="15"/>
    <n v="176497092"/>
    <x v="32"/>
    <x v="1"/>
    <x v="8"/>
    <x v="1"/>
    <x v="0"/>
    <n v="10.7"/>
    <x v="3"/>
    <s v="HATO PINTADO"/>
    <x v="1"/>
    <x v="13"/>
    <x v="1"/>
    <x v="1"/>
  </r>
  <r>
    <x v="11"/>
    <n v="175926148"/>
    <x v="32"/>
    <x v="1"/>
    <x v="44"/>
    <x v="1"/>
    <x v="0"/>
    <n v="4.5"/>
    <x v="3"/>
    <s v="LA CHORRERA"/>
    <x v="1"/>
    <x v="14"/>
    <x v="1"/>
    <x v="1"/>
  </r>
  <r>
    <x v="5"/>
    <n v="176196481"/>
    <x v="103"/>
    <x v="1"/>
    <x v="44"/>
    <x v="1"/>
    <x v="0"/>
    <n v="38"/>
    <x v="4"/>
    <s v="LA CHORRERA"/>
    <x v="1"/>
    <x v="15"/>
    <x v="1"/>
    <x v="1"/>
  </r>
  <r>
    <x v="16"/>
    <n v="176669497"/>
    <x v="32"/>
    <x v="1"/>
    <x v="44"/>
    <x v="1"/>
    <x v="0"/>
    <n v="4.5"/>
    <x v="3"/>
    <s v="LA CHORRERA"/>
    <x v="1"/>
    <x v="14"/>
    <x v="1"/>
    <x v="1"/>
  </r>
  <r>
    <x v="12"/>
    <n v="176560454"/>
    <x v="32"/>
    <x v="1"/>
    <x v="11"/>
    <x v="1"/>
    <x v="0"/>
    <n v="5.55"/>
    <x v="3"/>
    <s v="LOS ANDES"/>
    <x v="1"/>
    <x v="16"/>
    <x v="1"/>
    <x v="1"/>
  </r>
  <r>
    <x v="15"/>
    <n v="176498886"/>
    <x v="32"/>
    <x v="1"/>
    <x v="45"/>
    <x v="1"/>
    <x v="0"/>
    <n v="1100"/>
    <x v="3"/>
    <s v="VIA ESPANA"/>
    <x v="1"/>
    <x v="17"/>
    <x v="1"/>
    <x v="1"/>
  </r>
  <r>
    <x v="10"/>
    <n v="176719534"/>
    <x v="42"/>
    <x v="1"/>
    <x v="45"/>
    <x v="1"/>
    <x v="1"/>
    <n v="0"/>
    <x v="5"/>
    <s v="VIA ESPANA"/>
    <x v="1"/>
    <x v="18"/>
    <x v="1"/>
    <x v="1"/>
  </r>
  <r>
    <x v="17"/>
    <n v="176886481"/>
    <x v="32"/>
    <x v="1"/>
    <x v="45"/>
    <x v="1"/>
    <x v="0"/>
    <n v="11.5"/>
    <x v="3"/>
    <s v="VIA ESPANA"/>
    <x v="1"/>
    <x v="17"/>
    <x v="1"/>
    <x v="1"/>
  </r>
  <r>
    <x v="18"/>
    <n v="176456296"/>
    <x v="32"/>
    <x v="1"/>
    <x v="12"/>
    <x v="1"/>
    <x v="0"/>
    <n v="27.4"/>
    <x v="3"/>
    <s v="CHITRE"/>
    <x v="1"/>
    <x v="19"/>
    <x v="1"/>
    <x v="1"/>
  </r>
  <r>
    <x v="19"/>
    <n v="177008095"/>
    <x v="32"/>
    <x v="1"/>
    <x v="12"/>
    <x v="1"/>
    <x v="0"/>
    <n v="8.6999999999999993"/>
    <x v="3"/>
    <s v="CHITRE"/>
    <x v="1"/>
    <x v="19"/>
    <x v="1"/>
    <x v="1"/>
  </r>
  <r>
    <x v="20"/>
    <n v="175984238"/>
    <x v="32"/>
    <x v="1"/>
    <x v="13"/>
    <x v="1"/>
    <x v="0"/>
    <n v="7.4"/>
    <x v="3"/>
    <s v="LOS PUEBLOS"/>
    <x v="1"/>
    <x v="20"/>
    <x v="1"/>
    <x v="1"/>
  </r>
  <r>
    <x v="2"/>
    <n v="176267023"/>
    <x v="32"/>
    <x v="1"/>
    <x v="13"/>
    <x v="1"/>
    <x v="0"/>
    <n v="3.7"/>
    <x v="3"/>
    <s v="LOS PUEBLOS"/>
    <x v="1"/>
    <x v="20"/>
    <x v="1"/>
    <x v="1"/>
  </r>
  <r>
    <x v="11"/>
    <n v="175977772"/>
    <x v="104"/>
    <x v="1"/>
    <x v="46"/>
    <x v="1"/>
    <x v="0"/>
    <n v="41.6"/>
    <x v="4"/>
    <s v="ZONA LIBRE"/>
    <x v="1"/>
    <x v="21"/>
    <x v="1"/>
    <x v="1"/>
  </r>
  <r>
    <x v="12"/>
    <n v="176562290"/>
    <x v="32"/>
    <x v="1"/>
    <x v="46"/>
    <x v="1"/>
    <x v="0"/>
    <n v="1500"/>
    <x v="3"/>
    <s v="ZONA LIBRE"/>
    <x v="1"/>
    <x v="22"/>
    <x v="1"/>
    <x v="1"/>
  </r>
  <r>
    <x v="10"/>
    <n v="176719538"/>
    <x v="42"/>
    <x v="1"/>
    <x v="46"/>
    <x v="1"/>
    <x v="2"/>
    <n v="0"/>
    <x v="6"/>
    <s v="ZONA LIBRE"/>
    <x v="1"/>
    <x v="23"/>
    <x v="1"/>
    <x v="1"/>
  </r>
  <r>
    <x v="11"/>
    <n v="175929174"/>
    <x v="32"/>
    <x v="1"/>
    <x v="47"/>
    <x v="1"/>
    <x v="0"/>
    <n v="2.9"/>
    <x v="3"/>
    <s v="PLAZA GALAPAGO"/>
    <x v="1"/>
    <x v="24"/>
    <x v="1"/>
    <x v="1"/>
  </r>
  <r>
    <x v="21"/>
    <n v="176334455"/>
    <x v="32"/>
    <x v="1"/>
    <x v="47"/>
    <x v="1"/>
    <x v="0"/>
    <n v="1.45"/>
    <x v="3"/>
    <s v="PLAZA GALAPAGO"/>
    <x v="1"/>
    <x v="24"/>
    <x v="1"/>
    <x v="1"/>
  </r>
  <r>
    <x v="15"/>
    <n v="176500813"/>
    <x v="32"/>
    <x v="1"/>
    <x v="47"/>
    <x v="1"/>
    <x v="0"/>
    <n v="6.4"/>
    <x v="3"/>
    <s v="PLAZA GALAPAGO"/>
    <x v="1"/>
    <x v="24"/>
    <x v="1"/>
    <x v="1"/>
  </r>
  <r>
    <x v="3"/>
    <n v="175921690"/>
    <x v="105"/>
    <x v="1"/>
    <x v="16"/>
    <x v="1"/>
    <x v="0"/>
    <n v="24.34"/>
    <x v="4"/>
    <s v="DAVID"/>
    <x v="1"/>
    <x v="25"/>
    <x v="1"/>
    <x v="1"/>
  </r>
  <r>
    <x v="20"/>
    <n v="176033141"/>
    <x v="106"/>
    <x v="1"/>
    <x v="16"/>
    <x v="1"/>
    <x v="0"/>
    <n v="176"/>
    <x v="7"/>
    <s v="DAVID"/>
    <x v="1"/>
    <x v="26"/>
    <x v="1"/>
    <x v="1"/>
  </r>
  <r>
    <x v="8"/>
    <n v="176948714"/>
    <x v="32"/>
    <x v="1"/>
    <x v="17"/>
    <x v="1"/>
    <x v="0"/>
    <n v="9.5500000000000007"/>
    <x v="3"/>
    <s v="PLAZA LAS AMERICAS"/>
    <x v="1"/>
    <x v="27"/>
    <x v="1"/>
    <x v="1"/>
  </r>
  <r>
    <x v="14"/>
    <n v="175580852"/>
    <x v="32"/>
    <x v="1"/>
    <x v="48"/>
    <x v="1"/>
    <x v="0"/>
    <n v="26"/>
    <x v="3"/>
    <s v="CORONADO"/>
    <x v="1"/>
    <x v="28"/>
    <x v="1"/>
    <x v="1"/>
  </r>
  <r>
    <x v="4"/>
    <n v="175645459"/>
    <x v="32"/>
    <x v="1"/>
    <x v="48"/>
    <x v="1"/>
    <x v="0"/>
    <n v="13"/>
    <x v="3"/>
    <s v="CORONADO"/>
    <x v="1"/>
    <x v="28"/>
    <x v="1"/>
    <x v="1"/>
  </r>
  <r>
    <x v="7"/>
    <n v="176451890"/>
    <x v="107"/>
    <x v="1"/>
    <x v="48"/>
    <x v="1"/>
    <x v="0"/>
    <n v="26"/>
    <x v="4"/>
    <s v="CORONADO"/>
    <x v="1"/>
    <x v="29"/>
    <x v="1"/>
    <x v="1"/>
  </r>
  <r>
    <x v="21"/>
    <n v="176389998"/>
    <x v="108"/>
    <x v="1"/>
    <x v="48"/>
    <x v="2"/>
    <x v="0"/>
    <n v="312"/>
    <x v="4"/>
    <s v="CORONADO"/>
    <x v="1"/>
    <x v="30"/>
    <x v="2"/>
    <x v="2"/>
  </r>
  <r>
    <x v="21"/>
    <n v="176389998"/>
    <x v="109"/>
    <x v="1"/>
    <x v="48"/>
    <x v="0"/>
    <x v="0"/>
    <n v="338"/>
    <x v="4"/>
    <s v="CORONADO"/>
    <x v="1"/>
    <x v="30"/>
    <x v="0"/>
    <x v="0"/>
  </r>
  <r>
    <x v="9"/>
    <n v="175810026"/>
    <x v="32"/>
    <x v="1"/>
    <x v="18"/>
    <x v="1"/>
    <x v="0"/>
    <n v="1.8"/>
    <x v="3"/>
    <s v="ALBROOK MALL"/>
    <x v="1"/>
    <x v="31"/>
    <x v="1"/>
    <x v="1"/>
  </r>
  <r>
    <x v="3"/>
    <n v="175872871"/>
    <x v="32"/>
    <x v="1"/>
    <x v="18"/>
    <x v="1"/>
    <x v="0"/>
    <n v="11.3"/>
    <x v="3"/>
    <s v="ALBROOK MALL"/>
    <x v="1"/>
    <x v="31"/>
    <x v="1"/>
    <x v="1"/>
  </r>
  <r>
    <x v="7"/>
    <n v="176451890"/>
    <x v="110"/>
    <x v="1"/>
    <x v="18"/>
    <x v="1"/>
    <x v="0"/>
    <n v="12"/>
    <x v="4"/>
    <s v="ALBROOK MALL"/>
    <x v="1"/>
    <x v="29"/>
    <x v="1"/>
    <x v="1"/>
  </r>
  <r>
    <x v="22"/>
    <n v="175764582"/>
    <x v="32"/>
    <x v="1"/>
    <x v="19"/>
    <x v="1"/>
    <x v="0"/>
    <n v="25"/>
    <x v="3"/>
    <s v="PANAMA PACIFICO"/>
    <x v="1"/>
    <x v="32"/>
    <x v="1"/>
    <x v="1"/>
  </r>
  <r>
    <x v="17"/>
    <n v="176889851"/>
    <x v="32"/>
    <x v="1"/>
    <x v="19"/>
    <x v="1"/>
    <x v="0"/>
    <n v="15"/>
    <x v="3"/>
    <s v="PANAMA PACIFICO"/>
    <x v="1"/>
    <x v="32"/>
    <x v="1"/>
    <x v="1"/>
  </r>
  <r>
    <x v="5"/>
    <n v="176144230"/>
    <x v="32"/>
    <x v="1"/>
    <x v="49"/>
    <x v="1"/>
    <x v="0"/>
    <n v="2.1"/>
    <x v="3"/>
    <s v="PENONOME"/>
    <x v="1"/>
    <x v="33"/>
    <x v="1"/>
    <x v="1"/>
  </r>
  <r>
    <x v="20"/>
    <n v="176033141"/>
    <x v="111"/>
    <x v="1"/>
    <x v="49"/>
    <x v="2"/>
    <x v="0"/>
    <n v="126"/>
    <x v="4"/>
    <s v="PENONOME"/>
    <x v="1"/>
    <x v="26"/>
    <x v="2"/>
    <x v="2"/>
  </r>
  <r>
    <x v="6"/>
    <n v="176828272"/>
    <x v="32"/>
    <x v="1"/>
    <x v="20"/>
    <x v="1"/>
    <x v="0"/>
    <n v="17.399999999999999"/>
    <x v="3"/>
    <s v="ALBROOK"/>
    <x v="1"/>
    <x v="34"/>
    <x v="1"/>
    <x v="1"/>
  </r>
  <r>
    <x v="11"/>
    <n v="175977772"/>
    <x v="112"/>
    <x v="1"/>
    <x v="20"/>
    <x v="2"/>
    <x v="0"/>
    <n v="147.9"/>
    <x v="4"/>
    <s v="ALBROOK"/>
    <x v="1"/>
    <x v="21"/>
    <x v="2"/>
    <x v="2"/>
  </r>
  <r>
    <x v="20"/>
    <n v="175987480"/>
    <x v="32"/>
    <x v="1"/>
    <x v="21"/>
    <x v="1"/>
    <x v="0"/>
    <n v="4.5"/>
    <x v="3"/>
    <s v="SUCURSAL DE VISTA ALEGRE"/>
    <x v="1"/>
    <x v="35"/>
    <x v="1"/>
    <x v="1"/>
  </r>
  <r>
    <x v="22"/>
    <n v="175765343"/>
    <x v="32"/>
    <x v="1"/>
    <x v="50"/>
    <x v="1"/>
    <x v="0"/>
    <n v="42"/>
    <x v="3"/>
    <s v="LAS TABLAS"/>
    <x v="1"/>
    <x v="36"/>
    <x v="1"/>
    <x v="1"/>
  </r>
  <r>
    <x v="23"/>
    <n v="176207518"/>
    <x v="32"/>
    <x v="1"/>
    <x v="50"/>
    <x v="1"/>
    <x v="0"/>
    <n v="3"/>
    <x v="3"/>
    <s v="LAS TABLAS"/>
    <x v="1"/>
    <x v="36"/>
    <x v="1"/>
    <x v="1"/>
  </r>
  <r>
    <x v="15"/>
    <n v="176503593"/>
    <x v="32"/>
    <x v="1"/>
    <x v="50"/>
    <x v="1"/>
    <x v="0"/>
    <n v="14"/>
    <x v="3"/>
    <s v="LAS TABLAS"/>
    <x v="1"/>
    <x v="36"/>
    <x v="1"/>
    <x v="1"/>
  </r>
  <r>
    <x v="0"/>
    <n v="176784482"/>
    <x v="32"/>
    <x v="1"/>
    <x v="50"/>
    <x v="1"/>
    <x v="0"/>
    <n v="14"/>
    <x v="3"/>
    <s v="LAS TABLAS"/>
    <x v="1"/>
    <x v="36"/>
    <x v="1"/>
    <x v="1"/>
  </r>
  <r>
    <x v="21"/>
    <n v="176389998"/>
    <x v="105"/>
    <x v="1"/>
    <x v="50"/>
    <x v="0"/>
    <x v="0"/>
    <n v="182"/>
    <x v="4"/>
    <s v="LAS TABLAS"/>
    <x v="1"/>
    <x v="30"/>
    <x v="0"/>
    <x v="0"/>
  </r>
  <r>
    <x v="11"/>
    <n v="175931940"/>
    <x v="32"/>
    <x v="1"/>
    <x v="22"/>
    <x v="1"/>
    <x v="0"/>
    <n v="9.5500000000000007"/>
    <x v="3"/>
    <s v="24 DE DICIEMBRE"/>
    <x v="1"/>
    <x v="37"/>
    <x v="1"/>
    <x v="1"/>
  </r>
  <r>
    <x v="2"/>
    <n v="176271799"/>
    <x v="32"/>
    <x v="1"/>
    <x v="23"/>
    <x v="1"/>
    <x v="0"/>
    <n v="7.35"/>
    <x v="3"/>
    <s v="COSTA DEL ESTE"/>
    <x v="1"/>
    <x v="38"/>
    <x v="1"/>
    <x v="1"/>
  </r>
  <r>
    <x v="7"/>
    <n v="176451890"/>
    <x v="113"/>
    <x v="1"/>
    <x v="25"/>
    <x v="1"/>
    <x v="0"/>
    <n v="12"/>
    <x v="4"/>
    <s v="TERMINAL DE ALBROOK"/>
    <x v="1"/>
    <x v="29"/>
    <x v="1"/>
    <x v="1"/>
  </r>
  <r>
    <x v="4"/>
    <n v="175696740"/>
    <x v="114"/>
    <x v="1"/>
    <x v="26"/>
    <x v="1"/>
    <x v="0"/>
    <n v="286"/>
    <x v="4"/>
    <s v="BOQUETE"/>
    <x v="1"/>
    <x v="39"/>
    <x v="1"/>
    <x v="1"/>
  </r>
  <r>
    <x v="24"/>
    <n v="175709476"/>
    <x v="32"/>
    <x v="1"/>
    <x v="26"/>
    <x v="1"/>
    <x v="0"/>
    <n v="22"/>
    <x v="3"/>
    <s v="BOQUETE"/>
    <x v="1"/>
    <x v="40"/>
    <x v="1"/>
    <x v="1"/>
  </r>
  <r>
    <x v="22"/>
    <n v="175766494"/>
    <x v="32"/>
    <x v="1"/>
    <x v="26"/>
    <x v="1"/>
    <x v="0"/>
    <n v="22"/>
    <x v="3"/>
    <s v="BOQUETE"/>
    <x v="1"/>
    <x v="40"/>
    <x v="1"/>
    <x v="1"/>
  </r>
  <r>
    <x v="7"/>
    <n v="176451890"/>
    <x v="115"/>
    <x v="1"/>
    <x v="26"/>
    <x v="1"/>
    <x v="0"/>
    <n v="136.61000000000001"/>
    <x v="8"/>
    <s v="BOQUETE"/>
    <x v="1"/>
    <x v="29"/>
    <x v="1"/>
    <x v="1"/>
  </r>
  <r>
    <x v="17"/>
    <n v="176939618"/>
    <x v="116"/>
    <x v="1"/>
    <x v="26"/>
    <x v="1"/>
    <x v="3"/>
    <n v="0"/>
    <x v="8"/>
    <s v="BOQUETE"/>
    <x v="1"/>
    <x v="41"/>
    <x v="1"/>
    <x v="1"/>
  </r>
  <r>
    <x v="14"/>
    <n v="175585079"/>
    <x v="32"/>
    <x v="1"/>
    <x v="28"/>
    <x v="1"/>
    <x v="0"/>
    <n v="3.7"/>
    <x v="3"/>
    <s v="PUENTE CENTENARIO"/>
    <x v="1"/>
    <x v="42"/>
    <x v="1"/>
    <x v="1"/>
  </r>
  <r>
    <x v="9"/>
    <n v="175813895"/>
    <x v="32"/>
    <x v="1"/>
    <x v="28"/>
    <x v="1"/>
    <x v="0"/>
    <n v="3.15"/>
    <x v="3"/>
    <s v="PUENTE CENTENARIO"/>
    <x v="1"/>
    <x v="42"/>
    <x v="1"/>
    <x v="1"/>
  </r>
  <r>
    <x v="9"/>
    <n v="175814153"/>
    <x v="32"/>
    <x v="1"/>
    <x v="51"/>
    <x v="1"/>
    <x v="0"/>
    <n v="18"/>
    <x v="3"/>
    <s v="AGUADULCE"/>
    <x v="1"/>
    <x v="43"/>
    <x v="1"/>
    <x v="1"/>
  </r>
  <r>
    <x v="3"/>
    <n v="175876921"/>
    <x v="32"/>
    <x v="1"/>
    <x v="51"/>
    <x v="1"/>
    <x v="0"/>
    <n v="72"/>
    <x v="3"/>
    <s v="AGUADULCE"/>
    <x v="1"/>
    <x v="43"/>
    <x v="1"/>
    <x v="1"/>
  </r>
  <r>
    <x v="1"/>
    <n v="176093324"/>
    <x v="117"/>
    <x v="1"/>
    <x v="51"/>
    <x v="1"/>
    <x v="0"/>
    <n v="91.5"/>
    <x v="4"/>
    <s v="AGUADULCE"/>
    <x v="1"/>
    <x v="44"/>
    <x v="1"/>
    <x v="1"/>
  </r>
  <r>
    <x v="21"/>
    <n v="176389998"/>
    <x v="118"/>
    <x v="1"/>
    <x v="51"/>
    <x v="0"/>
    <x v="0"/>
    <n v="136.5"/>
    <x v="4"/>
    <s v="AGUADULCE"/>
    <x v="1"/>
    <x v="30"/>
    <x v="0"/>
    <x v="0"/>
  </r>
  <r>
    <x v="12"/>
    <n v="176611219"/>
    <x v="119"/>
    <x v="1"/>
    <x v="52"/>
    <x v="1"/>
    <x v="0"/>
    <n v="39"/>
    <x v="4"/>
    <s v="SABANITAS"/>
    <x v="1"/>
    <x v="45"/>
    <x v="1"/>
    <x v="1"/>
  </r>
  <r>
    <x v="21"/>
    <n v="176389998"/>
    <x v="111"/>
    <x v="1"/>
    <x v="52"/>
    <x v="0"/>
    <x v="0"/>
    <n v="190.4"/>
    <x v="4"/>
    <s v="SABANITAS"/>
    <x v="1"/>
    <x v="30"/>
    <x v="0"/>
    <x v="0"/>
  </r>
  <r>
    <x v="7"/>
    <n v="176404780"/>
    <x v="32"/>
    <x v="1"/>
    <x v="30"/>
    <x v="1"/>
    <x v="0"/>
    <n v="2.4"/>
    <x v="3"/>
    <s v="BUSINESS PARK"/>
    <x v="1"/>
    <x v="46"/>
    <x v="1"/>
    <x v="1"/>
  </r>
  <r>
    <x v="17"/>
    <n v="176894640"/>
    <x v="32"/>
    <x v="1"/>
    <x v="30"/>
    <x v="1"/>
    <x v="0"/>
    <n v="1.8"/>
    <x v="3"/>
    <s v="BUSINESS PARK"/>
    <x v="1"/>
    <x v="46"/>
    <x v="1"/>
    <x v="1"/>
  </r>
  <r>
    <x v="14"/>
    <n v="175586610"/>
    <x v="32"/>
    <x v="1"/>
    <x v="31"/>
    <x v="1"/>
    <x v="0"/>
    <n v="1500"/>
    <x v="3"/>
    <s v="SAN FRANCISCO"/>
    <x v="1"/>
    <x v="47"/>
    <x v="1"/>
    <x v="1"/>
  </r>
  <r>
    <x v="10"/>
    <n v="176719401"/>
    <x v="42"/>
    <x v="1"/>
    <x v="31"/>
    <x v="1"/>
    <x v="2"/>
    <n v="0"/>
    <x v="9"/>
    <s v="SAN FRANCISCO"/>
    <x v="1"/>
    <x v="23"/>
    <x v="1"/>
    <x v="1"/>
  </r>
  <r>
    <x v="17"/>
    <n v="176894914"/>
    <x v="32"/>
    <x v="1"/>
    <x v="31"/>
    <x v="1"/>
    <x v="0"/>
    <n v="1.5"/>
    <x v="3"/>
    <s v="SAN FRANCISCO"/>
    <x v="1"/>
    <x v="47"/>
    <x v="1"/>
    <x v="1"/>
  </r>
  <r>
    <x v="8"/>
    <n v="176954483"/>
    <x v="32"/>
    <x v="1"/>
    <x v="31"/>
    <x v="1"/>
    <x v="0"/>
    <n v="1.5"/>
    <x v="3"/>
    <s v="SAN FRANCISCO"/>
    <x v="1"/>
    <x v="47"/>
    <x v="1"/>
    <x v="1"/>
  </r>
  <r>
    <x v="24"/>
    <n v="175712007"/>
    <x v="32"/>
    <x v="1"/>
    <x v="32"/>
    <x v="1"/>
    <x v="0"/>
    <n v="1.8"/>
    <x v="3"/>
    <s v="PLAZA BANCO GENERAL"/>
    <x v="1"/>
    <x v="48"/>
    <x v="1"/>
    <x v="1"/>
  </r>
  <r>
    <x v="25"/>
    <n v="176624734"/>
    <x v="32"/>
    <x v="1"/>
    <x v="32"/>
    <x v="1"/>
    <x v="0"/>
    <n v="13.3"/>
    <x v="3"/>
    <s v="PLAZA BANCO GENERAL"/>
    <x v="1"/>
    <x v="48"/>
    <x v="1"/>
    <x v="1"/>
  </r>
  <r>
    <x v="6"/>
    <n v="176833107"/>
    <x v="32"/>
    <x v="1"/>
    <x v="32"/>
    <x v="1"/>
    <x v="0"/>
    <n v="2.4"/>
    <x v="3"/>
    <s v="PLAZA BANCO GENERAL"/>
    <x v="1"/>
    <x v="48"/>
    <x v="1"/>
    <x v="1"/>
  </r>
  <r>
    <x v="20"/>
    <n v="175991940"/>
    <x v="32"/>
    <x v="1"/>
    <x v="33"/>
    <x v="1"/>
    <x v="0"/>
    <n v="9"/>
    <x v="3"/>
    <s v="LA CHORRERA - PARQUE 10 DE NOV."/>
    <x v="1"/>
    <x v="49"/>
    <x v="1"/>
    <x v="1"/>
  </r>
  <r>
    <x v="11"/>
    <n v="175936458"/>
    <x v="32"/>
    <x v="1"/>
    <x v="34"/>
    <x v="1"/>
    <x v="0"/>
    <n v="7.35"/>
    <x v="3"/>
    <s v="COSTA DEL ESTE - CENTENARIO"/>
    <x v="1"/>
    <x v="50"/>
    <x v="1"/>
    <x v="1"/>
  </r>
  <r>
    <x v="23"/>
    <n v="176212851"/>
    <x v="32"/>
    <x v="1"/>
    <x v="34"/>
    <x v="1"/>
    <x v="0"/>
    <n v="2.25"/>
    <x v="3"/>
    <s v="COSTA DEL ESTE - CENTENARIO"/>
    <x v="1"/>
    <x v="50"/>
    <x v="1"/>
    <x v="1"/>
  </r>
  <r>
    <x v="5"/>
    <n v="176150814"/>
    <x v="32"/>
    <x v="1"/>
    <x v="53"/>
    <x v="1"/>
    <x v="0"/>
    <n v="1200"/>
    <x v="3"/>
    <s v="PLAZA CAROLINA"/>
    <x v="1"/>
    <x v="51"/>
    <x v="1"/>
    <x v="1"/>
  </r>
  <r>
    <x v="16"/>
    <n v="176679812"/>
    <x v="32"/>
    <x v="1"/>
    <x v="53"/>
    <x v="1"/>
    <x v="0"/>
    <n v="6.5"/>
    <x v="3"/>
    <s v="PLAZA CAROLINA"/>
    <x v="1"/>
    <x v="51"/>
    <x v="1"/>
    <x v="1"/>
  </r>
  <r>
    <x v="10"/>
    <n v="176719533"/>
    <x v="42"/>
    <x v="1"/>
    <x v="53"/>
    <x v="1"/>
    <x v="4"/>
    <n v="0"/>
    <x v="10"/>
    <s v="PLAZA CAROLINA"/>
    <x v="1"/>
    <x v="23"/>
    <x v="1"/>
    <x v="1"/>
  </r>
  <r>
    <x v="0"/>
    <n v="176787908"/>
    <x v="32"/>
    <x v="1"/>
    <x v="53"/>
    <x v="1"/>
    <x v="0"/>
    <n v="14.55"/>
    <x v="3"/>
    <s v="PLAZA CAROLINA"/>
    <x v="1"/>
    <x v="51"/>
    <x v="1"/>
    <x v="1"/>
  </r>
  <r>
    <x v="10"/>
    <n v="176777716"/>
    <x v="120"/>
    <x v="1"/>
    <x v="54"/>
    <x v="1"/>
    <x v="0"/>
    <n v="12"/>
    <x v="4"/>
    <s v="CIUDAD DEL SABER"/>
    <x v="1"/>
    <x v="52"/>
    <x v="1"/>
    <x v="1"/>
  </r>
  <r>
    <x v="20"/>
    <n v="176003726"/>
    <x v="32"/>
    <x v="1"/>
    <x v="40"/>
    <x v="1"/>
    <x v="0"/>
    <n v="12"/>
    <x v="3"/>
    <s v="VILLA ZAITA"/>
    <x v="1"/>
    <x v="53"/>
    <x v="1"/>
    <x v="1"/>
  </r>
  <r>
    <x v="12"/>
    <n v="176581447"/>
    <x v="32"/>
    <x v="1"/>
    <x v="55"/>
    <x v="1"/>
    <x v="0"/>
    <n v="1100"/>
    <x v="3"/>
    <s v="AZUERO TERMINAL PLAZA"/>
    <x v="1"/>
    <x v="54"/>
    <x v="1"/>
    <x v="1"/>
  </r>
  <r>
    <x v="10"/>
    <n v="176719536"/>
    <x v="42"/>
    <x v="1"/>
    <x v="55"/>
    <x v="1"/>
    <x v="1"/>
    <n v="0"/>
    <x v="11"/>
    <s v="AZUERO TERMINAL PLAZA"/>
    <x v="1"/>
    <x v="18"/>
    <x v="1"/>
    <x v="1"/>
  </r>
  <r>
    <x v="23"/>
    <n v="176259407"/>
    <x v="121"/>
    <x v="1"/>
    <x v="56"/>
    <x v="1"/>
    <x v="0"/>
    <n v="9.5"/>
    <x v="4"/>
    <s v="COSTA VERDE"/>
    <x v="1"/>
    <x v="55"/>
    <x v="1"/>
    <x v="1"/>
  </r>
  <r>
    <x v="21"/>
    <n v="176355488"/>
    <x v="32"/>
    <x v="1"/>
    <x v="56"/>
    <x v="1"/>
    <x v="0"/>
    <n v="4.5"/>
    <x v="3"/>
    <s v="COSTA VERDE"/>
    <x v="1"/>
    <x v="56"/>
    <x v="1"/>
    <x v="1"/>
  </r>
  <r>
    <x v="16"/>
    <n v="176690865"/>
    <x v="32"/>
    <x v="1"/>
    <x v="57"/>
    <x v="1"/>
    <x v="0"/>
    <n v="1.8"/>
    <x v="3"/>
    <s v="PLAZA LOS ANGELES"/>
    <x v="1"/>
    <x v="57"/>
    <x v="1"/>
    <x v="1"/>
  </r>
  <r>
    <x v="6"/>
    <n v="176846900"/>
    <x v="42"/>
    <x v="1"/>
    <x v="57"/>
    <x v="2"/>
    <x v="5"/>
    <n v="0"/>
    <x v="12"/>
    <s v="PLAZA LOS ANGELES"/>
    <x v="1"/>
    <x v="58"/>
    <x v="2"/>
    <x v="2"/>
  </r>
  <r>
    <x v="8"/>
    <n v="176939858"/>
    <x v="32"/>
    <x v="1"/>
    <x v="57"/>
    <x v="2"/>
    <x v="0"/>
    <n v="6.85"/>
    <x v="13"/>
    <s v="PLAZA LOS ANGELES"/>
    <x v="1"/>
    <x v="59"/>
    <x v="2"/>
    <x v="2"/>
  </r>
  <r>
    <x v="8"/>
    <n v="176939858"/>
    <x v="122"/>
    <x v="1"/>
    <x v="57"/>
    <x v="2"/>
    <x v="0"/>
    <n v="6.85"/>
    <x v="14"/>
    <s v="PLAZA LOS ANGELES"/>
    <x v="1"/>
    <x v="59"/>
    <x v="2"/>
    <x v="2"/>
  </r>
  <r>
    <x v="1"/>
    <n v="176093324"/>
    <x v="123"/>
    <x v="1"/>
    <x v="58"/>
    <x v="1"/>
    <x v="0"/>
    <n v="70"/>
    <x v="4"/>
    <s v="SAN MATEO"/>
    <x v="1"/>
    <x v="44"/>
    <x v="1"/>
    <x v="1"/>
  </r>
  <r>
    <x v="14"/>
    <n v="175601425"/>
    <x v="32"/>
    <x v="1"/>
    <x v="41"/>
    <x v="1"/>
    <x v="0"/>
    <n v="4.5"/>
    <x v="3"/>
    <s v="BRISAS DEL GOLF ARRAIJAN"/>
    <x v="1"/>
    <x v="60"/>
    <x v="1"/>
    <x v="1"/>
  </r>
  <r>
    <x v="9"/>
    <n v="175830502"/>
    <x v="32"/>
    <x v="1"/>
    <x v="59"/>
    <x v="1"/>
    <x v="0"/>
    <n v="13"/>
    <x v="3"/>
    <s v="PASEO ARRAIJAN"/>
    <x v="1"/>
    <x v="61"/>
    <x v="1"/>
    <x v="1"/>
  </r>
  <r>
    <x v="4"/>
    <n v="175665315"/>
    <x v="32"/>
    <x v="1"/>
    <x v="60"/>
    <x v="1"/>
    <x v="0"/>
    <n v="3.6"/>
    <x v="3"/>
    <s v="SANTA MARIA"/>
    <x v="1"/>
    <x v="62"/>
    <x v="1"/>
    <x v="1"/>
  </r>
  <r>
    <x v="25"/>
    <n v="176637475"/>
    <x v="32"/>
    <x v="1"/>
    <x v="60"/>
    <x v="1"/>
    <x v="0"/>
    <n v="3.6"/>
    <x v="3"/>
    <s v="SANTA MARIA"/>
    <x v="1"/>
    <x v="62"/>
    <x v="1"/>
    <x v="1"/>
  </r>
  <r>
    <x v="16"/>
    <n v="176719325"/>
    <x v="32"/>
    <x v="2"/>
    <x v="0"/>
    <x v="1"/>
    <x v="0"/>
    <n v="63.13"/>
    <x v="15"/>
    <s v="CASA MATRIZ"/>
    <x v="2"/>
    <x v="63"/>
    <x v="1"/>
    <x v="1"/>
  </r>
  <r>
    <x v="25"/>
    <n v="176665182"/>
    <x v="122"/>
    <x v="2"/>
    <x v="0"/>
    <x v="2"/>
    <x v="0"/>
    <n v="48"/>
    <x v="16"/>
    <s v="CASA MATRIZ"/>
    <x v="2"/>
    <x v="64"/>
    <x v="2"/>
    <x v="2"/>
  </r>
  <r>
    <x v="1"/>
    <n v="176093324"/>
    <x v="42"/>
    <x v="2"/>
    <x v="1"/>
    <x v="1"/>
    <x v="0"/>
    <n v="8"/>
    <x v="16"/>
    <s v="PAITILLA"/>
    <x v="2"/>
    <x v="44"/>
    <x v="1"/>
    <x v="1"/>
  </r>
  <r>
    <x v="3"/>
    <n v="175921690"/>
    <x v="122"/>
    <x v="2"/>
    <x v="1"/>
    <x v="2"/>
    <x v="0"/>
    <n v="8"/>
    <x v="16"/>
    <s v="PAITILLA"/>
    <x v="2"/>
    <x v="25"/>
    <x v="2"/>
    <x v="2"/>
  </r>
  <r>
    <x v="16"/>
    <n v="176719325"/>
    <x v="124"/>
    <x v="2"/>
    <x v="3"/>
    <x v="1"/>
    <x v="0"/>
    <n v="113"/>
    <x v="15"/>
    <s v="VIA PORRAS"/>
    <x v="2"/>
    <x v="63"/>
    <x v="1"/>
    <x v="1"/>
  </r>
  <r>
    <x v="16"/>
    <n v="176719325"/>
    <x v="125"/>
    <x v="2"/>
    <x v="3"/>
    <x v="1"/>
    <x v="0"/>
    <n v="16"/>
    <x v="16"/>
    <s v="VIA PORRAS"/>
    <x v="2"/>
    <x v="63"/>
    <x v="1"/>
    <x v="1"/>
  </r>
  <r>
    <x v="3"/>
    <n v="175921690"/>
    <x v="126"/>
    <x v="2"/>
    <x v="3"/>
    <x v="2"/>
    <x v="0"/>
    <n v="8"/>
    <x v="16"/>
    <s v="VIA PORRAS"/>
    <x v="2"/>
    <x v="25"/>
    <x v="2"/>
    <x v="2"/>
  </r>
  <r>
    <x v="25"/>
    <n v="176665182"/>
    <x v="127"/>
    <x v="2"/>
    <x v="3"/>
    <x v="2"/>
    <x v="0"/>
    <n v="40"/>
    <x v="16"/>
    <s v="VIA PORRAS"/>
    <x v="2"/>
    <x v="64"/>
    <x v="2"/>
    <x v="2"/>
  </r>
  <r>
    <x v="21"/>
    <n v="176389998"/>
    <x v="122"/>
    <x v="2"/>
    <x v="3"/>
    <x v="0"/>
    <x v="0"/>
    <n v="8"/>
    <x v="16"/>
    <s v="VIA PORRAS"/>
    <x v="2"/>
    <x v="30"/>
    <x v="0"/>
    <x v="0"/>
  </r>
  <r>
    <x v="3"/>
    <n v="175921690"/>
    <x v="121"/>
    <x v="2"/>
    <x v="4"/>
    <x v="2"/>
    <x v="0"/>
    <n v="8"/>
    <x v="16"/>
    <s v="EL INGENIO"/>
    <x v="2"/>
    <x v="25"/>
    <x v="2"/>
    <x v="2"/>
  </r>
  <r>
    <x v="0"/>
    <n v="176818303"/>
    <x v="127"/>
    <x v="2"/>
    <x v="5"/>
    <x v="1"/>
    <x v="0"/>
    <n v="104"/>
    <x v="15"/>
    <s v="PLAZA TOCUMEN"/>
    <x v="2"/>
    <x v="65"/>
    <x v="1"/>
    <x v="1"/>
  </r>
  <r>
    <x v="12"/>
    <n v="176611219"/>
    <x v="128"/>
    <x v="2"/>
    <x v="7"/>
    <x v="2"/>
    <x v="0"/>
    <n v="8"/>
    <x v="16"/>
    <s v="OBARRIO"/>
    <x v="2"/>
    <x v="45"/>
    <x v="2"/>
    <x v="2"/>
  </r>
  <r>
    <x v="9"/>
    <n v="175863582"/>
    <x v="111"/>
    <x v="2"/>
    <x v="7"/>
    <x v="0"/>
    <x v="0"/>
    <n v="8"/>
    <x v="16"/>
    <s v="OBARRIO"/>
    <x v="2"/>
    <x v="66"/>
    <x v="0"/>
    <x v="0"/>
  </r>
  <r>
    <x v="15"/>
    <n v="176554951"/>
    <x v="129"/>
    <x v="2"/>
    <x v="7"/>
    <x v="0"/>
    <x v="0"/>
    <n v="24"/>
    <x v="16"/>
    <s v="OBARRIO"/>
    <x v="2"/>
    <x v="67"/>
    <x v="0"/>
    <x v="0"/>
  </r>
  <r>
    <x v="4"/>
    <n v="175696740"/>
    <x v="127"/>
    <x v="2"/>
    <x v="8"/>
    <x v="2"/>
    <x v="0"/>
    <n v="16"/>
    <x v="16"/>
    <s v="HATO PINTADO"/>
    <x v="2"/>
    <x v="39"/>
    <x v="2"/>
    <x v="2"/>
  </r>
  <r>
    <x v="9"/>
    <n v="175863582"/>
    <x v="130"/>
    <x v="2"/>
    <x v="8"/>
    <x v="2"/>
    <x v="0"/>
    <n v="16"/>
    <x v="16"/>
    <s v="HATO PINTADO"/>
    <x v="2"/>
    <x v="66"/>
    <x v="2"/>
    <x v="2"/>
  </r>
  <r>
    <x v="20"/>
    <n v="176033141"/>
    <x v="131"/>
    <x v="2"/>
    <x v="8"/>
    <x v="2"/>
    <x v="0"/>
    <n v="112"/>
    <x v="16"/>
    <s v="HATO PINTADO"/>
    <x v="2"/>
    <x v="26"/>
    <x v="2"/>
    <x v="2"/>
  </r>
  <r>
    <x v="5"/>
    <n v="176196481"/>
    <x v="3"/>
    <x v="2"/>
    <x v="8"/>
    <x v="2"/>
    <x v="0"/>
    <n v="16"/>
    <x v="16"/>
    <s v="HATO PINTADO"/>
    <x v="2"/>
    <x v="15"/>
    <x v="2"/>
    <x v="2"/>
  </r>
  <r>
    <x v="7"/>
    <n v="176451890"/>
    <x v="106"/>
    <x v="2"/>
    <x v="8"/>
    <x v="2"/>
    <x v="0"/>
    <n v="24"/>
    <x v="16"/>
    <s v="HATO PINTADO"/>
    <x v="2"/>
    <x v="29"/>
    <x v="2"/>
    <x v="2"/>
  </r>
  <r>
    <x v="15"/>
    <n v="176554951"/>
    <x v="132"/>
    <x v="2"/>
    <x v="8"/>
    <x v="2"/>
    <x v="0"/>
    <n v="16"/>
    <x v="16"/>
    <s v="HATO PINTADO"/>
    <x v="2"/>
    <x v="67"/>
    <x v="2"/>
    <x v="2"/>
  </r>
  <r>
    <x v="25"/>
    <n v="176665182"/>
    <x v="133"/>
    <x v="2"/>
    <x v="8"/>
    <x v="2"/>
    <x v="0"/>
    <n v="72"/>
    <x v="16"/>
    <s v="HATO PINTADO"/>
    <x v="2"/>
    <x v="64"/>
    <x v="2"/>
    <x v="2"/>
  </r>
  <r>
    <x v="16"/>
    <n v="176719325"/>
    <x v="134"/>
    <x v="2"/>
    <x v="8"/>
    <x v="2"/>
    <x v="0"/>
    <n v="48"/>
    <x v="16"/>
    <s v="HATO PINTADO"/>
    <x v="2"/>
    <x v="63"/>
    <x v="2"/>
    <x v="2"/>
  </r>
  <r>
    <x v="10"/>
    <n v="176777716"/>
    <x v="135"/>
    <x v="2"/>
    <x v="8"/>
    <x v="2"/>
    <x v="0"/>
    <n v="32"/>
    <x v="16"/>
    <s v="HATO PINTADO"/>
    <x v="2"/>
    <x v="52"/>
    <x v="2"/>
    <x v="2"/>
  </r>
  <r>
    <x v="6"/>
    <n v="176880462"/>
    <x v="104"/>
    <x v="2"/>
    <x v="8"/>
    <x v="2"/>
    <x v="0"/>
    <n v="8"/>
    <x v="16"/>
    <s v="HATO PINTADO"/>
    <x v="2"/>
    <x v="68"/>
    <x v="2"/>
    <x v="2"/>
  </r>
  <r>
    <x v="17"/>
    <n v="176939618"/>
    <x v="136"/>
    <x v="2"/>
    <x v="8"/>
    <x v="2"/>
    <x v="0"/>
    <n v="32"/>
    <x v="16"/>
    <s v="HATO PINTADO"/>
    <x v="2"/>
    <x v="41"/>
    <x v="2"/>
    <x v="2"/>
  </r>
  <r>
    <x v="20"/>
    <n v="176033141"/>
    <x v="137"/>
    <x v="2"/>
    <x v="8"/>
    <x v="0"/>
    <x v="0"/>
    <n v="16"/>
    <x v="16"/>
    <s v="HATO PINTADO"/>
    <x v="2"/>
    <x v="26"/>
    <x v="0"/>
    <x v="0"/>
  </r>
  <r>
    <x v="7"/>
    <n v="176451890"/>
    <x v="118"/>
    <x v="2"/>
    <x v="44"/>
    <x v="1"/>
    <x v="0"/>
    <n v="48.07"/>
    <x v="15"/>
    <s v="LA CHORRERA"/>
    <x v="2"/>
    <x v="29"/>
    <x v="1"/>
    <x v="1"/>
  </r>
  <r>
    <x v="23"/>
    <n v="176259407"/>
    <x v="137"/>
    <x v="2"/>
    <x v="10"/>
    <x v="1"/>
    <x v="0"/>
    <n v="51.04"/>
    <x v="15"/>
    <s v="VILLA LUCRE"/>
    <x v="2"/>
    <x v="55"/>
    <x v="1"/>
    <x v="1"/>
  </r>
  <r>
    <x v="24"/>
    <n v="175758174"/>
    <x v="138"/>
    <x v="2"/>
    <x v="10"/>
    <x v="2"/>
    <x v="0"/>
    <n v="32"/>
    <x v="16"/>
    <s v="VILLA LUCRE"/>
    <x v="2"/>
    <x v="69"/>
    <x v="2"/>
    <x v="2"/>
  </r>
  <r>
    <x v="9"/>
    <n v="175863582"/>
    <x v="115"/>
    <x v="2"/>
    <x v="10"/>
    <x v="2"/>
    <x v="0"/>
    <n v="8"/>
    <x v="16"/>
    <s v="VILLA LUCRE"/>
    <x v="2"/>
    <x v="66"/>
    <x v="2"/>
    <x v="2"/>
  </r>
  <r>
    <x v="7"/>
    <n v="176451890"/>
    <x v="139"/>
    <x v="2"/>
    <x v="10"/>
    <x v="2"/>
    <x v="0"/>
    <n v="16"/>
    <x v="16"/>
    <s v="VILLA LUCRE"/>
    <x v="2"/>
    <x v="29"/>
    <x v="2"/>
    <x v="2"/>
  </r>
  <r>
    <x v="15"/>
    <n v="176554951"/>
    <x v="140"/>
    <x v="2"/>
    <x v="10"/>
    <x v="2"/>
    <x v="0"/>
    <n v="48"/>
    <x v="16"/>
    <s v="VILLA LUCRE"/>
    <x v="2"/>
    <x v="67"/>
    <x v="2"/>
    <x v="2"/>
  </r>
  <r>
    <x v="4"/>
    <n v="175696740"/>
    <x v="141"/>
    <x v="2"/>
    <x v="11"/>
    <x v="2"/>
    <x v="0"/>
    <n v="24"/>
    <x v="16"/>
    <s v="LOS ANDES"/>
    <x v="2"/>
    <x v="39"/>
    <x v="2"/>
    <x v="2"/>
  </r>
  <r>
    <x v="24"/>
    <n v="175758174"/>
    <x v="126"/>
    <x v="2"/>
    <x v="11"/>
    <x v="2"/>
    <x v="0"/>
    <n v="72"/>
    <x v="16"/>
    <s v="LOS ANDES"/>
    <x v="2"/>
    <x v="69"/>
    <x v="2"/>
    <x v="2"/>
  </r>
  <r>
    <x v="3"/>
    <n v="175921690"/>
    <x v="142"/>
    <x v="2"/>
    <x v="11"/>
    <x v="2"/>
    <x v="0"/>
    <n v="32"/>
    <x v="16"/>
    <s v="LOS ANDES"/>
    <x v="2"/>
    <x v="25"/>
    <x v="2"/>
    <x v="2"/>
  </r>
  <r>
    <x v="20"/>
    <n v="176033141"/>
    <x v="143"/>
    <x v="2"/>
    <x v="11"/>
    <x v="2"/>
    <x v="0"/>
    <n v="80"/>
    <x v="16"/>
    <s v="LOS ANDES"/>
    <x v="2"/>
    <x v="26"/>
    <x v="2"/>
    <x v="2"/>
  </r>
  <r>
    <x v="5"/>
    <n v="176196481"/>
    <x v="105"/>
    <x v="2"/>
    <x v="11"/>
    <x v="2"/>
    <x v="0"/>
    <n v="32"/>
    <x v="16"/>
    <s v="LOS ANDES"/>
    <x v="2"/>
    <x v="15"/>
    <x v="2"/>
    <x v="2"/>
  </r>
  <r>
    <x v="21"/>
    <n v="176389998"/>
    <x v="1"/>
    <x v="2"/>
    <x v="11"/>
    <x v="2"/>
    <x v="0"/>
    <n v="64"/>
    <x v="16"/>
    <s v="LOS ANDES"/>
    <x v="2"/>
    <x v="30"/>
    <x v="2"/>
    <x v="2"/>
  </r>
  <r>
    <x v="7"/>
    <n v="176451890"/>
    <x v="144"/>
    <x v="2"/>
    <x v="11"/>
    <x v="2"/>
    <x v="0"/>
    <n v="80"/>
    <x v="16"/>
    <s v="LOS ANDES"/>
    <x v="2"/>
    <x v="29"/>
    <x v="2"/>
    <x v="2"/>
  </r>
  <r>
    <x v="12"/>
    <n v="176611219"/>
    <x v="145"/>
    <x v="2"/>
    <x v="11"/>
    <x v="2"/>
    <x v="0"/>
    <n v="40"/>
    <x v="16"/>
    <s v="LOS ANDES"/>
    <x v="2"/>
    <x v="45"/>
    <x v="2"/>
    <x v="2"/>
  </r>
  <r>
    <x v="25"/>
    <n v="176665182"/>
    <x v="146"/>
    <x v="2"/>
    <x v="11"/>
    <x v="2"/>
    <x v="0"/>
    <n v="8"/>
    <x v="16"/>
    <s v="LOS ANDES"/>
    <x v="2"/>
    <x v="64"/>
    <x v="2"/>
    <x v="2"/>
  </r>
  <r>
    <x v="16"/>
    <n v="176719325"/>
    <x v="147"/>
    <x v="2"/>
    <x v="11"/>
    <x v="2"/>
    <x v="0"/>
    <n v="48"/>
    <x v="16"/>
    <s v="LOS ANDES"/>
    <x v="2"/>
    <x v="63"/>
    <x v="2"/>
    <x v="2"/>
  </r>
  <r>
    <x v="10"/>
    <n v="176777716"/>
    <x v="148"/>
    <x v="2"/>
    <x v="11"/>
    <x v="2"/>
    <x v="0"/>
    <n v="16"/>
    <x v="16"/>
    <s v="LOS ANDES"/>
    <x v="2"/>
    <x v="52"/>
    <x v="2"/>
    <x v="2"/>
  </r>
  <r>
    <x v="6"/>
    <n v="176880462"/>
    <x v="149"/>
    <x v="2"/>
    <x v="11"/>
    <x v="2"/>
    <x v="0"/>
    <n v="8"/>
    <x v="16"/>
    <s v="LOS ANDES"/>
    <x v="2"/>
    <x v="68"/>
    <x v="2"/>
    <x v="2"/>
  </r>
  <r>
    <x v="3"/>
    <n v="175921690"/>
    <x v="123"/>
    <x v="2"/>
    <x v="13"/>
    <x v="2"/>
    <x v="0"/>
    <n v="16"/>
    <x v="16"/>
    <s v="LOS PUEBLOS"/>
    <x v="2"/>
    <x v="25"/>
    <x v="2"/>
    <x v="2"/>
  </r>
  <r>
    <x v="10"/>
    <n v="176777716"/>
    <x v="150"/>
    <x v="2"/>
    <x v="13"/>
    <x v="2"/>
    <x v="0"/>
    <n v="64"/>
    <x v="16"/>
    <s v="LOS PUEBLOS"/>
    <x v="2"/>
    <x v="52"/>
    <x v="2"/>
    <x v="2"/>
  </r>
  <r>
    <x v="24"/>
    <n v="175758174"/>
    <x v="151"/>
    <x v="2"/>
    <x v="14"/>
    <x v="2"/>
    <x v="0"/>
    <n v="80"/>
    <x v="16"/>
    <s v="TRANSISTMICA"/>
    <x v="2"/>
    <x v="69"/>
    <x v="2"/>
    <x v="2"/>
  </r>
  <r>
    <x v="10"/>
    <n v="176777716"/>
    <x v="152"/>
    <x v="2"/>
    <x v="14"/>
    <x v="2"/>
    <x v="0"/>
    <n v="112"/>
    <x v="16"/>
    <s v="TRANSISTMICA"/>
    <x v="2"/>
    <x v="52"/>
    <x v="2"/>
    <x v="2"/>
  </r>
  <r>
    <x v="24"/>
    <n v="175758174"/>
    <x v="121"/>
    <x v="2"/>
    <x v="14"/>
    <x v="0"/>
    <x v="0"/>
    <n v="24"/>
    <x v="16"/>
    <s v="TRANSISTMICA"/>
    <x v="2"/>
    <x v="69"/>
    <x v="0"/>
    <x v="0"/>
  </r>
  <r>
    <x v="10"/>
    <n v="176777716"/>
    <x v="153"/>
    <x v="2"/>
    <x v="14"/>
    <x v="0"/>
    <x v="0"/>
    <n v="8"/>
    <x v="16"/>
    <s v="TRANSISTMICA"/>
    <x v="2"/>
    <x v="52"/>
    <x v="0"/>
    <x v="0"/>
  </r>
  <r>
    <x v="9"/>
    <n v="175863582"/>
    <x v="154"/>
    <x v="2"/>
    <x v="16"/>
    <x v="2"/>
    <x v="0"/>
    <n v="24"/>
    <x v="16"/>
    <s v="DAVID"/>
    <x v="2"/>
    <x v="66"/>
    <x v="2"/>
    <x v="2"/>
  </r>
  <r>
    <x v="11"/>
    <n v="175977772"/>
    <x v="155"/>
    <x v="2"/>
    <x v="16"/>
    <x v="2"/>
    <x v="0"/>
    <n v="8"/>
    <x v="16"/>
    <s v="DAVID"/>
    <x v="2"/>
    <x v="21"/>
    <x v="2"/>
    <x v="2"/>
  </r>
  <r>
    <x v="20"/>
    <n v="176033141"/>
    <x v="118"/>
    <x v="2"/>
    <x v="49"/>
    <x v="1"/>
    <x v="0"/>
    <n v="8.5"/>
    <x v="15"/>
    <s v="PENONOME"/>
    <x v="2"/>
    <x v="26"/>
    <x v="1"/>
    <x v="1"/>
  </r>
  <r>
    <x v="16"/>
    <n v="176719325"/>
    <x v="16"/>
    <x v="2"/>
    <x v="49"/>
    <x v="1"/>
    <x v="0"/>
    <n v="14.25"/>
    <x v="15"/>
    <s v="PENONOME"/>
    <x v="2"/>
    <x v="63"/>
    <x v="1"/>
    <x v="1"/>
  </r>
  <r>
    <x v="3"/>
    <n v="175921690"/>
    <x v="106"/>
    <x v="2"/>
    <x v="20"/>
    <x v="2"/>
    <x v="0"/>
    <n v="8"/>
    <x v="16"/>
    <s v="ALBROOK"/>
    <x v="2"/>
    <x v="25"/>
    <x v="2"/>
    <x v="2"/>
  </r>
  <r>
    <x v="5"/>
    <n v="176196481"/>
    <x v="156"/>
    <x v="2"/>
    <x v="20"/>
    <x v="2"/>
    <x v="0"/>
    <n v="8"/>
    <x v="16"/>
    <s v="ALBROOK"/>
    <x v="2"/>
    <x v="15"/>
    <x v="2"/>
    <x v="2"/>
  </r>
  <r>
    <x v="23"/>
    <n v="176259407"/>
    <x v="3"/>
    <x v="2"/>
    <x v="20"/>
    <x v="2"/>
    <x v="0"/>
    <n v="8"/>
    <x v="16"/>
    <s v="ALBROOK"/>
    <x v="2"/>
    <x v="55"/>
    <x v="2"/>
    <x v="2"/>
  </r>
  <r>
    <x v="10"/>
    <n v="176777716"/>
    <x v="157"/>
    <x v="2"/>
    <x v="20"/>
    <x v="2"/>
    <x v="0"/>
    <n v="8"/>
    <x v="16"/>
    <s v="ALBROOK"/>
    <x v="2"/>
    <x v="52"/>
    <x v="2"/>
    <x v="2"/>
  </r>
  <r>
    <x v="4"/>
    <n v="175696740"/>
    <x v="133"/>
    <x v="2"/>
    <x v="21"/>
    <x v="2"/>
    <x v="0"/>
    <n v="24"/>
    <x v="16"/>
    <s v="SUCURSAL DE VISTA ALEGRE"/>
    <x v="2"/>
    <x v="39"/>
    <x v="2"/>
    <x v="2"/>
  </r>
  <r>
    <x v="9"/>
    <n v="175863582"/>
    <x v="158"/>
    <x v="2"/>
    <x v="21"/>
    <x v="2"/>
    <x v="0"/>
    <n v="32"/>
    <x v="16"/>
    <s v="SUCURSAL DE VISTA ALEGRE"/>
    <x v="2"/>
    <x v="66"/>
    <x v="2"/>
    <x v="2"/>
  </r>
  <r>
    <x v="3"/>
    <n v="175921690"/>
    <x v="159"/>
    <x v="2"/>
    <x v="21"/>
    <x v="2"/>
    <x v="0"/>
    <n v="8"/>
    <x v="16"/>
    <s v="SUCURSAL DE VISTA ALEGRE"/>
    <x v="2"/>
    <x v="25"/>
    <x v="2"/>
    <x v="2"/>
  </r>
  <r>
    <x v="2"/>
    <n v="176326175"/>
    <x v="116"/>
    <x v="2"/>
    <x v="21"/>
    <x v="2"/>
    <x v="0"/>
    <n v="16"/>
    <x v="16"/>
    <s v="SUCURSAL DE VISTA ALEGRE"/>
    <x v="2"/>
    <x v="70"/>
    <x v="2"/>
    <x v="2"/>
  </r>
  <r>
    <x v="21"/>
    <n v="176389998"/>
    <x v="141"/>
    <x v="2"/>
    <x v="21"/>
    <x v="2"/>
    <x v="0"/>
    <n v="8"/>
    <x v="16"/>
    <s v="SUCURSAL DE VISTA ALEGRE"/>
    <x v="2"/>
    <x v="30"/>
    <x v="2"/>
    <x v="2"/>
  </r>
  <r>
    <x v="12"/>
    <n v="176611219"/>
    <x v="160"/>
    <x v="2"/>
    <x v="21"/>
    <x v="2"/>
    <x v="0"/>
    <n v="8"/>
    <x v="16"/>
    <s v="SUCURSAL DE VISTA ALEGRE"/>
    <x v="2"/>
    <x v="45"/>
    <x v="2"/>
    <x v="2"/>
  </r>
  <r>
    <x v="25"/>
    <n v="176665182"/>
    <x v="161"/>
    <x v="2"/>
    <x v="21"/>
    <x v="2"/>
    <x v="0"/>
    <n v="16"/>
    <x v="16"/>
    <s v="SUCURSAL DE VISTA ALEGRE"/>
    <x v="2"/>
    <x v="64"/>
    <x v="2"/>
    <x v="2"/>
  </r>
  <r>
    <x v="16"/>
    <n v="176719325"/>
    <x v="162"/>
    <x v="2"/>
    <x v="21"/>
    <x v="2"/>
    <x v="0"/>
    <n v="16"/>
    <x v="16"/>
    <s v="SUCURSAL DE VISTA ALEGRE"/>
    <x v="2"/>
    <x v="63"/>
    <x v="2"/>
    <x v="2"/>
  </r>
  <r>
    <x v="10"/>
    <n v="176777716"/>
    <x v="163"/>
    <x v="2"/>
    <x v="21"/>
    <x v="2"/>
    <x v="0"/>
    <n v="24"/>
    <x v="16"/>
    <s v="SUCURSAL DE VISTA ALEGRE"/>
    <x v="2"/>
    <x v="52"/>
    <x v="2"/>
    <x v="2"/>
  </r>
  <r>
    <x v="5"/>
    <n v="176196481"/>
    <x v="155"/>
    <x v="2"/>
    <x v="21"/>
    <x v="0"/>
    <x v="0"/>
    <n v="8"/>
    <x v="16"/>
    <s v="SUCURSAL DE VISTA ALEGRE"/>
    <x v="2"/>
    <x v="15"/>
    <x v="0"/>
    <x v="0"/>
  </r>
  <r>
    <x v="12"/>
    <n v="176611219"/>
    <x v="164"/>
    <x v="2"/>
    <x v="21"/>
    <x v="0"/>
    <x v="0"/>
    <n v="8"/>
    <x v="16"/>
    <s v="SUCURSAL DE VISTA ALEGRE"/>
    <x v="2"/>
    <x v="45"/>
    <x v="0"/>
    <x v="0"/>
  </r>
  <r>
    <x v="23"/>
    <n v="176259407"/>
    <x v="165"/>
    <x v="2"/>
    <x v="22"/>
    <x v="1"/>
    <x v="0"/>
    <n v="42.85"/>
    <x v="15"/>
    <s v="24 DE DICIEMBRE"/>
    <x v="2"/>
    <x v="55"/>
    <x v="1"/>
    <x v="1"/>
  </r>
  <r>
    <x v="9"/>
    <n v="175863582"/>
    <x v="166"/>
    <x v="2"/>
    <x v="23"/>
    <x v="2"/>
    <x v="0"/>
    <n v="8"/>
    <x v="16"/>
    <s v="COSTA DEL ESTE"/>
    <x v="2"/>
    <x v="66"/>
    <x v="2"/>
    <x v="2"/>
  </r>
  <r>
    <x v="20"/>
    <n v="176033141"/>
    <x v="167"/>
    <x v="2"/>
    <x v="23"/>
    <x v="2"/>
    <x v="0"/>
    <n v="16"/>
    <x v="16"/>
    <s v="COSTA DEL ESTE"/>
    <x v="2"/>
    <x v="26"/>
    <x v="2"/>
    <x v="2"/>
  </r>
  <r>
    <x v="25"/>
    <n v="176665182"/>
    <x v="168"/>
    <x v="2"/>
    <x v="23"/>
    <x v="2"/>
    <x v="0"/>
    <n v="24"/>
    <x v="16"/>
    <s v="COSTA DEL ESTE"/>
    <x v="2"/>
    <x v="64"/>
    <x v="2"/>
    <x v="2"/>
  </r>
  <r>
    <x v="21"/>
    <n v="176389998"/>
    <x v="128"/>
    <x v="2"/>
    <x v="23"/>
    <x v="0"/>
    <x v="0"/>
    <n v="8"/>
    <x v="16"/>
    <s v="COSTA DEL ESTE"/>
    <x v="2"/>
    <x v="30"/>
    <x v="0"/>
    <x v="0"/>
  </r>
  <r>
    <x v="17"/>
    <n v="176939618"/>
    <x v="169"/>
    <x v="2"/>
    <x v="23"/>
    <x v="0"/>
    <x v="0"/>
    <n v="8"/>
    <x v="16"/>
    <s v="COSTA DEL ESTE"/>
    <x v="2"/>
    <x v="41"/>
    <x v="0"/>
    <x v="0"/>
  </r>
  <r>
    <x v="21"/>
    <n v="176389998"/>
    <x v="170"/>
    <x v="2"/>
    <x v="24"/>
    <x v="1"/>
    <x v="0"/>
    <n v="8"/>
    <x v="16"/>
    <s v="MULTI PLAZA"/>
    <x v="2"/>
    <x v="30"/>
    <x v="1"/>
    <x v="1"/>
  </r>
  <r>
    <x v="4"/>
    <n v="175696740"/>
    <x v="112"/>
    <x v="2"/>
    <x v="24"/>
    <x v="2"/>
    <x v="0"/>
    <n v="8"/>
    <x v="16"/>
    <s v="MULTI PLAZA"/>
    <x v="2"/>
    <x v="39"/>
    <x v="2"/>
    <x v="2"/>
  </r>
  <r>
    <x v="9"/>
    <n v="175863582"/>
    <x v="171"/>
    <x v="2"/>
    <x v="24"/>
    <x v="2"/>
    <x v="0"/>
    <n v="48"/>
    <x v="16"/>
    <s v="MULTI PLAZA"/>
    <x v="2"/>
    <x v="66"/>
    <x v="2"/>
    <x v="2"/>
  </r>
  <r>
    <x v="7"/>
    <n v="176451890"/>
    <x v="172"/>
    <x v="2"/>
    <x v="24"/>
    <x v="2"/>
    <x v="0"/>
    <n v="16"/>
    <x v="16"/>
    <s v="MULTI PLAZA"/>
    <x v="2"/>
    <x v="29"/>
    <x v="2"/>
    <x v="2"/>
  </r>
  <r>
    <x v="25"/>
    <n v="176665182"/>
    <x v="173"/>
    <x v="2"/>
    <x v="24"/>
    <x v="2"/>
    <x v="0"/>
    <n v="16"/>
    <x v="16"/>
    <s v="MULTI PLAZA"/>
    <x v="2"/>
    <x v="64"/>
    <x v="2"/>
    <x v="2"/>
  </r>
  <r>
    <x v="17"/>
    <n v="176939618"/>
    <x v="6"/>
    <x v="2"/>
    <x v="24"/>
    <x v="2"/>
    <x v="0"/>
    <n v="8"/>
    <x v="16"/>
    <s v="MULTI PLAZA"/>
    <x v="2"/>
    <x v="41"/>
    <x v="2"/>
    <x v="2"/>
  </r>
  <r>
    <x v="7"/>
    <n v="176451890"/>
    <x v="174"/>
    <x v="2"/>
    <x v="25"/>
    <x v="1"/>
    <x v="0"/>
    <n v="27.47"/>
    <x v="15"/>
    <s v="TERMINAL DE ALBROOK"/>
    <x v="2"/>
    <x v="29"/>
    <x v="1"/>
    <x v="1"/>
  </r>
  <r>
    <x v="3"/>
    <n v="175921690"/>
    <x v="175"/>
    <x v="2"/>
    <x v="25"/>
    <x v="2"/>
    <x v="0"/>
    <n v="56"/>
    <x v="16"/>
    <s v="TERMINAL DE ALBROOK"/>
    <x v="2"/>
    <x v="25"/>
    <x v="2"/>
    <x v="2"/>
  </r>
  <r>
    <x v="20"/>
    <n v="176033141"/>
    <x v="156"/>
    <x v="2"/>
    <x v="25"/>
    <x v="2"/>
    <x v="0"/>
    <n v="16"/>
    <x v="16"/>
    <s v="TERMINAL DE ALBROOK"/>
    <x v="2"/>
    <x v="26"/>
    <x v="2"/>
    <x v="2"/>
  </r>
  <r>
    <x v="7"/>
    <n v="176451890"/>
    <x v="176"/>
    <x v="2"/>
    <x v="25"/>
    <x v="2"/>
    <x v="0"/>
    <n v="48"/>
    <x v="16"/>
    <s v="TERMINAL DE ALBROOK"/>
    <x v="2"/>
    <x v="29"/>
    <x v="2"/>
    <x v="2"/>
  </r>
  <r>
    <x v="15"/>
    <n v="176554951"/>
    <x v="177"/>
    <x v="2"/>
    <x v="25"/>
    <x v="2"/>
    <x v="0"/>
    <n v="32"/>
    <x v="16"/>
    <s v="TERMINAL DE ALBROOK"/>
    <x v="2"/>
    <x v="67"/>
    <x v="2"/>
    <x v="2"/>
  </r>
  <r>
    <x v="12"/>
    <n v="176611219"/>
    <x v="178"/>
    <x v="2"/>
    <x v="25"/>
    <x v="2"/>
    <x v="0"/>
    <n v="8"/>
    <x v="16"/>
    <s v="TERMINAL DE ALBROOK"/>
    <x v="2"/>
    <x v="45"/>
    <x v="2"/>
    <x v="2"/>
  </r>
  <r>
    <x v="16"/>
    <n v="176719325"/>
    <x v="158"/>
    <x v="2"/>
    <x v="25"/>
    <x v="2"/>
    <x v="0"/>
    <n v="8"/>
    <x v="16"/>
    <s v="TERMINAL DE ALBROOK"/>
    <x v="2"/>
    <x v="63"/>
    <x v="2"/>
    <x v="2"/>
  </r>
  <r>
    <x v="10"/>
    <n v="176777716"/>
    <x v="179"/>
    <x v="2"/>
    <x v="25"/>
    <x v="2"/>
    <x v="0"/>
    <n v="16"/>
    <x v="16"/>
    <s v="TERMINAL DE ALBROOK"/>
    <x v="2"/>
    <x v="52"/>
    <x v="2"/>
    <x v="2"/>
  </r>
  <r>
    <x v="20"/>
    <n v="176033141"/>
    <x v="180"/>
    <x v="2"/>
    <x v="25"/>
    <x v="0"/>
    <x v="0"/>
    <n v="8"/>
    <x v="16"/>
    <s v="TERMINAL DE ALBROOK"/>
    <x v="2"/>
    <x v="26"/>
    <x v="0"/>
    <x v="0"/>
  </r>
  <r>
    <x v="7"/>
    <n v="176451890"/>
    <x v="181"/>
    <x v="2"/>
    <x v="25"/>
    <x v="0"/>
    <x v="0"/>
    <n v="8"/>
    <x v="16"/>
    <s v="TERMINAL DE ALBROOK"/>
    <x v="2"/>
    <x v="29"/>
    <x v="0"/>
    <x v="0"/>
  </r>
  <r>
    <x v="8"/>
    <n v="177000559"/>
    <x v="106"/>
    <x v="2"/>
    <x v="25"/>
    <x v="0"/>
    <x v="0"/>
    <n v="8"/>
    <x v="16"/>
    <s v="TERMINAL DE ALBROOK"/>
    <x v="2"/>
    <x v="71"/>
    <x v="0"/>
    <x v="0"/>
  </r>
  <r>
    <x v="3"/>
    <n v="175921690"/>
    <x v="182"/>
    <x v="2"/>
    <x v="27"/>
    <x v="2"/>
    <x v="0"/>
    <n v="24"/>
    <x v="16"/>
    <s v="BRISAS DEL GOLF"/>
    <x v="2"/>
    <x v="25"/>
    <x v="2"/>
    <x v="2"/>
  </r>
  <r>
    <x v="5"/>
    <n v="176196481"/>
    <x v="144"/>
    <x v="2"/>
    <x v="27"/>
    <x v="2"/>
    <x v="0"/>
    <n v="8"/>
    <x v="16"/>
    <s v="BRISAS DEL GOLF"/>
    <x v="2"/>
    <x v="15"/>
    <x v="2"/>
    <x v="2"/>
  </r>
  <r>
    <x v="12"/>
    <n v="176611219"/>
    <x v="183"/>
    <x v="2"/>
    <x v="27"/>
    <x v="2"/>
    <x v="0"/>
    <n v="24"/>
    <x v="16"/>
    <s v="BRISAS DEL GOLF"/>
    <x v="2"/>
    <x v="45"/>
    <x v="2"/>
    <x v="2"/>
  </r>
  <r>
    <x v="10"/>
    <n v="176777716"/>
    <x v="184"/>
    <x v="2"/>
    <x v="27"/>
    <x v="2"/>
    <x v="0"/>
    <n v="24"/>
    <x v="16"/>
    <s v="BRISAS DEL GOLF"/>
    <x v="2"/>
    <x v="52"/>
    <x v="2"/>
    <x v="2"/>
  </r>
  <r>
    <x v="25"/>
    <n v="176665182"/>
    <x v="158"/>
    <x v="2"/>
    <x v="28"/>
    <x v="2"/>
    <x v="0"/>
    <n v="88"/>
    <x v="16"/>
    <s v="PUENTE CENTENARIO"/>
    <x v="2"/>
    <x v="64"/>
    <x v="2"/>
    <x v="2"/>
  </r>
  <r>
    <x v="16"/>
    <n v="176719325"/>
    <x v="185"/>
    <x v="2"/>
    <x v="28"/>
    <x v="2"/>
    <x v="0"/>
    <n v="8"/>
    <x v="16"/>
    <s v="PUENTE CENTENARIO"/>
    <x v="2"/>
    <x v="63"/>
    <x v="2"/>
    <x v="2"/>
  </r>
  <r>
    <x v="16"/>
    <n v="176719325"/>
    <x v="186"/>
    <x v="2"/>
    <x v="52"/>
    <x v="1"/>
    <x v="0"/>
    <n v="24.62"/>
    <x v="15"/>
    <s v="SABANITAS"/>
    <x v="2"/>
    <x v="63"/>
    <x v="1"/>
    <x v="1"/>
  </r>
  <r>
    <x v="10"/>
    <n v="176777716"/>
    <x v="187"/>
    <x v="2"/>
    <x v="29"/>
    <x v="0"/>
    <x v="0"/>
    <n v="8"/>
    <x v="16"/>
    <s v="ALTOS DE PANAMA"/>
    <x v="2"/>
    <x v="52"/>
    <x v="0"/>
    <x v="0"/>
  </r>
  <r>
    <x v="14"/>
    <n v="175636411"/>
    <x v="118"/>
    <x v="2"/>
    <x v="61"/>
    <x v="1"/>
    <x v="0"/>
    <n v="104"/>
    <x v="15"/>
    <s v="VERSALLES"/>
    <x v="2"/>
    <x v="72"/>
    <x v="1"/>
    <x v="1"/>
  </r>
  <r>
    <x v="21"/>
    <n v="176389998"/>
    <x v="104"/>
    <x v="2"/>
    <x v="61"/>
    <x v="1"/>
    <x v="0"/>
    <n v="112"/>
    <x v="15"/>
    <s v="VERSALLES"/>
    <x v="2"/>
    <x v="30"/>
    <x v="1"/>
    <x v="1"/>
  </r>
  <r>
    <x v="20"/>
    <n v="176033141"/>
    <x v="6"/>
    <x v="2"/>
    <x v="31"/>
    <x v="1"/>
    <x v="0"/>
    <n v="27.8"/>
    <x v="15"/>
    <s v="SAN FRANCISCO"/>
    <x v="2"/>
    <x v="26"/>
    <x v="1"/>
    <x v="1"/>
  </r>
  <r>
    <x v="6"/>
    <n v="176880462"/>
    <x v="188"/>
    <x v="2"/>
    <x v="32"/>
    <x v="2"/>
    <x v="0"/>
    <n v="8"/>
    <x v="16"/>
    <s v="PLAZA BANCO GENERAL"/>
    <x v="2"/>
    <x v="68"/>
    <x v="2"/>
    <x v="2"/>
  </r>
  <r>
    <x v="24"/>
    <n v="175758174"/>
    <x v="124"/>
    <x v="2"/>
    <x v="33"/>
    <x v="2"/>
    <x v="0"/>
    <n v="80"/>
    <x v="16"/>
    <s v="LA CHORRERA - PARQUE 10 DE NOV."/>
    <x v="2"/>
    <x v="69"/>
    <x v="2"/>
    <x v="2"/>
  </r>
  <r>
    <x v="20"/>
    <n v="176033141"/>
    <x v="134"/>
    <x v="2"/>
    <x v="33"/>
    <x v="2"/>
    <x v="0"/>
    <n v="72"/>
    <x v="16"/>
    <s v="LA CHORRERA - PARQUE 10 DE NOV."/>
    <x v="2"/>
    <x v="26"/>
    <x v="2"/>
    <x v="2"/>
  </r>
  <r>
    <x v="23"/>
    <n v="176259407"/>
    <x v="189"/>
    <x v="2"/>
    <x v="33"/>
    <x v="2"/>
    <x v="0"/>
    <n v="24"/>
    <x v="16"/>
    <s v="LA CHORRERA - PARQUE 10 DE NOV."/>
    <x v="2"/>
    <x v="55"/>
    <x v="2"/>
    <x v="2"/>
  </r>
  <r>
    <x v="7"/>
    <n v="176451890"/>
    <x v="190"/>
    <x v="2"/>
    <x v="33"/>
    <x v="2"/>
    <x v="0"/>
    <n v="16"/>
    <x v="16"/>
    <s v="LA CHORRERA - PARQUE 10 DE NOV."/>
    <x v="2"/>
    <x v="29"/>
    <x v="2"/>
    <x v="2"/>
  </r>
  <r>
    <x v="15"/>
    <n v="176554951"/>
    <x v="191"/>
    <x v="2"/>
    <x v="33"/>
    <x v="2"/>
    <x v="0"/>
    <n v="40"/>
    <x v="16"/>
    <s v="LA CHORRERA - PARQUE 10 DE NOV."/>
    <x v="2"/>
    <x v="67"/>
    <x v="2"/>
    <x v="2"/>
  </r>
  <r>
    <x v="12"/>
    <n v="176611219"/>
    <x v="24"/>
    <x v="2"/>
    <x v="33"/>
    <x v="2"/>
    <x v="0"/>
    <n v="8"/>
    <x v="16"/>
    <s v="LA CHORRERA - PARQUE 10 DE NOV."/>
    <x v="2"/>
    <x v="45"/>
    <x v="2"/>
    <x v="2"/>
  </r>
  <r>
    <x v="25"/>
    <n v="176665182"/>
    <x v="22"/>
    <x v="2"/>
    <x v="33"/>
    <x v="2"/>
    <x v="0"/>
    <n v="48"/>
    <x v="16"/>
    <s v="LA CHORRERA - PARQUE 10 DE NOV."/>
    <x v="2"/>
    <x v="64"/>
    <x v="2"/>
    <x v="2"/>
  </r>
  <r>
    <x v="16"/>
    <n v="176719325"/>
    <x v="192"/>
    <x v="2"/>
    <x v="33"/>
    <x v="2"/>
    <x v="0"/>
    <n v="8"/>
    <x v="16"/>
    <s v="LA CHORRERA - PARQUE 10 DE NOV."/>
    <x v="2"/>
    <x v="63"/>
    <x v="2"/>
    <x v="2"/>
  </r>
  <r>
    <x v="10"/>
    <n v="176777716"/>
    <x v="193"/>
    <x v="2"/>
    <x v="33"/>
    <x v="2"/>
    <x v="0"/>
    <n v="16"/>
    <x v="16"/>
    <s v="LA CHORRERA - PARQUE 10 DE NOV."/>
    <x v="2"/>
    <x v="52"/>
    <x v="2"/>
    <x v="2"/>
  </r>
  <r>
    <x v="6"/>
    <n v="176880462"/>
    <x v="194"/>
    <x v="2"/>
    <x v="33"/>
    <x v="2"/>
    <x v="0"/>
    <n v="16"/>
    <x v="16"/>
    <s v="LA CHORRERA - PARQUE 10 DE NOV."/>
    <x v="2"/>
    <x v="68"/>
    <x v="2"/>
    <x v="2"/>
  </r>
  <r>
    <x v="5"/>
    <n v="176196481"/>
    <x v="9"/>
    <x v="2"/>
    <x v="33"/>
    <x v="0"/>
    <x v="0"/>
    <n v="8"/>
    <x v="16"/>
    <s v="LA CHORRERA - PARQUE 10 DE NOV."/>
    <x v="2"/>
    <x v="15"/>
    <x v="0"/>
    <x v="0"/>
  </r>
  <r>
    <x v="10"/>
    <n v="176777716"/>
    <x v="195"/>
    <x v="2"/>
    <x v="33"/>
    <x v="0"/>
    <x v="0"/>
    <n v="8"/>
    <x v="16"/>
    <s v="LA CHORRERA - PARQUE 10 DE NOV."/>
    <x v="2"/>
    <x v="52"/>
    <x v="0"/>
    <x v="0"/>
  </r>
  <r>
    <x v="6"/>
    <n v="176880462"/>
    <x v="196"/>
    <x v="2"/>
    <x v="33"/>
    <x v="0"/>
    <x v="0"/>
    <n v="8"/>
    <x v="16"/>
    <s v="LA CHORRERA - PARQUE 10 DE NOV."/>
    <x v="2"/>
    <x v="68"/>
    <x v="0"/>
    <x v="0"/>
  </r>
  <r>
    <x v="23"/>
    <n v="176259407"/>
    <x v="197"/>
    <x v="2"/>
    <x v="34"/>
    <x v="1"/>
    <x v="0"/>
    <n v="39.979999999999997"/>
    <x v="15"/>
    <s v="COSTA DEL ESTE - CENTENARIO"/>
    <x v="2"/>
    <x v="55"/>
    <x v="1"/>
    <x v="1"/>
  </r>
  <r>
    <x v="7"/>
    <n v="176451890"/>
    <x v="198"/>
    <x v="2"/>
    <x v="62"/>
    <x v="1"/>
    <x v="0"/>
    <n v="14.45"/>
    <x v="15"/>
    <s v="CLAYTON"/>
    <x v="2"/>
    <x v="29"/>
    <x v="1"/>
    <x v="1"/>
  </r>
  <r>
    <x v="7"/>
    <n v="176451890"/>
    <x v="199"/>
    <x v="2"/>
    <x v="62"/>
    <x v="2"/>
    <x v="0"/>
    <n v="16"/>
    <x v="16"/>
    <s v="CLAYTON"/>
    <x v="2"/>
    <x v="29"/>
    <x v="2"/>
    <x v="2"/>
  </r>
  <r>
    <x v="12"/>
    <n v="176611219"/>
    <x v="200"/>
    <x v="2"/>
    <x v="62"/>
    <x v="2"/>
    <x v="0"/>
    <n v="8"/>
    <x v="16"/>
    <s v="CLAYTON"/>
    <x v="2"/>
    <x v="45"/>
    <x v="2"/>
    <x v="2"/>
  </r>
  <r>
    <x v="16"/>
    <n v="176719325"/>
    <x v="201"/>
    <x v="2"/>
    <x v="35"/>
    <x v="1"/>
    <x v="0"/>
    <n v="31.6"/>
    <x v="15"/>
    <s v="MARBELLA"/>
    <x v="2"/>
    <x v="63"/>
    <x v="1"/>
    <x v="1"/>
  </r>
  <r>
    <x v="20"/>
    <n v="176033141"/>
    <x v="202"/>
    <x v="2"/>
    <x v="36"/>
    <x v="2"/>
    <x v="0"/>
    <n v="48"/>
    <x v="16"/>
    <s v="VIA SIMON BOLIVAR"/>
    <x v="2"/>
    <x v="26"/>
    <x v="2"/>
    <x v="2"/>
  </r>
  <r>
    <x v="23"/>
    <n v="176259407"/>
    <x v="141"/>
    <x v="2"/>
    <x v="36"/>
    <x v="2"/>
    <x v="0"/>
    <n v="16"/>
    <x v="16"/>
    <s v="VIA SIMON BOLIVAR"/>
    <x v="2"/>
    <x v="55"/>
    <x v="2"/>
    <x v="2"/>
  </r>
  <r>
    <x v="25"/>
    <n v="176665182"/>
    <x v="203"/>
    <x v="2"/>
    <x v="36"/>
    <x v="2"/>
    <x v="0"/>
    <n v="24"/>
    <x v="16"/>
    <s v="VIA SIMON BOLIVAR"/>
    <x v="2"/>
    <x v="64"/>
    <x v="2"/>
    <x v="2"/>
  </r>
  <r>
    <x v="8"/>
    <n v="177000559"/>
    <x v="204"/>
    <x v="2"/>
    <x v="36"/>
    <x v="2"/>
    <x v="0"/>
    <n v="8"/>
    <x v="16"/>
    <s v="VIA SIMON BOLIVAR"/>
    <x v="2"/>
    <x v="71"/>
    <x v="2"/>
    <x v="2"/>
  </r>
  <r>
    <x v="25"/>
    <n v="176665182"/>
    <x v="205"/>
    <x v="2"/>
    <x v="36"/>
    <x v="0"/>
    <x v="0"/>
    <n v="8"/>
    <x v="16"/>
    <s v="VIA SIMON BOLIVAR"/>
    <x v="2"/>
    <x v="64"/>
    <x v="0"/>
    <x v="0"/>
  </r>
  <r>
    <x v="17"/>
    <n v="176939618"/>
    <x v="24"/>
    <x v="2"/>
    <x v="38"/>
    <x v="2"/>
    <x v="0"/>
    <n v="16"/>
    <x v="16"/>
    <s v="BOULEVARD EL DORADO"/>
    <x v="2"/>
    <x v="41"/>
    <x v="2"/>
    <x v="2"/>
  </r>
  <r>
    <x v="4"/>
    <n v="175696740"/>
    <x v="206"/>
    <x v="2"/>
    <x v="39"/>
    <x v="2"/>
    <x v="0"/>
    <n v="56"/>
    <x v="16"/>
    <s v="SAN SEBASTIAN"/>
    <x v="2"/>
    <x v="39"/>
    <x v="2"/>
    <x v="2"/>
  </r>
  <r>
    <x v="24"/>
    <n v="175758174"/>
    <x v="162"/>
    <x v="2"/>
    <x v="39"/>
    <x v="2"/>
    <x v="0"/>
    <n v="8"/>
    <x v="16"/>
    <s v="SAN SEBASTIAN"/>
    <x v="2"/>
    <x v="69"/>
    <x v="2"/>
    <x v="2"/>
  </r>
  <r>
    <x v="9"/>
    <n v="175863582"/>
    <x v="207"/>
    <x v="2"/>
    <x v="39"/>
    <x v="2"/>
    <x v="0"/>
    <n v="24"/>
    <x v="16"/>
    <s v="SAN SEBASTIAN"/>
    <x v="2"/>
    <x v="66"/>
    <x v="2"/>
    <x v="2"/>
  </r>
  <r>
    <x v="3"/>
    <n v="175921690"/>
    <x v="33"/>
    <x v="2"/>
    <x v="39"/>
    <x v="2"/>
    <x v="0"/>
    <n v="16"/>
    <x v="16"/>
    <s v="SAN SEBASTIAN"/>
    <x v="2"/>
    <x v="25"/>
    <x v="2"/>
    <x v="2"/>
  </r>
  <r>
    <x v="20"/>
    <n v="176033141"/>
    <x v="208"/>
    <x v="2"/>
    <x v="39"/>
    <x v="2"/>
    <x v="0"/>
    <n v="16"/>
    <x v="16"/>
    <s v="SAN SEBASTIAN"/>
    <x v="2"/>
    <x v="26"/>
    <x v="2"/>
    <x v="2"/>
  </r>
  <r>
    <x v="1"/>
    <n v="176093324"/>
    <x v="40"/>
    <x v="2"/>
    <x v="39"/>
    <x v="2"/>
    <x v="0"/>
    <n v="24"/>
    <x v="16"/>
    <s v="SAN SEBASTIAN"/>
    <x v="2"/>
    <x v="44"/>
    <x v="2"/>
    <x v="2"/>
  </r>
  <r>
    <x v="23"/>
    <n v="176259407"/>
    <x v="209"/>
    <x v="2"/>
    <x v="39"/>
    <x v="2"/>
    <x v="0"/>
    <n v="32"/>
    <x v="16"/>
    <s v="SAN SEBASTIAN"/>
    <x v="2"/>
    <x v="55"/>
    <x v="2"/>
    <x v="2"/>
  </r>
  <r>
    <x v="7"/>
    <n v="176451890"/>
    <x v="210"/>
    <x v="2"/>
    <x v="39"/>
    <x v="2"/>
    <x v="0"/>
    <n v="8"/>
    <x v="16"/>
    <s v="SAN SEBASTIAN"/>
    <x v="2"/>
    <x v="29"/>
    <x v="2"/>
    <x v="2"/>
  </r>
  <r>
    <x v="15"/>
    <n v="176554951"/>
    <x v="211"/>
    <x v="2"/>
    <x v="39"/>
    <x v="2"/>
    <x v="0"/>
    <n v="112"/>
    <x v="16"/>
    <s v="SAN SEBASTIAN"/>
    <x v="2"/>
    <x v="67"/>
    <x v="2"/>
    <x v="2"/>
  </r>
  <r>
    <x v="25"/>
    <n v="176665182"/>
    <x v="212"/>
    <x v="2"/>
    <x v="39"/>
    <x v="2"/>
    <x v="0"/>
    <n v="8"/>
    <x v="16"/>
    <s v="SAN SEBASTIAN"/>
    <x v="2"/>
    <x v="64"/>
    <x v="2"/>
    <x v="2"/>
  </r>
  <r>
    <x v="16"/>
    <n v="176719325"/>
    <x v="213"/>
    <x v="2"/>
    <x v="39"/>
    <x v="2"/>
    <x v="0"/>
    <n v="16"/>
    <x v="16"/>
    <s v="SAN SEBASTIAN"/>
    <x v="2"/>
    <x v="63"/>
    <x v="2"/>
    <x v="2"/>
  </r>
  <r>
    <x v="10"/>
    <n v="176777716"/>
    <x v="214"/>
    <x v="2"/>
    <x v="39"/>
    <x v="2"/>
    <x v="0"/>
    <n v="32"/>
    <x v="16"/>
    <s v="SAN SEBASTIAN"/>
    <x v="2"/>
    <x v="52"/>
    <x v="2"/>
    <x v="2"/>
  </r>
  <r>
    <x v="17"/>
    <n v="176939618"/>
    <x v="215"/>
    <x v="2"/>
    <x v="39"/>
    <x v="2"/>
    <x v="0"/>
    <n v="16"/>
    <x v="16"/>
    <s v="SAN SEBASTIAN"/>
    <x v="2"/>
    <x v="41"/>
    <x v="2"/>
    <x v="2"/>
  </r>
  <r>
    <x v="8"/>
    <n v="177000559"/>
    <x v="216"/>
    <x v="2"/>
    <x v="39"/>
    <x v="2"/>
    <x v="0"/>
    <n v="8"/>
    <x v="16"/>
    <s v="SAN SEBASTIAN"/>
    <x v="2"/>
    <x v="71"/>
    <x v="2"/>
    <x v="2"/>
  </r>
  <r>
    <x v="24"/>
    <n v="175758174"/>
    <x v="217"/>
    <x v="2"/>
    <x v="39"/>
    <x v="0"/>
    <x v="0"/>
    <n v="8"/>
    <x v="16"/>
    <s v="SAN SEBASTIAN"/>
    <x v="2"/>
    <x v="69"/>
    <x v="0"/>
    <x v="0"/>
  </r>
  <r>
    <x v="3"/>
    <n v="175921690"/>
    <x v="218"/>
    <x v="2"/>
    <x v="39"/>
    <x v="0"/>
    <x v="0"/>
    <n v="8"/>
    <x v="16"/>
    <s v="SAN SEBASTIAN"/>
    <x v="2"/>
    <x v="25"/>
    <x v="0"/>
    <x v="0"/>
  </r>
  <r>
    <x v="16"/>
    <n v="176719325"/>
    <x v="219"/>
    <x v="2"/>
    <x v="39"/>
    <x v="0"/>
    <x v="0"/>
    <n v="8"/>
    <x v="16"/>
    <s v="SAN SEBASTIAN"/>
    <x v="2"/>
    <x v="63"/>
    <x v="0"/>
    <x v="0"/>
  </r>
  <r>
    <x v="10"/>
    <n v="176777716"/>
    <x v="220"/>
    <x v="2"/>
    <x v="39"/>
    <x v="0"/>
    <x v="0"/>
    <n v="8"/>
    <x v="16"/>
    <s v="SAN SEBASTIAN"/>
    <x v="2"/>
    <x v="52"/>
    <x v="0"/>
    <x v="0"/>
  </r>
  <r>
    <x v="24"/>
    <n v="175758174"/>
    <x v="221"/>
    <x v="2"/>
    <x v="56"/>
    <x v="1"/>
    <x v="0"/>
    <n v="27.48"/>
    <x v="15"/>
    <s v="COSTA VERDE"/>
    <x v="2"/>
    <x v="69"/>
    <x v="1"/>
    <x v="1"/>
  </r>
  <r>
    <x v="7"/>
    <n v="176451890"/>
    <x v="105"/>
    <x v="2"/>
    <x v="56"/>
    <x v="1"/>
    <x v="0"/>
    <n v="33.76"/>
    <x v="15"/>
    <s v="COSTA VERDE"/>
    <x v="2"/>
    <x v="29"/>
    <x v="1"/>
    <x v="1"/>
  </r>
  <r>
    <x v="1"/>
    <n v="176093324"/>
    <x v="141"/>
    <x v="2"/>
    <x v="58"/>
    <x v="1"/>
    <x v="0"/>
    <n v="29.98"/>
    <x v="16"/>
    <s v="SAN MATEO"/>
    <x v="2"/>
    <x v="44"/>
    <x v="1"/>
    <x v="1"/>
  </r>
  <r>
    <x v="23"/>
    <n v="176259407"/>
    <x v="0"/>
    <x v="2"/>
    <x v="58"/>
    <x v="1"/>
    <x v="0"/>
    <n v="29.98"/>
    <x v="15"/>
    <s v="SAN MATEO"/>
    <x v="2"/>
    <x v="55"/>
    <x v="1"/>
    <x v="1"/>
  </r>
  <r>
    <x v="7"/>
    <n v="176451890"/>
    <x v="182"/>
    <x v="2"/>
    <x v="41"/>
    <x v="1"/>
    <x v="0"/>
    <n v="13.99"/>
    <x v="15"/>
    <s v="BRISAS DEL GOLF ARRAIJAN"/>
    <x v="2"/>
    <x v="29"/>
    <x v="1"/>
    <x v="1"/>
  </r>
  <r>
    <x v="20"/>
    <n v="176033141"/>
    <x v="2"/>
    <x v="2"/>
    <x v="59"/>
    <x v="1"/>
    <x v="0"/>
    <n v="44.85"/>
    <x v="15"/>
    <s v="PASEO ARRAIJAN"/>
    <x v="2"/>
    <x v="26"/>
    <x v="1"/>
    <x v="1"/>
  </r>
  <r>
    <x v="16"/>
    <n v="176719325"/>
    <x v="222"/>
    <x v="2"/>
    <x v="59"/>
    <x v="1"/>
    <x v="0"/>
    <n v="40.450000000000003"/>
    <x v="15"/>
    <s v="PASEO ARRAIJAN"/>
    <x v="2"/>
    <x v="63"/>
    <x v="1"/>
    <x v="1"/>
  </r>
  <r>
    <x v="20"/>
    <n v="176033141"/>
    <x v="223"/>
    <x v="3"/>
    <x v="31"/>
    <x v="1"/>
    <x v="0"/>
    <n v="10.7"/>
    <x v="17"/>
    <s v="SAN FRANCISCO"/>
    <x v="3"/>
    <x v="26"/>
    <x v="1"/>
    <x v="1"/>
  </r>
  <r>
    <x v="24"/>
    <n v="175758174"/>
    <x v="168"/>
    <x v="3"/>
    <x v="63"/>
    <x v="1"/>
    <x v="0"/>
    <n v="5.99"/>
    <x v="18"/>
    <s v="SANTIAGO INTERAMERICANA"/>
    <x v="3"/>
    <x v="69"/>
    <x v="1"/>
    <x v="1"/>
  </r>
  <r>
    <x v="20"/>
    <n v="176033141"/>
    <x v="122"/>
    <x v="4"/>
    <x v="0"/>
    <x v="1"/>
    <x v="0"/>
    <n v="78.8"/>
    <x v="19"/>
    <s v="CASA MATRIZ"/>
    <x v="4"/>
    <x v="26"/>
    <x v="1"/>
    <x v="1"/>
  </r>
  <r>
    <x v="23"/>
    <n v="176259407"/>
    <x v="42"/>
    <x v="4"/>
    <x v="0"/>
    <x v="1"/>
    <x v="0"/>
    <n v="57.76"/>
    <x v="19"/>
    <s v="CASA MATRIZ"/>
    <x v="4"/>
    <x v="55"/>
    <x v="1"/>
    <x v="1"/>
  </r>
  <r>
    <x v="15"/>
    <n v="176554951"/>
    <x v="224"/>
    <x v="4"/>
    <x v="2"/>
    <x v="1"/>
    <x v="0"/>
    <n v="202.5"/>
    <x v="20"/>
    <s v="EL DORADO"/>
    <x v="4"/>
    <x v="67"/>
    <x v="1"/>
    <x v="1"/>
  </r>
  <r>
    <x v="16"/>
    <n v="176719325"/>
    <x v="165"/>
    <x v="4"/>
    <x v="3"/>
    <x v="1"/>
    <x v="0"/>
    <n v="211"/>
    <x v="19"/>
    <s v="VIA PORRAS"/>
    <x v="4"/>
    <x v="63"/>
    <x v="1"/>
    <x v="1"/>
  </r>
  <r>
    <x v="16"/>
    <n v="176719325"/>
    <x v="108"/>
    <x v="4"/>
    <x v="4"/>
    <x v="1"/>
    <x v="0"/>
    <n v="63.77"/>
    <x v="19"/>
    <s v="EL INGENIO"/>
    <x v="4"/>
    <x v="63"/>
    <x v="1"/>
    <x v="1"/>
  </r>
  <r>
    <x v="23"/>
    <n v="176259407"/>
    <x v="221"/>
    <x v="4"/>
    <x v="5"/>
    <x v="1"/>
    <x v="0"/>
    <n v="14.25"/>
    <x v="19"/>
    <s v="PLAZA TOCUMEN"/>
    <x v="4"/>
    <x v="55"/>
    <x v="1"/>
    <x v="1"/>
  </r>
  <r>
    <x v="24"/>
    <n v="175758174"/>
    <x v="122"/>
    <x v="4"/>
    <x v="6"/>
    <x v="1"/>
    <x v="0"/>
    <n v="90"/>
    <x v="19"/>
    <s v="SANTIAGO"/>
    <x v="4"/>
    <x v="69"/>
    <x v="1"/>
    <x v="1"/>
  </r>
  <r>
    <x v="16"/>
    <n v="176719325"/>
    <x v="170"/>
    <x v="4"/>
    <x v="6"/>
    <x v="1"/>
    <x v="0"/>
    <n v="128.04"/>
    <x v="19"/>
    <s v="SANTIAGO"/>
    <x v="4"/>
    <x v="63"/>
    <x v="1"/>
    <x v="1"/>
  </r>
  <r>
    <x v="20"/>
    <n v="176033141"/>
    <x v="224"/>
    <x v="4"/>
    <x v="8"/>
    <x v="1"/>
    <x v="0"/>
    <n v="152.08000000000001"/>
    <x v="19"/>
    <s v="HATO PINTADO"/>
    <x v="4"/>
    <x v="26"/>
    <x v="1"/>
    <x v="1"/>
  </r>
  <r>
    <x v="20"/>
    <n v="176033141"/>
    <x v="225"/>
    <x v="4"/>
    <x v="64"/>
    <x v="1"/>
    <x v="0"/>
    <n v="102.39"/>
    <x v="19"/>
    <s v="RIO ABAJO"/>
    <x v="4"/>
    <x v="26"/>
    <x v="1"/>
    <x v="1"/>
  </r>
  <r>
    <x v="20"/>
    <n v="176033141"/>
    <x v="124"/>
    <x v="4"/>
    <x v="44"/>
    <x v="1"/>
    <x v="0"/>
    <n v="28.82"/>
    <x v="19"/>
    <s v="LA CHORRERA"/>
    <x v="4"/>
    <x v="26"/>
    <x v="1"/>
    <x v="1"/>
  </r>
  <r>
    <x v="7"/>
    <n v="176451890"/>
    <x v="226"/>
    <x v="4"/>
    <x v="9"/>
    <x v="1"/>
    <x v="0"/>
    <n v="49.46"/>
    <x v="19"/>
    <s v="LOS ANGELES"/>
    <x v="4"/>
    <x v="29"/>
    <x v="1"/>
    <x v="1"/>
  </r>
  <r>
    <x v="23"/>
    <n v="176259407"/>
    <x v="227"/>
    <x v="4"/>
    <x v="10"/>
    <x v="1"/>
    <x v="0"/>
    <n v="126.25"/>
    <x v="19"/>
    <s v="VILLA LUCRE"/>
    <x v="4"/>
    <x v="55"/>
    <x v="1"/>
    <x v="1"/>
  </r>
  <r>
    <x v="16"/>
    <n v="176719325"/>
    <x v="113"/>
    <x v="4"/>
    <x v="45"/>
    <x v="1"/>
    <x v="0"/>
    <n v="29.96"/>
    <x v="19"/>
    <s v="VIA ESPANA"/>
    <x v="4"/>
    <x v="63"/>
    <x v="1"/>
    <x v="1"/>
  </r>
  <r>
    <x v="23"/>
    <n v="176259407"/>
    <x v="225"/>
    <x v="4"/>
    <x v="13"/>
    <x v="1"/>
    <x v="0"/>
    <n v="84.6"/>
    <x v="19"/>
    <s v="LOS PUEBLOS"/>
    <x v="4"/>
    <x v="55"/>
    <x v="1"/>
    <x v="1"/>
  </r>
  <r>
    <x v="8"/>
    <n v="177000559"/>
    <x v="165"/>
    <x v="4"/>
    <x v="14"/>
    <x v="1"/>
    <x v="0"/>
    <n v="169.85"/>
    <x v="20"/>
    <s v="TRANSISTMICA"/>
    <x v="4"/>
    <x v="71"/>
    <x v="1"/>
    <x v="1"/>
  </r>
  <r>
    <x v="24"/>
    <n v="175758174"/>
    <x v="224"/>
    <x v="4"/>
    <x v="46"/>
    <x v="1"/>
    <x v="0"/>
    <n v="85.12"/>
    <x v="19"/>
    <s v="ZONA LIBRE"/>
    <x v="4"/>
    <x v="69"/>
    <x v="1"/>
    <x v="1"/>
  </r>
  <r>
    <x v="23"/>
    <n v="176259407"/>
    <x v="125"/>
    <x v="4"/>
    <x v="47"/>
    <x v="1"/>
    <x v="0"/>
    <n v="71.92"/>
    <x v="19"/>
    <s v="PLAZA GALAPAGO"/>
    <x v="4"/>
    <x v="55"/>
    <x v="1"/>
    <x v="1"/>
  </r>
  <r>
    <x v="20"/>
    <n v="176033141"/>
    <x v="170"/>
    <x v="4"/>
    <x v="15"/>
    <x v="1"/>
    <x v="0"/>
    <n v="45.48"/>
    <x v="19"/>
    <s v="PARQUE LEFEVRE"/>
    <x v="4"/>
    <x v="26"/>
    <x v="1"/>
    <x v="1"/>
  </r>
  <r>
    <x v="23"/>
    <n v="176259407"/>
    <x v="228"/>
    <x v="4"/>
    <x v="48"/>
    <x v="1"/>
    <x v="0"/>
    <n v="15.98"/>
    <x v="19"/>
    <s v="CORONADO"/>
    <x v="4"/>
    <x v="55"/>
    <x v="1"/>
    <x v="1"/>
  </r>
  <r>
    <x v="16"/>
    <n v="176719325"/>
    <x v="196"/>
    <x v="4"/>
    <x v="23"/>
    <x v="1"/>
    <x v="0"/>
    <n v="47"/>
    <x v="19"/>
    <s v="COSTA DEL ESTE"/>
    <x v="4"/>
    <x v="63"/>
    <x v="1"/>
    <x v="1"/>
  </r>
  <r>
    <x v="16"/>
    <n v="176719325"/>
    <x v="178"/>
    <x v="4"/>
    <x v="24"/>
    <x v="1"/>
    <x v="0"/>
    <n v="0.01"/>
    <x v="19"/>
    <s v="MULTI PLAZA"/>
    <x v="4"/>
    <x v="63"/>
    <x v="1"/>
    <x v="1"/>
  </r>
  <r>
    <x v="16"/>
    <n v="176719325"/>
    <x v="229"/>
    <x v="4"/>
    <x v="24"/>
    <x v="1"/>
    <x v="6"/>
    <n v="0"/>
    <x v="19"/>
    <s v="MULTI PLAZA"/>
    <x v="4"/>
    <x v="63"/>
    <x v="1"/>
    <x v="1"/>
  </r>
  <r>
    <x v="8"/>
    <n v="177000559"/>
    <x v="129"/>
    <x v="4"/>
    <x v="24"/>
    <x v="1"/>
    <x v="0"/>
    <n v="52.89"/>
    <x v="19"/>
    <s v="MULTI PLAZA"/>
    <x v="4"/>
    <x v="71"/>
    <x v="1"/>
    <x v="1"/>
  </r>
  <r>
    <x v="20"/>
    <n v="176033141"/>
    <x v="204"/>
    <x v="4"/>
    <x v="25"/>
    <x v="1"/>
    <x v="0"/>
    <n v="13.92"/>
    <x v="20"/>
    <s v="TERMINAL DE ALBROOK"/>
    <x v="4"/>
    <x v="26"/>
    <x v="1"/>
    <x v="1"/>
  </r>
  <r>
    <x v="7"/>
    <n v="176451890"/>
    <x v="230"/>
    <x v="4"/>
    <x v="25"/>
    <x v="1"/>
    <x v="0"/>
    <n v="29.77"/>
    <x v="19"/>
    <s v="TERMINAL DE ALBROOK"/>
    <x v="4"/>
    <x v="29"/>
    <x v="1"/>
    <x v="1"/>
  </r>
  <r>
    <x v="23"/>
    <n v="176259407"/>
    <x v="142"/>
    <x v="4"/>
    <x v="27"/>
    <x v="1"/>
    <x v="0"/>
    <n v="65.489999999999995"/>
    <x v="19"/>
    <s v="BRISAS DEL GOLF"/>
    <x v="4"/>
    <x v="55"/>
    <x v="1"/>
    <x v="1"/>
  </r>
  <r>
    <x v="16"/>
    <n v="176719325"/>
    <x v="231"/>
    <x v="4"/>
    <x v="51"/>
    <x v="1"/>
    <x v="0"/>
    <n v="86.93"/>
    <x v="19"/>
    <s v="AGUADULCE"/>
    <x v="4"/>
    <x v="63"/>
    <x v="1"/>
    <x v="1"/>
  </r>
  <r>
    <x v="6"/>
    <n v="176880462"/>
    <x v="232"/>
    <x v="4"/>
    <x v="51"/>
    <x v="1"/>
    <x v="0"/>
    <n v="16.82"/>
    <x v="20"/>
    <s v="AGUADULCE"/>
    <x v="4"/>
    <x v="68"/>
    <x v="1"/>
    <x v="1"/>
  </r>
  <r>
    <x v="24"/>
    <n v="175758174"/>
    <x v="1"/>
    <x v="4"/>
    <x v="30"/>
    <x v="1"/>
    <x v="0"/>
    <n v="45"/>
    <x v="19"/>
    <s v="BUSINESS PARK"/>
    <x v="4"/>
    <x v="69"/>
    <x v="1"/>
    <x v="1"/>
  </r>
  <r>
    <x v="23"/>
    <n v="176259407"/>
    <x v="233"/>
    <x v="4"/>
    <x v="30"/>
    <x v="1"/>
    <x v="0"/>
    <n v="25"/>
    <x v="19"/>
    <s v="BUSINESS PARK"/>
    <x v="4"/>
    <x v="55"/>
    <x v="1"/>
    <x v="1"/>
  </r>
  <r>
    <x v="10"/>
    <n v="176777716"/>
    <x v="234"/>
    <x v="4"/>
    <x v="31"/>
    <x v="1"/>
    <x v="0"/>
    <n v="29.33"/>
    <x v="20"/>
    <s v="SAN FRANCISCO"/>
    <x v="4"/>
    <x v="52"/>
    <x v="1"/>
    <x v="1"/>
  </r>
  <r>
    <x v="20"/>
    <n v="176033141"/>
    <x v="112"/>
    <x v="4"/>
    <x v="32"/>
    <x v="1"/>
    <x v="0"/>
    <n v="40.299999999999997"/>
    <x v="19"/>
    <s v="PLAZA BANCO GENERAL"/>
    <x v="4"/>
    <x v="26"/>
    <x v="1"/>
    <x v="1"/>
  </r>
  <r>
    <x v="16"/>
    <n v="176719325"/>
    <x v="215"/>
    <x v="4"/>
    <x v="32"/>
    <x v="1"/>
    <x v="0"/>
    <n v="35.659999999999997"/>
    <x v="19"/>
    <s v="PLAZA BANCO GENERAL"/>
    <x v="4"/>
    <x v="63"/>
    <x v="1"/>
    <x v="1"/>
  </r>
  <r>
    <x v="24"/>
    <n v="175758174"/>
    <x v="235"/>
    <x v="4"/>
    <x v="53"/>
    <x v="1"/>
    <x v="0"/>
    <n v="81.2"/>
    <x v="19"/>
    <s v="PLAZA CAROLINA"/>
    <x v="4"/>
    <x v="69"/>
    <x v="1"/>
    <x v="1"/>
  </r>
  <r>
    <x v="20"/>
    <n v="176033141"/>
    <x v="8"/>
    <x v="4"/>
    <x v="36"/>
    <x v="1"/>
    <x v="0"/>
    <n v="24.5"/>
    <x v="19"/>
    <s v="VIA SIMON BOLIVAR"/>
    <x v="4"/>
    <x v="26"/>
    <x v="1"/>
    <x v="1"/>
  </r>
  <r>
    <x v="21"/>
    <n v="176389998"/>
    <x v="236"/>
    <x v="4"/>
    <x v="37"/>
    <x v="1"/>
    <x v="0"/>
    <n v="47.57"/>
    <x v="20"/>
    <s v="JUSTO AROSEMENA"/>
    <x v="4"/>
    <x v="30"/>
    <x v="1"/>
    <x v="1"/>
  </r>
  <r>
    <x v="23"/>
    <n v="176259407"/>
    <x v="237"/>
    <x v="4"/>
    <x v="38"/>
    <x v="1"/>
    <x v="0"/>
    <n v="63.22"/>
    <x v="19"/>
    <s v="BOULEVARD EL DORADO"/>
    <x v="4"/>
    <x v="55"/>
    <x v="1"/>
    <x v="1"/>
  </r>
  <r>
    <x v="7"/>
    <n v="176451890"/>
    <x v="238"/>
    <x v="4"/>
    <x v="38"/>
    <x v="1"/>
    <x v="0"/>
    <n v="30"/>
    <x v="20"/>
    <s v="BOULEVARD EL DORADO"/>
    <x v="4"/>
    <x v="29"/>
    <x v="1"/>
    <x v="1"/>
  </r>
  <r>
    <x v="24"/>
    <n v="175758174"/>
    <x v="239"/>
    <x v="4"/>
    <x v="63"/>
    <x v="1"/>
    <x v="0"/>
    <n v="40.86"/>
    <x v="19"/>
    <s v="SANTIAGO INTERAMERICANA"/>
    <x v="4"/>
    <x v="69"/>
    <x v="1"/>
    <x v="1"/>
  </r>
  <r>
    <x v="11"/>
    <n v="175977772"/>
    <x v="1"/>
    <x v="4"/>
    <x v="40"/>
    <x v="1"/>
    <x v="0"/>
    <n v="34.549999999999997"/>
    <x v="20"/>
    <s v="VILLA ZAITA"/>
    <x v="4"/>
    <x v="21"/>
    <x v="1"/>
    <x v="1"/>
  </r>
  <r>
    <x v="16"/>
    <n v="176719325"/>
    <x v="167"/>
    <x v="4"/>
    <x v="55"/>
    <x v="1"/>
    <x v="0"/>
    <n v="15.95"/>
    <x v="19"/>
    <s v="AZUERO TERMINAL PLAZA"/>
    <x v="4"/>
    <x v="63"/>
    <x v="1"/>
    <x v="1"/>
  </r>
  <r>
    <x v="23"/>
    <n v="176259407"/>
    <x v="240"/>
    <x v="4"/>
    <x v="65"/>
    <x v="1"/>
    <x v="0"/>
    <n v="21.57"/>
    <x v="19"/>
    <s v="TOWN CENTER COSTA DEL ESTE"/>
    <x v="4"/>
    <x v="55"/>
    <x v="1"/>
    <x v="1"/>
  </r>
  <r>
    <x v="7"/>
    <n v="176451890"/>
    <x v="241"/>
    <x v="4"/>
    <x v="56"/>
    <x v="1"/>
    <x v="0"/>
    <n v="91.99"/>
    <x v="19"/>
    <s v="COSTA VERDE"/>
    <x v="4"/>
    <x v="29"/>
    <x v="1"/>
    <x v="1"/>
  </r>
  <r>
    <x v="23"/>
    <n v="176259407"/>
    <x v="131"/>
    <x v="4"/>
    <x v="58"/>
    <x v="1"/>
    <x v="0"/>
    <n v="58.05"/>
    <x v="19"/>
    <s v="SAN MATEO"/>
    <x v="4"/>
    <x v="55"/>
    <x v="1"/>
    <x v="1"/>
  </r>
  <r>
    <x v="20"/>
    <n v="176033141"/>
    <x v="228"/>
    <x v="4"/>
    <x v="59"/>
    <x v="1"/>
    <x v="0"/>
    <n v="33"/>
    <x v="19"/>
    <s v="PASEO ARRAIJAN"/>
    <x v="4"/>
    <x v="26"/>
    <x v="1"/>
    <x v="1"/>
  </r>
</pivotCacheRecords>
</file>

<file path=xl/pivotCache/pivotCacheRecords3.xml><?xml version="1.0" encoding="utf-8"?>
<pivotCacheRecords xmlns="http://schemas.openxmlformats.org/spreadsheetml/2006/main" xmlns:r="http://schemas.openxmlformats.org/officeDocument/2006/relationships" count="456">
  <r>
    <x v="0"/>
    <x v="0"/>
    <x v="0"/>
    <m/>
    <n v="170"/>
    <x v="0"/>
  </r>
  <r>
    <x v="0"/>
    <x v="1"/>
    <x v="1"/>
    <n v="-29.260000000000105"/>
    <n v="85.441999999999993"/>
    <x v="0"/>
  </r>
  <r>
    <x v="0"/>
    <x v="2"/>
    <x v="2"/>
    <n v="23.049999999999983"/>
    <n v="103.2723"/>
    <x v="0"/>
  </r>
  <r>
    <x v="0"/>
    <x v="3"/>
    <x v="3"/>
    <n v="165.64"/>
    <n v="900"/>
    <x v="0"/>
  </r>
  <r>
    <x v="0"/>
    <x v="4"/>
    <x v="4"/>
    <n v="215.24"/>
    <n v="666.78700000000003"/>
    <x v="0"/>
  </r>
  <r>
    <x v="0"/>
    <x v="5"/>
    <x v="5"/>
    <n v="0"/>
    <n v="50"/>
    <x v="0"/>
  </r>
  <r>
    <x v="1"/>
    <x v="0"/>
    <x v="0"/>
    <m/>
    <n v="116"/>
    <x v="0"/>
  </r>
  <r>
    <x v="1"/>
    <x v="1"/>
    <x v="1"/>
    <n v="-502.27"/>
    <n v="959.08249999999998"/>
    <x v="0"/>
  </r>
  <r>
    <x v="1"/>
    <x v="2"/>
    <x v="2"/>
    <n v="29.5"/>
    <n v="17.222200000000001"/>
    <x v="0"/>
  </r>
  <r>
    <x v="1"/>
    <x v="3"/>
    <x v="3"/>
    <n v="13.960000000000036"/>
    <n v="612"/>
    <x v="0"/>
  </r>
  <r>
    <x v="1"/>
    <x v="4"/>
    <x v="4"/>
    <n v="-72"/>
    <n v="341.464"/>
    <x v="0"/>
  </r>
  <r>
    <x v="1"/>
    <x v="5"/>
    <x v="5"/>
    <m/>
    <n v="50"/>
    <x v="0"/>
  </r>
  <r>
    <x v="2"/>
    <x v="0"/>
    <x v="0"/>
    <m/>
    <n v="184"/>
    <x v="0"/>
  </r>
  <r>
    <x v="2"/>
    <x v="1"/>
    <x v="1"/>
    <n v="-227.33000000000004"/>
    <n v="356.85210000000001"/>
    <x v="0"/>
  </r>
  <r>
    <x v="2"/>
    <x v="2"/>
    <x v="2"/>
    <n v="6.0499999999999829"/>
    <n v="82.199299999999994"/>
    <x v="0"/>
  </r>
  <r>
    <x v="2"/>
    <x v="3"/>
    <x v="3"/>
    <n v="-192.96000000000004"/>
    <n v="972"/>
    <x v="0"/>
  </r>
  <r>
    <x v="2"/>
    <x v="4"/>
    <x v="4"/>
    <n v="-8"/>
    <n v="813.77380000000005"/>
    <x v="0"/>
  </r>
  <r>
    <x v="2"/>
    <x v="5"/>
    <x v="5"/>
    <m/>
    <n v="132"/>
    <x v="0"/>
  </r>
  <r>
    <x v="3"/>
    <x v="0"/>
    <x v="0"/>
    <m/>
    <n v="123"/>
    <x v="0"/>
  </r>
  <r>
    <x v="3"/>
    <x v="1"/>
    <x v="1"/>
    <n v="-139.23000000000002"/>
    <n v="300.6003"/>
    <x v="0"/>
  </r>
  <r>
    <x v="3"/>
    <x v="2"/>
    <x v="2"/>
    <n v="14.399999999999991"/>
    <n v="20.626000000000001"/>
    <x v="0"/>
  </r>
  <r>
    <x v="3"/>
    <x v="3"/>
    <x v="3"/>
    <n v="79.510000000000048"/>
    <n v="648"/>
    <x v="0"/>
  </r>
  <r>
    <x v="3"/>
    <x v="4"/>
    <x v="4"/>
    <n v="-20.689999999999998"/>
    <n v="17.971800000000002"/>
    <x v="0"/>
  </r>
  <r>
    <x v="3"/>
    <x v="5"/>
    <x v="5"/>
    <n v="-25"/>
    <n v="50"/>
    <x v="0"/>
  </r>
  <r>
    <x v="4"/>
    <x v="0"/>
    <x v="0"/>
    <m/>
    <n v="333"/>
    <x v="0"/>
  </r>
  <r>
    <x v="4"/>
    <x v="1"/>
    <x v="1"/>
    <n v="4525.2200000000012"/>
    <n v="25629.205399999999"/>
    <x v="0"/>
  </r>
  <r>
    <x v="4"/>
    <x v="2"/>
    <x v="2"/>
    <n v="32.700000000000003"/>
    <n v="121.7748"/>
    <x v="0"/>
  </r>
  <r>
    <x v="4"/>
    <x v="3"/>
    <x v="3"/>
    <n v="395.67000000000007"/>
    <n v="1764"/>
    <x v="0"/>
  </r>
  <r>
    <x v="4"/>
    <x v="4"/>
    <x v="4"/>
    <n v="412.58000000000015"/>
    <n v="1174.5012999999999"/>
    <x v="0"/>
  </r>
  <r>
    <x v="4"/>
    <x v="5"/>
    <x v="5"/>
    <m/>
    <n v="210"/>
    <x v="0"/>
  </r>
  <r>
    <x v="5"/>
    <x v="0"/>
    <x v="0"/>
    <m/>
    <n v="89"/>
    <x v="0"/>
  </r>
  <r>
    <x v="5"/>
    <x v="1"/>
    <x v="1"/>
    <n v="-66.170000000000044"/>
    <n v="202.70830000000001"/>
    <x v="0"/>
  </r>
  <r>
    <x v="5"/>
    <x v="2"/>
    <x v="2"/>
    <n v="55.699999999999989"/>
    <n v="46.535600000000002"/>
    <x v="0"/>
  </r>
  <r>
    <x v="5"/>
    <x v="3"/>
    <x v="3"/>
    <n v="216.06000000000012"/>
    <n v="468"/>
    <x v="0"/>
  </r>
  <r>
    <x v="5"/>
    <x v="4"/>
    <x v="4"/>
    <n v="0"/>
    <n v="8.9859000000000009"/>
    <x v="0"/>
  </r>
  <r>
    <x v="5"/>
    <x v="5"/>
    <x v="5"/>
    <m/>
    <n v="50"/>
    <x v="0"/>
  </r>
  <r>
    <x v="6"/>
    <x v="0"/>
    <x v="0"/>
    <m/>
    <n v="68"/>
    <x v="0"/>
  </r>
  <r>
    <x v="6"/>
    <x v="1"/>
    <x v="1"/>
    <n v="-91.059999999999945"/>
    <n v="528.49220000000003"/>
    <x v="0"/>
  </r>
  <r>
    <x v="6"/>
    <x v="2"/>
    <x v="2"/>
    <n v="-1.4500000000000028"/>
    <n v="61.37"/>
    <x v="0"/>
  </r>
  <r>
    <x v="6"/>
    <x v="3"/>
    <x v="3"/>
    <n v="133.80000000000001"/>
    <n v="360"/>
    <x v="0"/>
  </r>
  <r>
    <x v="6"/>
    <x v="4"/>
    <x v="4"/>
    <n v="44.91"/>
    <n v="158.99420000000001"/>
    <x v="0"/>
  </r>
  <r>
    <x v="6"/>
    <x v="5"/>
    <x v="5"/>
    <n v="0"/>
    <n v="50"/>
    <x v="0"/>
  </r>
  <r>
    <x v="7"/>
    <x v="0"/>
    <x v="0"/>
    <m/>
    <n v="109"/>
    <x v="0"/>
  </r>
  <r>
    <x v="7"/>
    <x v="1"/>
    <x v="1"/>
    <n v="-780.56000000000006"/>
    <n v="105.6508"/>
    <x v="0"/>
  </r>
  <r>
    <x v="7"/>
    <x v="2"/>
    <x v="2"/>
    <n v="1.5000000000000071"/>
    <n v="56.086500000000001"/>
    <x v="0"/>
  </r>
  <r>
    <x v="7"/>
    <x v="3"/>
    <x v="3"/>
    <n v="79.610000000000014"/>
    <n v="576"/>
    <x v="0"/>
  </r>
  <r>
    <x v="7"/>
    <x v="4"/>
    <x v="4"/>
    <n v="-226.64999999999986"/>
    <n v="1377.8633"/>
    <x v="0"/>
  </r>
  <r>
    <x v="7"/>
    <x v="5"/>
    <x v="5"/>
    <n v="0"/>
    <n v="50"/>
    <x v="0"/>
  </r>
  <r>
    <x v="8"/>
    <x v="0"/>
    <x v="0"/>
    <m/>
    <n v="150"/>
    <x v="0"/>
  </r>
  <r>
    <x v="8"/>
    <x v="1"/>
    <x v="1"/>
    <n v="-12.700000000000017"/>
    <n v="701.10500000000002"/>
    <x v="0"/>
  </r>
  <r>
    <x v="8"/>
    <x v="2"/>
    <x v="2"/>
    <n v="592.49999999999989"/>
    <n v="837.33510000000001"/>
    <x v="0"/>
  </r>
  <r>
    <x v="8"/>
    <x v="3"/>
    <x v="3"/>
    <n v="372.98"/>
    <n v="792"/>
    <x v="0"/>
  </r>
  <r>
    <x v="8"/>
    <x v="4"/>
    <x v="4"/>
    <n v="91.03"/>
    <n v="34.191299999999998"/>
    <x v="0"/>
  </r>
  <r>
    <x v="8"/>
    <x v="5"/>
    <x v="5"/>
    <n v="5.7999999999999972"/>
    <n v="50"/>
    <x v="0"/>
  </r>
  <r>
    <x v="9"/>
    <x v="0"/>
    <x v="0"/>
    <m/>
    <n v="191"/>
    <x v="0"/>
  </r>
  <r>
    <x v="9"/>
    <x v="1"/>
    <x v="1"/>
    <n v="1239.2100000000009"/>
    <n v="7640.5749999999998"/>
    <x v="0"/>
  </r>
  <r>
    <x v="9"/>
    <x v="2"/>
    <x v="2"/>
    <n v="0"/>
    <n v="17.831900000000001"/>
    <x v="0"/>
  </r>
  <r>
    <x v="9"/>
    <x v="3"/>
    <x v="3"/>
    <n v="387.4"/>
    <n v="1008"/>
    <x v="0"/>
  </r>
  <r>
    <x v="9"/>
    <x v="4"/>
    <x v="4"/>
    <n v="-72.63"/>
    <n v="548.1395"/>
    <x v="0"/>
  </r>
  <r>
    <x v="9"/>
    <x v="5"/>
    <x v="5"/>
    <m/>
    <n v="50"/>
    <x v="0"/>
  </r>
  <r>
    <x v="10"/>
    <x v="0"/>
    <x v="0"/>
    <m/>
    <n v="123"/>
    <x v="0"/>
  </r>
  <r>
    <x v="10"/>
    <x v="1"/>
    <x v="1"/>
    <m/>
    <n v="0"/>
    <x v="0"/>
  </r>
  <r>
    <x v="10"/>
    <x v="2"/>
    <x v="2"/>
    <n v="-40.300000000000011"/>
    <n v="58.829900000000002"/>
    <x v="0"/>
  </r>
  <r>
    <x v="10"/>
    <x v="3"/>
    <x v="3"/>
    <n v="311.61999999999989"/>
    <n v="648"/>
    <x v="0"/>
  </r>
  <r>
    <x v="10"/>
    <x v="4"/>
    <x v="4"/>
    <n v="-21.4"/>
    <n v="700.89970000000005"/>
    <x v="0"/>
  </r>
  <r>
    <x v="10"/>
    <x v="5"/>
    <x v="5"/>
    <n v="0"/>
    <n v="50"/>
    <x v="0"/>
  </r>
  <r>
    <x v="11"/>
    <x v="0"/>
    <x v="0"/>
    <m/>
    <n v="191"/>
    <x v="0"/>
  </r>
  <r>
    <x v="11"/>
    <x v="1"/>
    <x v="1"/>
    <n v="6513.8500000000076"/>
    <n v="20399.734899999999"/>
    <x v="0"/>
  </r>
  <r>
    <x v="11"/>
    <x v="2"/>
    <x v="2"/>
    <n v="-42.699999999999989"/>
    <n v="95.560500000000005"/>
    <x v="0"/>
  </r>
  <r>
    <x v="11"/>
    <x v="3"/>
    <x v="3"/>
    <n v="175.00000000000045"/>
    <n v="1008"/>
    <x v="0"/>
  </r>
  <r>
    <x v="11"/>
    <x v="4"/>
    <x v="4"/>
    <n v="1175.9999999999995"/>
    <n v="4319.2208000000001"/>
    <x v="0"/>
  </r>
  <r>
    <x v="11"/>
    <x v="5"/>
    <x v="5"/>
    <m/>
    <n v="50"/>
    <x v="0"/>
  </r>
  <r>
    <x v="12"/>
    <x v="0"/>
    <x v="0"/>
    <m/>
    <n v="82"/>
    <x v="0"/>
  </r>
  <r>
    <x v="12"/>
    <x v="1"/>
    <x v="1"/>
    <n v="-398.44"/>
    <n v="481.5992"/>
    <x v="0"/>
  </r>
  <r>
    <x v="12"/>
    <x v="2"/>
    <x v="2"/>
    <n v="2.4000000000000057"/>
    <n v="18.238299999999999"/>
    <x v="0"/>
  </r>
  <r>
    <x v="12"/>
    <x v="3"/>
    <x v="3"/>
    <n v="-49.260000000000048"/>
    <n v="432"/>
    <x v="0"/>
  </r>
  <r>
    <x v="12"/>
    <x v="4"/>
    <x v="4"/>
    <n v="0"/>
    <n v="8.9859000000000009"/>
    <x v="0"/>
  </r>
  <r>
    <x v="12"/>
    <x v="5"/>
    <x v="5"/>
    <m/>
    <n v="50"/>
    <x v="0"/>
  </r>
  <r>
    <x v="13"/>
    <x v="0"/>
    <x v="0"/>
    <m/>
    <n v="96"/>
    <x v="0"/>
  </r>
  <r>
    <x v="13"/>
    <x v="1"/>
    <x v="1"/>
    <n v="-467.50000000000006"/>
    <n v="444.05349999999999"/>
    <x v="0"/>
  </r>
  <r>
    <x v="13"/>
    <x v="2"/>
    <x v="2"/>
    <n v="32.399999999999977"/>
    <n v="186.19300000000001"/>
    <x v="0"/>
  </r>
  <r>
    <x v="13"/>
    <x v="3"/>
    <x v="3"/>
    <n v="-51.550000000000068"/>
    <n v="504"/>
    <x v="0"/>
  </r>
  <r>
    <x v="13"/>
    <x v="4"/>
    <x v="4"/>
    <n v="26.79000000000002"/>
    <n v="211.50550000000001"/>
    <x v="0"/>
  </r>
  <r>
    <x v="13"/>
    <x v="5"/>
    <x v="5"/>
    <n v="0"/>
    <n v="50"/>
    <x v="0"/>
  </r>
  <r>
    <x v="14"/>
    <x v="0"/>
    <x v="0"/>
    <m/>
    <n v="96"/>
    <x v="0"/>
  </r>
  <r>
    <x v="14"/>
    <x v="1"/>
    <x v="1"/>
    <n v="-219.51000000000002"/>
    <n v="299.28480000000002"/>
    <x v="0"/>
  </r>
  <r>
    <x v="14"/>
    <x v="2"/>
    <x v="2"/>
    <n v="-46.609999999999992"/>
    <n v="60.252400000000002"/>
    <x v="0"/>
  </r>
  <r>
    <x v="14"/>
    <x v="3"/>
    <x v="3"/>
    <n v="81.37"/>
    <n v="504"/>
    <x v="0"/>
  </r>
  <r>
    <x v="14"/>
    <x v="4"/>
    <x v="4"/>
    <n v="8"/>
    <n v="71.887200000000007"/>
    <x v="0"/>
  </r>
  <r>
    <x v="14"/>
    <x v="5"/>
    <x v="5"/>
    <m/>
    <n v="50"/>
    <x v="0"/>
  </r>
  <r>
    <x v="15"/>
    <x v="0"/>
    <x v="0"/>
    <m/>
    <n v="96"/>
    <x v="0"/>
  </r>
  <r>
    <x v="15"/>
    <x v="1"/>
    <x v="1"/>
    <n v="-4.6999999999999318"/>
    <n v="761.41790000000003"/>
    <x v="0"/>
  </r>
  <r>
    <x v="15"/>
    <x v="2"/>
    <x v="2"/>
    <n v="12.900000000000006"/>
    <n v="105.5686"/>
    <x v="0"/>
  </r>
  <r>
    <x v="15"/>
    <x v="3"/>
    <x v="3"/>
    <n v="296.56999999999994"/>
    <n v="504"/>
    <x v="0"/>
  </r>
  <r>
    <x v="15"/>
    <x v="4"/>
    <x v="4"/>
    <m/>
    <n v="119.3888"/>
    <x v="0"/>
  </r>
  <r>
    <x v="15"/>
    <x v="5"/>
    <x v="5"/>
    <n v="-29.26"/>
    <n v="60"/>
    <x v="0"/>
  </r>
  <r>
    <x v="16"/>
    <x v="0"/>
    <x v="0"/>
    <m/>
    <n v="204"/>
    <x v="0"/>
  </r>
  <r>
    <x v="16"/>
    <x v="1"/>
    <x v="1"/>
    <n v="1364.9800000000014"/>
    <n v="13544.5077"/>
    <x v="0"/>
  </r>
  <r>
    <x v="16"/>
    <x v="2"/>
    <x v="2"/>
    <n v="-8.1499999999999915"/>
    <n v="97.389399999999995"/>
    <x v="0"/>
  </r>
  <r>
    <x v="16"/>
    <x v="3"/>
    <x v="3"/>
    <n v="624.85"/>
    <n v="1080"/>
    <x v="0"/>
  </r>
  <r>
    <x v="16"/>
    <x v="4"/>
    <x v="4"/>
    <n v="117.73999999999978"/>
    <n v="2541.9746"/>
    <x v="0"/>
  </r>
  <r>
    <x v="16"/>
    <x v="5"/>
    <x v="5"/>
    <n v="0"/>
    <n v="144"/>
    <x v="0"/>
  </r>
  <r>
    <x v="17"/>
    <x v="0"/>
    <x v="0"/>
    <m/>
    <n v="197"/>
    <x v="0"/>
  </r>
  <r>
    <x v="17"/>
    <x v="1"/>
    <x v="1"/>
    <n v="4927.5199999999932"/>
    <n v="25711.073100000001"/>
    <x v="0"/>
  </r>
  <r>
    <x v="17"/>
    <x v="2"/>
    <x v="2"/>
    <n v="-77.849999999999994"/>
    <n v="96.779700000000005"/>
    <x v="0"/>
  </r>
  <r>
    <x v="17"/>
    <x v="3"/>
    <x v="3"/>
    <n v="452.32999999999993"/>
    <n v="1044"/>
    <x v="0"/>
  </r>
  <r>
    <x v="17"/>
    <x v="4"/>
    <x v="4"/>
    <n v="1592"/>
    <n v="3404.5691000000002"/>
    <x v="0"/>
  </r>
  <r>
    <x v="17"/>
    <x v="5"/>
    <x v="5"/>
    <n v="0"/>
    <n v="132"/>
    <x v="0"/>
  </r>
  <r>
    <x v="18"/>
    <x v="0"/>
    <x v="0"/>
    <m/>
    <n v="109"/>
    <x v="0"/>
  </r>
  <r>
    <x v="18"/>
    <x v="1"/>
    <x v="1"/>
    <n v="-92.95999999999998"/>
    <n v="446.2167"/>
    <x v="0"/>
  </r>
  <r>
    <x v="18"/>
    <x v="2"/>
    <x v="2"/>
    <n v="20.350000000000364"/>
    <n v="60.506399999999999"/>
    <x v="0"/>
  </r>
  <r>
    <x v="18"/>
    <x v="3"/>
    <x v="3"/>
    <n v="-0.82999999999998408"/>
    <n v="576"/>
    <x v="0"/>
  </r>
  <r>
    <x v="18"/>
    <x v="4"/>
    <x v="4"/>
    <n v="63.64"/>
    <n v="18.275099999999998"/>
    <x v="0"/>
  </r>
  <r>
    <x v="18"/>
    <x v="5"/>
    <x v="5"/>
    <m/>
    <n v="84"/>
    <x v="0"/>
  </r>
  <r>
    <x v="19"/>
    <x v="0"/>
    <x v="0"/>
    <m/>
    <n v="109"/>
    <x v="0"/>
  </r>
  <r>
    <x v="19"/>
    <x v="1"/>
    <x v="1"/>
    <n v="-629.88999999999987"/>
    <n v="596.98389999999995"/>
    <x v="0"/>
  </r>
  <r>
    <x v="19"/>
    <x v="2"/>
    <x v="2"/>
    <n v="28.15"/>
    <n v="25.401499999999999"/>
    <x v="0"/>
  </r>
  <r>
    <x v="19"/>
    <x v="3"/>
    <x v="3"/>
    <n v="208.89999999999998"/>
    <n v="576"/>
    <x v="0"/>
  </r>
  <r>
    <x v="19"/>
    <x v="4"/>
    <x v="4"/>
    <n v="107.98"/>
    <n v="195.83629999999999"/>
    <x v="0"/>
  </r>
  <r>
    <x v="19"/>
    <x v="5"/>
    <x v="5"/>
    <m/>
    <n v="96"/>
    <x v="0"/>
  </r>
  <r>
    <x v="20"/>
    <x v="0"/>
    <x v="0"/>
    <m/>
    <n v="177"/>
    <x v="0"/>
  </r>
  <r>
    <x v="20"/>
    <x v="1"/>
    <x v="1"/>
    <n v="2505.7099999999991"/>
    <n v="3598.1161000000002"/>
    <x v="0"/>
  </r>
  <r>
    <x v="20"/>
    <x v="2"/>
    <x v="2"/>
    <n v="-771.66000000000008"/>
    <n v="3191.4650999999999"/>
    <x v="0"/>
  </r>
  <r>
    <x v="20"/>
    <x v="3"/>
    <x v="3"/>
    <n v="462.77999999999992"/>
    <n v="936"/>
    <x v="0"/>
  </r>
  <r>
    <x v="20"/>
    <x v="4"/>
    <x v="4"/>
    <n v="115.17999999999998"/>
    <n v="110.13339999999999"/>
    <x v="0"/>
  </r>
  <r>
    <x v="20"/>
    <x v="5"/>
    <x v="5"/>
    <m/>
    <n v="120"/>
    <x v="0"/>
  </r>
  <r>
    <x v="21"/>
    <x v="0"/>
    <x v="0"/>
    <m/>
    <n v="231"/>
    <x v="0"/>
  </r>
  <r>
    <x v="21"/>
    <x v="1"/>
    <x v="1"/>
    <n v="2666.029999999997"/>
    <n v="12516.1867"/>
    <x v="0"/>
  </r>
  <r>
    <x v="21"/>
    <x v="2"/>
    <x v="2"/>
    <n v="31.40000000000002"/>
    <n v="88.651200000000003"/>
    <x v="0"/>
  </r>
  <r>
    <x v="21"/>
    <x v="3"/>
    <x v="3"/>
    <n v="431.96999999999991"/>
    <n v="1224"/>
    <x v="0"/>
  </r>
  <r>
    <x v="21"/>
    <x v="4"/>
    <x v="4"/>
    <n v="416"/>
    <n v="203.22720000000001"/>
    <x v="0"/>
  </r>
  <r>
    <x v="21"/>
    <x v="5"/>
    <x v="5"/>
    <m/>
    <n v="168"/>
    <x v="0"/>
  </r>
  <r>
    <x v="22"/>
    <x v="0"/>
    <x v="0"/>
    <m/>
    <n v="0"/>
    <x v="0"/>
  </r>
  <r>
    <x v="22"/>
    <x v="1"/>
    <x v="1"/>
    <m/>
    <n v="0"/>
    <x v="0"/>
  </r>
  <r>
    <x v="22"/>
    <x v="2"/>
    <x v="2"/>
    <m/>
    <n v="0"/>
    <x v="0"/>
  </r>
  <r>
    <x v="22"/>
    <x v="3"/>
    <x v="3"/>
    <m/>
    <n v="0"/>
    <x v="0"/>
  </r>
  <r>
    <x v="22"/>
    <x v="4"/>
    <x v="4"/>
    <m/>
    <n v="0"/>
    <x v="0"/>
  </r>
  <r>
    <x v="22"/>
    <x v="5"/>
    <x v="5"/>
    <m/>
    <n v="0"/>
    <x v="0"/>
  </r>
  <r>
    <x v="23"/>
    <x v="0"/>
    <x v="0"/>
    <m/>
    <n v="204"/>
    <x v="0"/>
  </r>
  <r>
    <x v="23"/>
    <x v="1"/>
    <x v="1"/>
    <n v="3949.2099999999955"/>
    <n v="6660.4917999999998"/>
    <x v="0"/>
  </r>
  <r>
    <x v="23"/>
    <x v="2"/>
    <x v="2"/>
    <n v="3.7999999999999829"/>
    <n v="35.003300000000003"/>
    <x v="0"/>
  </r>
  <r>
    <x v="23"/>
    <x v="3"/>
    <x v="3"/>
    <n v="153.1400000000001"/>
    <n v="1080"/>
    <x v="0"/>
  </r>
  <r>
    <x v="23"/>
    <x v="4"/>
    <x v="4"/>
    <n v="496"/>
    <n v="1275.9969000000001"/>
    <x v="0"/>
  </r>
  <r>
    <x v="23"/>
    <x v="5"/>
    <x v="5"/>
    <m/>
    <n v="50"/>
    <x v="0"/>
  </r>
  <r>
    <x v="24"/>
    <x v="0"/>
    <x v="0"/>
    <m/>
    <n v="116"/>
    <x v="0"/>
  </r>
  <r>
    <x v="24"/>
    <x v="1"/>
    <x v="1"/>
    <m/>
    <n v="126.6735"/>
    <x v="0"/>
  </r>
  <r>
    <x v="24"/>
    <x v="2"/>
    <x v="2"/>
    <n v="180.7999999999995"/>
    <n v="176.1848"/>
    <x v="0"/>
  </r>
  <r>
    <x v="24"/>
    <x v="3"/>
    <x v="3"/>
    <n v="185.09000000000003"/>
    <n v="612"/>
    <x v="0"/>
  </r>
  <r>
    <x v="24"/>
    <x v="4"/>
    <x v="4"/>
    <n v="0"/>
    <n v="52.792099999999998"/>
    <x v="0"/>
  </r>
  <r>
    <x v="24"/>
    <x v="5"/>
    <x v="5"/>
    <n v="0"/>
    <n v="50"/>
    <x v="0"/>
  </r>
  <r>
    <x v="25"/>
    <x v="0"/>
    <x v="0"/>
    <m/>
    <n v="62"/>
    <x v="0"/>
  </r>
  <r>
    <x v="25"/>
    <x v="1"/>
    <x v="1"/>
    <n v="16.97"/>
    <n v="314.78210000000001"/>
    <x v="0"/>
  </r>
  <r>
    <x v="25"/>
    <x v="2"/>
    <x v="2"/>
    <n v="-38.6"/>
    <n v="89.565700000000007"/>
    <x v="0"/>
  </r>
  <r>
    <x v="25"/>
    <x v="3"/>
    <x v="3"/>
    <n v="101.61999999999998"/>
    <n v="324"/>
    <x v="0"/>
  </r>
  <r>
    <x v="25"/>
    <x v="4"/>
    <x v="4"/>
    <m/>
    <n v="17.612400000000001"/>
    <x v="0"/>
  </r>
  <r>
    <x v="25"/>
    <x v="5"/>
    <x v="5"/>
    <m/>
    <n v="24"/>
    <x v="0"/>
  </r>
  <r>
    <x v="26"/>
    <x v="0"/>
    <x v="0"/>
    <m/>
    <n v="109"/>
    <x v="0"/>
  </r>
  <r>
    <x v="26"/>
    <x v="1"/>
    <x v="1"/>
    <n v="-119.62"/>
    <n v="230.2878"/>
    <x v="0"/>
  </r>
  <r>
    <x v="26"/>
    <x v="2"/>
    <x v="2"/>
    <n v="8.4499999999999922"/>
    <n v="213.22020000000001"/>
    <x v="0"/>
  </r>
  <r>
    <x v="26"/>
    <x v="3"/>
    <x v="3"/>
    <n v="33.680000000000064"/>
    <n v="576"/>
    <x v="0"/>
  </r>
  <r>
    <x v="26"/>
    <x v="4"/>
    <x v="4"/>
    <n v="0"/>
    <n v="24.688700000000001"/>
    <x v="0"/>
  </r>
  <r>
    <x v="26"/>
    <x v="5"/>
    <x v="5"/>
    <m/>
    <n v="72"/>
    <x v="0"/>
  </r>
  <r>
    <x v="27"/>
    <x v="0"/>
    <x v="0"/>
    <m/>
    <n v="306"/>
    <x v="0"/>
  </r>
  <r>
    <x v="27"/>
    <x v="1"/>
    <x v="1"/>
    <n v="-205.80000000000291"/>
    <n v="21334.706099999999"/>
    <x v="0"/>
  </r>
  <r>
    <x v="27"/>
    <x v="2"/>
    <x v="2"/>
    <n v="1001.52"/>
    <n v="250.49950000000001"/>
    <x v="0"/>
  </r>
  <r>
    <x v="27"/>
    <x v="3"/>
    <x v="3"/>
    <n v="-4.67999999999995"/>
    <n v="1620"/>
    <x v="0"/>
  </r>
  <r>
    <x v="27"/>
    <x v="4"/>
    <x v="4"/>
    <n v="246"/>
    <n v="3431.4881999999998"/>
    <x v="0"/>
  </r>
  <r>
    <x v="27"/>
    <x v="5"/>
    <x v="5"/>
    <n v="0"/>
    <n v="50"/>
    <x v="0"/>
  </r>
  <r>
    <x v="28"/>
    <x v="0"/>
    <x v="0"/>
    <m/>
    <n v="96"/>
    <x v="0"/>
  </r>
  <r>
    <x v="28"/>
    <x v="1"/>
    <x v="1"/>
    <n v="55.51"/>
    <n v="389.57319999999999"/>
    <x v="0"/>
  </r>
  <r>
    <x v="28"/>
    <x v="2"/>
    <x v="2"/>
    <n v="64.050000000000011"/>
    <n v="10.2622"/>
    <x v="0"/>
  </r>
  <r>
    <x v="28"/>
    <x v="3"/>
    <x v="3"/>
    <n v="9.8800000000000523"/>
    <n v="504"/>
    <x v="0"/>
  </r>
  <r>
    <x v="28"/>
    <x v="4"/>
    <x v="4"/>
    <n v="-101.16000000000003"/>
    <n v="356.78489999999999"/>
    <x v="0"/>
  </r>
  <r>
    <x v="28"/>
    <x v="5"/>
    <x v="5"/>
    <m/>
    <n v="50"/>
    <x v="0"/>
  </r>
  <r>
    <x v="29"/>
    <x v="0"/>
    <x v="0"/>
    <m/>
    <n v="48"/>
    <x v="0"/>
  </r>
  <r>
    <x v="29"/>
    <x v="1"/>
    <x v="1"/>
    <n v="-1075.98"/>
    <n v="1327.4957999999999"/>
    <x v="0"/>
  </r>
  <r>
    <x v="29"/>
    <x v="2"/>
    <x v="2"/>
    <n v="2376"/>
    <n v="7617.3010000000004"/>
    <x v="0"/>
  </r>
  <r>
    <x v="29"/>
    <x v="3"/>
    <x v="3"/>
    <n v="243.57999999999998"/>
    <n v="252"/>
    <x v="0"/>
  </r>
  <r>
    <x v="29"/>
    <x v="4"/>
    <x v="4"/>
    <n v="-166.14999999999998"/>
    <n v="79.671199999999999"/>
    <x v="0"/>
  </r>
  <r>
    <x v="29"/>
    <x v="5"/>
    <x v="5"/>
    <n v="9.7799999999999994"/>
    <n v="48"/>
    <x v="0"/>
  </r>
  <r>
    <x v="30"/>
    <x v="0"/>
    <x v="0"/>
    <m/>
    <n v="136"/>
    <x v="0"/>
  </r>
  <r>
    <x v="30"/>
    <x v="1"/>
    <x v="1"/>
    <n v="2951.6299999999992"/>
    <n v="13491.2176"/>
    <x v="0"/>
  </r>
  <r>
    <x v="30"/>
    <x v="2"/>
    <x v="2"/>
    <n v="-21.28"/>
    <n v="106.9606"/>
    <x v="0"/>
  </r>
  <r>
    <x v="30"/>
    <x v="3"/>
    <x v="3"/>
    <n v="-144.28999999999996"/>
    <n v="720"/>
    <x v="0"/>
  </r>
  <r>
    <x v="30"/>
    <x v="4"/>
    <x v="4"/>
    <n v="8"/>
    <n v="381.10300000000001"/>
    <x v="0"/>
  </r>
  <r>
    <x v="30"/>
    <x v="5"/>
    <x v="5"/>
    <n v="0"/>
    <n v="50"/>
    <x v="0"/>
  </r>
  <r>
    <x v="31"/>
    <x v="0"/>
    <x v="0"/>
    <m/>
    <n v="41"/>
    <x v="0"/>
  </r>
  <r>
    <x v="31"/>
    <x v="1"/>
    <x v="1"/>
    <n v="-502.5"/>
    <n v="676.92399999999998"/>
    <x v="0"/>
  </r>
  <r>
    <x v="31"/>
    <x v="2"/>
    <x v="2"/>
    <n v="-44.25"/>
    <n v="568.99369999999999"/>
    <x v="0"/>
  </r>
  <r>
    <x v="31"/>
    <x v="3"/>
    <x v="3"/>
    <n v="54.569999999999993"/>
    <n v="216"/>
    <x v="0"/>
  </r>
  <r>
    <x v="31"/>
    <x v="4"/>
    <x v="4"/>
    <n v="-20.400000000000006"/>
    <n v="55.712499999999999"/>
    <x v="0"/>
  </r>
  <r>
    <x v="31"/>
    <x v="5"/>
    <x v="5"/>
    <m/>
    <n v="24"/>
    <x v="0"/>
  </r>
  <r>
    <x v="32"/>
    <x v="0"/>
    <x v="0"/>
    <m/>
    <n v="96"/>
    <x v="0"/>
  </r>
  <r>
    <x v="32"/>
    <x v="1"/>
    <x v="1"/>
    <m/>
    <n v="95.731899999999996"/>
    <x v="0"/>
  </r>
  <r>
    <x v="32"/>
    <x v="2"/>
    <x v="2"/>
    <n v="288.79999999999973"/>
    <n v="2094.4555"/>
    <x v="0"/>
  </r>
  <r>
    <x v="32"/>
    <x v="3"/>
    <x v="3"/>
    <n v="52.489999999999995"/>
    <n v="504"/>
    <x v="0"/>
  </r>
  <r>
    <x v="32"/>
    <x v="4"/>
    <x v="4"/>
    <n v="-48.800000000000011"/>
    <n v="339.98129999999998"/>
    <x v="0"/>
  </r>
  <r>
    <x v="32"/>
    <x v="5"/>
    <x v="5"/>
    <n v="0"/>
    <n v="48"/>
    <x v="0"/>
  </r>
  <r>
    <x v="33"/>
    <x v="0"/>
    <x v="0"/>
    <m/>
    <n v="197"/>
    <x v="0"/>
  </r>
  <r>
    <x v="33"/>
    <x v="1"/>
    <x v="1"/>
    <n v="314.21999999999889"/>
    <n v="2706.8566999999998"/>
    <x v="0"/>
  </r>
  <r>
    <x v="33"/>
    <x v="2"/>
    <x v="2"/>
    <n v="446.15000000000055"/>
    <n v="1391.5451"/>
    <x v="0"/>
  </r>
  <r>
    <x v="33"/>
    <x v="3"/>
    <x v="3"/>
    <n v="266.23"/>
    <n v="1044"/>
    <x v="0"/>
  </r>
  <r>
    <x v="33"/>
    <x v="4"/>
    <x v="4"/>
    <n v="149.96000000000004"/>
    <n v="206.6756"/>
    <x v="0"/>
  </r>
  <r>
    <x v="33"/>
    <x v="5"/>
    <x v="5"/>
    <m/>
    <n v="50"/>
    <x v="0"/>
  </r>
  <r>
    <x v="34"/>
    <x v="0"/>
    <x v="0"/>
    <m/>
    <n v="177"/>
    <x v="0"/>
  </r>
  <r>
    <x v="34"/>
    <x v="1"/>
    <x v="1"/>
    <n v="2036.4400000000014"/>
    <n v="6671.7578999999996"/>
    <x v="0"/>
  </r>
  <r>
    <x v="34"/>
    <x v="2"/>
    <x v="2"/>
    <n v="98.75"/>
    <n v="334.5378"/>
    <x v="0"/>
  </r>
  <r>
    <x v="34"/>
    <x v="3"/>
    <x v="3"/>
    <n v="206.14000000000004"/>
    <n v="936"/>
    <x v="0"/>
  </r>
  <r>
    <x v="34"/>
    <x v="4"/>
    <x v="4"/>
    <n v="885.97000000000025"/>
    <n v="2588.8809000000001"/>
    <x v="0"/>
  </r>
  <r>
    <x v="34"/>
    <x v="5"/>
    <x v="5"/>
    <m/>
    <n v="96"/>
    <x v="0"/>
  </r>
  <r>
    <x v="35"/>
    <x v="0"/>
    <x v="0"/>
    <m/>
    <n v="62"/>
    <x v="0"/>
  </r>
  <r>
    <x v="35"/>
    <x v="1"/>
    <x v="1"/>
    <n v="-109.03000000000009"/>
    <n v="16.057500000000001"/>
    <x v="0"/>
  </r>
  <r>
    <x v="35"/>
    <x v="2"/>
    <x v="2"/>
    <n v="2742.9999999999995"/>
    <n v="3961.8724000000002"/>
    <x v="0"/>
  </r>
  <r>
    <x v="35"/>
    <x v="3"/>
    <x v="3"/>
    <n v="61.480000000000018"/>
    <n v="324"/>
    <x v="0"/>
  </r>
  <r>
    <x v="35"/>
    <x v="4"/>
    <x v="4"/>
    <n v="-0.50999999999999801"/>
    <n v="9.8844999999999992"/>
    <x v="0"/>
  </r>
  <r>
    <x v="35"/>
    <x v="5"/>
    <x v="5"/>
    <n v="52.99"/>
    <n v="60"/>
    <x v="0"/>
  </r>
  <r>
    <x v="36"/>
    <x v="0"/>
    <x v="0"/>
    <m/>
    <n v="96"/>
    <x v="0"/>
  </r>
  <r>
    <x v="36"/>
    <x v="1"/>
    <x v="1"/>
    <n v="41.309999999999988"/>
    <n v="21.6585"/>
    <x v="0"/>
  </r>
  <r>
    <x v="36"/>
    <x v="2"/>
    <x v="2"/>
    <n v="54"/>
    <n v="17.4254"/>
    <x v="0"/>
  </r>
  <r>
    <x v="36"/>
    <x v="3"/>
    <x v="3"/>
    <n v="48.919999999999902"/>
    <n v="504"/>
    <x v="0"/>
  </r>
  <r>
    <x v="36"/>
    <x v="4"/>
    <x v="4"/>
    <n v="23.990000000000002"/>
    <n v="173.8546"/>
    <x v="0"/>
  </r>
  <r>
    <x v="36"/>
    <x v="5"/>
    <x v="5"/>
    <m/>
    <n v="84"/>
    <x v="0"/>
  </r>
  <r>
    <x v="37"/>
    <x v="0"/>
    <x v="0"/>
    <m/>
    <n v="89"/>
    <x v="0"/>
  </r>
  <r>
    <x v="37"/>
    <x v="1"/>
    <x v="1"/>
    <n v="223.94"/>
    <n v="498.65159999999997"/>
    <x v="0"/>
  </r>
  <r>
    <x v="37"/>
    <x v="2"/>
    <x v="2"/>
    <n v="16"/>
    <n v="30.4818"/>
    <x v="0"/>
  </r>
  <r>
    <x v="37"/>
    <x v="3"/>
    <x v="3"/>
    <n v="8.9399999999999977"/>
    <n v="468"/>
    <x v="0"/>
  </r>
  <r>
    <x v="37"/>
    <x v="4"/>
    <x v="4"/>
    <n v="58.179999999999993"/>
    <n v="153.88339999999999"/>
    <x v="0"/>
  </r>
  <r>
    <x v="37"/>
    <x v="5"/>
    <x v="5"/>
    <n v="32.1"/>
    <n v="60"/>
    <x v="0"/>
  </r>
  <r>
    <x v="38"/>
    <x v="0"/>
    <x v="0"/>
    <m/>
    <n v="204"/>
    <x v="0"/>
  </r>
  <r>
    <x v="38"/>
    <x v="1"/>
    <x v="1"/>
    <n v="698.42999999999483"/>
    <n v="13394.651900000001"/>
    <x v="0"/>
  </r>
  <r>
    <x v="38"/>
    <x v="2"/>
    <x v="2"/>
    <n v="-4.5"/>
    <n v="67.415599999999998"/>
    <x v="0"/>
  </r>
  <r>
    <x v="38"/>
    <x v="3"/>
    <x v="3"/>
    <n v="143.05999999999995"/>
    <n v="1080"/>
    <x v="0"/>
  </r>
  <r>
    <x v="38"/>
    <x v="4"/>
    <x v="4"/>
    <n v="144"/>
    <n v="561.84299999999996"/>
    <x v="0"/>
  </r>
  <r>
    <x v="38"/>
    <x v="5"/>
    <x v="5"/>
    <n v="17.989999999999998"/>
    <n v="50"/>
    <x v="0"/>
  </r>
  <r>
    <x v="39"/>
    <x v="0"/>
    <x v="0"/>
    <m/>
    <n v="109"/>
    <x v="0"/>
  </r>
  <r>
    <x v="39"/>
    <x v="1"/>
    <x v="1"/>
    <n v="1225.8300000000017"/>
    <n v="6925.3455000000004"/>
    <x v="0"/>
  </r>
  <r>
    <x v="39"/>
    <x v="2"/>
    <x v="2"/>
    <n v="-16.7"/>
    <n v="2.4384999999999999"/>
    <x v="0"/>
  </r>
  <r>
    <x v="39"/>
    <x v="3"/>
    <x v="3"/>
    <n v="183.63000000000011"/>
    <n v="576"/>
    <x v="0"/>
  </r>
  <r>
    <x v="39"/>
    <x v="4"/>
    <x v="4"/>
    <n v="168"/>
    <n v="2350.4065000000001"/>
    <x v="0"/>
  </r>
  <r>
    <x v="39"/>
    <x v="5"/>
    <x v="5"/>
    <n v="0"/>
    <n v="60"/>
    <x v="0"/>
  </r>
  <r>
    <x v="40"/>
    <x v="0"/>
    <x v="0"/>
    <m/>
    <n v="48"/>
    <x v="0"/>
  </r>
  <r>
    <x v="40"/>
    <x v="1"/>
    <x v="1"/>
    <n v="78.42"/>
    <n v="155.28229999999999"/>
    <x v="0"/>
  </r>
  <r>
    <x v="40"/>
    <x v="2"/>
    <x v="2"/>
    <n v="2.4"/>
    <n v="4.8771000000000004"/>
    <x v="0"/>
  </r>
  <r>
    <x v="40"/>
    <x v="3"/>
    <x v="3"/>
    <n v="294.66000000000003"/>
    <n v="252"/>
    <x v="0"/>
  </r>
  <r>
    <x v="40"/>
    <x v="4"/>
    <x v="4"/>
    <m/>
    <n v="49.703200000000002"/>
    <x v="0"/>
  </r>
  <r>
    <x v="40"/>
    <x v="5"/>
    <x v="5"/>
    <m/>
    <n v="60"/>
    <x v="0"/>
  </r>
  <r>
    <x v="41"/>
    <x v="0"/>
    <x v="0"/>
    <m/>
    <n v="150"/>
    <x v="0"/>
  </r>
  <r>
    <x v="41"/>
    <x v="1"/>
    <x v="1"/>
    <n v="2918.6500000000051"/>
    <n v="2262.0223999999998"/>
    <x v="0"/>
  </r>
  <r>
    <x v="41"/>
    <x v="2"/>
    <x v="2"/>
    <n v="8.6000000000000085"/>
    <n v="18.289100000000001"/>
    <x v="0"/>
  </r>
  <r>
    <x v="41"/>
    <x v="3"/>
    <x v="3"/>
    <n v="128.75999999999988"/>
    <n v="792"/>
    <x v="0"/>
  </r>
  <r>
    <x v="41"/>
    <x v="4"/>
    <x v="4"/>
    <n v="843.97999999999979"/>
    <n v="1189.0921000000001"/>
    <x v="0"/>
  </r>
  <r>
    <x v="41"/>
    <x v="5"/>
    <x v="5"/>
    <n v="0"/>
    <n v="60"/>
    <x v="0"/>
  </r>
  <r>
    <x v="42"/>
    <x v="0"/>
    <x v="0"/>
    <m/>
    <n v="55"/>
    <x v="0"/>
  </r>
  <r>
    <x v="42"/>
    <x v="1"/>
    <x v="1"/>
    <n v="-358.64000000000004"/>
    <n v="272.34199999999998"/>
    <x v="0"/>
  </r>
  <r>
    <x v="42"/>
    <x v="2"/>
    <x v="2"/>
    <n v="-432.5"/>
    <n v="175.80889999999999"/>
    <x v="0"/>
  </r>
  <r>
    <x v="42"/>
    <x v="3"/>
    <x v="3"/>
    <n v="-85.5"/>
    <n v="288"/>
    <x v="0"/>
  </r>
  <r>
    <x v="42"/>
    <x v="4"/>
    <x v="4"/>
    <n v="25.86"/>
    <n v="0"/>
    <x v="0"/>
  </r>
  <r>
    <x v="42"/>
    <x v="5"/>
    <x v="5"/>
    <m/>
    <n v="60"/>
    <x v="0"/>
  </r>
  <r>
    <x v="43"/>
    <x v="0"/>
    <x v="0"/>
    <m/>
    <n v="55"/>
    <x v="0"/>
  </r>
  <r>
    <x v="43"/>
    <x v="1"/>
    <x v="1"/>
    <n v="-59.36"/>
    <n v="20.113"/>
    <x v="0"/>
  </r>
  <r>
    <x v="43"/>
    <x v="2"/>
    <x v="2"/>
    <n v="-235.98999999999978"/>
    <n v="3135.277"/>
    <x v="0"/>
  </r>
  <r>
    <x v="43"/>
    <x v="3"/>
    <x v="3"/>
    <n v="72"/>
    <n v="288"/>
    <x v="0"/>
  </r>
  <r>
    <x v="43"/>
    <x v="4"/>
    <x v="4"/>
    <m/>
    <n v="0"/>
    <x v="0"/>
  </r>
  <r>
    <x v="43"/>
    <x v="5"/>
    <x v="5"/>
    <m/>
    <n v="60"/>
    <x v="0"/>
  </r>
  <r>
    <x v="44"/>
    <x v="0"/>
    <x v="0"/>
    <m/>
    <n v="184"/>
    <x v="0"/>
  </r>
  <r>
    <x v="44"/>
    <x v="1"/>
    <x v="1"/>
    <n v="2281.7600000000007"/>
    <n v="3289.3627999999999"/>
    <x v="0"/>
  </r>
  <r>
    <x v="44"/>
    <x v="2"/>
    <x v="2"/>
    <n v="-33.750000000000014"/>
    <n v="72.292699999999996"/>
    <x v="0"/>
  </r>
  <r>
    <x v="44"/>
    <x v="3"/>
    <x v="3"/>
    <n v="121.25999999999999"/>
    <n v="972"/>
    <x v="0"/>
  </r>
  <r>
    <x v="44"/>
    <x v="4"/>
    <x v="4"/>
    <n v="519.22"/>
    <n v="376.82350000000002"/>
    <x v="0"/>
  </r>
  <r>
    <x v="44"/>
    <x v="5"/>
    <x v="5"/>
    <m/>
    <n v="96"/>
    <x v="0"/>
  </r>
  <r>
    <x v="45"/>
    <x v="0"/>
    <x v="0"/>
    <m/>
    <n v="191"/>
    <x v="0"/>
  </r>
  <r>
    <x v="45"/>
    <x v="1"/>
    <x v="1"/>
    <n v="2060.7400000000007"/>
    <n v="3801.8164000000002"/>
    <x v="0"/>
  </r>
  <r>
    <x v="45"/>
    <x v="2"/>
    <x v="2"/>
    <n v="-3.4000000000000057"/>
    <n v="28.6021"/>
    <x v="0"/>
  </r>
  <r>
    <x v="45"/>
    <x v="3"/>
    <x v="3"/>
    <n v="248.18000000000006"/>
    <n v="1008"/>
    <x v="0"/>
  </r>
  <r>
    <x v="45"/>
    <x v="4"/>
    <x v="4"/>
    <n v="272"/>
    <n v="323.49220000000003"/>
    <x v="0"/>
  </r>
  <r>
    <x v="45"/>
    <x v="5"/>
    <x v="5"/>
    <m/>
    <n v="96"/>
    <x v="0"/>
  </r>
  <r>
    <x v="46"/>
    <x v="0"/>
    <x v="0"/>
    <m/>
    <n v="55"/>
    <x v="0"/>
  </r>
  <r>
    <x v="46"/>
    <x v="1"/>
    <x v="1"/>
    <m/>
    <n v="1559.5181"/>
    <x v="0"/>
  </r>
  <r>
    <x v="46"/>
    <x v="2"/>
    <x v="2"/>
    <n v="510.23"/>
    <n v="3138.8737999999998"/>
    <x v="0"/>
  </r>
  <r>
    <x v="46"/>
    <x v="3"/>
    <x v="3"/>
    <n v="-178.47999999999996"/>
    <n v="288"/>
    <x v="0"/>
  </r>
  <r>
    <x v="46"/>
    <x v="4"/>
    <x v="4"/>
    <n v="-25.98"/>
    <n v="69.505899999999997"/>
    <x v="0"/>
  </r>
  <r>
    <x v="46"/>
    <x v="5"/>
    <x v="5"/>
    <n v="0"/>
    <n v="36"/>
    <x v="0"/>
  </r>
  <r>
    <x v="47"/>
    <x v="0"/>
    <x v="0"/>
    <m/>
    <n v="75"/>
    <x v="0"/>
  </r>
  <r>
    <x v="47"/>
    <x v="1"/>
    <x v="1"/>
    <m/>
    <n v="153.1328"/>
    <x v="0"/>
  </r>
  <r>
    <x v="47"/>
    <x v="2"/>
    <x v="2"/>
    <n v="189.89999999999986"/>
    <n v="143.06129999999999"/>
    <x v="0"/>
  </r>
  <r>
    <x v="47"/>
    <x v="3"/>
    <x v="3"/>
    <n v="-52.039999999999964"/>
    <n v="396"/>
    <x v="0"/>
  </r>
  <r>
    <x v="47"/>
    <x v="4"/>
    <x v="4"/>
    <n v="156.88"/>
    <n v="31.450600000000001"/>
    <x v="0"/>
  </r>
  <r>
    <x v="47"/>
    <x v="5"/>
    <x v="5"/>
    <n v="30"/>
    <n v="48"/>
    <x v="0"/>
  </r>
  <r>
    <x v="48"/>
    <x v="0"/>
    <x v="0"/>
    <m/>
    <n v="82"/>
    <x v="0"/>
  </r>
  <r>
    <x v="48"/>
    <x v="1"/>
    <x v="1"/>
    <n v="-4.5399999999999991"/>
    <n v="145.97540000000001"/>
    <x v="0"/>
  </r>
  <r>
    <x v="48"/>
    <x v="2"/>
    <x v="2"/>
    <n v="34.200000000000003"/>
    <n v="22.4041"/>
    <x v="0"/>
  </r>
  <r>
    <x v="48"/>
    <x v="3"/>
    <x v="3"/>
    <n v="4.8900000000000148"/>
    <n v="432"/>
    <x v="0"/>
  </r>
  <r>
    <x v="48"/>
    <x v="4"/>
    <x v="4"/>
    <m/>
    <n v="15.1637"/>
    <x v="0"/>
  </r>
  <r>
    <x v="48"/>
    <x v="5"/>
    <x v="5"/>
    <n v="-247.61"/>
    <n v="60"/>
    <x v="0"/>
  </r>
  <r>
    <x v="49"/>
    <x v="0"/>
    <x v="0"/>
    <m/>
    <n v="62"/>
    <x v="0"/>
  </r>
  <r>
    <x v="49"/>
    <x v="1"/>
    <x v="1"/>
    <n v="-80.299999999999983"/>
    <n v="224.0899"/>
    <x v="0"/>
  </r>
  <r>
    <x v="49"/>
    <x v="2"/>
    <x v="2"/>
    <n v="4.75"/>
    <n v="9.6525999999999996"/>
    <x v="0"/>
  </r>
  <r>
    <x v="49"/>
    <x v="3"/>
    <x v="3"/>
    <n v="114.33"/>
    <n v="324"/>
    <x v="0"/>
  </r>
  <r>
    <x v="49"/>
    <x v="4"/>
    <x v="4"/>
    <n v="16"/>
    <n v="314.50630000000001"/>
    <x v="0"/>
  </r>
  <r>
    <x v="49"/>
    <x v="5"/>
    <x v="5"/>
    <n v="17.11"/>
    <n v="36"/>
    <x v="0"/>
  </r>
  <r>
    <x v="50"/>
    <x v="0"/>
    <x v="0"/>
    <m/>
    <n v="102"/>
    <x v="0"/>
  </r>
  <r>
    <x v="50"/>
    <x v="1"/>
    <x v="1"/>
    <n v="207.83999999999997"/>
    <n v="345.98660000000001"/>
    <x v="0"/>
  </r>
  <r>
    <x v="50"/>
    <x v="2"/>
    <x v="2"/>
    <n v="23.15"/>
    <n v="38.610300000000002"/>
    <x v="0"/>
  </r>
  <r>
    <x v="50"/>
    <x v="3"/>
    <x v="3"/>
    <n v="164.25999999999988"/>
    <n v="540"/>
    <x v="0"/>
  </r>
  <r>
    <x v="50"/>
    <x v="4"/>
    <x v="4"/>
    <n v="166.55999999999995"/>
    <n v="2394.7406999999998"/>
    <x v="0"/>
  </r>
  <r>
    <x v="50"/>
    <x v="5"/>
    <x v="5"/>
    <m/>
    <n v="72"/>
    <x v="0"/>
  </r>
  <r>
    <x v="51"/>
    <x v="0"/>
    <x v="0"/>
    <m/>
    <n v="75"/>
    <x v="0"/>
  </r>
  <r>
    <x v="51"/>
    <x v="1"/>
    <x v="1"/>
    <n v="4.6199999999999761"/>
    <n v="524.94200000000001"/>
    <x v="0"/>
  </r>
  <r>
    <x v="51"/>
    <x v="2"/>
    <x v="2"/>
    <n v="31.699999999999996"/>
    <n v="27.332000000000001"/>
    <x v="0"/>
  </r>
  <r>
    <x v="51"/>
    <x v="3"/>
    <x v="3"/>
    <n v="105.71000000000004"/>
    <n v="396"/>
    <x v="0"/>
  </r>
  <r>
    <x v="51"/>
    <x v="4"/>
    <x v="4"/>
    <n v="41.3"/>
    <n v="145.0436"/>
    <x v="0"/>
  </r>
  <r>
    <x v="51"/>
    <x v="5"/>
    <x v="5"/>
    <m/>
    <n v="60"/>
    <x v="0"/>
  </r>
  <r>
    <x v="52"/>
    <x v="0"/>
    <x v="0"/>
    <m/>
    <n v="123"/>
    <x v="0"/>
  </r>
  <r>
    <x v="52"/>
    <x v="1"/>
    <x v="1"/>
    <n v="-28"/>
    <n v="171.66739999999999"/>
    <x v="0"/>
  </r>
  <r>
    <x v="52"/>
    <x v="2"/>
    <x v="2"/>
    <n v="8.6500000000000909"/>
    <n v="86.669899999999998"/>
    <x v="0"/>
  </r>
  <r>
    <x v="52"/>
    <x v="3"/>
    <x v="3"/>
    <n v="-32.28000000000003"/>
    <n v="648"/>
    <x v="0"/>
  </r>
  <r>
    <x v="52"/>
    <x v="4"/>
    <x v="4"/>
    <n v="12.959999999999994"/>
    <n v="67.596400000000003"/>
    <x v="0"/>
  </r>
  <r>
    <x v="52"/>
    <x v="5"/>
    <x v="5"/>
    <n v="-5.3500000000000014"/>
    <n v="108"/>
    <x v="0"/>
  </r>
  <r>
    <x v="53"/>
    <x v="0"/>
    <x v="0"/>
    <m/>
    <n v="136"/>
    <x v="0"/>
  </r>
  <r>
    <x v="53"/>
    <x v="1"/>
    <x v="1"/>
    <n v="8.7299999999999613"/>
    <n v="309.3818"/>
    <x v="0"/>
  </r>
  <r>
    <x v="53"/>
    <x v="2"/>
    <x v="2"/>
    <n v="-14.400000000000006"/>
    <n v="87.533600000000007"/>
    <x v="0"/>
  </r>
  <r>
    <x v="53"/>
    <x v="3"/>
    <x v="3"/>
    <n v="48.139999999999873"/>
    <n v="720"/>
    <x v="0"/>
  </r>
  <r>
    <x v="53"/>
    <x v="4"/>
    <x v="4"/>
    <n v="-33.490000000000009"/>
    <n v="45.479900000000001"/>
    <x v="0"/>
  </r>
  <r>
    <x v="53"/>
    <x v="5"/>
    <x v="5"/>
    <n v="0"/>
    <n v="84"/>
    <x v="0"/>
  </r>
  <r>
    <x v="54"/>
    <x v="0"/>
    <x v="0"/>
    <m/>
    <n v="211"/>
    <x v="0"/>
  </r>
  <r>
    <x v="54"/>
    <x v="1"/>
    <x v="1"/>
    <n v="4921.299999999992"/>
    <n v="18526.6486"/>
    <x v="0"/>
  </r>
  <r>
    <x v="54"/>
    <x v="2"/>
    <x v="2"/>
    <n v="868"/>
    <n v="536.47969999999998"/>
    <x v="0"/>
  </r>
  <r>
    <x v="54"/>
    <x v="3"/>
    <x v="3"/>
    <n v="104.02999999999997"/>
    <n v="1116"/>
    <x v="0"/>
  </r>
  <r>
    <x v="54"/>
    <x v="4"/>
    <x v="4"/>
    <n v="921.58999999999924"/>
    <n v="4025.5167999999999"/>
    <x v="0"/>
  </r>
  <r>
    <x v="54"/>
    <x v="5"/>
    <x v="5"/>
    <n v="117.49"/>
    <n v="108"/>
    <x v="0"/>
  </r>
  <r>
    <x v="55"/>
    <x v="0"/>
    <x v="0"/>
    <m/>
    <n v="123"/>
    <x v="0"/>
  </r>
  <r>
    <x v="55"/>
    <x v="1"/>
    <x v="1"/>
    <n v="-186.1"/>
    <n v="91.813900000000004"/>
    <x v="0"/>
  </r>
  <r>
    <x v="55"/>
    <x v="2"/>
    <x v="2"/>
    <n v="38.15"/>
    <n v="29.922999999999998"/>
    <x v="0"/>
  </r>
  <r>
    <x v="55"/>
    <x v="3"/>
    <x v="3"/>
    <n v="58.359999999999957"/>
    <n v="648"/>
    <x v="0"/>
  </r>
  <r>
    <x v="55"/>
    <x v="4"/>
    <x v="4"/>
    <n v="25.979999999999997"/>
    <n v="31.225999999999999"/>
    <x v="0"/>
  </r>
  <r>
    <x v="55"/>
    <x v="5"/>
    <x v="5"/>
    <m/>
    <n v="60"/>
    <x v="0"/>
  </r>
  <r>
    <x v="56"/>
    <x v="0"/>
    <x v="0"/>
    <m/>
    <n v="62"/>
    <x v="0"/>
  </r>
  <r>
    <x v="56"/>
    <x v="1"/>
    <x v="1"/>
    <n v="119.46999999999997"/>
    <n v="371.4513"/>
    <x v="0"/>
  </r>
  <r>
    <x v="56"/>
    <x v="2"/>
    <x v="2"/>
    <n v="66.800000000000011"/>
    <n v="47.754800000000003"/>
    <x v="0"/>
  </r>
  <r>
    <x v="56"/>
    <x v="3"/>
    <x v="3"/>
    <n v="83.810000000000059"/>
    <n v="324"/>
    <x v="0"/>
  </r>
  <r>
    <x v="56"/>
    <x v="4"/>
    <x v="4"/>
    <n v="39.620000000000005"/>
    <n v="177.84209999999999"/>
    <x v="0"/>
  </r>
  <r>
    <x v="56"/>
    <x v="5"/>
    <x v="5"/>
    <n v="18.600000000000001"/>
    <n v="60"/>
    <x v="0"/>
  </r>
  <r>
    <x v="57"/>
    <x v="0"/>
    <x v="0"/>
    <m/>
    <n v="96"/>
    <x v="0"/>
  </r>
  <r>
    <x v="57"/>
    <x v="1"/>
    <x v="1"/>
    <n v="309.46999999999997"/>
    <n v="590.07249999999999"/>
    <x v="0"/>
  </r>
  <r>
    <x v="57"/>
    <x v="2"/>
    <x v="2"/>
    <n v="5.3999999999999995"/>
    <n v="34.8001"/>
    <x v="0"/>
  </r>
  <r>
    <x v="57"/>
    <x v="3"/>
    <x v="3"/>
    <n v="314.52"/>
    <n v="504"/>
    <x v="0"/>
  </r>
  <r>
    <x v="57"/>
    <x v="4"/>
    <x v="4"/>
    <n v="22.849999999999994"/>
    <n v="64.698400000000007"/>
    <x v="0"/>
  </r>
  <r>
    <x v="57"/>
    <x v="5"/>
    <x v="5"/>
    <m/>
    <n v="60"/>
    <x v="0"/>
  </r>
  <r>
    <x v="58"/>
    <x v="0"/>
    <x v="0"/>
    <m/>
    <n v="89"/>
    <x v="0"/>
  </r>
  <r>
    <x v="58"/>
    <x v="1"/>
    <x v="1"/>
    <n v="-68.81"/>
    <n v="207.9914"/>
    <x v="0"/>
  </r>
  <r>
    <x v="58"/>
    <x v="2"/>
    <x v="2"/>
    <n v="37.499999999999545"/>
    <n v="65.231099999999998"/>
    <x v="0"/>
  </r>
  <r>
    <x v="58"/>
    <x v="3"/>
    <x v="3"/>
    <n v="124.10000000000002"/>
    <n v="468"/>
    <x v="0"/>
  </r>
  <r>
    <x v="58"/>
    <x v="4"/>
    <x v="4"/>
    <n v="30.20000000000001"/>
    <n v="0"/>
    <x v="0"/>
  </r>
  <r>
    <x v="58"/>
    <x v="5"/>
    <x v="5"/>
    <n v="0"/>
    <n v="60"/>
    <x v="0"/>
  </r>
  <r>
    <x v="59"/>
    <x v="0"/>
    <x v="0"/>
    <m/>
    <n v="62"/>
    <x v="0"/>
  </r>
  <r>
    <x v="59"/>
    <x v="1"/>
    <x v="1"/>
    <n v="-250.79999999999998"/>
    <n v="85.011700000000005"/>
    <x v="0"/>
  </r>
  <r>
    <x v="59"/>
    <x v="2"/>
    <x v="2"/>
    <n v="10.95"/>
    <n v="40.845599999999997"/>
    <x v="0"/>
  </r>
  <r>
    <x v="59"/>
    <x v="3"/>
    <x v="3"/>
    <n v="-131.35000000000002"/>
    <n v="324"/>
    <x v="0"/>
  </r>
  <r>
    <x v="59"/>
    <x v="4"/>
    <x v="4"/>
    <n v="12.55"/>
    <n v="37.066800000000001"/>
    <x v="0"/>
  </r>
  <r>
    <x v="59"/>
    <x v="5"/>
    <x v="5"/>
    <n v="0"/>
    <n v="48"/>
    <x v="0"/>
  </r>
  <r>
    <x v="60"/>
    <x v="0"/>
    <x v="0"/>
    <m/>
    <n v="177"/>
    <x v="0"/>
  </r>
  <r>
    <x v="60"/>
    <x v="1"/>
    <x v="1"/>
    <n v="-24.220000000000255"/>
    <n v="4378.9534999999996"/>
    <x v="0"/>
  </r>
  <r>
    <x v="60"/>
    <x v="2"/>
    <x v="2"/>
    <n v="169.50000000000003"/>
    <n v="35.765300000000003"/>
    <x v="0"/>
  </r>
  <r>
    <x v="60"/>
    <x v="3"/>
    <x v="3"/>
    <n v="4.5099999999999341"/>
    <n v="936"/>
    <x v="0"/>
  </r>
  <r>
    <x v="60"/>
    <x v="4"/>
    <x v="4"/>
    <n v="-24"/>
    <n v="844.67399999999998"/>
    <x v="0"/>
  </r>
  <r>
    <x v="60"/>
    <x v="5"/>
    <x v="5"/>
    <m/>
    <n v="68"/>
    <x v="0"/>
  </r>
  <r>
    <x v="61"/>
    <x v="0"/>
    <x v="0"/>
    <m/>
    <n v="102"/>
    <x v="0"/>
  </r>
  <r>
    <x v="61"/>
    <x v="1"/>
    <x v="1"/>
    <n v="-308.68000000000012"/>
    <n v="237.58430000000001"/>
    <x v="0"/>
  </r>
  <r>
    <x v="61"/>
    <x v="2"/>
    <x v="2"/>
    <n v="-4.1500000000000057"/>
    <n v="46.332299999999996"/>
    <x v="0"/>
  </r>
  <r>
    <x v="61"/>
    <x v="3"/>
    <x v="3"/>
    <n v="99.519999999999982"/>
    <n v="540"/>
    <x v="0"/>
  </r>
  <r>
    <x v="61"/>
    <x v="4"/>
    <x v="4"/>
    <n v="-32"/>
    <n v="48.2879"/>
    <x v="0"/>
  </r>
  <r>
    <x v="61"/>
    <x v="5"/>
    <x v="5"/>
    <n v="-25"/>
    <n v="60"/>
    <x v="0"/>
  </r>
  <r>
    <x v="62"/>
    <x v="0"/>
    <x v="0"/>
    <m/>
    <n v="245"/>
    <x v="0"/>
  </r>
  <r>
    <x v="62"/>
    <x v="1"/>
    <x v="1"/>
    <n v="789.71000000000049"/>
    <n v="2041.492"/>
    <x v="0"/>
  </r>
  <r>
    <x v="62"/>
    <x v="2"/>
    <x v="2"/>
    <n v="-138.05000000000001"/>
    <n v="191.32409999999999"/>
    <x v="0"/>
  </r>
  <r>
    <x v="62"/>
    <x v="3"/>
    <x v="3"/>
    <n v="397.13999999999987"/>
    <n v="1296"/>
    <x v="0"/>
  </r>
  <r>
    <x v="62"/>
    <x v="4"/>
    <x v="4"/>
    <n v="102.75999999999999"/>
    <n v="707.0326"/>
    <x v="0"/>
  </r>
  <r>
    <x v="62"/>
    <x v="5"/>
    <x v="5"/>
    <n v="-25"/>
    <n v="108"/>
    <x v="0"/>
  </r>
  <r>
    <x v="63"/>
    <x v="0"/>
    <x v="0"/>
    <m/>
    <n v="191"/>
    <x v="0"/>
  </r>
  <r>
    <x v="63"/>
    <x v="1"/>
    <x v="1"/>
    <n v="1980.6400000000049"/>
    <n v="13918.9046"/>
    <x v="0"/>
  </r>
  <r>
    <x v="63"/>
    <x v="2"/>
    <x v="2"/>
    <n v="51.670000000000016"/>
    <n v="86.669899999999998"/>
    <x v="0"/>
  </r>
  <r>
    <x v="63"/>
    <x v="3"/>
    <x v="3"/>
    <n v="103.32000000000005"/>
    <n v="1008"/>
    <x v="0"/>
  </r>
  <r>
    <x v="63"/>
    <x v="4"/>
    <x v="4"/>
    <n v="960"/>
    <n v="4384.0315000000001"/>
    <x v="0"/>
  </r>
  <r>
    <x v="63"/>
    <x v="5"/>
    <x v="5"/>
    <m/>
    <n v="84"/>
    <x v="0"/>
  </r>
  <r>
    <x v="64"/>
    <x v="0"/>
    <x v="0"/>
    <m/>
    <n v="96"/>
    <x v="0"/>
  </r>
  <r>
    <x v="64"/>
    <x v="1"/>
    <x v="1"/>
    <n v="6.5599999999999987"/>
    <n v="82.6113"/>
    <x v="0"/>
  </r>
  <r>
    <x v="64"/>
    <x v="2"/>
    <x v="2"/>
    <n v="1382.9499999999998"/>
    <n v="1465.4635000000001"/>
    <x v="0"/>
  </r>
  <r>
    <x v="64"/>
    <x v="3"/>
    <x v="3"/>
    <n v="7.5600000000000591"/>
    <n v="504"/>
    <x v="0"/>
  </r>
  <r>
    <x v="64"/>
    <x v="4"/>
    <x v="4"/>
    <n v="0"/>
    <n v="91.117000000000004"/>
    <x v="0"/>
  </r>
  <r>
    <x v="64"/>
    <x v="5"/>
    <x v="5"/>
    <n v="50"/>
    <n v="72"/>
    <x v="0"/>
  </r>
  <r>
    <x v="65"/>
    <x v="0"/>
    <x v="0"/>
    <m/>
    <n v="41"/>
    <x v="0"/>
  </r>
  <r>
    <x v="65"/>
    <x v="1"/>
    <x v="1"/>
    <n v="0"/>
    <n v="54.475000000000001"/>
    <x v="0"/>
  </r>
  <r>
    <x v="65"/>
    <x v="2"/>
    <x v="2"/>
    <n v="14.700000000000003"/>
    <n v="21.7897"/>
    <x v="0"/>
  </r>
  <r>
    <x v="65"/>
    <x v="3"/>
    <x v="3"/>
    <n v="39.860000000000014"/>
    <n v="216"/>
    <x v="0"/>
  </r>
  <r>
    <x v="65"/>
    <x v="4"/>
    <x v="4"/>
    <n v="23.91"/>
    <n v="0"/>
    <x v="0"/>
  </r>
  <r>
    <x v="65"/>
    <x v="5"/>
    <x v="5"/>
    <m/>
    <n v="36"/>
    <x v="0"/>
  </r>
  <r>
    <x v="66"/>
    <x v="0"/>
    <x v="0"/>
    <m/>
    <n v="89"/>
    <x v="0"/>
  </r>
  <r>
    <x v="66"/>
    <x v="1"/>
    <x v="1"/>
    <n v="169.98000000000013"/>
    <n v="575.94579999999996"/>
    <x v="0"/>
  </r>
  <r>
    <x v="66"/>
    <x v="2"/>
    <x v="2"/>
    <n v="-6.2999999999999972"/>
    <n v="117.47199999999999"/>
    <x v="0"/>
  </r>
  <r>
    <x v="66"/>
    <x v="3"/>
    <x v="3"/>
    <n v="120.3599999999999"/>
    <n v="468"/>
    <x v="0"/>
  </r>
  <r>
    <x v="66"/>
    <x v="4"/>
    <x v="4"/>
    <n v="8"/>
    <n v="37.061999999999998"/>
    <x v="0"/>
  </r>
  <r>
    <x v="66"/>
    <x v="5"/>
    <x v="5"/>
    <m/>
    <n v="36"/>
    <x v="0"/>
  </r>
  <r>
    <x v="67"/>
    <x v="0"/>
    <x v="0"/>
    <m/>
    <n v="55"/>
    <x v="0"/>
  </r>
  <r>
    <x v="67"/>
    <x v="1"/>
    <x v="1"/>
    <n v="312.33"/>
    <n v="61.7639"/>
    <x v="0"/>
  </r>
  <r>
    <x v="67"/>
    <x v="2"/>
    <x v="2"/>
    <n v="111.00000000000023"/>
    <n v="629.95730000000003"/>
    <x v="0"/>
  </r>
  <r>
    <x v="67"/>
    <x v="3"/>
    <x v="3"/>
    <n v="16.340000000000003"/>
    <n v="288"/>
    <x v="0"/>
  </r>
  <r>
    <x v="67"/>
    <x v="4"/>
    <x v="4"/>
    <m/>
    <n v="35"/>
    <x v="0"/>
  </r>
  <r>
    <x v="67"/>
    <x v="5"/>
    <x v="5"/>
    <m/>
    <n v="36"/>
    <x v="0"/>
  </r>
  <r>
    <x v="68"/>
    <x v="0"/>
    <x v="0"/>
    <m/>
    <n v="0"/>
    <x v="0"/>
  </r>
  <r>
    <x v="68"/>
    <x v="1"/>
    <x v="1"/>
    <n v="-147.12999999999994"/>
    <n v="0"/>
    <x v="0"/>
  </r>
  <r>
    <x v="68"/>
    <x v="2"/>
    <x v="2"/>
    <n v="3.7500000000000036"/>
    <n v="0"/>
    <x v="0"/>
  </r>
  <r>
    <x v="68"/>
    <x v="3"/>
    <x v="3"/>
    <n v="126.94999999999996"/>
    <n v="0"/>
    <x v="0"/>
  </r>
  <r>
    <x v="68"/>
    <x v="4"/>
    <x v="4"/>
    <n v="87.57"/>
    <n v="0"/>
    <x v="0"/>
  </r>
  <r>
    <x v="68"/>
    <x v="5"/>
    <x v="5"/>
    <m/>
    <n v="0"/>
    <x v="0"/>
  </r>
  <r>
    <x v="69"/>
    <x v="0"/>
    <x v="0"/>
    <m/>
    <n v="68"/>
    <x v="0"/>
  </r>
  <r>
    <x v="69"/>
    <x v="1"/>
    <x v="1"/>
    <n v="876.9200000000003"/>
    <n v="0"/>
    <x v="0"/>
  </r>
  <r>
    <x v="69"/>
    <x v="2"/>
    <x v="2"/>
    <n v="4.75"/>
    <n v="204.4821"/>
    <x v="0"/>
  </r>
  <r>
    <x v="69"/>
    <x v="3"/>
    <x v="3"/>
    <n v="-44.220000000000027"/>
    <n v="360"/>
    <x v="0"/>
  </r>
  <r>
    <x v="69"/>
    <x v="4"/>
    <x v="4"/>
    <n v="595.26999999999987"/>
    <n v="263.4776"/>
    <x v="0"/>
  </r>
  <r>
    <x v="69"/>
    <x v="5"/>
    <x v="5"/>
    <m/>
    <n v="36"/>
    <x v="0"/>
  </r>
  <r>
    <x v="70"/>
    <x v="0"/>
    <x v="0"/>
    <m/>
    <n v="62"/>
    <x v="0"/>
  </r>
  <r>
    <x v="70"/>
    <x v="1"/>
    <x v="1"/>
    <n v="-13.41"/>
    <n v="472.71570000000003"/>
    <x v="0"/>
  </r>
  <r>
    <x v="70"/>
    <x v="2"/>
    <x v="2"/>
    <n v="-2.8999999999999773"/>
    <n v="63.656199999999998"/>
    <x v="0"/>
  </r>
  <r>
    <x v="70"/>
    <x v="3"/>
    <x v="3"/>
    <n v="-20.679999999999978"/>
    <n v="324"/>
    <x v="0"/>
  </r>
  <r>
    <x v="70"/>
    <x v="4"/>
    <x v="4"/>
    <n v="15.920000000000002"/>
    <n v="185"/>
    <x v="0"/>
  </r>
  <r>
    <x v="70"/>
    <x v="5"/>
    <x v="5"/>
    <m/>
    <n v="36"/>
    <x v="0"/>
  </r>
  <r>
    <x v="71"/>
    <x v="0"/>
    <x v="0"/>
    <m/>
    <n v="75"/>
    <x v="0"/>
  </r>
  <r>
    <x v="71"/>
    <x v="1"/>
    <x v="1"/>
    <n v="-282.48999999999995"/>
    <n v="818.41809999999998"/>
    <x v="0"/>
  </r>
  <r>
    <x v="71"/>
    <x v="2"/>
    <x v="2"/>
    <n v="651"/>
    <n v="446.84289999999999"/>
    <x v="0"/>
  </r>
  <r>
    <x v="71"/>
    <x v="3"/>
    <x v="3"/>
    <n v="207.69000000000005"/>
    <n v="396"/>
    <x v="0"/>
  </r>
  <r>
    <x v="71"/>
    <x v="4"/>
    <x v="4"/>
    <n v="75.009999999999991"/>
    <n v="1385.242"/>
    <x v="0"/>
  </r>
  <r>
    <x v="71"/>
    <x v="5"/>
    <x v="5"/>
    <m/>
    <n v="36"/>
    <x v="0"/>
  </r>
  <r>
    <x v="72"/>
    <x v="0"/>
    <x v="0"/>
    <m/>
    <n v="41"/>
    <x v="0"/>
  </r>
  <r>
    <x v="72"/>
    <x v="1"/>
    <x v="1"/>
    <n v="-564.09"/>
    <n v="1252.5023000000001"/>
    <x v="0"/>
  </r>
  <r>
    <x v="72"/>
    <x v="2"/>
    <x v="2"/>
    <n v="-9.8999999999999773"/>
    <n v="117.47199999999999"/>
    <x v="0"/>
  </r>
  <r>
    <x v="72"/>
    <x v="3"/>
    <x v="3"/>
    <n v="-128.26999999999998"/>
    <n v="216"/>
    <x v="0"/>
  </r>
  <r>
    <x v="72"/>
    <x v="4"/>
    <x v="4"/>
    <n v="-7.2299999999999898"/>
    <n v="53.4773"/>
    <x v="0"/>
  </r>
  <r>
    <x v="72"/>
    <x v="5"/>
    <x v="5"/>
    <n v="0"/>
    <n v="36"/>
    <x v="0"/>
  </r>
  <r>
    <x v="73"/>
    <x v="0"/>
    <x v="0"/>
    <m/>
    <n v="82"/>
    <x v="0"/>
  </r>
  <r>
    <x v="73"/>
    <x v="1"/>
    <x v="1"/>
    <n v="135.51"/>
    <n v="1499.8046999999999"/>
    <x v="0"/>
  </r>
  <r>
    <x v="73"/>
    <x v="2"/>
    <x v="2"/>
    <n v="-26"/>
    <n v="489.46660000000003"/>
    <x v="0"/>
  </r>
  <r>
    <x v="73"/>
    <x v="3"/>
    <x v="3"/>
    <n v="213.67999999999995"/>
    <n v="432"/>
    <x v="0"/>
  </r>
  <r>
    <x v="73"/>
    <x v="4"/>
    <x v="4"/>
    <n v="140.20999999999998"/>
    <n v="81.232500000000002"/>
    <x v="0"/>
  </r>
  <r>
    <x v="73"/>
    <x v="5"/>
    <x v="5"/>
    <n v="45"/>
    <n v="36"/>
    <x v="0"/>
  </r>
  <r>
    <x v="74"/>
    <x v="0"/>
    <x v="0"/>
    <m/>
    <n v="0"/>
    <x v="0"/>
  </r>
  <r>
    <x v="74"/>
    <x v="1"/>
    <x v="1"/>
    <n v="44.13"/>
    <n v="0"/>
    <x v="0"/>
  </r>
  <r>
    <x v="74"/>
    <x v="2"/>
    <x v="2"/>
    <n v="204.20000000000002"/>
    <n v="0"/>
    <x v="0"/>
  </r>
  <r>
    <x v="74"/>
    <x v="3"/>
    <x v="3"/>
    <n v="219.95999999999998"/>
    <n v="0"/>
    <x v="0"/>
  </r>
  <r>
    <x v="74"/>
    <x v="4"/>
    <x v="4"/>
    <n v="16"/>
    <n v="0"/>
    <x v="0"/>
  </r>
  <r>
    <x v="74"/>
    <x v="5"/>
    <x v="5"/>
    <m/>
    <n v="0"/>
    <x v="0"/>
  </r>
  <r>
    <x v="75"/>
    <x v="0"/>
    <x v="0"/>
    <m/>
    <n v="62"/>
    <x v="0"/>
  </r>
  <r>
    <x v="75"/>
    <x v="1"/>
    <x v="1"/>
    <n v="97.52000000000001"/>
    <n v="356.63709999999998"/>
    <x v="0"/>
  </r>
  <r>
    <x v="75"/>
    <x v="2"/>
    <x v="2"/>
    <n v="83.85"/>
    <n v="97.893299999999996"/>
    <x v="0"/>
  </r>
  <r>
    <x v="75"/>
    <x v="3"/>
    <x v="3"/>
    <n v="28.879999999999995"/>
    <n v="324"/>
    <x v="0"/>
  </r>
  <r>
    <x v="75"/>
    <x v="4"/>
    <x v="4"/>
    <m/>
    <n v="31.290099999999999"/>
    <x v="0"/>
  </r>
  <r>
    <x v="75"/>
    <x v="5"/>
    <x v="5"/>
    <m/>
    <n v="36"/>
    <x v="0"/>
  </r>
</pivotCacheRecords>
</file>

<file path=xl/pivotCache/pivotCacheRecords4.xml><?xml version="1.0" encoding="utf-8"?>
<pivotCacheRecords xmlns="http://schemas.openxmlformats.org/spreadsheetml/2006/main" xmlns:r="http://schemas.openxmlformats.org/officeDocument/2006/relationships" count="8161">
  <r>
    <x v="0"/>
    <x v="0"/>
    <x v="0"/>
    <x v="0"/>
    <x v="0"/>
    <x v="0"/>
    <x v="0"/>
    <x v="0"/>
    <x v="0"/>
    <x v="0"/>
    <s v="CASA MATRIZ"/>
    <x v="0"/>
  </r>
  <r>
    <x v="0"/>
    <x v="1"/>
    <x v="1"/>
    <x v="1"/>
    <x v="0"/>
    <x v="0"/>
    <x v="1"/>
    <x v="1"/>
    <x v="1"/>
    <x v="1"/>
    <s v="CASA MATRIZ"/>
    <x v="0"/>
  </r>
  <r>
    <x v="0"/>
    <x v="2"/>
    <x v="2"/>
    <x v="2"/>
    <x v="0"/>
    <x v="1"/>
    <x v="2"/>
    <x v="2"/>
    <x v="2"/>
    <x v="0"/>
    <s v="CASA MATRIZ"/>
    <x v="0"/>
  </r>
  <r>
    <x v="0"/>
    <x v="3"/>
    <x v="3"/>
    <x v="3"/>
    <x v="0"/>
    <x v="1"/>
    <x v="3"/>
    <x v="3"/>
    <x v="3"/>
    <x v="0"/>
    <s v="CASA MATRIZ"/>
    <x v="0"/>
  </r>
  <r>
    <x v="0"/>
    <x v="4"/>
    <x v="4"/>
    <x v="4"/>
    <x v="0"/>
    <x v="1"/>
    <x v="4"/>
    <x v="4"/>
    <x v="4"/>
    <x v="0"/>
    <s v="CASA MATRIZ"/>
    <x v="0"/>
  </r>
  <r>
    <x v="0"/>
    <x v="0"/>
    <x v="0"/>
    <x v="0"/>
    <x v="0"/>
    <x v="1"/>
    <x v="0"/>
    <x v="0"/>
    <x v="4"/>
    <x v="0"/>
    <s v="CASA MATRIZ"/>
    <x v="0"/>
  </r>
  <r>
    <x v="0"/>
    <x v="5"/>
    <x v="0"/>
    <x v="0"/>
    <x v="0"/>
    <x v="1"/>
    <x v="5"/>
    <x v="5"/>
    <x v="5"/>
    <x v="0"/>
    <s v="CASA MATRIZ"/>
    <x v="0"/>
  </r>
  <r>
    <x v="0"/>
    <x v="6"/>
    <x v="5"/>
    <x v="5"/>
    <x v="0"/>
    <x v="1"/>
    <x v="6"/>
    <x v="6"/>
    <x v="6"/>
    <x v="0"/>
    <s v="CASA MATRIZ"/>
    <x v="0"/>
  </r>
  <r>
    <x v="0"/>
    <x v="1"/>
    <x v="1"/>
    <x v="1"/>
    <x v="0"/>
    <x v="1"/>
    <x v="1"/>
    <x v="1"/>
    <x v="1"/>
    <x v="2"/>
    <s v="CASA MATRIZ"/>
    <x v="0"/>
  </r>
  <r>
    <x v="1"/>
    <x v="7"/>
    <x v="2"/>
    <x v="2"/>
    <x v="0"/>
    <x v="2"/>
    <x v="7"/>
    <x v="7"/>
    <x v="7"/>
    <x v="0"/>
    <s v="PAITILLA"/>
    <x v="0"/>
  </r>
  <r>
    <x v="1"/>
    <x v="3"/>
    <x v="3"/>
    <x v="3"/>
    <x v="0"/>
    <x v="2"/>
    <x v="3"/>
    <x v="3"/>
    <x v="8"/>
    <x v="0"/>
    <s v="PAITILLA"/>
    <x v="0"/>
  </r>
  <r>
    <x v="1"/>
    <x v="5"/>
    <x v="0"/>
    <x v="0"/>
    <x v="0"/>
    <x v="2"/>
    <x v="5"/>
    <x v="5"/>
    <x v="9"/>
    <x v="0"/>
    <s v="PAITILLA"/>
    <x v="0"/>
  </r>
  <r>
    <x v="1"/>
    <x v="8"/>
    <x v="1"/>
    <x v="1"/>
    <x v="0"/>
    <x v="2"/>
    <x v="8"/>
    <x v="8"/>
    <x v="10"/>
    <x v="0"/>
    <s v="PAITILLA"/>
    <x v="0"/>
  </r>
  <r>
    <x v="1"/>
    <x v="1"/>
    <x v="1"/>
    <x v="1"/>
    <x v="0"/>
    <x v="2"/>
    <x v="1"/>
    <x v="1"/>
    <x v="1"/>
    <x v="3"/>
    <s v="PAITILLA"/>
    <x v="0"/>
  </r>
  <r>
    <x v="1"/>
    <x v="9"/>
    <x v="6"/>
    <x v="6"/>
    <x v="0"/>
    <x v="0"/>
    <x v="9"/>
    <x v="9"/>
    <x v="11"/>
    <x v="0"/>
    <s v="PAITILLA"/>
    <x v="0"/>
  </r>
  <r>
    <x v="1"/>
    <x v="10"/>
    <x v="3"/>
    <x v="3"/>
    <x v="0"/>
    <x v="0"/>
    <x v="10"/>
    <x v="10"/>
    <x v="12"/>
    <x v="0"/>
    <s v="PAITILLA"/>
    <x v="0"/>
  </r>
  <r>
    <x v="1"/>
    <x v="3"/>
    <x v="3"/>
    <x v="3"/>
    <x v="0"/>
    <x v="0"/>
    <x v="3"/>
    <x v="3"/>
    <x v="13"/>
    <x v="0"/>
    <s v="PAITILLA"/>
    <x v="0"/>
  </r>
  <r>
    <x v="1"/>
    <x v="4"/>
    <x v="4"/>
    <x v="4"/>
    <x v="0"/>
    <x v="0"/>
    <x v="4"/>
    <x v="4"/>
    <x v="14"/>
    <x v="0"/>
    <s v="PAITILLA"/>
    <x v="0"/>
  </r>
  <r>
    <x v="1"/>
    <x v="0"/>
    <x v="0"/>
    <x v="0"/>
    <x v="0"/>
    <x v="0"/>
    <x v="0"/>
    <x v="0"/>
    <x v="15"/>
    <x v="0"/>
    <s v="PAITILLA"/>
    <x v="0"/>
  </r>
  <r>
    <x v="1"/>
    <x v="1"/>
    <x v="1"/>
    <x v="1"/>
    <x v="0"/>
    <x v="0"/>
    <x v="1"/>
    <x v="1"/>
    <x v="1"/>
    <x v="4"/>
    <s v="PAITILLA"/>
    <x v="0"/>
  </r>
  <r>
    <x v="1"/>
    <x v="1"/>
    <x v="1"/>
    <x v="1"/>
    <x v="0"/>
    <x v="1"/>
    <x v="1"/>
    <x v="1"/>
    <x v="1"/>
    <x v="5"/>
    <s v="PAITILLA"/>
    <x v="0"/>
  </r>
  <r>
    <x v="2"/>
    <x v="11"/>
    <x v="6"/>
    <x v="6"/>
    <x v="0"/>
    <x v="0"/>
    <x v="11"/>
    <x v="11"/>
    <x v="16"/>
    <x v="0"/>
    <s v="EL DORADO"/>
    <x v="0"/>
  </r>
  <r>
    <x v="2"/>
    <x v="3"/>
    <x v="3"/>
    <x v="3"/>
    <x v="0"/>
    <x v="0"/>
    <x v="3"/>
    <x v="3"/>
    <x v="17"/>
    <x v="0"/>
    <s v="EL DORADO"/>
    <x v="0"/>
  </r>
  <r>
    <x v="2"/>
    <x v="4"/>
    <x v="4"/>
    <x v="4"/>
    <x v="0"/>
    <x v="0"/>
    <x v="4"/>
    <x v="4"/>
    <x v="18"/>
    <x v="0"/>
    <s v="EL DORADO"/>
    <x v="0"/>
  </r>
  <r>
    <x v="2"/>
    <x v="5"/>
    <x v="0"/>
    <x v="0"/>
    <x v="0"/>
    <x v="0"/>
    <x v="5"/>
    <x v="5"/>
    <x v="19"/>
    <x v="0"/>
    <s v="EL DORADO"/>
    <x v="0"/>
  </r>
  <r>
    <x v="2"/>
    <x v="1"/>
    <x v="1"/>
    <x v="1"/>
    <x v="0"/>
    <x v="0"/>
    <x v="1"/>
    <x v="1"/>
    <x v="1"/>
    <x v="6"/>
    <s v="EL DORADO"/>
    <x v="0"/>
  </r>
  <r>
    <x v="2"/>
    <x v="1"/>
    <x v="1"/>
    <x v="1"/>
    <x v="0"/>
    <x v="1"/>
    <x v="1"/>
    <x v="1"/>
    <x v="1"/>
    <x v="7"/>
    <s v="EL DORADO"/>
    <x v="0"/>
  </r>
  <r>
    <x v="3"/>
    <x v="1"/>
    <x v="1"/>
    <x v="1"/>
    <x v="0"/>
    <x v="0"/>
    <x v="1"/>
    <x v="1"/>
    <x v="1"/>
    <x v="8"/>
    <s v="VIA ARGENTINA"/>
    <x v="0"/>
  </r>
  <r>
    <x v="3"/>
    <x v="1"/>
    <x v="1"/>
    <x v="1"/>
    <x v="0"/>
    <x v="1"/>
    <x v="1"/>
    <x v="1"/>
    <x v="1"/>
    <x v="9"/>
    <s v="VIA ARGENTINA"/>
    <x v="0"/>
  </r>
  <r>
    <x v="4"/>
    <x v="2"/>
    <x v="2"/>
    <x v="2"/>
    <x v="0"/>
    <x v="2"/>
    <x v="2"/>
    <x v="2"/>
    <x v="20"/>
    <x v="0"/>
    <s v="VIA PORRAS"/>
    <x v="0"/>
  </r>
  <r>
    <x v="4"/>
    <x v="11"/>
    <x v="6"/>
    <x v="6"/>
    <x v="0"/>
    <x v="2"/>
    <x v="11"/>
    <x v="11"/>
    <x v="21"/>
    <x v="0"/>
    <s v="VIA PORRAS"/>
    <x v="0"/>
  </r>
  <r>
    <x v="4"/>
    <x v="12"/>
    <x v="4"/>
    <x v="4"/>
    <x v="0"/>
    <x v="2"/>
    <x v="12"/>
    <x v="12"/>
    <x v="22"/>
    <x v="0"/>
    <s v="VIA PORRAS"/>
    <x v="0"/>
  </r>
  <r>
    <x v="4"/>
    <x v="0"/>
    <x v="0"/>
    <x v="0"/>
    <x v="0"/>
    <x v="2"/>
    <x v="0"/>
    <x v="0"/>
    <x v="23"/>
    <x v="0"/>
    <s v="VIA PORRAS"/>
    <x v="0"/>
  </r>
  <r>
    <x v="4"/>
    <x v="13"/>
    <x v="5"/>
    <x v="5"/>
    <x v="0"/>
    <x v="2"/>
    <x v="13"/>
    <x v="13"/>
    <x v="24"/>
    <x v="0"/>
    <s v="VIA PORRAS"/>
    <x v="0"/>
  </r>
  <r>
    <x v="4"/>
    <x v="6"/>
    <x v="5"/>
    <x v="5"/>
    <x v="0"/>
    <x v="2"/>
    <x v="6"/>
    <x v="6"/>
    <x v="25"/>
    <x v="0"/>
    <s v="VIA PORRAS"/>
    <x v="0"/>
  </r>
  <r>
    <x v="4"/>
    <x v="14"/>
    <x v="1"/>
    <x v="1"/>
    <x v="0"/>
    <x v="2"/>
    <x v="14"/>
    <x v="14"/>
    <x v="26"/>
    <x v="0"/>
    <s v="VIA PORRAS"/>
    <x v="0"/>
  </r>
  <r>
    <x v="4"/>
    <x v="1"/>
    <x v="1"/>
    <x v="1"/>
    <x v="0"/>
    <x v="2"/>
    <x v="1"/>
    <x v="1"/>
    <x v="1"/>
    <x v="10"/>
    <s v="VIA PORRAS"/>
    <x v="0"/>
  </r>
  <r>
    <x v="4"/>
    <x v="7"/>
    <x v="2"/>
    <x v="2"/>
    <x v="0"/>
    <x v="0"/>
    <x v="7"/>
    <x v="7"/>
    <x v="27"/>
    <x v="0"/>
    <s v="VIA PORRAS"/>
    <x v="0"/>
  </r>
  <r>
    <x v="4"/>
    <x v="2"/>
    <x v="2"/>
    <x v="2"/>
    <x v="0"/>
    <x v="0"/>
    <x v="2"/>
    <x v="2"/>
    <x v="28"/>
    <x v="0"/>
    <s v="VIA PORRAS"/>
    <x v="0"/>
  </r>
  <r>
    <x v="4"/>
    <x v="9"/>
    <x v="6"/>
    <x v="6"/>
    <x v="0"/>
    <x v="0"/>
    <x v="9"/>
    <x v="9"/>
    <x v="29"/>
    <x v="0"/>
    <s v="VIA PORRAS"/>
    <x v="0"/>
  </r>
  <r>
    <x v="4"/>
    <x v="11"/>
    <x v="6"/>
    <x v="6"/>
    <x v="0"/>
    <x v="0"/>
    <x v="11"/>
    <x v="11"/>
    <x v="30"/>
    <x v="0"/>
    <s v="VIA PORRAS"/>
    <x v="0"/>
  </r>
  <r>
    <x v="4"/>
    <x v="10"/>
    <x v="3"/>
    <x v="3"/>
    <x v="0"/>
    <x v="0"/>
    <x v="10"/>
    <x v="10"/>
    <x v="31"/>
    <x v="0"/>
    <s v="VIA PORRAS"/>
    <x v="0"/>
  </r>
  <r>
    <x v="4"/>
    <x v="3"/>
    <x v="3"/>
    <x v="3"/>
    <x v="0"/>
    <x v="0"/>
    <x v="3"/>
    <x v="3"/>
    <x v="32"/>
    <x v="0"/>
    <s v="VIA PORRAS"/>
    <x v="0"/>
  </r>
  <r>
    <x v="4"/>
    <x v="12"/>
    <x v="4"/>
    <x v="4"/>
    <x v="0"/>
    <x v="0"/>
    <x v="12"/>
    <x v="12"/>
    <x v="33"/>
    <x v="0"/>
    <s v="VIA PORRAS"/>
    <x v="0"/>
  </r>
  <r>
    <x v="4"/>
    <x v="4"/>
    <x v="4"/>
    <x v="4"/>
    <x v="0"/>
    <x v="0"/>
    <x v="4"/>
    <x v="4"/>
    <x v="34"/>
    <x v="0"/>
    <s v="VIA PORRAS"/>
    <x v="0"/>
  </r>
  <r>
    <x v="4"/>
    <x v="0"/>
    <x v="0"/>
    <x v="0"/>
    <x v="0"/>
    <x v="0"/>
    <x v="0"/>
    <x v="0"/>
    <x v="35"/>
    <x v="0"/>
    <s v="VIA PORRAS"/>
    <x v="0"/>
  </r>
  <r>
    <x v="4"/>
    <x v="5"/>
    <x v="0"/>
    <x v="0"/>
    <x v="0"/>
    <x v="0"/>
    <x v="5"/>
    <x v="5"/>
    <x v="36"/>
    <x v="0"/>
    <s v="VIA PORRAS"/>
    <x v="0"/>
  </r>
  <r>
    <x v="4"/>
    <x v="13"/>
    <x v="5"/>
    <x v="5"/>
    <x v="0"/>
    <x v="0"/>
    <x v="13"/>
    <x v="13"/>
    <x v="37"/>
    <x v="0"/>
    <s v="VIA PORRAS"/>
    <x v="0"/>
  </r>
  <r>
    <x v="4"/>
    <x v="6"/>
    <x v="5"/>
    <x v="5"/>
    <x v="0"/>
    <x v="0"/>
    <x v="6"/>
    <x v="6"/>
    <x v="38"/>
    <x v="0"/>
    <s v="VIA PORRAS"/>
    <x v="0"/>
  </r>
  <r>
    <x v="4"/>
    <x v="14"/>
    <x v="1"/>
    <x v="1"/>
    <x v="0"/>
    <x v="0"/>
    <x v="14"/>
    <x v="14"/>
    <x v="39"/>
    <x v="0"/>
    <s v="VIA PORRAS"/>
    <x v="0"/>
  </r>
  <r>
    <x v="4"/>
    <x v="8"/>
    <x v="1"/>
    <x v="1"/>
    <x v="0"/>
    <x v="0"/>
    <x v="8"/>
    <x v="8"/>
    <x v="40"/>
    <x v="0"/>
    <s v="VIA PORRAS"/>
    <x v="0"/>
  </r>
  <r>
    <x v="4"/>
    <x v="1"/>
    <x v="1"/>
    <x v="1"/>
    <x v="0"/>
    <x v="0"/>
    <x v="1"/>
    <x v="1"/>
    <x v="1"/>
    <x v="11"/>
    <s v="VIA PORRAS"/>
    <x v="0"/>
  </r>
  <r>
    <x v="4"/>
    <x v="7"/>
    <x v="2"/>
    <x v="2"/>
    <x v="0"/>
    <x v="1"/>
    <x v="7"/>
    <x v="7"/>
    <x v="41"/>
    <x v="0"/>
    <s v="VIA PORRAS"/>
    <x v="0"/>
  </r>
  <r>
    <x v="4"/>
    <x v="2"/>
    <x v="2"/>
    <x v="2"/>
    <x v="0"/>
    <x v="1"/>
    <x v="2"/>
    <x v="2"/>
    <x v="42"/>
    <x v="0"/>
    <s v="VIA PORRAS"/>
    <x v="0"/>
  </r>
  <r>
    <x v="4"/>
    <x v="11"/>
    <x v="6"/>
    <x v="6"/>
    <x v="0"/>
    <x v="1"/>
    <x v="11"/>
    <x v="11"/>
    <x v="43"/>
    <x v="0"/>
    <s v="VIA PORRAS"/>
    <x v="0"/>
  </r>
  <r>
    <x v="4"/>
    <x v="3"/>
    <x v="3"/>
    <x v="3"/>
    <x v="0"/>
    <x v="1"/>
    <x v="3"/>
    <x v="3"/>
    <x v="44"/>
    <x v="0"/>
    <s v="VIA PORRAS"/>
    <x v="0"/>
  </r>
  <r>
    <x v="4"/>
    <x v="12"/>
    <x v="4"/>
    <x v="4"/>
    <x v="0"/>
    <x v="1"/>
    <x v="12"/>
    <x v="12"/>
    <x v="45"/>
    <x v="0"/>
    <s v="VIA PORRAS"/>
    <x v="0"/>
  </r>
  <r>
    <x v="4"/>
    <x v="4"/>
    <x v="4"/>
    <x v="4"/>
    <x v="0"/>
    <x v="1"/>
    <x v="4"/>
    <x v="4"/>
    <x v="46"/>
    <x v="0"/>
    <s v="VIA PORRAS"/>
    <x v="0"/>
  </r>
  <r>
    <x v="4"/>
    <x v="13"/>
    <x v="5"/>
    <x v="5"/>
    <x v="0"/>
    <x v="1"/>
    <x v="13"/>
    <x v="13"/>
    <x v="47"/>
    <x v="0"/>
    <s v="VIA PORRAS"/>
    <x v="0"/>
  </r>
  <r>
    <x v="4"/>
    <x v="6"/>
    <x v="5"/>
    <x v="5"/>
    <x v="0"/>
    <x v="1"/>
    <x v="6"/>
    <x v="6"/>
    <x v="48"/>
    <x v="0"/>
    <s v="VIA PORRAS"/>
    <x v="0"/>
  </r>
  <r>
    <x v="4"/>
    <x v="14"/>
    <x v="1"/>
    <x v="1"/>
    <x v="0"/>
    <x v="1"/>
    <x v="14"/>
    <x v="14"/>
    <x v="49"/>
    <x v="0"/>
    <s v="VIA PORRAS"/>
    <x v="0"/>
  </r>
  <r>
    <x v="4"/>
    <x v="1"/>
    <x v="1"/>
    <x v="1"/>
    <x v="0"/>
    <x v="1"/>
    <x v="1"/>
    <x v="1"/>
    <x v="1"/>
    <x v="12"/>
    <s v="VIA PORRAS"/>
    <x v="0"/>
  </r>
  <r>
    <x v="5"/>
    <x v="3"/>
    <x v="3"/>
    <x v="3"/>
    <x v="0"/>
    <x v="2"/>
    <x v="3"/>
    <x v="3"/>
    <x v="50"/>
    <x v="0"/>
    <s v="EL INGENIO"/>
    <x v="0"/>
  </r>
  <r>
    <x v="5"/>
    <x v="1"/>
    <x v="1"/>
    <x v="1"/>
    <x v="0"/>
    <x v="2"/>
    <x v="1"/>
    <x v="1"/>
    <x v="1"/>
    <x v="13"/>
    <s v="EL INGENIO"/>
    <x v="0"/>
  </r>
  <r>
    <x v="5"/>
    <x v="3"/>
    <x v="3"/>
    <x v="3"/>
    <x v="0"/>
    <x v="0"/>
    <x v="3"/>
    <x v="3"/>
    <x v="51"/>
    <x v="0"/>
    <s v="EL INGENIO"/>
    <x v="0"/>
  </r>
  <r>
    <x v="5"/>
    <x v="1"/>
    <x v="1"/>
    <x v="1"/>
    <x v="0"/>
    <x v="0"/>
    <x v="1"/>
    <x v="1"/>
    <x v="1"/>
    <x v="14"/>
    <s v="EL INGENIO"/>
    <x v="0"/>
  </r>
  <r>
    <x v="5"/>
    <x v="1"/>
    <x v="1"/>
    <x v="1"/>
    <x v="0"/>
    <x v="1"/>
    <x v="1"/>
    <x v="1"/>
    <x v="1"/>
    <x v="15"/>
    <s v="EL INGENIO"/>
    <x v="0"/>
  </r>
  <r>
    <x v="6"/>
    <x v="5"/>
    <x v="0"/>
    <x v="0"/>
    <x v="0"/>
    <x v="2"/>
    <x v="5"/>
    <x v="5"/>
    <x v="52"/>
    <x v="0"/>
    <s v="CHANIS"/>
    <x v="0"/>
  </r>
  <r>
    <x v="6"/>
    <x v="1"/>
    <x v="1"/>
    <x v="1"/>
    <x v="0"/>
    <x v="2"/>
    <x v="1"/>
    <x v="1"/>
    <x v="1"/>
    <x v="16"/>
    <s v="CHANIS"/>
    <x v="0"/>
  </r>
  <r>
    <x v="6"/>
    <x v="4"/>
    <x v="4"/>
    <x v="4"/>
    <x v="0"/>
    <x v="0"/>
    <x v="4"/>
    <x v="4"/>
    <x v="53"/>
    <x v="0"/>
    <s v="CHANIS"/>
    <x v="0"/>
  </r>
  <r>
    <x v="6"/>
    <x v="8"/>
    <x v="1"/>
    <x v="1"/>
    <x v="0"/>
    <x v="0"/>
    <x v="8"/>
    <x v="8"/>
    <x v="54"/>
    <x v="0"/>
    <s v="CHANIS"/>
    <x v="0"/>
  </r>
  <r>
    <x v="6"/>
    <x v="1"/>
    <x v="1"/>
    <x v="1"/>
    <x v="0"/>
    <x v="0"/>
    <x v="1"/>
    <x v="1"/>
    <x v="1"/>
    <x v="17"/>
    <s v="CHANIS"/>
    <x v="0"/>
  </r>
  <r>
    <x v="6"/>
    <x v="11"/>
    <x v="6"/>
    <x v="6"/>
    <x v="0"/>
    <x v="1"/>
    <x v="11"/>
    <x v="11"/>
    <x v="55"/>
    <x v="0"/>
    <s v="CHANIS"/>
    <x v="0"/>
  </r>
  <r>
    <x v="6"/>
    <x v="1"/>
    <x v="1"/>
    <x v="1"/>
    <x v="0"/>
    <x v="1"/>
    <x v="1"/>
    <x v="1"/>
    <x v="1"/>
    <x v="18"/>
    <s v="CHANIS"/>
    <x v="0"/>
  </r>
  <r>
    <x v="7"/>
    <x v="1"/>
    <x v="1"/>
    <x v="1"/>
    <x v="0"/>
    <x v="2"/>
    <x v="1"/>
    <x v="1"/>
    <x v="1"/>
    <x v="19"/>
    <s v="PLAZA TOCUMEN"/>
    <x v="0"/>
  </r>
  <r>
    <x v="7"/>
    <x v="2"/>
    <x v="2"/>
    <x v="2"/>
    <x v="0"/>
    <x v="0"/>
    <x v="2"/>
    <x v="2"/>
    <x v="56"/>
    <x v="0"/>
    <s v="PLAZA TOCUMEN"/>
    <x v="0"/>
  </r>
  <r>
    <x v="7"/>
    <x v="1"/>
    <x v="1"/>
    <x v="1"/>
    <x v="0"/>
    <x v="0"/>
    <x v="1"/>
    <x v="1"/>
    <x v="1"/>
    <x v="20"/>
    <s v="PLAZA TOCUMEN"/>
    <x v="0"/>
  </r>
  <r>
    <x v="7"/>
    <x v="10"/>
    <x v="3"/>
    <x v="3"/>
    <x v="0"/>
    <x v="1"/>
    <x v="10"/>
    <x v="10"/>
    <x v="57"/>
    <x v="0"/>
    <s v="PLAZA TOCUMEN"/>
    <x v="0"/>
  </r>
  <r>
    <x v="7"/>
    <x v="0"/>
    <x v="0"/>
    <x v="0"/>
    <x v="0"/>
    <x v="1"/>
    <x v="0"/>
    <x v="0"/>
    <x v="58"/>
    <x v="0"/>
    <s v="PLAZA TOCUMEN"/>
    <x v="0"/>
  </r>
  <r>
    <x v="7"/>
    <x v="1"/>
    <x v="1"/>
    <x v="1"/>
    <x v="0"/>
    <x v="1"/>
    <x v="1"/>
    <x v="1"/>
    <x v="1"/>
    <x v="21"/>
    <s v="PLAZA TOCUMEN"/>
    <x v="0"/>
  </r>
  <r>
    <x v="8"/>
    <x v="3"/>
    <x v="3"/>
    <x v="3"/>
    <x v="0"/>
    <x v="0"/>
    <x v="3"/>
    <x v="3"/>
    <x v="59"/>
    <x v="0"/>
    <s v="SANTIAGO"/>
    <x v="0"/>
  </r>
  <r>
    <x v="8"/>
    <x v="0"/>
    <x v="0"/>
    <x v="0"/>
    <x v="0"/>
    <x v="0"/>
    <x v="0"/>
    <x v="0"/>
    <x v="60"/>
    <x v="0"/>
    <s v="SANTIAGO"/>
    <x v="0"/>
  </r>
  <r>
    <x v="8"/>
    <x v="5"/>
    <x v="0"/>
    <x v="0"/>
    <x v="0"/>
    <x v="0"/>
    <x v="5"/>
    <x v="5"/>
    <x v="61"/>
    <x v="0"/>
    <s v="SANTIAGO"/>
    <x v="0"/>
  </r>
  <r>
    <x v="8"/>
    <x v="13"/>
    <x v="5"/>
    <x v="5"/>
    <x v="0"/>
    <x v="0"/>
    <x v="13"/>
    <x v="13"/>
    <x v="62"/>
    <x v="0"/>
    <s v="SANTIAGO"/>
    <x v="0"/>
  </r>
  <r>
    <x v="8"/>
    <x v="1"/>
    <x v="1"/>
    <x v="1"/>
    <x v="0"/>
    <x v="0"/>
    <x v="1"/>
    <x v="1"/>
    <x v="1"/>
    <x v="22"/>
    <s v="SANTIAGO"/>
    <x v="0"/>
  </r>
  <r>
    <x v="8"/>
    <x v="11"/>
    <x v="6"/>
    <x v="6"/>
    <x v="0"/>
    <x v="1"/>
    <x v="11"/>
    <x v="11"/>
    <x v="63"/>
    <x v="0"/>
    <s v="SANTIAGO"/>
    <x v="0"/>
  </r>
  <r>
    <x v="8"/>
    <x v="12"/>
    <x v="4"/>
    <x v="4"/>
    <x v="0"/>
    <x v="1"/>
    <x v="12"/>
    <x v="12"/>
    <x v="64"/>
    <x v="0"/>
    <s v="SANTIAGO"/>
    <x v="0"/>
  </r>
  <r>
    <x v="8"/>
    <x v="0"/>
    <x v="0"/>
    <x v="0"/>
    <x v="0"/>
    <x v="1"/>
    <x v="0"/>
    <x v="0"/>
    <x v="65"/>
    <x v="0"/>
    <s v="SANTIAGO"/>
    <x v="0"/>
  </r>
  <r>
    <x v="8"/>
    <x v="5"/>
    <x v="0"/>
    <x v="0"/>
    <x v="0"/>
    <x v="1"/>
    <x v="5"/>
    <x v="5"/>
    <x v="66"/>
    <x v="0"/>
    <s v="SANTIAGO"/>
    <x v="0"/>
  </r>
  <r>
    <x v="8"/>
    <x v="1"/>
    <x v="1"/>
    <x v="1"/>
    <x v="0"/>
    <x v="1"/>
    <x v="1"/>
    <x v="1"/>
    <x v="1"/>
    <x v="23"/>
    <s v="SANTIAGO"/>
    <x v="0"/>
  </r>
  <r>
    <x v="9"/>
    <x v="13"/>
    <x v="5"/>
    <x v="5"/>
    <x v="0"/>
    <x v="2"/>
    <x v="13"/>
    <x v="13"/>
    <x v="67"/>
    <x v="0"/>
    <s v="OBARRIO"/>
    <x v="0"/>
  </r>
  <r>
    <x v="9"/>
    <x v="1"/>
    <x v="1"/>
    <x v="1"/>
    <x v="0"/>
    <x v="2"/>
    <x v="1"/>
    <x v="1"/>
    <x v="1"/>
    <x v="24"/>
    <s v="OBARRIO"/>
    <x v="0"/>
  </r>
  <r>
    <x v="9"/>
    <x v="7"/>
    <x v="2"/>
    <x v="2"/>
    <x v="0"/>
    <x v="0"/>
    <x v="7"/>
    <x v="7"/>
    <x v="68"/>
    <x v="0"/>
    <s v="OBARRIO"/>
    <x v="0"/>
  </r>
  <r>
    <x v="9"/>
    <x v="2"/>
    <x v="2"/>
    <x v="2"/>
    <x v="0"/>
    <x v="0"/>
    <x v="2"/>
    <x v="2"/>
    <x v="69"/>
    <x v="0"/>
    <s v="OBARRIO"/>
    <x v="0"/>
  </r>
  <r>
    <x v="9"/>
    <x v="9"/>
    <x v="6"/>
    <x v="6"/>
    <x v="0"/>
    <x v="0"/>
    <x v="9"/>
    <x v="9"/>
    <x v="70"/>
    <x v="0"/>
    <s v="OBARRIO"/>
    <x v="0"/>
  </r>
  <r>
    <x v="9"/>
    <x v="15"/>
    <x v="6"/>
    <x v="6"/>
    <x v="0"/>
    <x v="0"/>
    <x v="15"/>
    <x v="15"/>
    <x v="71"/>
    <x v="0"/>
    <s v="OBARRIO"/>
    <x v="0"/>
  </r>
  <r>
    <x v="9"/>
    <x v="11"/>
    <x v="6"/>
    <x v="6"/>
    <x v="0"/>
    <x v="0"/>
    <x v="11"/>
    <x v="11"/>
    <x v="72"/>
    <x v="0"/>
    <s v="OBARRIO"/>
    <x v="0"/>
  </r>
  <r>
    <x v="9"/>
    <x v="10"/>
    <x v="3"/>
    <x v="3"/>
    <x v="0"/>
    <x v="0"/>
    <x v="10"/>
    <x v="10"/>
    <x v="73"/>
    <x v="0"/>
    <s v="OBARRIO"/>
    <x v="0"/>
  </r>
  <r>
    <x v="9"/>
    <x v="3"/>
    <x v="3"/>
    <x v="3"/>
    <x v="0"/>
    <x v="0"/>
    <x v="3"/>
    <x v="3"/>
    <x v="74"/>
    <x v="0"/>
    <s v="OBARRIO"/>
    <x v="0"/>
  </r>
  <r>
    <x v="9"/>
    <x v="12"/>
    <x v="4"/>
    <x v="4"/>
    <x v="0"/>
    <x v="0"/>
    <x v="12"/>
    <x v="12"/>
    <x v="75"/>
    <x v="0"/>
    <s v="OBARRIO"/>
    <x v="0"/>
  </r>
  <r>
    <x v="9"/>
    <x v="4"/>
    <x v="4"/>
    <x v="4"/>
    <x v="0"/>
    <x v="0"/>
    <x v="4"/>
    <x v="4"/>
    <x v="76"/>
    <x v="0"/>
    <s v="OBARRIO"/>
    <x v="0"/>
  </r>
  <r>
    <x v="9"/>
    <x v="0"/>
    <x v="0"/>
    <x v="0"/>
    <x v="0"/>
    <x v="0"/>
    <x v="0"/>
    <x v="0"/>
    <x v="77"/>
    <x v="0"/>
    <s v="OBARRIO"/>
    <x v="0"/>
  </r>
  <r>
    <x v="9"/>
    <x v="5"/>
    <x v="0"/>
    <x v="0"/>
    <x v="0"/>
    <x v="0"/>
    <x v="5"/>
    <x v="5"/>
    <x v="78"/>
    <x v="0"/>
    <s v="OBARRIO"/>
    <x v="0"/>
  </r>
  <r>
    <x v="9"/>
    <x v="13"/>
    <x v="5"/>
    <x v="5"/>
    <x v="0"/>
    <x v="0"/>
    <x v="13"/>
    <x v="13"/>
    <x v="79"/>
    <x v="0"/>
    <s v="OBARRIO"/>
    <x v="0"/>
  </r>
  <r>
    <x v="9"/>
    <x v="6"/>
    <x v="5"/>
    <x v="5"/>
    <x v="0"/>
    <x v="0"/>
    <x v="6"/>
    <x v="6"/>
    <x v="80"/>
    <x v="0"/>
    <s v="OBARRIO"/>
    <x v="0"/>
  </r>
  <r>
    <x v="9"/>
    <x v="14"/>
    <x v="1"/>
    <x v="1"/>
    <x v="0"/>
    <x v="0"/>
    <x v="14"/>
    <x v="14"/>
    <x v="81"/>
    <x v="0"/>
    <s v="OBARRIO"/>
    <x v="0"/>
  </r>
  <r>
    <x v="9"/>
    <x v="8"/>
    <x v="1"/>
    <x v="1"/>
    <x v="0"/>
    <x v="0"/>
    <x v="8"/>
    <x v="8"/>
    <x v="82"/>
    <x v="0"/>
    <s v="OBARRIO"/>
    <x v="0"/>
  </r>
  <r>
    <x v="9"/>
    <x v="1"/>
    <x v="1"/>
    <x v="1"/>
    <x v="0"/>
    <x v="0"/>
    <x v="1"/>
    <x v="1"/>
    <x v="1"/>
    <x v="25"/>
    <s v="OBARRIO"/>
    <x v="0"/>
  </r>
  <r>
    <x v="9"/>
    <x v="10"/>
    <x v="3"/>
    <x v="3"/>
    <x v="0"/>
    <x v="1"/>
    <x v="10"/>
    <x v="10"/>
    <x v="83"/>
    <x v="0"/>
    <s v="OBARRIO"/>
    <x v="0"/>
  </r>
  <r>
    <x v="9"/>
    <x v="3"/>
    <x v="3"/>
    <x v="3"/>
    <x v="0"/>
    <x v="1"/>
    <x v="3"/>
    <x v="3"/>
    <x v="84"/>
    <x v="0"/>
    <s v="OBARRIO"/>
    <x v="0"/>
  </r>
  <r>
    <x v="9"/>
    <x v="12"/>
    <x v="4"/>
    <x v="4"/>
    <x v="0"/>
    <x v="1"/>
    <x v="12"/>
    <x v="12"/>
    <x v="85"/>
    <x v="0"/>
    <s v="OBARRIO"/>
    <x v="0"/>
  </r>
  <r>
    <x v="9"/>
    <x v="4"/>
    <x v="4"/>
    <x v="4"/>
    <x v="0"/>
    <x v="1"/>
    <x v="4"/>
    <x v="4"/>
    <x v="86"/>
    <x v="0"/>
    <s v="OBARRIO"/>
    <x v="0"/>
  </r>
  <r>
    <x v="9"/>
    <x v="0"/>
    <x v="0"/>
    <x v="0"/>
    <x v="0"/>
    <x v="1"/>
    <x v="0"/>
    <x v="0"/>
    <x v="87"/>
    <x v="0"/>
    <s v="OBARRIO"/>
    <x v="0"/>
  </r>
  <r>
    <x v="9"/>
    <x v="13"/>
    <x v="5"/>
    <x v="5"/>
    <x v="0"/>
    <x v="1"/>
    <x v="13"/>
    <x v="13"/>
    <x v="88"/>
    <x v="0"/>
    <s v="OBARRIO"/>
    <x v="0"/>
  </r>
  <r>
    <x v="9"/>
    <x v="6"/>
    <x v="5"/>
    <x v="5"/>
    <x v="0"/>
    <x v="1"/>
    <x v="6"/>
    <x v="6"/>
    <x v="86"/>
    <x v="0"/>
    <s v="OBARRIO"/>
    <x v="0"/>
  </r>
  <r>
    <x v="9"/>
    <x v="8"/>
    <x v="1"/>
    <x v="1"/>
    <x v="0"/>
    <x v="1"/>
    <x v="8"/>
    <x v="8"/>
    <x v="89"/>
    <x v="0"/>
    <s v="OBARRIO"/>
    <x v="0"/>
  </r>
  <r>
    <x v="9"/>
    <x v="1"/>
    <x v="1"/>
    <x v="1"/>
    <x v="0"/>
    <x v="1"/>
    <x v="1"/>
    <x v="1"/>
    <x v="1"/>
    <x v="26"/>
    <s v="OBARRIO"/>
    <x v="0"/>
  </r>
  <r>
    <x v="10"/>
    <x v="7"/>
    <x v="2"/>
    <x v="2"/>
    <x v="0"/>
    <x v="2"/>
    <x v="7"/>
    <x v="7"/>
    <x v="90"/>
    <x v="0"/>
    <s v="HATO PINTADO"/>
    <x v="0"/>
  </r>
  <r>
    <x v="10"/>
    <x v="10"/>
    <x v="3"/>
    <x v="3"/>
    <x v="0"/>
    <x v="2"/>
    <x v="10"/>
    <x v="10"/>
    <x v="91"/>
    <x v="0"/>
    <s v="HATO PINTADO"/>
    <x v="0"/>
  </r>
  <r>
    <x v="10"/>
    <x v="14"/>
    <x v="1"/>
    <x v="1"/>
    <x v="0"/>
    <x v="2"/>
    <x v="14"/>
    <x v="14"/>
    <x v="92"/>
    <x v="0"/>
    <s v="HATO PINTADO"/>
    <x v="0"/>
  </r>
  <r>
    <x v="10"/>
    <x v="8"/>
    <x v="1"/>
    <x v="1"/>
    <x v="0"/>
    <x v="2"/>
    <x v="8"/>
    <x v="8"/>
    <x v="93"/>
    <x v="0"/>
    <s v="HATO PINTADO"/>
    <x v="0"/>
  </r>
  <r>
    <x v="10"/>
    <x v="1"/>
    <x v="1"/>
    <x v="1"/>
    <x v="0"/>
    <x v="2"/>
    <x v="1"/>
    <x v="1"/>
    <x v="1"/>
    <x v="27"/>
    <s v="HATO PINTADO"/>
    <x v="0"/>
  </r>
  <r>
    <x v="10"/>
    <x v="7"/>
    <x v="2"/>
    <x v="2"/>
    <x v="0"/>
    <x v="0"/>
    <x v="7"/>
    <x v="7"/>
    <x v="94"/>
    <x v="0"/>
    <s v="HATO PINTADO"/>
    <x v="0"/>
  </r>
  <r>
    <x v="10"/>
    <x v="2"/>
    <x v="2"/>
    <x v="2"/>
    <x v="0"/>
    <x v="0"/>
    <x v="2"/>
    <x v="2"/>
    <x v="95"/>
    <x v="0"/>
    <s v="HATO PINTADO"/>
    <x v="0"/>
  </r>
  <r>
    <x v="10"/>
    <x v="9"/>
    <x v="6"/>
    <x v="6"/>
    <x v="0"/>
    <x v="0"/>
    <x v="9"/>
    <x v="9"/>
    <x v="96"/>
    <x v="0"/>
    <s v="HATO PINTADO"/>
    <x v="0"/>
  </r>
  <r>
    <x v="10"/>
    <x v="11"/>
    <x v="6"/>
    <x v="6"/>
    <x v="0"/>
    <x v="0"/>
    <x v="11"/>
    <x v="11"/>
    <x v="97"/>
    <x v="0"/>
    <s v="HATO PINTADO"/>
    <x v="0"/>
  </r>
  <r>
    <x v="10"/>
    <x v="10"/>
    <x v="3"/>
    <x v="3"/>
    <x v="0"/>
    <x v="0"/>
    <x v="10"/>
    <x v="10"/>
    <x v="98"/>
    <x v="0"/>
    <s v="HATO PINTADO"/>
    <x v="0"/>
  </r>
  <r>
    <x v="10"/>
    <x v="3"/>
    <x v="3"/>
    <x v="3"/>
    <x v="0"/>
    <x v="0"/>
    <x v="3"/>
    <x v="3"/>
    <x v="99"/>
    <x v="0"/>
    <s v="HATO PINTADO"/>
    <x v="0"/>
  </r>
  <r>
    <x v="10"/>
    <x v="12"/>
    <x v="4"/>
    <x v="4"/>
    <x v="0"/>
    <x v="0"/>
    <x v="12"/>
    <x v="12"/>
    <x v="100"/>
    <x v="0"/>
    <s v="HATO PINTADO"/>
    <x v="0"/>
  </r>
  <r>
    <x v="10"/>
    <x v="4"/>
    <x v="4"/>
    <x v="4"/>
    <x v="0"/>
    <x v="0"/>
    <x v="4"/>
    <x v="4"/>
    <x v="101"/>
    <x v="0"/>
    <s v="HATO PINTADO"/>
    <x v="0"/>
  </r>
  <r>
    <x v="10"/>
    <x v="0"/>
    <x v="0"/>
    <x v="0"/>
    <x v="0"/>
    <x v="0"/>
    <x v="0"/>
    <x v="0"/>
    <x v="102"/>
    <x v="0"/>
    <s v="HATO PINTADO"/>
    <x v="0"/>
  </r>
  <r>
    <x v="10"/>
    <x v="5"/>
    <x v="0"/>
    <x v="0"/>
    <x v="0"/>
    <x v="0"/>
    <x v="5"/>
    <x v="5"/>
    <x v="103"/>
    <x v="0"/>
    <s v="HATO PINTADO"/>
    <x v="0"/>
  </r>
  <r>
    <x v="10"/>
    <x v="13"/>
    <x v="5"/>
    <x v="5"/>
    <x v="0"/>
    <x v="0"/>
    <x v="13"/>
    <x v="13"/>
    <x v="104"/>
    <x v="0"/>
    <s v="HATO PINTADO"/>
    <x v="0"/>
  </r>
  <r>
    <x v="10"/>
    <x v="6"/>
    <x v="5"/>
    <x v="5"/>
    <x v="0"/>
    <x v="0"/>
    <x v="6"/>
    <x v="6"/>
    <x v="105"/>
    <x v="0"/>
    <s v="HATO PINTADO"/>
    <x v="0"/>
  </r>
  <r>
    <x v="10"/>
    <x v="14"/>
    <x v="1"/>
    <x v="1"/>
    <x v="0"/>
    <x v="0"/>
    <x v="14"/>
    <x v="14"/>
    <x v="106"/>
    <x v="0"/>
    <s v="HATO PINTADO"/>
    <x v="0"/>
  </r>
  <r>
    <x v="10"/>
    <x v="8"/>
    <x v="1"/>
    <x v="1"/>
    <x v="0"/>
    <x v="0"/>
    <x v="8"/>
    <x v="8"/>
    <x v="107"/>
    <x v="0"/>
    <s v="HATO PINTADO"/>
    <x v="0"/>
  </r>
  <r>
    <x v="10"/>
    <x v="1"/>
    <x v="1"/>
    <x v="1"/>
    <x v="0"/>
    <x v="0"/>
    <x v="1"/>
    <x v="1"/>
    <x v="1"/>
    <x v="28"/>
    <s v="HATO PINTADO"/>
    <x v="0"/>
  </r>
  <r>
    <x v="10"/>
    <x v="2"/>
    <x v="2"/>
    <x v="2"/>
    <x v="0"/>
    <x v="1"/>
    <x v="2"/>
    <x v="2"/>
    <x v="108"/>
    <x v="0"/>
    <s v="HATO PINTADO"/>
    <x v="0"/>
  </r>
  <r>
    <x v="10"/>
    <x v="9"/>
    <x v="6"/>
    <x v="6"/>
    <x v="0"/>
    <x v="1"/>
    <x v="9"/>
    <x v="9"/>
    <x v="109"/>
    <x v="0"/>
    <s v="HATO PINTADO"/>
    <x v="0"/>
  </r>
  <r>
    <x v="10"/>
    <x v="11"/>
    <x v="6"/>
    <x v="6"/>
    <x v="0"/>
    <x v="1"/>
    <x v="11"/>
    <x v="11"/>
    <x v="110"/>
    <x v="0"/>
    <s v="HATO PINTADO"/>
    <x v="0"/>
  </r>
  <r>
    <x v="10"/>
    <x v="10"/>
    <x v="3"/>
    <x v="3"/>
    <x v="0"/>
    <x v="1"/>
    <x v="10"/>
    <x v="10"/>
    <x v="111"/>
    <x v="0"/>
    <s v="HATO PINTADO"/>
    <x v="0"/>
  </r>
  <r>
    <x v="10"/>
    <x v="3"/>
    <x v="3"/>
    <x v="3"/>
    <x v="0"/>
    <x v="1"/>
    <x v="3"/>
    <x v="3"/>
    <x v="112"/>
    <x v="0"/>
    <s v="HATO PINTADO"/>
    <x v="0"/>
  </r>
  <r>
    <x v="10"/>
    <x v="0"/>
    <x v="0"/>
    <x v="0"/>
    <x v="0"/>
    <x v="1"/>
    <x v="0"/>
    <x v="0"/>
    <x v="2"/>
    <x v="0"/>
    <s v="HATO PINTADO"/>
    <x v="0"/>
  </r>
  <r>
    <x v="10"/>
    <x v="5"/>
    <x v="0"/>
    <x v="0"/>
    <x v="0"/>
    <x v="1"/>
    <x v="5"/>
    <x v="5"/>
    <x v="113"/>
    <x v="0"/>
    <s v="HATO PINTADO"/>
    <x v="0"/>
  </r>
  <r>
    <x v="10"/>
    <x v="13"/>
    <x v="5"/>
    <x v="5"/>
    <x v="0"/>
    <x v="1"/>
    <x v="13"/>
    <x v="13"/>
    <x v="114"/>
    <x v="0"/>
    <s v="HATO PINTADO"/>
    <x v="0"/>
  </r>
  <r>
    <x v="10"/>
    <x v="6"/>
    <x v="5"/>
    <x v="5"/>
    <x v="0"/>
    <x v="1"/>
    <x v="6"/>
    <x v="6"/>
    <x v="115"/>
    <x v="0"/>
    <s v="HATO PINTADO"/>
    <x v="0"/>
  </r>
  <r>
    <x v="10"/>
    <x v="8"/>
    <x v="1"/>
    <x v="1"/>
    <x v="0"/>
    <x v="1"/>
    <x v="8"/>
    <x v="8"/>
    <x v="114"/>
    <x v="0"/>
    <s v="HATO PINTADO"/>
    <x v="0"/>
  </r>
  <r>
    <x v="10"/>
    <x v="1"/>
    <x v="1"/>
    <x v="1"/>
    <x v="0"/>
    <x v="1"/>
    <x v="1"/>
    <x v="1"/>
    <x v="1"/>
    <x v="29"/>
    <s v="HATO PINTADO"/>
    <x v="0"/>
  </r>
  <r>
    <x v="11"/>
    <x v="4"/>
    <x v="4"/>
    <x v="4"/>
    <x v="0"/>
    <x v="0"/>
    <x v="4"/>
    <x v="4"/>
    <x v="116"/>
    <x v="0"/>
    <s v="RIO ABAJO"/>
    <x v="0"/>
  </r>
  <r>
    <x v="11"/>
    <x v="5"/>
    <x v="0"/>
    <x v="0"/>
    <x v="0"/>
    <x v="0"/>
    <x v="5"/>
    <x v="5"/>
    <x v="117"/>
    <x v="0"/>
    <s v="RIO ABAJO"/>
    <x v="0"/>
  </r>
  <r>
    <x v="11"/>
    <x v="1"/>
    <x v="1"/>
    <x v="1"/>
    <x v="0"/>
    <x v="0"/>
    <x v="1"/>
    <x v="1"/>
    <x v="1"/>
    <x v="30"/>
    <s v="RIO ABAJO"/>
    <x v="0"/>
  </r>
  <r>
    <x v="12"/>
    <x v="1"/>
    <x v="1"/>
    <x v="1"/>
    <x v="0"/>
    <x v="2"/>
    <x v="1"/>
    <x v="1"/>
    <x v="1"/>
    <x v="31"/>
    <s v="LA CHORRERA"/>
    <x v="0"/>
  </r>
  <r>
    <x v="12"/>
    <x v="11"/>
    <x v="6"/>
    <x v="6"/>
    <x v="0"/>
    <x v="0"/>
    <x v="11"/>
    <x v="11"/>
    <x v="118"/>
    <x v="0"/>
    <s v="LA CHORRERA"/>
    <x v="0"/>
  </r>
  <r>
    <x v="12"/>
    <x v="12"/>
    <x v="4"/>
    <x v="4"/>
    <x v="0"/>
    <x v="0"/>
    <x v="12"/>
    <x v="12"/>
    <x v="119"/>
    <x v="0"/>
    <s v="LA CHORRERA"/>
    <x v="0"/>
  </r>
  <r>
    <x v="12"/>
    <x v="4"/>
    <x v="4"/>
    <x v="4"/>
    <x v="0"/>
    <x v="0"/>
    <x v="4"/>
    <x v="4"/>
    <x v="120"/>
    <x v="0"/>
    <s v="LA CHORRERA"/>
    <x v="0"/>
  </r>
  <r>
    <x v="12"/>
    <x v="0"/>
    <x v="0"/>
    <x v="0"/>
    <x v="0"/>
    <x v="0"/>
    <x v="0"/>
    <x v="0"/>
    <x v="121"/>
    <x v="0"/>
    <s v="LA CHORRERA"/>
    <x v="0"/>
  </r>
  <r>
    <x v="12"/>
    <x v="1"/>
    <x v="1"/>
    <x v="1"/>
    <x v="0"/>
    <x v="0"/>
    <x v="1"/>
    <x v="1"/>
    <x v="1"/>
    <x v="32"/>
    <s v="LA CHORRERA"/>
    <x v="0"/>
  </r>
  <r>
    <x v="12"/>
    <x v="7"/>
    <x v="2"/>
    <x v="2"/>
    <x v="0"/>
    <x v="1"/>
    <x v="7"/>
    <x v="7"/>
    <x v="122"/>
    <x v="0"/>
    <s v="LA CHORRERA"/>
    <x v="0"/>
  </r>
  <r>
    <x v="12"/>
    <x v="1"/>
    <x v="1"/>
    <x v="1"/>
    <x v="0"/>
    <x v="1"/>
    <x v="1"/>
    <x v="1"/>
    <x v="1"/>
    <x v="33"/>
    <s v="LA CHORRERA"/>
    <x v="0"/>
  </r>
  <r>
    <x v="13"/>
    <x v="11"/>
    <x v="6"/>
    <x v="6"/>
    <x v="0"/>
    <x v="0"/>
    <x v="11"/>
    <x v="11"/>
    <x v="123"/>
    <x v="0"/>
    <s v="AVENIDA CENTRAL"/>
    <x v="0"/>
  </r>
  <r>
    <x v="13"/>
    <x v="6"/>
    <x v="5"/>
    <x v="5"/>
    <x v="0"/>
    <x v="0"/>
    <x v="6"/>
    <x v="6"/>
    <x v="124"/>
    <x v="0"/>
    <s v="AVENIDA CENTRAL"/>
    <x v="0"/>
  </r>
  <r>
    <x v="13"/>
    <x v="1"/>
    <x v="1"/>
    <x v="1"/>
    <x v="0"/>
    <x v="0"/>
    <x v="1"/>
    <x v="1"/>
    <x v="1"/>
    <x v="34"/>
    <s v="AVENIDA CENTRAL"/>
    <x v="0"/>
  </r>
  <r>
    <x v="14"/>
    <x v="5"/>
    <x v="0"/>
    <x v="0"/>
    <x v="0"/>
    <x v="2"/>
    <x v="5"/>
    <x v="5"/>
    <x v="125"/>
    <x v="0"/>
    <s v="LOS ANGELES"/>
    <x v="0"/>
  </r>
  <r>
    <x v="14"/>
    <x v="1"/>
    <x v="1"/>
    <x v="1"/>
    <x v="0"/>
    <x v="2"/>
    <x v="1"/>
    <x v="1"/>
    <x v="1"/>
    <x v="35"/>
    <s v="LOS ANGELES"/>
    <x v="0"/>
  </r>
  <r>
    <x v="14"/>
    <x v="10"/>
    <x v="3"/>
    <x v="3"/>
    <x v="0"/>
    <x v="0"/>
    <x v="10"/>
    <x v="10"/>
    <x v="126"/>
    <x v="0"/>
    <s v="LOS ANGELES"/>
    <x v="0"/>
  </r>
  <r>
    <x v="14"/>
    <x v="3"/>
    <x v="3"/>
    <x v="3"/>
    <x v="0"/>
    <x v="0"/>
    <x v="3"/>
    <x v="3"/>
    <x v="127"/>
    <x v="0"/>
    <s v="LOS ANGELES"/>
    <x v="0"/>
  </r>
  <r>
    <x v="14"/>
    <x v="5"/>
    <x v="0"/>
    <x v="0"/>
    <x v="0"/>
    <x v="0"/>
    <x v="5"/>
    <x v="5"/>
    <x v="128"/>
    <x v="0"/>
    <s v="LOS ANGELES"/>
    <x v="0"/>
  </r>
  <r>
    <x v="14"/>
    <x v="1"/>
    <x v="1"/>
    <x v="1"/>
    <x v="0"/>
    <x v="0"/>
    <x v="1"/>
    <x v="1"/>
    <x v="1"/>
    <x v="36"/>
    <s v="LOS ANGELES"/>
    <x v="0"/>
  </r>
  <r>
    <x v="15"/>
    <x v="11"/>
    <x v="6"/>
    <x v="6"/>
    <x v="0"/>
    <x v="2"/>
    <x v="11"/>
    <x v="11"/>
    <x v="129"/>
    <x v="0"/>
    <s v="VILLA LUCRE"/>
    <x v="0"/>
  </r>
  <r>
    <x v="15"/>
    <x v="1"/>
    <x v="1"/>
    <x v="1"/>
    <x v="0"/>
    <x v="2"/>
    <x v="1"/>
    <x v="1"/>
    <x v="1"/>
    <x v="37"/>
    <s v="VILLA LUCRE"/>
    <x v="0"/>
  </r>
  <r>
    <x v="15"/>
    <x v="7"/>
    <x v="2"/>
    <x v="2"/>
    <x v="0"/>
    <x v="0"/>
    <x v="7"/>
    <x v="7"/>
    <x v="130"/>
    <x v="0"/>
    <s v="VILLA LUCRE"/>
    <x v="0"/>
  </r>
  <r>
    <x v="15"/>
    <x v="2"/>
    <x v="2"/>
    <x v="2"/>
    <x v="0"/>
    <x v="0"/>
    <x v="2"/>
    <x v="2"/>
    <x v="131"/>
    <x v="0"/>
    <s v="VILLA LUCRE"/>
    <x v="0"/>
  </r>
  <r>
    <x v="15"/>
    <x v="9"/>
    <x v="6"/>
    <x v="6"/>
    <x v="0"/>
    <x v="0"/>
    <x v="9"/>
    <x v="9"/>
    <x v="132"/>
    <x v="0"/>
    <s v="VILLA LUCRE"/>
    <x v="0"/>
  </r>
  <r>
    <x v="15"/>
    <x v="11"/>
    <x v="6"/>
    <x v="6"/>
    <x v="0"/>
    <x v="0"/>
    <x v="11"/>
    <x v="11"/>
    <x v="133"/>
    <x v="0"/>
    <s v="VILLA LUCRE"/>
    <x v="0"/>
  </r>
  <r>
    <x v="15"/>
    <x v="10"/>
    <x v="3"/>
    <x v="3"/>
    <x v="0"/>
    <x v="0"/>
    <x v="10"/>
    <x v="10"/>
    <x v="134"/>
    <x v="0"/>
    <s v="VILLA LUCRE"/>
    <x v="0"/>
  </r>
  <r>
    <x v="15"/>
    <x v="3"/>
    <x v="3"/>
    <x v="3"/>
    <x v="0"/>
    <x v="0"/>
    <x v="3"/>
    <x v="3"/>
    <x v="135"/>
    <x v="0"/>
    <s v="VILLA LUCRE"/>
    <x v="0"/>
  </r>
  <r>
    <x v="15"/>
    <x v="12"/>
    <x v="4"/>
    <x v="4"/>
    <x v="0"/>
    <x v="0"/>
    <x v="12"/>
    <x v="12"/>
    <x v="136"/>
    <x v="0"/>
    <s v="VILLA LUCRE"/>
    <x v="0"/>
  </r>
  <r>
    <x v="15"/>
    <x v="4"/>
    <x v="4"/>
    <x v="4"/>
    <x v="0"/>
    <x v="0"/>
    <x v="4"/>
    <x v="4"/>
    <x v="137"/>
    <x v="0"/>
    <s v="VILLA LUCRE"/>
    <x v="0"/>
  </r>
  <r>
    <x v="15"/>
    <x v="0"/>
    <x v="0"/>
    <x v="0"/>
    <x v="0"/>
    <x v="0"/>
    <x v="0"/>
    <x v="0"/>
    <x v="138"/>
    <x v="0"/>
    <s v="VILLA LUCRE"/>
    <x v="0"/>
  </r>
  <r>
    <x v="15"/>
    <x v="5"/>
    <x v="0"/>
    <x v="0"/>
    <x v="0"/>
    <x v="0"/>
    <x v="5"/>
    <x v="5"/>
    <x v="139"/>
    <x v="0"/>
    <s v="VILLA LUCRE"/>
    <x v="0"/>
  </r>
  <r>
    <x v="15"/>
    <x v="13"/>
    <x v="5"/>
    <x v="5"/>
    <x v="0"/>
    <x v="0"/>
    <x v="13"/>
    <x v="13"/>
    <x v="140"/>
    <x v="0"/>
    <s v="VILLA LUCRE"/>
    <x v="0"/>
  </r>
  <r>
    <x v="15"/>
    <x v="6"/>
    <x v="5"/>
    <x v="5"/>
    <x v="0"/>
    <x v="0"/>
    <x v="6"/>
    <x v="6"/>
    <x v="141"/>
    <x v="0"/>
    <s v="VILLA LUCRE"/>
    <x v="0"/>
  </r>
  <r>
    <x v="15"/>
    <x v="14"/>
    <x v="1"/>
    <x v="1"/>
    <x v="0"/>
    <x v="0"/>
    <x v="14"/>
    <x v="14"/>
    <x v="142"/>
    <x v="0"/>
    <s v="VILLA LUCRE"/>
    <x v="0"/>
  </r>
  <r>
    <x v="15"/>
    <x v="8"/>
    <x v="1"/>
    <x v="1"/>
    <x v="0"/>
    <x v="0"/>
    <x v="8"/>
    <x v="8"/>
    <x v="143"/>
    <x v="0"/>
    <s v="VILLA LUCRE"/>
    <x v="0"/>
  </r>
  <r>
    <x v="15"/>
    <x v="1"/>
    <x v="1"/>
    <x v="1"/>
    <x v="0"/>
    <x v="0"/>
    <x v="1"/>
    <x v="1"/>
    <x v="1"/>
    <x v="38"/>
    <s v="VILLA LUCRE"/>
    <x v="0"/>
  </r>
  <r>
    <x v="15"/>
    <x v="7"/>
    <x v="2"/>
    <x v="2"/>
    <x v="0"/>
    <x v="1"/>
    <x v="7"/>
    <x v="7"/>
    <x v="56"/>
    <x v="0"/>
    <s v="VILLA LUCRE"/>
    <x v="0"/>
  </r>
  <r>
    <x v="15"/>
    <x v="11"/>
    <x v="6"/>
    <x v="6"/>
    <x v="0"/>
    <x v="1"/>
    <x v="11"/>
    <x v="11"/>
    <x v="144"/>
    <x v="0"/>
    <s v="VILLA LUCRE"/>
    <x v="0"/>
  </r>
  <r>
    <x v="15"/>
    <x v="13"/>
    <x v="5"/>
    <x v="5"/>
    <x v="0"/>
    <x v="1"/>
    <x v="13"/>
    <x v="13"/>
    <x v="145"/>
    <x v="0"/>
    <s v="VILLA LUCRE"/>
    <x v="0"/>
  </r>
  <r>
    <x v="15"/>
    <x v="1"/>
    <x v="1"/>
    <x v="1"/>
    <x v="0"/>
    <x v="1"/>
    <x v="1"/>
    <x v="1"/>
    <x v="1"/>
    <x v="39"/>
    <s v="VILLA LUCRE"/>
    <x v="0"/>
  </r>
  <r>
    <x v="16"/>
    <x v="7"/>
    <x v="2"/>
    <x v="2"/>
    <x v="0"/>
    <x v="2"/>
    <x v="7"/>
    <x v="7"/>
    <x v="146"/>
    <x v="0"/>
    <s v="LOS ANDES"/>
    <x v="0"/>
  </r>
  <r>
    <x v="16"/>
    <x v="5"/>
    <x v="0"/>
    <x v="0"/>
    <x v="0"/>
    <x v="2"/>
    <x v="5"/>
    <x v="5"/>
    <x v="147"/>
    <x v="0"/>
    <s v="LOS ANDES"/>
    <x v="0"/>
  </r>
  <r>
    <x v="16"/>
    <x v="1"/>
    <x v="1"/>
    <x v="1"/>
    <x v="0"/>
    <x v="2"/>
    <x v="1"/>
    <x v="1"/>
    <x v="1"/>
    <x v="40"/>
    <s v="LOS ANDES"/>
    <x v="0"/>
  </r>
  <r>
    <x v="16"/>
    <x v="16"/>
    <x v="2"/>
    <x v="2"/>
    <x v="0"/>
    <x v="0"/>
    <x v="16"/>
    <x v="16"/>
    <x v="148"/>
    <x v="0"/>
    <s v="LOS ANDES"/>
    <x v="0"/>
  </r>
  <r>
    <x v="16"/>
    <x v="7"/>
    <x v="2"/>
    <x v="2"/>
    <x v="0"/>
    <x v="0"/>
    <x v="7"/>
    <x v="7"/>
    <x v="149"/>
    <x v="0"/>
    <s v="LOS ANDES"/>
    <x v="0"/>
  </r>
  <r>
    <x v="16"/>
    <x v="2"/>
    <x v="2"/>
    <x v="2"/>
    <x v="0"/>
    <x v="0"/>
    <x v="2"/>
    <x v="2"/>
    <x v="150"/>
    <x v="0"/>
    <s v="LOS ANDES"/>
    <x v="0"/>
  </r>
  <r>
    <x v="16"/>
    <x v="17"/>
    <x v="2"/>
    <x v="2"/>
    <x v="0"/>
    <x v="0"/>
    <x v="16"/>
    <x v="17"/>
    <x v="151"/>
    <x v="0"/>
    <s v="LOS ANDES"/>
    <x v="0"/>
  </r>
  <r>
    <x v="16"/>
    <x v="9"/>
    <x v="6"/>
    <x v="6"/>
    <x v="0"/>
    <x v="0"/>
    <x v="9"/>
    <x v="9"/>
    <x v="152"/>
    <x v="0"/>
    <s v="LOS ANDES"/>
    <x v="0"/>
  </r>
  <r>
    <x v="16"/>
    <x v="11"/>
    <x v="6"/>
    <x v="6"/>
    <x v="0"/>
    <x v="0"/>
    <x v="11"/>
    <x v="11"/>
    <x v="153"/>
    <x v="0"/>
    <s v="LOS ANDES"/>
    <x v="0"/>
  </r>
  <r>
    <x v="16"/>
    <x v="10"/>
    <x v="3"/>
    <x v="3"/>
    <x v="0"/>
    <x v="0"/>
    <x v="10"/>
    <x v="10"/>
    <x v="154"/>
    <x v="0"/>
    <s v="LOS ANDES"/>
    <x v="0"/>
  </r>
  <r>
    <x v="16"/>
    <x v="3"/>
    <x v="3"/>
    <x v="3"/>
    <x v="0"/>
    <x v="0"/>
    <x v="3"/>
    <x v="3"/>
    <x v="155"/>
    <x v="0"/>
    <s v="LOS ANDES"/>
    <x v="0"/>
  </r>
  <r>
    <x v="16"/>
    <x v="12"/>
    <x v="4"/>
    <x v="4"/>
    <x v="0"/>
    <x v="0"/>
    <x v="12"/>
    <x v="12"/>
    <x v="156"/>
    <x v="0"/>
    <s v="LOS ANDES"/>
    <x v="0"/>
  </r>
  <r>
    <x v="16"/>
    <x v="4"/>
    <x v="4"/>
    <x v="4"/>
    <x v="0"/>
    <x v="0"/>
    <x v="4"/>
    <x v="4"/>
    <x v="157"/>
    <x v="0"/>
    <s v="LOS ANDES"/>
    <x v="0"/>
  </r>
  <r>
    <x v="16"/>
    <x v="0"/>
    <x v="0"/>
    <x v="0"/>
    <x v="0"/>
    <x v="0"/>
    <x v="0"/>
    <x v="0"/>
    <x v="158"/>
    <x v="0"/>
    <s v="LOS ANDES"/>
    <x v="0"/>
  </r>
  <r>
    <x v="16"/>
    <x v="5"/>
    <x v="0"/>
    <x v="0"/>
    <x v="0"/>
    <x v="0"/>
    <x v="5"/>
    <x v="5"/>
    <x v="159"/>
    <x v="0"/>
    <s v="LOS ANDES"/>
    <x v="0"/>
  </r>
  <r>
    <x v="16"/>
    <x v="13"/>
    <x v="5"/>
    <x v="5"/>
    <x v="0"/>
    <x v="0"/>
    <x v="13"/>
    <x v="13"/>
    <x v="160"/>
    <x v="0"/>
    <s v="LOS ANDES"/>
    <x v="0"/>
  </r>
  <r>
    <x v="16"/>
    <x v="6"/>
    <x v="5"/>
    <x v="5"/>
    <x v="0"/>
    <x v="0"/>
    <x v="6"/>
    <x v="6"/>
    <x v="161"/>
    <x v="0"/>
    <s v="LOS ANDES"/>
    <x v="0"/>
  </r>
  <r>
    <x v="16"/>
    <x v="14"/>
    <x v="1"/>
    <x v="1"/>
    <x v="0"/>
    <x v="0"/>
    <x v="14"/>
    <x v="14"/>
    <x v="162"/>
    <x v="0"/>
    <s v="LOS ANDES"/>
    <x v="0"/>
  </r>
  <r>
    <x v="16"/>
    <x v="8"/>
    <x v="1"/>
    <x v="1"/>
    <x v="0"/>
    <x v="0"/>
    <x v="8"/>
    <x v="8"/>
    <x v="163"/>
    <x v="0"/>
    <s v="LOS ANDES"/>
    <x v="0"/>
  </r>
  <r>
    <x v="16"/>
    <x v="1"/>
    <x v="1"/>
    <x v="1"/>
    <x v="0"/>
    <x v="0"/>
    <x v="1"/>
    <x v="1"/>
    <x v="1"/>
    <x v="41"/>
    <s v="LOS ANDES"/>
    <x v="0"/>
  </r>
  <r>
    <x v="16"/>
    <x v="7"/>
    <x v="2"/>
    <x v="2"/>
    <x v="0"/>
    <x v="1"/>
    <x v="7"/>
    <x v="7"/>
    <x v="87"/>
    <x v="0"/>
    <s v="LOS ANDES"/>
    <x v="0"/>
  </r>
  <r>
    <x v="16"/>
    <x v="12"/>
    <x v="4"/>
    <x v="4"/>
    <x v="0"/>
    <x v="1"/>
    <x v="12"/>
    <x v="12"/>
    <x v="164"/>
    <x v="0"/>
    <s v="LOS ANDES"/>
    <x v="0"/>
  </r>
  <r>
    <x v="16"/>
    <x v="5"/>
    <x v="0"/>
    <x v="0"/>
    <x v="0"/>
    <x v="1"/>
    <x v="5"/>
    <x v="5"/>
    <x v="165"/>
    <x v="0"/>
    <s v="LOS ANDES"/>
    <x v="0"/>
  </r>
  <r>
    <x v="16"/>
    <x v="6"/>
    <x v="5"/>
    <x v="5"/>
    <x v="0"/>
    <x v="1"/>
    <x v="6"/>
    <x v="6"/>
    <x v="166"/>
    <x v="0"/>
    <s v="LOS ANDES"/>
    <x v="0"/>
  </r>
  <r>
    <x v="16"/>
    <x v="1"/>
    <x v="1"/>
    <x v="1"/>
    <x v="0"/>
    <x v="1"/>
    <x v="1"/>
    <x v="1"/>
    <x v="1"/>
    <x v="42"/>
    <s v="LOS ANDES"/>
    <x v="0"/>
  </r>
  <r>
    <x v="17"/>
    <x v="13"/>
    <x v="5"/>
    <x v="5"/>
    <x v="0"/>
    <x v="0"/>
    <x v="13"/>
    <x v="13"/>
    <x v="167"/>
    <x v="0"/>
    <s v="VIA ESPANA"/>
    <x v="0"/>
  </r>
  <r>
    <x v="17"/>
    <x v="1"/>
    <x v="1"/>
    <x v="1"/>
    <x v="0"/>
    <x v="0"/>
    <x v="1"/>
    <x v="1"/>
    <x v="1"/>
    <x v="43"/>
    <s v="VIA ESPANA"/>
    <x v="0"/>
  </r>
  <r>
    <x v="18"/>
    <x v="12"/>
    <x v="4"/>
    <x v="4"/>
    <x v="0"/>
    <x v="0"/>
    <x v="12"/>
    <x v="12"/>
    <x v="168"/>
    <x v="0"/>
    <s v="AVENIDA CUBA"/>
    <x v="0"/>
  </r>
  <r>
    <x v="18"/>
    <x v="0"/>
    <x v="0"/>
    <x v="0"/>
    <x v="0"/>
    <x v="0"/>
    <x v="0"/>
    <x v="0"/>
    <x v="169"/>
    <x v="0"/>
    <s v="AVENIDA CUBA"/>
    <x v="0"/>
  </r>
  <r>
    <x v="18"/>
    <x v="5"/>
    <x v="0"/>
    <x v="0"/>
    <x v="0"/>
    <x v="0"/>
    <x v="5"/>
    <x v="5"/>
    <x v="170"/>
    <x v="0"/>
    <s v="AVENIDA CUBA"/>
    <x v="0"/>
  </r>
  <r>
    <x v="18"/>
    <x v="1"/>
    <x v="1"/>
    <x v="1"/>
    <x v="0"/>
    <x v="0"/>
    <x v="1"/>
    <x v="1"/>
    <x v="1"/>
    <x v="44"/>
    <s v="AVENIDA CUBA"/>
    <x v="0"/>
  </r>
  <r>
    <x v="18"/>
    <x v="13"/>
    <x v="5"/>
    <x v="5"/>
    <x v="0"/>
    <x v="1"/>
    <x v="13"/>
    <x v="13"/>
    <x v="171"/>
    <x v="0"/>
    <s v="AVENIDA CUBA"/>
    <x v="0"/>
  </r>
  <r>
    <x v="18"/>
    <x v="1"/>
    <x v="1"/>
    <x v="1"/>
    <x v="0"/>
    <x v="1"/>
    <x v="1"/>
    <x v="1"/>
    <x v="1"/>
    <x v="45"/>
    <s v="AVENIDA CUBA"/>
    <x v="0"/>
  </r>
  <r>
    <x v="19"/>
    <x v="4"/>
    <x v="4"/>
    <x v="4"/>
    <x v="0"/>
    <x v="2"/>
    <x v="4"/>
    <x v="4"/>
    <x v="172"/>
    <x v="0"/>
    <s v="CHITRE"/>
    <x v="0"/>
  </r>
  <r>
    <x v="19"/>
    <x v="1"/>
    <x v="1"/>
    <x v="1"/>
    <x v="0"/>
    <x v="2"/>
    <x v="1"/>
    <x v="1"/>
    <x v="1"/>
    <x v="46"/>
    <s v="CHITRE"/>
    <x v="0"/>
  </r>
  <r>
    <x v="19"/>
    <x v="7"/>
    <x v="2"/>
    <x v="2"/>
    <x v="0"/>
    <x v="0"/>
    <x v="7"/>
    <x v="7"/>
    <x v="173"/>
    <x v="0"/>
    <s v="CHITRE"/>
    <x v="0"/>
  </r>
  <r>
    <x v="19"/>
    <x v="2"/>
    <x v="2"/>
    <x v="2"/>
    <x v="0"/>
    <x v="0"/>
    <x v="2"/>
    <x v="2"/>
    <x v="174"/>
    <x v="0"/>
    <s v="CHITRE"/>
    <x v="0"/>
  </r>
  <r>
    <x v="19"/>
    <x v="9"/>
    <x v="6"/>
    <x v="6"/>
    <x v="0"/>
    <x v="0"/>
    <x v="9"/>
    <x v="9"/>
    <x v="175"/>
    <x v="0"/>
    <s v="CHITRE"/>
    <x v="0"/>
  </r>
  <r>
    <x v="19"/>
    <x v="11"/>
    <x v="6"/>
    <x v="6"/>
    <x v="0"/>
    <x v="0"/>
    <x v="11"/>
    <x v="11"/>
    <x v="176"/>
    <x v="0"/>
    <s v="CHITRE"/>
    <x v="0"/>
  </r>
  <r>
    <x v="19"/>
    <x v="10"/>
    <x v="3"/>
    <x v="3"/>
    <x v="0"/>
    <x v="0"/>
    <x v="10"/>
    <x v="10"/>
    <x v="177"/>
    <x v="0"/>
    <s v="CHITRE"/>
    <x v="0"/>
  </r>
  <r>
    <x v="19"/>
    <x v="3"/>
    <x v="3"/>
    <x v="3"/>
    <x v="0"/>
    <x v="0"/>
    <x v="3"/>
    <x v="3"/>
    <x v="178"/>
    <x v="0"/>
    <s v="CHITRE"/>
    <x v="0"/>
  </r>
  <r>
    <x v="19"/>
    <x v="12"/>
    <x v="4"/>
    <x v="4"/>
    <x v="0"/>
    <x v="0"/>
    <x v="12"/>
    <x v="12"/>
    <x v="179"/>
    <x v="0"/>
    <s v="CHITRE"/>
    <x v="0"/>
  </r>
  <r>
    <x v="19"/>
    <x v="4"/>
    <x v="4"/>
    <x v="4"/>
    <x v="0"/>
    <x v="0"/>
    <x v="4"/>
    <x v="4"/>
    <x v="180"/>
    <x v="0"/>
    <s v="CHITRE"/>
    <x v="0"/>
  </r>
  <r>
    <x v="19"/>
    <x v="0"/>
    <x v="0"/>
    <x v="0"/>
    <x v="0"/>
    <x v="0"/>
    <x v="0"/>
    <x v="0"/>
    <x v="181"/>
    <x v="0"/>
    <s v="CHITRE"/>
    <x v="0"/>
  </r>
  <r>
    <x v="19"/>
    <x v="5"/>
    <x v="0"/>
    <x v="0"/>
    <x v="0"/>
    <x v="0"/>
    <x v="5"/>
    <x v="5"/>
    <x v="182"/>
    <x v="0"/>
    <s v="CHITRE"/>
    <x v="0"/>
  </r>
  <r>
    <x v="19"/>
    <x v="13"/>
    <x v="5"/>
    <x v="5"/>
    <x v="0"/>
    <x v="0"/>
    <x v="13"/>
    <x v="13"/>
    <x v="183"/>
    <x v="0"/>
    <s v="CHITRE"/>
    <x v="0"/>
  </r>
  <r>
    <x v="19"/>
    <x v="6"/>
    <x v="5"/>
    <x v="5"/>
    <x v="0"/>
    <x v="0"/>
    <x v="6"/>
    <x v="6"/>
    <x v="184"/>
    <x v="0"/>
    <s v="CHITRE"/>
    <x v="0"/>
  </r>
  <r>
    <x v="19"/>
    <x v="14"/>
    <x v="1"/>
    <x v="1"/>
    <x v="0"/>
    <x v="0"/>
    <x v="14"/>
    <x v="14"/>
    <x v="185"/>
    <x v="0"/>
    <s v="CHITRE"/>
    <x v="0"/>
  </r>
  <r>
    <x v="19"/>
    <x v="8"/>
    <x v="1"/>
    <x v="1"/>
    <x v="0"/>
    <x v="0"/>
    <x v="8"/>
    <x v="8"/>
    <x v="186"/>
    <x v="0"/>
    <s v="CHITRE"/>
    <x v="0"/>
  </r>
  <r>
    <x v="19"/>
    <x v="1"/>
    <x v="1"/>
    <x v="1"/>
    <x v="0"/>
    <x v="0"/>
    <x v="1"/>
    <x v="1"/>
    <x v="1"/>
    <x v="47"/>
    <s v="CHITRE"/>
    <x v="0"/>
  </r>
  <r>
    <x v="19"/>
    <x v="10"/>
    <x v="3"/>
    <x v="3"/>
    <x v="0"/>
    <x v="1"/>
    <x v="10"/>
    <x v="10"/>
    <x v="187"/>
    <x v="0"/>
    <s v="CHITRE"/>
    <x v="0"/>
  </r>
  <r>
    <x v="19"/>
    <x v="12"/>
    <x v="4"/>
    <x v="4"/>
    <x v="0"/>
    <x v="1"/>
    <x v="12"/>
    <x v="12"/>
    <x v="188"/>
    <x v="0"/>
    <s v="CHITRE"/>
    <x v="0"/>
  </r>
  <r>
    <x v="19"/>
    <x v="4"/>
    <x v="4"/>
    <x v="4"/>
    <x v="0"/>
    <x v="1"/>
    <x v="4"/>
    <x v="4"/>
    <x v="189"/>
    <x v="0"/>
    <s v="CHITRE"/>
    <x v="0"/>
  </r>
  <r>
    <x v="19"/>
    <x v="0"/>
    <x v="0"/>
    <x v="0"/>
    <x v="0"/>
    <x v="1"/>
    <x v="0"/>
    <x v="0"/>
    <x v="190"/>
    <x v="0"/>
    <s v="CHITRE"/>
    <x v="0"/>
  </r>
  <r>
    <x v="19"/>
    <x v="5"/>
    <x v="0"/>
    <x v="0"/>
    <x v="0"/>
    <x v="1"/>
    <x v="5"/>
    <x v="5"/>
    <x v="191"/>
    <x v="0"/>
    <s v="CHITRE"/>
    <x v="0"/>
  </r>
  <r>
    <x v="19"/>
    <x v="6"/>
    <x v="5"/>
    <x v="5"/>
    <x v="0"/>
    <x v="1"/>
    <x v="6"/>
    <x v="6"/>
    <x v="192"/>
    <x v="0"/>
    <s v="CHITRE"/>
    <x v="0"/>
  </r>
  <r>
    <x v="19"/>
    <x v="1"/>
    <x v="1"/>
    <x v="1"/>
    <x v="0"/>
    <x v="1"/>
    <x v="1"/>
    <x v="1"/>
    <x v="1"/>
    <x v="48"/>
    <s v="CHITRE"/>
    <x v="0"/>
  </r>
  <r>
    <x v="20"/>
    <x v="5"/>
    <x v="0"/>
    <x v="0"/>
    <x v="0"/>
    <x v="2"/>
    <x v="5"/>
    <x v="5"/>
    <x v="193"/>
    <x v="0"/>
    <s v="LOS PUEBLOS"/>
    <x v="0"/>
  </r>
  <r>
    <x v="20"/>
    <x v="1"/>
    <x v="1"/>
    <x v="1"/>
    <x v="0"/>
    <x v="2"/>
    <x v="1"/>
    <x v="1"/>
    <x v="1"/>
    <x v="49"/>
    <s v="LOS PUEBLOS"/>
    <x v="0"/>
  </r>
  <r>
    <x v="20"/>
    <x v="7"/>
    <x v="2"/>
    <x v="2"/>
    <x v="0"/>
    <x v="0"/>
    <x v="7"/>
    <x v="7"/>
    <x v="194"/>
    <x v="0"/>
    <s v="LOS PUEBLOS"/>
    <x v="0"/>
  </r>
  <r>
    <x v="20"/>
    <x v="2"/>
    <x v="2"/>
    <x v="2"/>
    <x v="0"/>
    <x v="0"/>
    <x v="2"/>
    <x v="2"/>
    <x v="195"/>
    <x v="0"/>
    <s v="LOS PUEBLOS"/>
    <x v="0"/>
  </r>
  <r>
    <x v="20"/>
    <x v="9"/>
    <x v="6"/>
    <x v="6"/>
    <x v="0"/>
    <x v="0"/>
    <x v="9"/>
    <x v="9"/>
    <x v="196"/>
    <x v="0"/>
    <s v="LOS PUEBLOS"/>
    <x v="0"/>
  </r>
  <r>
    <x v="20"/>
    <x v="11"/>
    <x v="6"/>
    <x v="6"/>
    <x v="0"/>
    <x v="0"/>
    <x v="11"/>
    <x v="11"/>
    <x v="197"/>
    <x v="0"/>
    <s v="LOS PUEBLOS"/>
    <x v="0"/>
  </r>
  <r>
    <x v="20"/>
    <x v="10"/>
    <x v="3"/>
    <x v="3"/>
    <x v="0"/>
    <x v="0"/>
    <x v="10"/>
    <x v="10"/>
    <x v="198"/>
    <x v="0"/>
    <s v="LOS PUEBLOS"/>
    <x v="0"/>
  </r>
  <r>
    <x v="20"/>
    <x v="3"/>
    <x v="3"/>
    <x v="3"/>
    <x v="0"/>
    <x v="0"/>
    <x v="3"/>
    <x v="3"/>
    <x v="199"/>
    <x v="0"/>
    <s v="LOS PUEBLOS"/>
    <x v="0"/>
  </r>
  <r>
    <x v="20"/>
    <x v="12"/>
    <x v="4"/>
    <x v="4"/>
    <x v="0"/>
    <x v="0"/>
    <x v="12"/>
    <x v="12"/>
    <x v="200"/>
    <x v="0"/>
    <s v="LOS PUEBLOS"/>
    <x v="0"/>
  </r>
  <r>
    <x v="20"/>
    <x v="4"/>
    <x v="4"/>
    <x v="4"/>
    <x v="0"/>
    <x v="0"/>
    <x v="4"/>
    <x v="4"/>
    <x v="201"/>
    <x v="0"/>
    <s v="LOS PUEBLOS"/>
    <x v="0"/>
  </r>
  <r>
    <x v="20"/>
    <x v="0"/>
    <x v="0"/>
    <x v="0"/>
    <x v="0"/>
    <x v="0"/>
    <x v="0"/>
    <x v="0"/>
    <x v="202"/>
    <x v="0"/>
    <s v="LOS PUEBLOS"/>
    <x v="0"/>
  </r>
  <r>
    <x v="20"/>
    <x v="5"/>
    <x v="0"/>
    <x v="0"/>
    <x v="0"/>
    <x v="0"/>
    <x v="5"/>
    <x v="5"/>
    <x v="203"/>
    <x v="0"/>
    <s v="LOS PUEBLOS"/>
    <x v="0"/>
  </r>
  <r>
    <x v="20"/>
    <x v="13"/>
    <x v="5"/>
    <x v="5"/>
    <x v="0"/>
    <x v="0"/>
    <x v="13"/>
    <x v="13"/>
    <x v="204"/>
    <x v="0"/>
    <s v="LOS PUEBLOS"/>
    <x v="0"/>
  </r>
  <r>
    <x v="20"/>
    <x v="6"/>
    <x v="5"/>
    <x v="5"/>
    <x v="0"/>
    <x v="0"/>
    <x v="6"/>
    <x v="6"/>
    <x v="205"/>
    <x v="0"/>
    <s v="LOS PUEBLOS"/>
    <x v="0"/>
  </r>
  <r>
    <x v="20"/>
    <x v="14"/>
    <x v="1"/>
    <x v="1"/>
    <x v="0"/>
    <x v="0"/>
    <x v="14"/>
    <x v="14"/>
    <x v="206"/>
    <x v="0"/>
    <s v="LOS PUEBLOS"/>
    <x v="0"/>
  </r>
  <r>
    <x v="20"/>
    <x v="8"/>
    <x v="1"/>
    <x v="1"/>
    <x v="0"/>
    <x v="0"/>
    <x v="8"/>
    <x v="8"/>
    <x v="207"/>
    <x v="0"/>
    <s v="LOS PUEBLOS"/>
    <x v="0"/>
  </r>
  <r>
    <x v="20"/>
    <x v="1"/>
    <x v="1"/>
    <x v="1"/>
    <x v="0"/>
    <x v="0"/>
    <x v="1"/>
    <x v="1"/>
    <x v="1"/>
    <x v="50"/>
    <s v="LOS PUEBLOS"/>
    <x v="0"/>
  </r>
  <r>
    <x v="20"/>
    <x v="2"/>
    <x v="2"/>
    <x v="2"/>
    <x v="0"/>
    <x v="1"/>
    <x v="2"/>
    <x v="2"/>
    <x v="208"/>
    <x v="0"/>
    <s v="LOS PUEBLOS"/>
    <x v="0"/>
  </r>
  <r>
    <x v="20"/>
    <x v="10"/>
    <x v="3"/>
    <x v="3"/>
    <x v="0"/>
    <x v="1"/>
    <x v="10"/>
    <x v="10"/>
    <x v="209"/>
    <x v="0"/>
    <s v="LOS PUEBLOS"/>
    <x v="0"/>
  </r>
  <r>
    <x v="20"/>
    <x v="18"/>
    <x v="3"/>
    <x v="3"/>
    <x v="0"/>
    <x v="1"/>
    <x v="17"/>
    <x v="18"/>
    <x v="210"/>
    <x v="0"/>
    <s v="LOS PUEBLOS"/>
    <x v="0"/>
  </r>
  <r>
    <x v="20"/>
    <x v="12"/>
    <x v="4"/>
    <x v="4"/>
    <x v="0"/>
    <x v="1"/>
    <x v="12"/>
    <x v="12"/>
    <x v="211"/>
    <x v="0"/>
    <s v="LOS PUEBLOS"/>
    <x v="0"/>
  </r>
  <r>
    <x v="20"/>
    <x v="4"/>
    <x v="4"/>
    <x v="4"/>
    <x v="0"/>
    <x v="1"/>
    <x v="4"/>
    <x v="4"/>
    <x v="212"/>
    <x v="0"/>
    <s v="LOS PUEBLOS"/>
    <x v="0"/>
  </r>
  <r>
    <x v="20"/>
    <x v="5"/>
    <x v="0"/>
    <x v="0"/>
    <x v="0"/>
    <x v="1"/>
    <x v="5"/>
    <x v="5"/>
    <x v="213"/>
    <x v="0"/>
    <s v="LOS PUEBLOS"/>
    <x v="0"/>
  </r>
  <r>
    <x v="20"/>
    <x v="13"/>
    <x v="5"/>
    <x v="5"/>
    <x v="0"/>
    <x v="1"/>
    <x v="13"/>
    <x v="13"/>
    <x v="214"/>
    <x v="0"/>
    <s v="LOS PUEBLOS"/>
    <x v="0"/>
  </r>
  <r>
    <x v="20"/>
    <x v="8"/>
    <x v="1"/>
    <x v="1"/>
    <x v="0"/>
    <x v="1"/>
    <x v="8"/>
    <x v="8"/>
    <x v="215"/>
    <x v="0"/>
    <s v="LOS PUEBLOS"/>
    <x v="0"/>
  </r>
  <r>
    <x v="20"/>
    <x v="1"/>
    <x v="1"/>
    <x v="1"/>
    <x v="0"/>
    <x v="1"/>
    <x v="1"/>
    <x v="1"/>
    <x v="1"/>
    <x v="51"/>
    <s v="LOS PUEBLOS"/>
    <x v="0"/>
  </r>
  <r>
    <x v="21"/>
    <x v="7"/>
    <x v="2"/>
    <x v="2"/>
    <x v="0"/>
    <x v="2"/>
    <x v="7"/>
    <x v="7"/>
    <x v="216"/>
    <x v="0"/>
    <s v="TRANSISTMICA"/>
    <x v="0"/>
  </r>
  <r>
    <x v="21"/>
    <x v="11"/>
    <x v="6"/>
    <x v="6"/>
    <x v="0"/>
    <x v="2"/>
    <x v="11"/>
    <x v="11"/>
    <x v="121"/>
    <x v="0"/>
    <s v="TRANSISTMICA"/>
    <x v="0"/>
  </r>
  <r>
    <x v="21"/>
    <x v="10"/>
    <x v="3"/>
    <x v="3"/>
    <x v="0"/>
    <x v="2"/>
    <x v="10"/>
    <x v="10"/>
    <x v="217"/>
    <x v="0"/>
    <s v="TRANSISTMICA"/>
    <x v="0"/>
  </r>
  <r>
    <x v="21"/>
    <x v="3"/>
    <x v="3"/>
    <x v="3"/>
    <x v="0"/>
    <x v="2"/>
    <x v="3"/>
    <x v="3"/>
    <x v="218"/>
    <x v="0"/>
    <s v="TRANSISTMICA"/>
    <x v="0"/>
  </r>
  <r>
    <x v="21"/>
    <x v="12"/>
    <x v="4"/>
    <x v="4"/>
    <x v="0"/>
    <x v="2"/>
    <x v="12"/>
    <x v="12"/>
    <x v="219"/>
    <x v="0"/>
    <s v="TRANSISTMICA"/>
    <x v="0"/>
  </r>
  <r>
    <x v="21"/>
    <x v="0"/>
    <x v="0"/>
    <x v="0"/>
    <x v="0"/>
    <x v="2"/>
    <x v="0"/>
    <x v="0"/>
    <x v="220"/>
    <x v="0"/>
    <s v="TRANSISTMICA"/>
    <x v="0"/>
  </r>
  <r>
    <x v="21"/>
    <x v="5"/>
    <x v="0"/>
    <x v="0"/>
    <x v="0"/>
    <x v="2"/>
    <x v="5"/>
    <x v="5"/>
    <x v="221"/>
    <x v="0"/>
    <s v="TRANSISTMICA"/>
    <x v="0"/>
  </r>
  <r>
    <x v="21"/>
    <x v="13"/>
    <x v="5"/>
    <x v="5"/>
    <x v="0"/>
    <x v="2"/>
    <x v="13"/>
    <x v="13"/>
    <x v="222"/>
    <x v="0"/>
    <s v="TRANSISTMICA"/>
    <x v="0"/>
  </r>
  <r>
    <x v="21"/>
    <x v="6"/>
    <x v="5"/>
    <x v="5"/>
    <x v="0"/>
    <x v="2"/>
    <x v="6"/>
    <x v="6"/>
    <x v="222"/>
    <x v="0"/>
    <s v="TRANSISTMICA"/>
    <x v="0"/>
  </r>
  <r>
    <x v="21"/>
    <x v="1"/>
    <x v="1"/>
    <x v="1"/>
    <x v="0"/>
    <x v="2"/>
    <x v="1"/>
    <x v="1"/>
    <x v="1"/>
    <x v="52"/>
    <s v="TRANSISTMICA"/>
    <x v="0"/>
  </r>
  <r>
    <x v="21"/>
    <x v="7"/>
    <x v="2"/>
    <x v="2"/>
    <x v="0"/>
    <x v="0"/>
    <x v="7"/>
    <x v="7"/>
    <x v="223"/>
    <x v="0"/>
    <s v="TRANSISTMICA"/>
    <x v="0"/>
  </r>
  <r>
    <x v="21"/>
    <x v="2"/>
    <x v="2"/>
    <x v="2"/>
    <x v="0"/>
    <x v="0"/>
    <x v="2"/>
    <x v="2"/>
    <x v="224"/>
    <x v="0"/>
    <s v="TRANSISTMICA"/>
    <x v="0"/>
  </r>
  <r>
    <x v="21"/>
    <x v="9"/>
    <x v="6"/>
    <x v="6"/>
    <x v="0"/>
    <x v="0"/>
    <x v="9"/>
    <x v="9"/>
    <x v="88"/>
    <x v="0"/>
    <s v="TRANSISTMICA"/>
    <x v="0"/>
  </r>
  <r>
    <x v="21"/>
    <x v="11"/>
    <x v="6"/>
    <x v="6"/>
    <x v="0"/>
    <x v="0"/>
    <x v="11"/>
    <x v="11"/>
    <x v="225"/>
    <x v="0"/>
    <s v="TRANSISTMICA"/>
    <x v="0"/>
  </r>
  <r>
    <x v="21"/>
    <x v="10"/>
    <x v="3"/>
    <x v="3"/>
    <x v="0"/>
    <x v="0"/>
    <x v="10"/>
    <x v="10"/>
    <x v="226"/>
    <x v="0"/>
    <s v="TRANSISTMICA"/>
    <x v="0"/>
  </r>
  <r>
    <x v="21"/>
    <x v="3"/>
    <x v="3"/>
    <x v="3"/>
    <x v="0"/>
    <x v="0"/>
    <x v="3"/>
    <x v="3"/>
    <x v="227"/>
    <x v="0"/>
    <s v="TRANSISTMICA"/>
    <x v="0"/>
  </r>
  <r>
    <x v="21"/>
    <x v="12"/>
    <x v="4"/>
    <x v="4"/>
    <x v="0"/>
    <x v="0"/>
    <x v="12"/>
    <x v="12"/>
    <x v="228"/>
    <x v="0"/>
    <s v="TRANSISTMICA"/>
    <x v="0"/>
  </r>
  <r>
    <x v="21"/>
    <x v="4"/>
    <x v="4"/>
    <x v="4"/>
    <x v="0"/>
    <x v="0"/>
    <x v="4"/>
    <x v="4"/>
    <x v="229"/>
    <x v="0"/>
    <s v="TRANSISTMICA"/>
    <x v="0"/>
  </r>
  <r>
    <x v="21"/>
    <x v="0"/>
    <x v="0"/>
    <x v="0"/>
    <x v="0"/>
    <x v="0"/>
    <x v="0"/>
    <x v="0"/>
    <x v="230"/>
    <x v="0"/>
    <s v="TRANSISTMICA"/>
    <x v="0"/>
  </r>
  <r>
    <x v="21"/>
    <x v="5"/>
    <x v="0"/>
    <x v="0"/>
    <x v="0"/>
    <x v="0"/>
    <x v="5"/>
    <x v="5"/>
    <x v="231"/>
    <x v="0"/>
    <s v="TRANSISTMICA"/>
    <x v="0"/>
  </r>
  <r>
    <x v="21"/>
    <x v="13"/>
    <x v="5"/>
    <x v="5"/>
    <x v="0"/>
    <x v="0"/>
    <x v="13"/>
    <x v="13"/>
    <x v="232"/>
    <x v="0"/>
    <s v="TRANSISTMICA"/>
    <x v="0"/>
  </r>
  <r>
    <x v="21"/>
    <x v="6"/>
    <x v="5"/>
    <x v="5"/>
    <x v="0"/>
    <x v="0"/>
    <x v="6"/>
    <x v="6"/>
    <x v="233"/>
    <x v="0"/>
    <s v="TRANSISTMICA"/>
    <x v="0"/>
  </r>
  <r>
    <x v="21"/>
    <x v="14"/>
    <x v="1"/>
    <x v="1"/>
    <x v="0"/>
    <x v="0"/>
    <x v="14"/>
    <x v="14"/>
    <x v="234"/>
    <x v="0"/>
    <s v="TRANSISTMICA"/>
    <x v="0"/>
  </r>
  <r>
    <x v="21"/>
    <x v="8"/>
    <x v="1"/>
    <x v="1"/>
    <x v="0"/>
    <x v="0"/>
    <x v="8"/>
    <x v="8"/>
    <x v="235"/>
    <x v="0"/>
    <s v="TRANSISTMICA"/>
    <x v="0"/>
  </r>
  <r>
    <x v="21"/>
    <x v="1"/>
    <x v="1"/>
    <x v="1"/>
    <x v="0"/>
    <x v="0"/>
    <x v="1"/>
    <x v="1"/>
    <x v="1"/>
    <x v="53"/>
    <s v="TRANSISTMICA"/>
    <x v="0"/>
  </r>
  <r>
    <x v="21"/>
    <x v="10"/>
    <x v="3"/>
    <x v="3"/>
    <x v="0"/>
    <x v="1"/>
    <x v="10"/>
    <x v="10"/>
    <x v="236"/>
    <x v="0"/>
    <s v="TRANSISTMICA"/>
    <x v="0"/>
  </r>
  <r>
    <x v="21"/>
    <x v="3"/>
    <x v="3"/>
    <x v="3"/>
    <x v="0"/>
    <x v="1"/>
    <x v="3"/>
    <x v="3"/>
    <x v="237"/>
    <x v="0"/>
    <s v="TRANSISTMICA"/>
    <x v="0"/>
  </r>
  <r>
    <x v="21"/>
    <x v="4"/>
    <x v="4"/>
    <x v="4"/>
    <x v="0"/>
    <x v="1"/>
    <x v="4"/>
    <x v="4"/>
    <x v="238"/>
    <x v="0"/>
    <s v="TRANSISTMICA"/>
    <x v="0"/>
  </r>
  <r>
    <x v="21"/>
    <x v="0"/>
    <x v="0"/>
    <x v="0"/>
    <x v="0"/>
    <x v="1"/>
    <x v="0"/>
    <x v="0"/>
    <x v="239"/>
    <x v="0"/>
    <s v="TRANSISTMICA"/>
    <x v="0"/>
  </r>
  <r>
    <x v="21"/>
    <x v="5"/>
    <x v="0"/>
    <x v="0"/>
    <x v="0"/>
    <x v="1"/>
    <x v="5"/>
    <x v="5"/>
    <x v="240"/>
    <x v="0"/>
    <s v="TRANSISTMICA"/>
    <x v="0"/>
  </r>
  <r>
    <x v="21"/>
    <x v="13"/>
    <x v="5"/>
    <x v="5"/>
    <x v="0"/>
    <x v="1"/>
    <x v="13"/>
    <x v="13"/>
    <x v="241"/>
    <x v="0"/>
    <s v="TRANSISTMICA"/>
    <x v="0"/>
  </r>
  <r>
    <x v="21"/>
    <x v="14"/>
    <x v="1"/>
    <x v="1"/>
    <x v="0"/>
    <x v="1"/>
    <x v="14"/>
    <x v="14"/>
    <x v="242"/>
    <x v="0"/>
    <s v="TRANSISTMICA"/>
    <x v="0"/>
  </r>
  <r>
    <x v="21"/>
    <x v="8"/>
    <x v="1"/>
    <x v="1"/>
    <x v="0"/>
    <x v="1"/>
    <x v="8"/>
    <x v="8"/>
    <x v="243"/>
    <x v="0"/>
    <s v="TRANSISTMICA"/>
    <x v="0"/>
  </r>
  <r>
    <x v="21"/>
    <x v="1"/>
    <x v="1"/>
    <x v="1"/>
    <x v="0"/>
    <x v="1"/>
    <x v="1"/>
    <x v="1"/>
    <x v="1"/>
    <x v="54"/>
    <s v="TRANSISTMICA"/>
    <x v="0"/>
  </r>
  <r>
    <x v="22"/>
    <x v="4"/>
    <x v="4"/>
    <x v="4"/>
    <x v="0"/>
    <x v="0"/>
    <x v="4"/>
    <x v="4"/>
    <x v="244"/>
    <x v="0"/>
    <s v="PLAZA GALAPAGO"/>
    <x v="0"/>
  </r>
  <r>
    <x v="22"/>
    <x v="0"/>
    <x v="0"/>
    <x v="0"/>
    <x v="0"/>
    <x v="0"/>
    <x v="0"/>
    <x v="0"/>
    <x v="245"/>
    <x v="0"/>
    <s v="PLAZA GALAPAGO"/>
    <x v="0"/>
  </r>
  <r>
    <x v="22"/>
    <x v="5"/>
    <x v="0"/>
    <x v="0"/>
    <x v="0"/>
    <x v="0"/>
    <x v="5"/>
    <x v="5"/>
    <x v="246"/>
    <x v="0"/>
    <s v="PLAZA GALAPAGO"/>
    <x v="0"/>
  </r>
  <r>
    <x v="22"/>
    <x v="1"/>
    <x v="1"/>
    <x v="1"/>
    <x v="0"/>
    <x v="0"/>
    <x v="1"/>
    <x v="1"/>
    <x v="1"/>
    <x v="55"/>
    <s v="PLAZA GALAPAGO"/>
    <x v="0"/>
  </r>
  <r>
    <x v="23"/>
    <x v="10"/>
    <x v="3"/>
    <x v="3"/>
    <x v="0"/>
    <x v="0"/>
    <x v="10"/>
    <x v="10"/>
    <x v="247"/>
    <x v="0"/>
    <s v="PARQUE LEFEVRE"/>
    <x v="0"/>
  </r>
  <r>
    <x v="23"/>
    <x v="3"/>
    <x v="3"/>
    <x v="3"/>
    <x v="0"/>
    <x v="0"/>
    <x v="3"/>
    <x v="3"/>
    <x v="248"/>
    <x v="0"/>
    <s v="PARQUE LEFEVRE"/>
    <x v="0"/>
  </r>
  <r>
    <x v="23"/>
    <x v="1"/>
    <x v="1"/>
    <x v="1"/>
    <x v="0"/>
    <x v="0"/>
    <x v="1"/>
    <x v="1"/>
    <x v="1"/>
    <x v="56"/>
    <s v="PARQUE LEFEVRE"/>
    <x v="0"/>
  </r>
  <r>
    <x v="23"/>
    <x v="11"/>
    <x v="6"/>
    <x v="6"/>
    <x v="0"/>
    <x v="1"/>
    <x v="11"/>
    <x v="11"/>
    <x v="249"/>
    <x v="0"/>
    <s v="PARQUE LEFEVRE"/>
    <x v="0"/>
  </r>
  <r>
    <x v="23"/>
    <x v="10"/>
    <x v="3"/>
    <x v="3"/>
    <x v="0"/>
    <x v="1"/>
    <x v="10"/>
    <x v="10"/>
    <x v="250"/>
    <x v="0"/>
    <s v="PARQUE LEFEVRE"/>
    <x v="0"/>
  </r>
  <r>
    <x v="23"/>
    <x v="0"/>
    <x v="0"/>
    <x v="0"/>
    <x v="0"/>
    <x v="1"/>
    <x v="0"/>
    <x v="0"/>
    <x v="251"/>
    <x v="0"/>
    <s v="PARQUE LEFEVRE"/>
    <x v="0"/>
  </r>
  <r>
    <x v="23"/>
    <x v="5"/>
    <x v="0"/>
    <x v="0"/>
    <x v="0"/>
    <x v="1"/>
    <x v="5"/>
    <x v="5"/>
    <x v="252"/>
    <x v="0"/>
    <s v="PARQUE LEFEVRE"/>
    <x v="0"/>
  </r>
  <r>
    <x v="23"/>
    <x v="1"/>
    <x v="1"/>
    <x v="1"/>
    <x v="0"/>
    <x v="1"/>
    <x v="1"/>
    <x v="1"/>
    <x v="1"/>
    <x v="57"/>
    <s v="PARQUE LEFEVRE"/>
    <x v="0"/>
  </r>
  <r>
    <x v="24"/>
    <x v="7"/>
    <x v="2"/>
    <x v="2"/>
    <x v="0"/>
    <x v="2"/>
    <x v="7"/>
    <x v="7"/>
    <x v="253"/>
    <x v="0"/>
    <s v="DAVID"/>
    <x v="0"/>
  </r>
  <r>
    <x v="24"/>
    <x v="9"/>
    <x v="6"/>
    <x v="6"/>
    <x v="0"/>
    <x v="2"/>
    <x v="9"/>
    <x v="9"/>
    <x v="254"/>
    <x v="0"/>
    <s v="DAVID"/>
    <x v="0"/>
  </r>
  <r>
    <x v="24"/>
    <x v="11"/>
    <x v="6"/>
    <x v="6"/>
    <x v="0"/>
    <x v="2"/>
    <x v="11"/>
    <x v="11"/>
    <x v="255"/>
    <x v="0"/>
    <s v="DAVID"/>
    <x v="0"/>
  </r>
  <r>
    <x v="24"/>
    <x v="12"/>
    <x v="4"/>
    <x v="4"/>
    <x v="0"/>
    <x v="2"/>
    <x v="12"/>
    <x v="12"/>
    <x v="256"/>
    <x v="0"/>
    <s v="DAVID"/>
    <x v="0"/>
  </r>
  <r>
    <x v="24"/>
    <x v="0"/>
    <x v="0"/>
    <x v="0"/>
    <x v="0"/>
    <x v="2"/>
    <x v="0"/>
    <x v="0"/>
    <x v="257"/>
    <x v="0"/>
    <s v="DAVID"/>
    <x v="0"/>
  </r>
  <r>
    <x v="24"/>
    <x v="5"/>
    <x v="0"/>
    <x v="0"/>
    <x v="0"/>
    <x v="2"/>
    <x v="5"/>
    <x v="5"/>
    <x v="258"/>
    <x v="0"/>
    <s v="DAVID"/>
    <x v="0"/>
  </r>
  <r>
    <x v="24"/>
    <x v="13"/>
    <x v="5"/>
    <x v="5"/>
    <x v="0"/>
    <x v="2"/>
    <x v="13"/>
    <x v="13"/>
    <x v="259"/>
    <x v="0"/>
    <s v="DAVID"/>
    <x v="0"/>
  </r>
  <r>
    <x v="24"/>
    <x v="6"/>
    <x v="5"/>
    <x v="5"/>
    <x v="0"/>
    <x v="2"/>
    <x v="6"/>
    <x v="6"/>
    <x v="260"/>
    <x v="0"/>
    <s v="DAVID"/>
    <x v="0"/>
  </r>
  <r>
    <x v="24"/>
    <x v="14"/>
    <x v="1"/>
    <x v="1"/>
    <x v="0"/>
    <x v="2"/>
    <x v="14"/>
    <x v="14"/>
    <x v="261"/>
    <x v="0"/>
    <s v="DAVID"/>
    <x v="0"/>
  </r>
  <r>
    <x v="24"/>
    <x v="8"/>
    <x v="1"/>
    <x v="1"/>
    <x v="0"/>
    <x v="2"/>
    <x v="8"/>
    <x v="8"/>
    <x v="262"/>
    <x v="0"/>
    <s v="DAVID"/>
    <x v="0"/>
  </r>
  <r>
    <x v="24"/>
    <x v="1"/>
    <x v="1"/>
    <x v="1"/>
    <x v="0"/>
    <x v="2"/>
    <x v="1"/>
    <x v="1"/>
    <x v="1"/>
    <x v="58"/>
    <s v="DAVID"/>
    <x v="0"/>
  </r>
  <r>
    <x v="24"/>
    <x v="7"/>
    <x v="2"/>
    <x v="2"/>
    <x v="0"/>
    <x v="0"/>
    <x v="7"/>
    <x v="7"/>
    <x v="263"/>
    <x v="0"/>
    <s v="DAVID"/>
    <x v="0"/>
  </r>
  <r>
    <x v="24"/>
    <x v="2"/>
    <x v="2"/>
    <x v="2"/>
    <x v="0"/>
    <x v="0"/>
    <x v="2"/>
    <x v="2"/>
    <x v="264"/>
    <x v="0"/>
    <s v="DAVID"/>
    <x v="0"/>
  </r>
  <r>
    <x v="24"/>
    <x v="9"/>
    <x v="6"/>
    <x v="6"/>
    <x v="0"/>
    <x v="0"/>
    <x v="9"/>
    <x v="9"/>
    <x v="265"/>
    <x v="0"/>
    <s v="DAVID"/>
    <x v="0"/>
  </r>
  <r>
    <x v="24"/>
    <x v="11"/>
    <x v="6"/>
    <x v="6"/>
    <x v="0"/>
    <x v="0"/>
    <x v="11"/>
    <x v="11"/>
    <x v="266"/>
    <x v="0"/>
    <s v="DAVID"/>
    <x v="0"/>
  </r>
  <r>
    <x v="24"/>
    <x v="19"/>
    <x v="3"/>
    <x v="3"/>
    <x v="0"/>
    <x v="0"/>
    <x v="17"/>
    <x v="19"/>
    <x v="267"/>
    <x v="0"/>
    <s v="DAVID"/>
    <x v="0"/>
  </r>
  <r>
    <x v="24"/>
    <x v="10"/>
    <x v="3"/>
    <x v="3"/>
    <x v="0"/>
    <x v="0"/>
    <x v="10"/>
    <x v="10"/>
    <x v="268"/>
    <x v="0"/>
    <s v="DAVID"/>
    <x v="0"/>
  </r>
  <r>
    <x v="24"/>
    <x v="3"/>
    <x v="3"/>
    <x v="3"/>
    <x v="0"/>
    <x v="0"/>
    <x v="3"/>
    <x v="3"/>
    <x v="269"/>
    <x v="0"/>
    <s v="DAVID"/>
    <x v="0"/>
  </r>
  <r>
    <x v="24"/>
    <x v="12"/>
    <x v="4"/>
    <x v="4"/>
    <x v="0"/>
    <x v="0"/>
    <x v="12"/>
    <x v="12"/>
    <x v="270"/>
    <x v="0"/>
    <s v="DAVID"/>
    <x v="0"/>
  </r>
  <r>
    <x v="24"/>
    <x v="4"/>
    <x v="4"/>
    <x v="4"/>
    <x v="0"/>
    <x v="0"/>
    <x v="4"/>
    <x v="4"/>
    <x v="271"/>
    <x v="0"/>
    <s v="DAVID"/>
    <x v="0"/>
  </r>
  <r>
    <x v="24"/>
    <x v="0"/>
    <x v="0"/>
    <x v="0"/>
    <x v="0"/>
    <x v="0"/>
    <x v="0"/>
    <x v="0"/>
    <x v="272"/>
    <x v="0"/>
    <s v="DAVID"/>
    <x v="0"/>
  </r>
  <r>
    <x v="24"/>
    <x v="5"/>
    <x v="0"/>
    <x v="0"/>
    <x v="0"/>
    <x v="0"/>
    <x v="5"/>
    <x v="5"/>
    <x v="273"/>
    <x v="0"/>
    <s v="DAVID"/>
    <x v="0"/>
  </r>
  <r>
    <x v="24"/>
    <x v="13"/>
    <x v="5"/>
    <x v="5"/>
    <x v="0"/>
    <x v="0"/>
    <x v="13"/>
    <x v="13"/>
    <x v="274"/>
    <x v="0"/>
    <s v="DAVID"/>
    <x v="0"/>
  </r>
  <r>
    <x v="24"/>
    <x v="6"/>
    <x v="5"/>
    <x v="5"/>
    <x v="0"/>
    <x v="0"/>
    <x v="6"/>
    <x v="6"/>
    <x v="275"/>
    <x v="0"/>
    <s v="DAVID"/>
    <x v="0"/>
  </r>
  <r>
    <x v="24"/>
    <x v="14"/>
    <x v="1"/>
    <x v="1"/>
    <x v="0"/>
    <x v="0"/>
    <x v="14"/>
    <x v="14"/>
    <x v="276"/>
    <x v="0"/>
    <s v="DAVID"/>
    <x v="0"/>
  </r>
  <r>
    <x v="24"/>
    <x v="8"/>
    <x v="1"/>
    <x v="1"/>
    <x v="0"/>
    <x v="0"/>
    <x v="8"/>
    <x v="8"/>
    <x v="277"/>
    <x v="0"/>
    <s v="DAVID"/>
    <x v="0"/>
  </r>
  <r>
    <x v="24"/>
    <x v="1"/>
    <x v="1"/>
    <x v="1"/>
    <x v="0"/>
    <x v="0"/>
    <x v="1"/>
    <x v="1"/>
    <x v="1"/>
    <x v="59"/>
    <s v="DAVID"/>
    <x v="0"/>
  </r>
  <r>
    <x v="24"/>
    <x v="9"/>
    <x v="6"/>
    <x v="6"/>
    <x v="0"/>
    <x v="1"/>
    <x v="9"/>
    <x v="9"/>
    <x v="278"/>
    <x v="0"/>
    <s v="DAVID"/>
    <x v="0"/>
  </r>
  <r>
    <x v="24"/>
    <x v="11"/>
    <x v="6"/>
    <x v="6"/>
    <x v="0"/>
    <x v="1"/>
    <x v="11"/>
    <x v="11"/>
    <x v="279"/>
    <x v="0"/>
    <s v="DAVID"/>
    <x v="0"/>
  </r>
  <r>
    <x v="24"/>
    <x v="5"/>
    <x v="0"/>
    <x v="0"/>
    <x v="0"/>
    <x v="1"/>
    <x v="5"/>
    <x v="5"/>
    <x v="280"/>
    <x v="0"/>
    <s v="DAVID"/>
    <x v="0"/>
  </r>
  <r>
    <x v="24"/>
    <x v="13"/>
    <x v="5"/>
    <x v="5"/>
    <x v="0"/>
    <x v="1"/>
    <x v="13"/>
    <x v="13"/>
    <x v="281"/>
    <x v="0"/>
    <s v="DAVID"/>
    <x v="0"/>
  </r>
  <r>
    <x v="24"/>
    <x v="6"/>
    <x v="5"/>
    <x v="5"/>
    <x v="0"/>
    <x v="1"/>
    <x v="6"/>
    <x v="6"/>
    <x v="282"/>
    <x v="0"/>
    <s v="DAVID"/>
    <x v="0"/>
  </r>
  <r>
    <x v="24"/>
    <x v="8"/>
    <x v="1"/>
    <x v="1"/>
    <x v="0"/>
    <x v="1"/>
    <x v="8"/>
    <x v="8"/>
    <x v="283"/>
    <x v="0"/>
    <s v="DAVID"/>
    <x v="0"/>
  </r>
  <r>
    <x v="24"/>
    <x v="1"/>
    <x v="1"/>
    <x v="1"/>
    <x v="0"/>
    <x v="1"/>
    <x v="1"/>
    <x v="1"/>
    <x v="1"/>
    <x v="60"/>
    <s v="DAVID"/>
    <x v="0"/>
  </r>
  <r>
    <x v="25"/>
    <x v="1"/>
    <x v="1"/>
    <x v="1"/>
    <x v="0"/>
    <x v="0"/>
    <x v="1"/>
    <x v="1"/>
    <x v="1"/>
    <x v="61"/>
    <s v="PLAZA LAS AMERICAS"/>
    <x v="0"/>
  </r>
  <r>
    <x v="25"/>
    <x v="3"/>
    <x v="3"/>
    <x v="3"/>
    <x v="0"/>
    <x v="1"/>
    <x v="3"/>
    <x v="3"/>
    <x v="284"/>
    <x v="0"/>
    <s v="PLAZA LAS AMERICAS"/>
    <x v="0"/>
  </r>
  <r>
    <x v="25"/>
    <x v="1"/>
    <x v="1"/>
    <x v="1"/>
    <x v="0"/>
    <x v="1"/>
    <x v="1"/>
    <x v="1"/>
    <x v="1"/>
    <x v="62"/>
    <s v="PLAZA LAS AMERICAS"/>
    <x v="0"/>
  </r>
  <r>
    <x v="26"/>
    <x v="1"/>
    <x v="1"/>
    <x v="1"/>
    <x v="0"/>
    <x v="2"/>
    <x v="1"/>
    <x v="1"/>
    <x v="1"/>
    <x v="63"/>
    <s v="CORONADO"/>
    <x v="0"/>
  </r>
  <r>
    <x v="26"/>
    <x v="13"/>
    <x v="5"/>
    <x v="5"/>
    <x v="0"/>
    <x v="0"/>
    <x v="13"/>
    <x v="13"/>
    <x v="285"/>
    <x v="0"/>
    <s v="CORONADO"/>
    <x v="0"/>
  </r>
  <r>
    <x v="26"/>
    <x v="6"/>
    <x v="5"/>
    <x v="5"/>
    <x v="0"/>
    <x v="0"/>
    <x v="6"/>
    <x v="6"/>
    <x v="286"/>
    <x v="0"/>
    <s v="CORONADO"/>
    <x v="0"/>
  </r>
  <r>
    <x v="26"/>
    <x v="14"/>
    <x v="1"/>
    <x v="1"/>
    <x v="0"/>
    <x v="0"/>
    <x v="14"/>
    <x v="14"/>
    <x v="287"/>
    <x v="0"/>
    <s v="CORONADO"/>
    <x v="0"/>
  </r>
  <r>
    <x v="26"/>
    <x v="1"/>
    <x v="1"/>
    <x v="1"/>
    <x v="0"/>
    <x v="0"/>
    <x v="1"/>
    <x v="1"/>
    <x v="1"/>
    <x v="64"/>
    <s v="CORONADO"/>
    <x v="0"/>
  </r>
  <r>
    <x v="26"/>
    <x v="5"/>
    <x v="0"/>
    <x v="0"/>
    <x v="0"/>
    <x v="1"/>
    <x v="5"/>
    <x v="5"/>
    <x v="288"/>
    <x v="0"/>
    <s v="CORONADO"/>
    <x v="0"/>
  </r>
  <r>
    <x v="26"/>
    <x v="8"/>
    <x v="1"/>
    <x v="1"/>
    <x v="0"/>
    <x v="1"/>
    <x v="8"/>
    <x v="8"/>
    <x v="289"/>
    <x v="0"/>
    <s v="CORONADO"/>
    <x v="0"/>
  </r>
  <r>
    <x v="26"/>
    <x v="1"/>
    <x v="1"/>
    <x v="1"/>
    <x v="0"/>
    <x v="1"/>
    <x v="1"/>
    <x v="1"/>
    <x v="1"/>
    <x v="65"/>
    <s v="CORONADO"/>
    <x v="0"/>
  </r>
  <r>
    <x v="27"/>
    <x v="12"/>
    <x v="4"/>
    <x v="4"/>
    <x v="0"/>
    <x v="2"/>
    <x v="12"/>
    <x v="12"/>
    <x v="290"/>
    <x v="0"/>
    <s v="ALBROOK MALL"/>
    <x v="0"/>
  </r>
  <r>
    <x v="27"/>
    <x v="13"/>
    <x v="5"/>
    <x v="5"/>
    <x v="0"/>
    <x v="2"/>
    <x v="13"/>
    <x v="13"/>
    <x v="291"/>
    <x v="0"/>
    <s v="ALBROOK MALL"/>
    <x v="0"/>
  </r>
  <r>
    <x v="27"/>
    <x v="1"/>
    <x v="1"/>
    <x v="1"/>
    <x v="0"/>
    <x v="2"/>
    <x v="1"/>
    <x v="1"/>
    <x v="1"/>
    <x v="66"/>
    <s v="ALBROOK MALL"/>
    <x v="0"/>
  </r>
  <r>
    <x v="27"/>
    <x v="7"/>
    <x v="2"/>
    <x v="2"/>
    <x v="0"/>
    <x v="0"/>
    <x v="7"/>
    <x v="7"/>
    <x v="292"/>
    <x v="0"/>
    <s v="ALBROOK MALL"/>
    <x v="0"/>
  </r>
  <r>
    <x v="27"/>
    <x v="2"/>
    <x v="2"/>
    <x v="2"/>
    <x v="0"/>
    <x v="0"/>
    <x v="2"/>
    <x v="2"/>
    <x v="293"/>
    <x v="0"/>
    <s v="ALBROOK MALL"/>
    <x v="0"/>
  </r>
  <r>
    <x v="27"/>
    <x v="9"/>
    <x v="6"/>
    <x v="6"/>
    <x v="0"/>
    <x v="0"/>
    <x v="9"/>
    <x v="9"/>
    <x v="294"/>
    <x v="0"/>
    <s v="ALBROOK MALL"/>
    <x v="0"/>
  </r>
  <r>
    <x v="27"/>
    <x v="11"/>
    <x v="6"/>
    <x v="6"/>
    <x v="0"/>
    <x v="0"/>
    <x v="11"/>
    <x v="11"/>
    <x v="295"/>
    <x v="0"/>
    <s v="ALBROOK MALL"/>
    <x v="0"/>
  </r>
  <r>
    <x v="27"/>
    <x v="10"/>
    <x v="3"/>
    <x v="3"/>
    <x v="0"/>
    <x v="0"/>
    <x v="10"/>
    <x v="10"/>
    <x v="296"/>
    <x v="0"/>
    <s v="ALBROOK MALL"/>
    <x v="0"/>
  </r>
  <r>
    <x v="27"/>
    <x v="3"/>
    <x v="3"/>
    <x v="3"/>
    <x v="0"/>
    <x v="0"/>
    <x v="3"/>
    <x v="3"/>
    <x v="297"/>
    <x v="0"/>
    <s v="ALBROOK MALL"/>
    <x v="0"/>
  </r>
  <r>
    <x v="27"/>
    <x v="12"/>
    <x v="4"/>
    <x v="4"/>
    <x v="0"/>
    <x v="0"/>
    <x v="12"/>
    <x v="12"/>
    <x v="298"/>
    <x v="0"/>
    <s v="ALBROOK MALL"/>
    <x v="0"/>
  </r>
  <r>
    <x v="27"/>
    <x v="4"/>
    <x v="4"/>
    <x v="4"/>
    <x v="0"/>
    <x v="0"/>
    <x v="4"/>
    <x v="4"/>
    <x v="299"/>
    <x v="0"/>
    <s v="ALBROOK MALL"/>
    <x v="0"/>
  </r>
  <r>
    <x v="27"/>
    <x v="0"/>
    <x v="0"/>
    <x v="0"/>
    <x v="0"/>
    <x v="0"/>
    <x v="0"/>
    <x v="0"/>
    <x v="300"/>
    <x v="0"/>
    <s v="ALBROOK MALL"/>
    <x v="0"/>
  </r>
  <r>
    <x v="27"/>
    <x v="5"/>
    <x v="0"/>
    <x v="0"/>
    <x v="0"/>
    <x v="0"/>
    <x v="5"/>
    <x v="5"/>
    <x v="301"/>
    <x v="0"/>
    <s v="ALBROOK MALL"/>
    <x v="0"/>
  </r>
  <r>
    <x v="27"/>
    <x v="13"/>
    <x v="5"/>
    <x v="5"/>
    <x v="0"/>
    <x v="0"/>
    <x v="13"/>
    <x v="13"/>
    <x v="302"/>
    <x v="0"/>
    <s v="ALBROOK MALL"/>
    <x v="0"/>
  </r>
  <r>
    <x v="27"/>
    <x v="6"/>
    <x v="5"/>
    <x v="5"/>
    <x v="0"/>
    <x v="0"/>
    <x v="6"/>
    <x v="6"/>
    <x v="303"/>
    <x v="0"/>
    <s v="ALBROOK MALL"/>
    <x v="0"/>
  </r>
  <r>
    <x v="27"/>
    <x v="20"/>
    <x v="5"/>
    <x v="5"/>
    <x v="0"/>
    <x v="0"/>
    <x v="18"/>
    <x v="20"/>
    <x v="304"/>
    <x v="0"/>
    <s v="ALBROOK MALL"/>
    <x v="0"/>
  </r>
  <r>
    <x v="27"/>
    <x v="14"/>
    <x v="1"/>
    <x v="1"/>
    <x v="0"/>
    <x v="0"/>
    <x v="14"/>
    <x v="14"/>
    <x v="305"/>
    <x v="0"/>
    <s v="ALBROOK MALL"/>
    <x v="0"/>
  </r>
  <r>
    <x v="27"/>
    <x v="8"/>
    <x v="1"/>
    <x v="1"/>
    <x v="0"/>
    <x v="0"/>
    <x v="8"/>
    <x v="8"/>
    <x v="306"/>
    <x v="0"/>
    <s v="ALBROOK MALL"/>
    <x v="0"/>
  </r>
  <r>
    <x v="27"/>
    <x v="1"/>
    <x v="1"/>
    <x v="1"/>
    <x v="0"/>
    <x v="0"/>
    <x v="1"/>
    <x v="1"/>
    <x v="1"/>
    <x v="67"/>
    <s v="ALBROOK MALL"/>
    <x v="0"/>
  </r>
  <r>
    <x v="27"/>
    <x v="7"/>
    <x v="2"/>
    <x v="2"/>
    <x v="0"/>
    <x v="1"/>
    <x v="7"/>
    <x v="7"/>
    <x v="307"/>
    <x v="0"/>
    <s v="ALBROOK MALL"/>
    <x v="0"/>
  </r>
  <r>
    <x v="27"/>
    <x v="2"/>
    <x v="2"/>
    <x v="2"/>
    <x v="0"/>
    <x v="1"/>
    <x v="2"/>
    <x v="2"/>
    <x v="308"/>
    <x v="0"/>
    <s v="ALBROOK MALL"/>
    <x v="0"/>
  </r>
  <r>
    <x v="27"/>
    <x v="9"/>
    <x v="6"/>
    <x v="6"/>
    <x v="0"/>
    <x v="1"/>
    <x v="9"/>
    <x v="9"/>
    <x v="309"/>
    <x v="0"/>
    <s v="ALBROOK MALL"/>
    <x v="0"/>
  </r>
  <r>
    <x v="27"/>
    <x v="11"/>
    <x v="6"/>
    <x v="6"/>
    <x v="0"/>
    <x v="1"/>
    <x v="11"/>
    <x v="11"/>
    <x v="310"/>
    <x v="0"/>
    <s v="ALBROOK MALL"/>
    <x v="0"/>
  </r>
  <r>
    <x v="27"/>
    <x v="10"/>
    <x v="3"/>
    <x v="3"/>
    <x v="0"/>
    <x v="1"/>
    <x v="10"/>
    <x v="10"/>
    <x v="311"/>
    <x v="0"/>
    <s v="ALBROOK MALL"/>
    <x v="0"/>
  </r>
  <r>
    <x v="27"/>
    <x v="12"/>
    <x v="4"/>
    <x v="4"/>
    <x v="0"/>
    <x v="1"/>
    <x v="12"/>
    <x v="12"/>
    <x v="312"/>
    <x v="0"/>
    <s v="ALBROOK MALL"/>
    <x v="0"/>
  </r>
  <r>
    <x v="27"/>
    <x v="4"/>
    <x v="4"/>
    <x v="4"/>
    <x v="0"/>
    <x v="1"/>
    <x v="4"/>
    <x v="4"/>
    <x v="313"/>
    <x v="0"/>
    <s v="ALBROOK MALL"/>
    <x v="0"/>
  </r>
  <r>
    <x v="27"/>
    <x v="0"/>
    <x v="0"/>
    <x v="0"/>
    <x v="0"/>
    <x v="1"/>
    <x v="0"/>
    <x v="0"/>
    <x v="314"/>
    <x v="0"/>
    <s v="ALBROOK MALL"/>
    <x v="0"/>
  </r>
  <r>
    <x v="27"/>
    <x v="5"/>
    <x v="0"/>
    <x v="0"/>
    <x v="0"/>
    <x v="1"/>
    <x v="5"/>
    <x v="5"/>
    <x v="315"/>
    <x v="0"/>
    <s v="ALBROOK MALL"/>
    <x v="0"/>
  </r>
  <r>
    <x v="27"/>
    <x v="13"/>
    <x v="5"/>
    <x v="5"/>
    <x v="0"/>
    <x v="1"/>
    <x v="13"/>
    <x v="13"/>
    <x v="316"/>
    <x v="0"/>
    <s v="ALBROOK MALL"/>
    <x v="0"/>
  </r>
  <r>
    <x v="27"/>
    <x v="6"/>
    <x v="5"/>
    <x v="5"/>
    <x v="0"/>
    <x v="1"/>
    <x v="6"/>
    <x v="6"/>
    <x v="16"/>
    <x v="0"/>
    <s v="ALBROOK MALL"/>
    <x v="0"/>
  </r>
  <r>
    <x v="27"/>
    <x v="14"/>
    <x v="1"/>
    <x v="1"/>
    <x v="0"/>
    <x v="1"/>
    <x v="14"/>
    <x v="14"/>
    <x v="317"/>
    <x v="0"/>
    <s v="ALBROOK MALL"/>
    <x v="0"/>
  </r>
  <r>
    <x v="27"/>
    <x v="8"/>
    <x v="1"/>
    <x v="1"/>
    <x v="0"/>
    <x v="1"/>
    <x v="8"/>
    <x v="8"/>
    <x v="318"/>
    <x v="0"/>
    <s v="ALBROOK MALL"/>
    <x v="0"/>
  </r>
  <r>
    <x v="27"/>
    <x v="1"/>
    <x v="1"/>
    <x v="1"/>
    <x v="0"/>
    <x v="1"/>
    <x v="1"/>
    <x v="1"/>
    <x v="1"/>
    <x v="68"/>
    <s v="ALBROOK MALL"/>
    <x v="0"/>
  </r>
  <r>
    <x v="28"/>
    <x v="10"/>
    <x v="3"/>
    <x v="3"/>
    <x v="0"/>
    <x v="2"/>
    <x v="10"/>
    <x v="10"/>
    <x v="319"/>
    <x v="0"/>
    <s v="PANAMA PACIFICO"/>
    <x v="0"/>
  </r>
  <r>
    <x v="28"/>
    <x v="1"/>
    <x v="1"/>
    <x v="1"/>
    <x v="0"/>
    <x v="2"/>
    <x v="1"/>
    <x v="1"/>
    <x v="1"/>
    <x v="69"/>
    <s v="PANAMA PACIFICO"/>
    <x v="0"/>
  </r>
  <r>
    <x v="28"/>
    <x v="11"/>
    <x v="6"/>
    <x v="6"/>
    <x v="0"/>
    <x v="0"/>
    <x v="11"/>
    <x v="11"/>
    <x v="320"/>
    <x v="0"/>
    <s v="PANAMA PACIFICO"/>
    <x v="0"/>
  </r>
  <r>
    <x v="28"/>
    <x v="0"/>
    <x v="0"/>
    <x v="0"/>
    <x v="0"/>
    <x v="0"/>
    <x v="0"/>
    <x v="0"/>
    <x v="321"/>
    <x v="0"/>
    <s v="PANAMA PACIFICO"/>
    <x v="0"/>
  </r>
  <r>
    <x v="28"/>
    <x v="14"/>
    <x v="1"/>
    <x v="1"/>
    <x v="0"/>
    <x v="0"/>
    <x v="14"/>
    <x v="14"/>
    <x v="322"/>
    <x v="0"/>
    <s v="PANAMA PACIFICO"/>
    <x v="0"/>
  </r>
  <r>
    <x v="28"/>
    <x v="1"/>
    <x v="1"/>
    <x v="1"/>
    <x v="0"/>
    <x v="0"/>
    <x v="1"/>
    <x v="1"/>
    <x v="1"/>
    <x v="70"/>
    <s v="PANAMA PACIFICO"/>
    <x v="0"/>
  </r>
  <r>
    <x v="28"/>
    <x v="7"/>
    <x v="2"/>
    <x v="2"/>
    <x v="0"/>
    <x v="1"/>
    <x v="7"/>
    <x v="7"/>
    <x v="323"/>
    <x v="0"/>
    <s v="PANAMA PACIFICO"/>
    <x v="0"/>
  </r>
  <r>
    <x v="28"/>
    <x v="12"/>
    <x v="4"/>
    <x v="4"/>
    <x v="0"/>
    <x v="1"/>
    <x v="12"/>
    <x v="12"/>
    <x v="324"/>
    <x v="0"/>
    <s v="PANAMA PACIFICO"/>
    <x v="0"/>
  </r>
  <r>
    <x v="28"/>
    <x v="4"/>
    <x v="4"/>
    <x v="4"/>
    <x v="0"/>
    <x v="1"/>
    <x v="4"/>
    <x v="4"/>
    <x v="325"/>
    <x v="0"/>
    <s v="PANAMA PACIFICO"/>
    <x v="0"/>
  </r>
  <r>
    <x v="28"/>
    <x v="0"/>
    <x v="0"/>
    <x v="0"/>
    <x v="0"/>
    <x v="1"/>
    <x v="0"/>
    <x v="0"/>
    <x v="326"/>
    <x v="0"/>
    <s v="PANAMA PACIFICO"/>
    <x v="0"/>
  </r>
  <r>
    <x v="28"/>
    <x v="14"/>
    <x v="1"/>
    <x v="1"/>
    <x v="0"/>
    <x v="1"/>
    <x v="14"/>
    <x v="14"/>
    <x v="327"/>
    <x v="0"/>
    <s v="PANAMA PACIFICO"/>
    <x v="0"/>
  </r>
  <r>
    <x v="28"/>
    <x v="8"/>
    <x v="1"/>
    <x v="1"/>
    <x v="0"/>
    <x v="1"/>
    <x v="8"/>
    <x v="8"/>
    <x v="326"/>
    <x v="0"/>
    <s v="PANAMA PACIFICO"/>
    <x v="0"/>
  </r>
  <r>
    <x v="28"/>
    <x v="1"/>
    <x v="1"/>
    <x v="1"/>
    <x v="0"/>
    <x v="1"/>
    <x v="1"/>
    <x v="1"/>
    <x v="1"/>
    <x v="71"/>
    <s v="PANAMA PACIFICO"/>
    <x v="0"/>
  </r>
  <r>
    <x v="29"/>
    <x v="2"/>
    <x v="2"/>
    <x v="2"/>
    <x v="0"/>
    <x v="0"/>
    <x v="2"/>
    <x v="2"/>
    <x v="328"/>
    <x v="0"/>
    <s v="ALBROOK"/>
    <x v="0"/>
  </r>
  <r>
    <x v="29"/>
    <x v="9"/>
    <x v="6"/>
    <x v="6"/>
    <x v="0"/>
    <x v="0"/>
    <x v="9"/>
    <x v="9"/>
    <x v="329"/>
    <x v="0"/>
    <s v="ALBROOK"/>
    <x v="0"/>
  </r>
  <r>
    <x v="29"/>
    <x v="11"/>
    <x v="6"/>
    <x v="6"/>
    <x v="0"/>
    <x v="0"/>
    <x v="11"/>
    <x v="11"/>
    <x v="330"/>
    <x v="0"/>
    <s v="ALBROOK"/>
    <x v="0"/>
  </r>
  <r>
    <x v="29"/>
    <x v="10"/>
    <x v="3"/>
    <x v="3"/>
    <x v="0"/>
    <x v="0"/>
    <x v="10"/>
    <x v="10"/>
    <x v="331"/>
    <x v="0"/>
    <s v="ALBROOK"/>
    <x v="0"/>
  </r>
  <r>
    <x v="29"/>
    <x v="3"/>
    <x v="3"/>
    <x v="3"/>
    <x v="0"/>
    <x v="0"/>
    <x v="3"/>
    <x v="3"/>
    <x v="332"/>
    <x v="0"/>
    <s v="ALBROOK"/>
    <x v="0"/>
  </r>
  <r>
    <x v="29"/>
    <x v="12"/>
    <x v="4"/>
    <x v="4"/>
    <x v="0"/>
    <x v="0"/>
    <x v="12"/>
    <x v="12"/>
    <x v="333"/>
    <x v="0"/>
    <s v="ALBROOK"/>
    <x v="0"/>
  </r>
  <r>
    <x v="29"/>
    <x v="4"/>
    <x v="4"/>
    <x v="4"/>
    <x v="0"/>
    <x v="0"/>
    <x v="4"/>
    <x v="4"/>
    <x v="334"/>
    <x v="0"/>
    <s v="ALBROOK"/>
    <x v="0"/>
  </r>
  <r>
    <x v="29"/>
    <x v="0"/>
    <x v="0"/>
    <x v="0"/>
    <x v="0"/>
    <x v="0"/>
    <x v="0"/>
    <x v="0"/>
    <x v="335"/>
    <x v="0"/>
    <s v="ALBROOK"/>
    <x v="0"/>
  </r>
  <r>
    <x v="29"/>
    <x v="5"/>
    <x v="0"/>
    <x v="0"/>
    <x v="0"/>
    <x v="0"/>
    <x v="5"/>
    <x v="5"/>
    <x v="336"/>
    <x v="0"/>
    <s v="ALBROOK"/>
    <x v="0"/>
  </r>
  <r>
    <x v="29"/>
    <x v="13"/>
    <x v="5"/>
    <x v="5"/>
    <x v="0"/>
    <x v="0"/>
    <x v="13"/>
    <x v="13"/>
    <x v="337"/>
    <x v="0"/>
    <s v="ALBROOK"/>
    <x v="0"/>
  </r>
  <r>
    <x v="29"/>
    <x v="6"/>
    <x v="5"/>
    <x v="5"/>
    <x v="0"/>
    <x v="0"/>
    <x v="6"/>
    <x v="6"/>
    <x v="338"/>
    <x v="0"/>
    <s v="ALBROOK"/>
    <x v="0"/>
  </r>
  <r>
    <x v="29"/>
    <x v="14"/>
    <x v="1"/>
    <x v="1"/>
    <x v="0"/>
    <x v="0"/>
    <x v="14"/>
    <x v="14"/>
    <x v="339"/>
    <x v="0"/>
    <s v="ALBROOK"/>
    <x v="0"/>
  </r>
  <r>
    <x v="29"/>
    <x v="8"/>
    <x v="1"/>
    <x v="1"/>
    <x v="0"/>
    <x v="0"/>
    <x v="8"/>
    <x v="8"/>
    <x v="340"/>
    <x v="0"/>
    <s v="ALBROOK"/>
    <x v="0"/>
  </r>
  <r>
    <x v="29"/>
    <x v="1"/>
    <x v="1"/>
    <x v="1"/>
    <x v="0"/>
    <x v="0"/>
    <x v="1"/>
    <x v="1"/>
    <x v="1"/>
    <x v="72"/>
    <s v="ALBROOK"/>
    <x v="0"/>
  </r>
  <r>
    <x v="29"/>
    <x v="9"/>
    <x v="6"/>
    <x v="6"/>
    <x v="0"/>
    <x v="1"/>
    <x v="9"/>
    <x v="9"/>
    <x v="341"/>
    <x v="0"/>
    <s v="ALBROOK"/>
    <x v="0"/>
  </r>
  <r>
    <x v="29"/>
    <x v="11"/>
    <x v="6"/>
    <x v="6"/>
    <x v="0"/>
    <x v="1"/>
    <x v="11"/>
    <x v="11"/>
    <x v="342"/>
    <x v="0"/>
    <s v="ALBROOK"/>
    <x v="0"/>
  </r>
  <r>
    <x v="29"/>
    <x v="10"/>
    <x v="3"/>
    <x v="3"/>
    <x v="0"/>
    <x v="1"/>
    <x v="10"/>
    <x v="10"/>
    <x v="343"/>
    <x v="0"/>
    <s v="ALBROOK"/>
    <x v="0"/>
  </r>
  <r>
    <x v="29"/>
    <x v="1"/>
    <x v="1"/>
    <x v="1"/>
    <x v="0"/>
    <x v="1"/>
    <x v="1"/>
    <x v="1"/>
    <x v="1"/>
    <x v="73"/>
    <s v="ALBROOK"/>
    <x v="0"/>
  </r>
  <r>
    <x v="30"/>
    <x v="1"/>
    <x v="1"/>
    <x v="1"/>
    <x v="0"/>
    <x v="2"/>
    <x v="1"/>
    <x v="1"/>
    <x v="1"/>
    <x v="74"/>
    <s v="SUCURSAL DE VISTA ALEGRE"/>
    <x v="0"/>
  </r>
  <r>
    <x v="30"/>
    <x v="7"/>
    <x v="2"/>
    <x v="2"/>
    <x v="0"/>
    <x v="0"/>
    <x v="7"/>
    <x v="7"/>
    <x v="344"/>
    <x v="0"/>
    <s v="SUCURSAL DE VISTA ALEGRE"/>
    <x v="0"/>
  </r>
  <r>
    <x v="30"/>
    <x v="2"/>
    <x v="2"/>
    <x v="2"/>
    <x v="0"/>
    <x v="0"/>
    <x v="2"/>
    <x v="2"/>
    <x v="345"/>
    <x v="0"/>
    <s v="SUCURSAL DE VISTA ALEGRE"/>
    <x v="0"/>
  </r>
  <r>
    <x v="30"/>
    <x v="9"/>
    <x v="6"/>
    <x v="6"/>
    <x v="0"/>
    <x v="0"/>
    <x v="9"/>
    <x v="9"/>
    <x v="346"/>
    <x v="0"/>
    <s v="SUCURSAL DE VISTA ALEGRE"/>
    <x v="0"/>
  </r>
  <r>
    <x v="30"/>
    <x v="11"/>
    <x v="6"/>
    <x v="6"/>
    <x v="0"/>
    <x v="0"/>
    <x v="11"/>
    <x v="11"/>
    <x v="347"/>
    <x v="0"/>
    <s v="SUCURSAL DE VISTA ALEGRE"/>
    <x v="0"/>
  </r>
  <r>
    <x v="30"/>
    <x v="10"/>
    <x v="3"/>
    <x v="3"/>
    <x v="0"/>
    <x v="0"/>
    <x v="10"/>
    <x v="10"/>
    <x v="348"/>
    <x v="0"/>
    <s v="SUCURSAL DE VISTA ALEGRE"/>
    <x v="0"/>
  </r>
  <r>
    <x v="30"/>
    <x v="3"/>
    <x v="3"/>
    <x v="3"/>
    <x v="0"/>
    <x v="0"/>
    <x v="3"/>
    <x v="3"/>
    <x v="349"/>
    <x v="0"/>
    <s v="SUCURSAL DE VISTA ALEGRE"/>
    <x v="0"/>
  </r>
  <r>
    <x v="30"/>
    <x v="12"/>
    <x v="4"/>
    <x v="4"/>
    <x v="0"/>
    <x v="0"/>
    <x v="12"/>
    <x v="12"/>
    <x v="350"/>
    <x v="0"/>
    <s v="SUCURSAL DE VISTA ALEGRE"/>
    <x v="0"/>
  </r>
  <r>
    <x v="30"/>
    <x v="4"/>
    <x v="4"/>
    <x v="4"/>
    <x v="0"/>
    <x v="0"/>
    <x v="4"/>
    <x v="4"/>
    <x v="351"/>
    <x v="0"/>
    <s v="SUCURSAL DE VISTA ALEGRE"/>
    <x v="0"/>
  </r>
  <r>
    <x v="30"/>
    <x v="0"/>
    <x v="0"/>
    <x v="0"/>
    <x v="0"/>
    <x v="0"/>
    <x v="0"/>
    <x v="0"/>
    <x v="352"/>
    <x v="0"/>
    <s v="SUCURSAL DE VISTA ALEGRE"/>
    <x v="0"/>
  </r>
  <r>
    <x v="30"/>
    <x v="5"/>
    <x v="0"/>
    <x v="0"/>
    <x v="0"/>
    <x v="0"/>
    <x v="5"/>
    <x v="5"/>
    <x v="353"/>
    <x v="0"/>
    <s v="SUCURSAL DE VISTA ALEGRE"/>
    <x v="0"/>
  </r>
  <r>
    <x v="30"/>
    <x v="13"/>
    <x v="5"/>
    <x v="5"/>
    <x v="0"/>
    <x v="0"/>
    <x v="13"/>
    <x v="13"/>
    <x v="354"/>
    <x v="0"/>
    <s v="SUCURSAL DE VISTA ALEGRE"/>
    <x v="0"/>
  </r>
  <r>
    <x v="30"/>
    <x v="6"/>
    <x v="5"/>
    <x v="5"/>
    <x v="0"/>
    <x v="0"/>
    <x v="6"/>
    <x v="6"/>
    <x v="355"/>
    <x v="0"/>
    <s v="SUCURSAL DE VISTA ALEGRE"/>
    <x v="0"/>
  </r>
  <r>
    <x v="30"/>
    <x v="14"/>
    <x v="1"/>
    <x v="1"/>
    <x v="0"/>
    <x v="0"/>
    <x v="14"/>
    <x v="14"/>
    <x v="356"/>
    <x v="0"/>
    <s v="SUCURSAL DE VISTA ALEGRE"/>
    <x v="0"/>
  </r>
  <r>
    <x v="30"/>
    <x v="8"/>
    <x v="1"/>
    <x v="1"/>
    <x v="0"/>
    <x v="0"/>
    <x v="8"/>
    <x v="8"/>
    <x v="357"/>
    <x v="0"/>
    <s v="SUCURSAL DE VISTA ALEGRE"/>
    <x v="0"/>
  </r>
  <r>
    <x v="30"/>
    <x v="1"/>
    <x v="1"/>
    <x v="1"/>
    <x v="0"/>
    <x v="0"/>
    <x v="1"/>
    <x v="1"/>
    <x v="1"/>
    <x v="75"/>
    <s v="SUCURSAL DE VISTA ALEGRE"/>
    <x v="0"/>
  </r>
  <r>
    <x v="30"/>
    <x v="2"/>
    <x v="2"/>
    <x v="2"/>
    <x v="0"/>
    <x v="1"/>
    <x v="2"/>
    <x v="2"/>
    <x v="358"/>
    <x v="0"/>
    <s v="SUCURSAL DE VISTA ALEGRE"/>
    <x v="0"/>
  </r>
  <r>
    <x v="30"/>
    <x v="12"/>
    <x v="4"/>
    <x v="4"/>
    <x v="0"/>
    <x v="1"/>
    <x v="12"/>
    <x v="12"/>
    <x v="359"/>
    <x v="0"/>
    <s v="SUCURSAL DE VISTA ALEGRE"/>
    <x v="0"/>
  </r>
  <r>
    <x v="30"/>
    <x v="4"/>
    <x v="4"/>
    <x v="4"/>
    <x v="0"/>
    <x v="1"/>
    <x v="4"/>
    <x v="4"/>
    <x v="360"/>
    <x v="0"/>
    <s v="SUCURSAL DE VISTA ALEGRE"/>
    <x v="0"/>
  </r>
  <r>
    <x v="30"/>
    <x v="13"/>
    <x v="5"/>
    <x v="5"/>
    <x v="0"/>
    <x v="1"/>
    <x v="13"/>
    <x v="13"/>
    <x v="361"/>
    <x v="0"/>
    <s v="SUCURSAL DE VISTA ALEGRE"/>
    <x v="0"/>
  </r>
  <r>
    <x v="30"/>
    <x v="6"/>
    <x v="5"/>
    <x v="5"/>
    <x v="0"/>
    <x v="1"/>
    <x v="6"/>
    <x v="6"/>
    <x v="362"/>
    <x v="0"/>
    <s v="SUCURSAL DE VISTA ALEGRE"/>
    <x v="0"/>
  </r>
  <r>
    <x v="30"/>
    <x v="8"/>
    <x v="1"/>
    <x v="1"/>
    <x v="0"/>
    <x v="1"/>
    <x v="8"/>
    <x v="8"/>
    <x v="363"/>
    <x v="0"/>
    <s v="SUCURSAL DE VISTA ALEGRE"/>
    <x v="0"/>
  </r>
  <r>
    <x v="30"/>
    <x v="1"/>
    <x v="1"/>
    <x v="1"/>
    <x v="0"/>
    <x v="1"/>
    <x v="1"/>
    <x v="1"/>
    <x v="1"/>
    <x v="76"/>
    <s v="SUCURSAL DE VISTA ALEGRE"/>
    <x v="0"/>
  </r>
  <r>
    <x v="31"/>
    <x v="0"/>
    <x v="0"/>
    <x v="0"/>
    <x v="0"/>
    <x v="0"/>
    <x v="0"/>
    <x v="0"/>
    <x v="364"/>
    <x v="0"/>
    <s v="LAS TABLAS"/>
    <x v="0"/>
  </r>
  <r>
    <x v="31"/>
    <x v="5"/>
    <x v="0"/>
    <x v="0"/>
    <x v="0"/>
    <x v="0"/>
    <x v="5"/>
    <x v="5"/>
    <x v="365"/>
    <x v="0"/>
    <s v="LAS TABLAS"/>
    <x v="0"/>
  </r>
  <r>
    <x v="31"/>
    <x v="1"/>
    <x v="1"/>
    <x v="1"/>
    <x v="0"/>
    <x v="0"/>
    <x v="1"/>
    <x v="1"/>
    <x v="1"/>
    <x v="77"/>
    <s v="LAS TABLAS"/>
    <x v="0"/>
  </r>
  <r>
    <x v="31"/>
    <x v="1"/>
    <x v="1"/>
    <x v="1"/>
    <x v="0"/>
    <x v="1"/>
    <x v="1"/>
    <x v="1"/>
    <x v="1"/>
    <x v="78"/>
    <s v="LAS TABLAS"/>
    <x v="0"/>
  </r>
  <r>
    <x v="32"/>
    <x v="10"/>
    <x v="3"/>
    <x v="3"/>
    <x v="0"/>
    <x v="0"/>
    <x v="10"/>
    <x v="10"/>
    <x v="366"/>
    <x v="0"/>
    <s v="24 DE DICIEMBRE"/>
    <x v="0"/>
  </r>
  <r>
    <x v="32"/>
    <x v="3"/>
    <x v="3"/>
    <x v="3"/>
    <x v="0"/>
    <x v="0"/>
    <x v="3"/>
    <x v="3"/>
    <x v="367"/>
    <x v="0"/>
    <s v="24 DE DICIEMBRE"/>
    <x v="0"/>
  </r>
  <r>
    <x v="32"/>
    <x v="1"/>
    <x v="1"/>
    <x v="1"/>
    <x v="0"/>
    <x v="0"/>
    <x v="1"/>
    <x v="1"/>
    <x v="1"/>
    <x v="79"/>
    <s v="24 DE DICIEMBRE"/>
    <x v="0"/>
  </r>
  <r>
    <x v="33"/>
    <x v="6"/>
    <x v="5"/>
    <x v="5"/>
    <x v="0"/>
    <x v="0"/>
    <x v="6"/>
    <x v="6"/>
    <x v="368"/>
    <x v="0"/>
    <s v="DAVID - TERRONAL"/>
    <x v="0"/>
  </r>
  <r>
    <x v="33"/>
    <x v="1"/>
    <x v="1"/>
    <x v="1"/>
    <x v="0"/>
    <x v="0"/>
    <x v="1"/>
    <x v="1"/>
    <x v="1"/>
    <x v="80"/>
    <s v="DAVID - TERRONAL"/>
    <x v="0"/>
  </r>
  <r>
    <x v="34"/>
    <x v="1"/>
    <x v="1"/>
    <x v="1"/>
    <x v="0"/>
    <x v="2"/>
    <x v="1"/>
    <x v="1"/>
    <x v="1"/>
    <x v="81"/>
    <s v="COSTA DEL ESTE"/>
    <x v="0"/>
  </r>
  <r>
    <x v="34"/>
    <x v="7"/>
    <x v="2"/>
    <x v="2"/>
    <x v="0"/>
    <x v="0"/>
    <x v="7"/>
    <x v="7"/>
    <x v="369"/>
    <x v="0"/>
    <s v="COSTA DEL ESTE"/>
    <x v="0"/>
  </r>
  <r>
    <x v="34"/>
    <x v="2"/>
    <x v="2"/>
    <x v="2"/>
    <x v="0"/>
    <x v="0"/>
    <x v="2"/>
    <x v="2"/>
    <x v="370"/>
    <x v="0"/>
    <s v="COSTA DEL ESTE"/>
    <x v="0"/>
  </r>
  <r>
    <x v="34"/>
    <x v="9"/>
    <x v="6"/>
    <x v="6"/>
    <x v="0"/>
    <x v="0"/>
    <x v="9"/>
    <x v="9"/>
    <x v="371"/>
    <x v="0"/>
    <s v="COSTA DEL ESTE"/>
    <x v="0"/>
  </r>
  <r>
    <x v="34"/>
    <x v="11"/>
    <x v="6"/>
    <x v="6"/>
    <x v="0"/>
    <x v="0"/>
    <x v="11"/>
    <x v="11"/>
    <x v="372"/>
    <x v="0"/>
    <s v="COSTA DEL ESTE"/>
    <x v="0"/>
  </r>
  <r>
    <x v="34"/>
    <x v="10"/>
    <x v="3"/>
    <x v="3"/>
    <x v="0"/>
    <x v="0"/>
    <x v="10"/>
    <x v="10"/>
    <x v="373"/>
    <x v="0"/>
    <s v="COSTA DEL ESTE"/>
    <x v="0"/>
  </r>
  <r>
    <x v="34"/>
    <x v="18"/>
    <x v="3"/>
    <x v="3"/>
    <x v="0"/>
    <x v="0"/>
    <x v="17"/>
    <x v="18"/>
    <x v="374"/>
    <x v="0"/>
    <s v="COSTA DEL ESTE"/>
    <x v="0"/>
  </r>
  <r>
    <x v="34"/>
    <x v="3"/>
    <x v="3"/>
    <x v="3"/>
    <x v="0"/>
    <x v="0"/>
    <x v="3"/>
    <x v="3"/>
    <x v="375"/>
    <x v="0"/>
    <s v="COSTA DEL ESTE"/>
    <x v="0"/>
  </r>
  <r>
    <x v="34"/>
    <x v="12"/>
    <x v="4"/>
    <x v="4"/>
    <x v="0"/>
    <x v="0"/>
    <x v="12"/>
    <x v="12"/>
    <x v="376"/>
    <x v="0"/>
    <s v="COSTA DEL ESTE"/>
    <x v="0"/>
  </r>
  <r>
    <x v="34"/>
    <x v="4"/>
    <x v="4"/>
    <x v="4"/>
    <x v="0"/>
    <x v="0"/>
    <x v="4"/>
    <x v="4"/>
    <x v="377"/>
    <x v="0"/>
    <s v="COSTA DEL ESTE"/>
    <x v="0"/>
  </r>
  <r>
    <x v="34"/>
    <x v="0"/>
    <x v="0"/>
    <x v="0"/>
    <x v="0"/>
    <x v="0"/>
    <x v="0"/>
    <x v="0"/>
    <x v="378"/>
    <x v="0"/>
    <s v="COSTA DEL ESTE"/>
    <x v="0"/>
  </r>
  <r>
    <x v="34"/>
    <x v="5"/>
    <x v="0"/>
    <x v="0"/>
    <x v="0"/>
    <x v="0"/>
    <x v="5"/>
    <x v="5"/>
    <x v="379"/>
    <x v="0"/>
    <s v="COSTA DEL ESTE"/>
    <x v="0"/>
  </r>
  <r>
    <x v="34"/>
    <x v="13"/>
    <x v="5"/>
    <x v="5"/>
    <x v="0"/>
    <x v="0"/>
    <x v="13"/>
    <x v="13"/>
    <x v="380"/>
    <x v="0"/>
    <s v="COSTA DEL ESTE"/>
    <x v="0"/>
  </r>
  <r>
    <x v="34"/>
    <x v="6"/>
    <x v="5"/>
    <x v="5"/>
    <x v="0"/>
    <x v="0"/>
    <x v="6"/>
    <x v="6"/>
    <x v="381"/>
    <x v="0"/>
    <s v="COSTA DEL ESTE"/>
    <x v="0"/>
  </r>
  <r>
    <x v="34"/>
    <x v="14"/>
    <x v="1"/>
    <x v="1"/>
    <x v="0"/>
    <x v="0"/>
    <x v="14"/>
    <x v="14"/>
    <x v="382"/>
    <x v="0"/>
    <s v="COSTA DEL ESTE"/>
    <x v="0"/>
  </r>
  <r>
    <x v="34"/>
    <x v="8"/>
    <x v="1"/>
    <x v="1"/>
    <x v="0"/>
    <x v="0"/>
    <x v="8"/>
    <x v="8"/>
    <x v="383"/>
    <x v="0"/>
    <s v="COSTA DEL ESTE"/>
    <x v="0"/>
  </r>
  <r>
    <x v="34"/>
    <x v="1"/>
    <x v="1"/>
    <x v="1"/>
    <x v="0"/>
    <x v="0"/>
    <x v="1"/>
    <x v="1"/>
    <x v="1"/>
    <x v="82"/>
    <s v="COSTA DEL ESTE"/>
    <x v="0"/>
  </r>
  <r>
    <x v="34"/>
    <x v="7"/>
    <x v="2"/>
    <x v="2"/>
    <x v="0"/>
    <x v="1"/>
    <x v="7"/>
    <x v="7"/>
    <x v="384"/>
    <x v="0"/>
    <s v="COSTA DEL ESTE"/>
    <x v="0"/>
  </r>
  <r>
    <x v="34"/>
    <x v="2"/>
    <x v="2"/>
    <x v="2"/>
    <x v="0"/>
    <x v="1"/>
    <x v="2"/>
    <x v="2"/>
    <x v="384"/>
    <x v="0"/>
    <s v="COSTA DEL ESTE"/>
    <x v="0"/>
  </r>
  <r>
    <x v="34"/>
    <x v="10"/>
    <x v="3"/>
    <x v="3"/>
    <x v="0"/>
    <x v="1"/>
    <x v="10"/>
    <x v="10"/>
    <x v="385"/>
    <x v="0"/>
    <s v="COSTA DEL ESTE"/>
    <x v="0"/>
  </r>
  <r>
    <x v="34"/>
    <x v="12"/>
    <x v="4"/>
    <x v="4"/>
    <x v="0"/>
    <x v="1"/>
    <x v="12"/>
    <x v="12"/>
    <x v="386"/>
    <x v="0"/>
    <s v="COSTA DEL ESTE"/>
    <x v="0"/>
  </r>
  <r>
    <x v="34"/>
    <x v="4"/>
    <x v="4"/>
    <x v="4"/>
    <x v="0"/>
    <x v="1"/>
    <x v="4"/>
    <x v="4"/>
    <x v="385"/>
    <x v="0"/>
    <s v="COSTA DEL ESTE"/>
    <x v="0"/>
  </r>
  <r>
    <x v="34"/>
    <x v="0"/>
    <x v="0"/>
    <x v="0"/>
    <x v="0"/>
    <x v="1"/>
    <x v="0"/>
    <x v="0"/>
    <x v="387"/>
    <x v="0"/>
    <s v="COSTA DEL ESTE"/>
    <x v="0"/>
  </r>
  <r>
    <x v="34"/>
    <x v="5"/>
    <x v="0"/>
    <x v="0"/>
    <x v="0"/>
    <x v="1"/>
    <x v="5"/>
    <x v="5"/>
    <x v="388"/>
    <x v="0"/>
    <s v="COSTA DEL ESTE"/>
    <x v="0"/>
  </r>
  <r>
    <x v="34"/>
    <x v="6"/>
    <x v="5"/>
    <x v="5"/>
    <x v="0"/>
    <x v="1"/>
    <x v="6"/>
    <x v="6"/>
    <x v="389"/>
    <x v="0"/>
    <s v="COSTA DEL ESTE"/>
    <x v="0"/>
  </r>
  <r>
    <x v="34"/>
    <x v="8"/>
    <x v="1"/>
    <x v="1"/>
    <x v="0"/>
    <x v="1"/>
    <x v="8"/>
    <x v="8"/>
    <x v="390"/>
    <x v="0"/>
    <s v="COSTA DEL ESTE"/>
    <x v="0"/>
  </r>
  <r>
    <x v="34"/>
    <x v="1"/>
    <x v="1"/>
    <x v="1"/>
    <x v="0"/>
    <x v="1"/>
    <x v="1"/>
    <x v="1"/>
    <x v="1"/>
    <x v="83"/>
    <s v="COSTA DEL ESTE"/>
    <x v="0"/>
  </r>
  <r>
    <x v="35"/>
    <x v="7"/>
    <x v="2"/>
    <x v="2"/>
    <x v="0"/>
    <x v="2"/>
    <x v="7"/>
    <x v="7"/>
    <x v="391"/>
    <x v="0"/>
    <s v="MULTI PLAZA"/>
    <x v="0"/>
  </r>
  <r>
    <x v="35"/>
    <x v="9"/>
    <x v="6"/>
    <x v="6"/>
    <x v="0"/>
    <x v="2"/>
    <x v="9"/>
    <x v="9"/>
    <x v="392"/>
    <x v="0"/>
    <s v="MULTI PLAZA"/>
    <x v="0"/>
  </r>
  <r>
    <x v="35"/>
    <x v="10"/>
    <x v="3"/>
    <x v="3"/>
    <x v="0"/>
    <x v="2"/>
    <x v="10"/>
    <x v="10"/>
    <x v="393"/>
    <x v="0"/>
    <s v="MULTI PLAZA"/>
    <x v="0"/>
  </r>
  <r>
    <x v="35"/>
    <x v="3"/>
    <x v="3"/>
    <x v="3"/>
    <x v="0"/>
    <x v="2"/>
    <x v="3"/>
    <x v="3"/>
    <x v="394"/>
    <x v="0"/>
    <s v="MULTI PLAZA"/>
    <x v="0"/>
  </r>
  <r>
    <x v="35"/>
    <x v="12"/>
    <x v="4"/>
    <x v="4"/>
    <x v="0"/>
    <x v="2"/>
    <x v="12"/>
    <x v="12"/>
    <x v="395"/>
    <x v="0"/>
    <s v="MULTI PLAZA"/>
    <x v="0"/>
  </r>
  <r>
    <x v="35"/>
    <x v="13"/>
    <x v="5"/>
    <x v="5"/>
    <x v="0"/>
    <x v="2"/>
    <x v="13"/>
    <x v="13"/>
    <x v="396"/>
    <x v="0"/>
    <s v="MULTI PLAZA"/>
    <x v="0"/>
  </r>
  <r>
    <x v="35"/>
    <x v="14"/>
    <x v="1"/>
    <x v="1"/>
    <x v="0"/>
    <x v="2"/>
    <x v="14"/>
    <x v="14"/>
    <x v="397"/>
    <x v="0"/>
    <s v="MULTI PLAZA"/>
    <x v="0"/>
  </r>
  <r>
    <x v="35"/>
    <x v="1"/>
    <x v="1"/>
    <x v="1"/>
    <x v="0"/>
    <x v="2"/>
    <x v="1"/>
    <x v="1"/>
    <x v="1"/>
    <x v="84"/>
    <s v="MULTI PLAZA"/>
    <x v="0"/>
  </r>
  <r>
    <x v="35"/>
    <x v="7"/>
    <x v="2"/>
    <x v="2"/>
    <x v="0"/>
    <x v="0"/>
    <x v="7"/>
    <x v="7"/>
    <x v="398"/>
    <x v="0"/>
    <s v="MULTI PLAZA"/>
    <x v="0"/>
  </r>
  <r>
    <x v="35"/>
    <x v="2"/>
    <x v="2"/>
    <x v="2"/>
    <x v="0"/>
    <x v="0"/>
    <x v="2"/>
    <x v="2"/>
    <x v="399"/>
    <x v="0"/>
    <s v="MULTI PLAZA"/>
    <x v="0"/>
  </r>
  <r>
    <x v="35"/>
    <x v="9"/>
    <x v="6"/>
    <x v="6"/>
    <x v="0"/>
    <x v="0"/>
    <x v="9"/>
    <x v="9"/>
    <x v="400"/>
    <x v="0"/>
    <s v="MULTI PLAZA"/>
    <x v="0"/>
  </r>
  <r>
    <x v="35"/>
    <x v="11"/>
    <x v="6"/>
    <x v="6"/>
    <x v="0"/>
    <x v="0"/>
    <x v="11"/>
    <x v="11"/>
    <x v="401"/>
    <x v="0"/>
    <s v="MULTI PLAZA"/>
    <x v="0"/>
  </r>
  <r>
    <x v="35"/>
    <x v="10"/>
    <x v="3"/>
    <x v="3"/>
    <x v="0"/>
    <x v="0"/>
    <x v="10"/>
    <x v="10"/>
    <x v="402"/>
    <x v="0"/>
    <s v="MULTI PLAZA"/>
    <x v="0"/>
  </r>
  <r>
    <x v="35"/>
    <x v="3"/>
    <x v="3"/>
    <x v="3"/>
    <x v="0"/>
    <x v="0"/>
    <x v="3"/>
    <x v="3"/>
    <x v="403"/>
    <x v="0"/>
    <s v="MULTI PLAZA"/>
    <x v="0"/>
  </r>
  <r>
    <x v="35"/>
    <x v="12"/>
    <x v="4"/>
    <x v="4"/>
    <x v="0"/>
    <x v="0"/>
    <x v="12"/>
    <x v="12"/>
    <x v="404"/>
    <x v="0"/>
    <s v="MULTI PLAZA"/>
    <x v="0"/>
  </r>
  <r>
    <x v="35"/>
    <x v="4"/>
    <x v="4"/>
    <x v="4"/>
    <x v="0"/>
    <x v="0"/>
    <x v="4"/>
    <x v="4"/>
    <x v="405"/>
    <x v="0"/>
    <s v="MULTI PLAZA"/>
    <x v="0"/>
  </r>
  <r>
    <x v="35"/>
    <x v="0"/>
    <x v="0"/>
    <x v="0"/>
    <x v="0"/>
    <x v="0"/>
    <x v="0"/>
    <x v="0"/>
    <x v="406"/>
    <x v="0"/>
    <s v="MULTI PLAZA"/>
    <x v="0"/>
  </r>
  <r>
    <x v="35"/>
    <x v="5"/>
    <x v="0"/>
    <x v="0"/>
    <x v="0"/>
    <x v="0"/>
    <x v="5"/>
    <x v="5"/>
    <x v="407"/>
    <x v="0"/>
    <s v="MULTI PLAZA"/>
    <x v="0"/>
  </r>
  <r>
    <x v="35"/>
    <x v="13"/>
    <x v="5"/>
    <x v="5"/>
    <x v="0"/>
    <x v="0"/>
    <x v="13"/>
    <x v="13"/>
    <x v="408"/>
    <x v="0"/>
    <s v="MULTI PLAZA"/>
    <x v="0"/>
  </r>
  <r>
    <x v="35"/>
    <x v="6"/>
    <x v="5"/>
    <x v="5"/>
    <x v="0"/>
    <x v="0"/>
    <x v="6"/>
    <x v="6"/>
    <x v="409"/>
    <x v="0"/>
    <s v="MULTI PLAZA"/>
    <x v="0"/>
  </r>
  <r>
    <x v="35"/>
    <x v="14"/>
    <x v="1"/>
    <x v="1"/>
    <x v="0"/>
    <x v="0"/>
    <x v="14"/>
    <x v="14"/>
    <x v="410"/>
    <x v="0"/>
    <s v="MULTI PLAZA"/>
    <x v="0"/>
  </r>
  <r>
    <x v="35"/>
    <x v="8"/>
    <x v="1"/>
    <x v="1"/>
    <x v="0"/>
    <x v="0"/>
    <x v="8"/>
    <x v="8"/>
    <x v="411"/>
    <x v="0"/>
    <s v="MULTI PLAZA"/>
    <x v="0"/>
  </r>
  <r>
    <x v="35"/>
    <x v="1"/>
    <x v="1"/>
    <x v="1"/>
    <x v="0"/>
    <x v="0"/>
    <x v="1"/>
    <x v="1"/>
    <x v="1"/>
    <x v="85"/>
    <s v="MULTI PLAZA"/>
    <x v="0"/>
  </r>
  <r>
    <x v="35"/>
    <x v="7"/>
    <x v="2"/>
    <x v="2"/>
    <x v="0"/>
    <x v="1"/>
    <x v="7"/>
    <x v="7"/>
    <x v="412"/>
    <x v="0"/>
    <s v="MULTI PLAZA"/>
    <x v="0"/>
  </r>
  <r>
    <x v="35"/>
    <x v="11"/>
    <x v="6"/>
    <x v="6"/>
    <x v="0"/>
    <x v="1"/>
    <x v="11"/>
    <x v="11"/>
    <x v="413"/>
    <x v="0"/>
    <s v="MULTI PLAZA"/>
    <x v="0"/>
  </r>
  <r>
    <x v="35"/>
    <x v="10"/>
    <x v="3"/>
    <x v="3"/>
    <x v="0"/>
    <x v="1"/>
    <x v="10"/>
    <x v="10"/>
    <x v="414"/>
    <x v="0"/>
    <s v="MULTI PLAZA"/>
    <x v="0"/>
  </r>
  <r>
    <x v="35"/>
    <x v="13"/>
    <x v="5"/>
    <x v="5"/>
    <x v="0"/>
    <x v="1"/>
    <x v="13"/>
    <x v="13"/>
    <x v="415"/>
    <x v="0"/>
    <s v="MULTI PLAZA"/>
    <x v="0"/>
  </r>
  <r>
    <x v="35"/>
    <x v="6"/>
    <x v="5"/>
    <x v="5"/>
    <x v="0"/>
    <x v="1"/>
    <x v="6"/>
    <x v="6"/>
    <x v="416"/>
    <x v="0"/>
    <s v="MULTI PLAZA"/>
    <x v="0"/>
  </r>
  <r>
    <x v="35"/>
    <x v="8"/>
    <x v="1"/>
    <x v="1"/>
    <x v="0"/>
    <x v="1"/>
    <x v="8"/>
    <x v="8"/>
    <x v="417"/>
    <x v="0"/>
    <s v="MULTI PLAZA"/>
    <x v="0"/>
  </r>
  <r>
    <x v="35"/>
    <x v="1"/>
    <x v="1"/>
    <x v="1"/>
    <x v="0"/>
    <x v="1"/>
    <x v="1"/>
    <x v="1"/>
    <x v="1"/>
    <x v="86"/>
    <s v="MULTI PLAZA"/>
    <x v="0"/>
  </r>
  <r>
    <x v="36"/>
    <x v="7"/>
    <x v="2"/>
    <x v="2"/>
    <x v="0"/>
    <x v="2"/>
    <x v="7"/>
    <x v="7"/>
    <x v="418"/>
    <x v="0"/>
    <s v="TERMINAL DE ALBROOK"/>
    <x v="0"/>
  </r>
  <r>
    <x v="36"/>
    <x v="5"/>
    <x v="0"/>
    <x v="0"/>
    <x v="0"/>
    <x v="2"/>
    <x v="5"/>
    <x v="5"/>
    <x v="419"/>
    <x v="0"/>
    <s v="TERMINAL DE ALBROOK"/>
    <x v="0"/>
  </r>
  <r>
    <x v="36"/>
    <x v="1"/>
    <x v="1"/>
    <x v="1"/>
    <x v="0"/>
    <x v="2"/>
    <x v="1"/>
    <x v="1"/>
    <x v="1"/>
    <x v="87"/>
    <s v="TERMINAL DE ALBROOK"/>
    <x v="0"/>
  </r>
  <r>
    <x v="36"/>
    <x v="7"/>
    <x v="2"/>
    <x v="2"/>
    <x v="0"/>
    <x v="0"/>
    <x v="7"/>
    <x v="7"/>
    <x v="420"/>
    <x v="0"/>
    <s v="TERMINAL DE ALBROOK"/>
    <x v="0"/>
  </r>
  <r>
    <x v="36"/>
    <x v="2"/>
    <x v="2"/>
    <x v="2"/>
    <x v="0"/>
    <x v="0"/>
    <x v="2"/>
    <x v="2"/>
    <x v="421"/>
    <x v="0"/>
    <s v="TERMINAL DE ALBROOK"/>
    <x v="0"/>
  </r>
  <r>
    <x v="36"/>
    <x v="9"/>
    <x v="6"/>
    <x v="6"/>
    <x v="0"/>
    <x v="0"/>
    <x v="9"/>
    <x v="9"/>
    <x v="422"/>
    <x v="0"/>
    <s v="TERMINAL DE ALBROOK"/>
    <x v="0"/>
  </r>
  <r>
    <x v="36"/>
    <x v="11"/>
    <x v="6"/>
    <x v="6"/>
    <x v="0"/>
    <x v="0"/>
    <x v="11"/>
    <x v="11"/>
    <x v="423"/>
    <x v="0"/>
    <s v="TERMINAL DE ALBROOK"/>
    <x v="0"/>
  </r>
  <r>
    <x v="36"/>
    <x v="21"/>
    <x v="6"/>
    <x v="6"/>
    <x v="0"/>
    <x v="0"/>
    <x v="15"/>
    <x v="21"/>
    <x v="424"/>
    <x v="0"/>
    <s v="TERMINAL DE ALBROOK"/>
    <x v="0"/>
  </r>
  <r>
    <x v="36"/>
    <x v="10"/>
    <x v="3"/>
    <x v="3"/>
    <x v="0"/>
    <x v="0"/>
    <x v="10"/>
    <x v="10"/>
    <x v="425"/>
    <x v="0"/>
    <s v="TERMINAL DE ALBROOK"/>
    <x v="0"/>
  </r>
  <r>
    <x v="36"/>
    <x v="3"/>
    <x v="3"/>
    <x v="3"/>
    <x v="0"/>
    <x v="0"/>
    <x v="3"/>
    <x v="3"/>
    <x v="426"/>
    <x v="0"/>
    <s v="TERMINAL DE ALBROOK"/>
    <x v="0"/>
  </r>
  <r>
    <x v="36"/>
    <x v="12"/>
    <x v="4"/>
    <x v="4"/>
    <x v="0"/>
    <x v="0"/>
    <x v="12"/>
    <x v="12"/>
    <x v="427"/>
    <x v="0"/>
    <s v="TERMINAL DE ALBROOK"/>
    <x v="0"/>
  </r>
  <r>
    <x v="36"/>
    <x v="4"/>
    <x v="4"/>
    <x v="4"/>
    <x v="0"/>
    <x v="0"/>
    <x v="4"/>
    <x v="4"/>
    <x v="428"/>
    <x v="0"/>
    <s v="TERMINAL DE ALBROOK"/>
    <x v="0"/>
  </r>
  <r>
    <x v="36"/>
    <x v="0"/>
    <x v="0"/>
    <x v="0"/>
    <x v="0"/>
    <x v="0"/>
    <x v="0"/>
    <x v="0"/>
    <x v="429"/>
    <x v="0"/>
    <s v="TERMINAL DE ALBROOK"/>
    <x v="0"/>
  </r>
  <r>
    <x v="36"/>
    <x v="5"/>
    <x v="0"/>
    <x v="0"/>
    <x v="0"/>
    <x v="0"/>
    <x v="5"/>
    <x v="5"/>
    <x v="430"/>
    <x v="0"/>
    <s v="TERMINAL DE ALBROOK"/>
    <x v="0"/>
  </r>
  <r>
    <x v="36"/>
    <x v="13"/>
    <x v="5"/>
    <x v="5"/>
    <x v="0"/>
    <x v="0"/>
    <x v="13"/>
    <x v="13"/>
    <x v="431"/>
    <x v="0"/>
    <s v="TERMINAL DE ALBROOK"/>
    <x v="0"/>
  </r>
  <r>
    <x v="36"/>
    <x v="6"/>
    <x v="5"/>
    <x v="5"/>
    <x v="0"/>
    <x v="0"/>
    <x v="6"/>
    <x v="6"/>
    <x v="432"/>
    <x v="0"/>
    <s v="TERMINAL DE ALBROOK"/>
    <x v="0"/>
  </r>
  <r>
    <x v="36"/>
    <x v="14"/>
    <x v="1"/>
    <x v="1"/>
    <x v="0"/>
    <x v="0"/>
    <x v="14"/>
    <x v="14"/>
    <x v="433"/>
    <x v="0"/>
    <s v="TERMINAL DE ALBROOK"/>
    <x v="0"/>
  </r>
  <r>
    <x v="36"/>
    <x v="8"/>
    <x v="1"/>
    <x v="1"/>
    <x v="0"/>
    <x v="0"/>
    <x v="8"/>
    <x v="8"/>
    <x v="434"/>
    <x v="0"/>
    <s v="TERMINAL DE ALBROOK"/>
    <x v="0"/>
  </r>
  <r>
    <x v="36"/>
    <x v="1"/>
    <x v="1"/>
    <x v="1"/>
    <x v="0"/>
    <x v="0"/>
    <x v="1"/>
    <x v="1"/>
    <x v="1"/>
    <x v="88"/>
    <s v="TERMINAL DE ALBROOK"/>
    <x v="0"/>
  </r>
  <r>
    <x v="36"/>
    <x v="7"/>
    <x v="2"/>
    <x v="2"/>
    <x v="0"/>
    <x v="1"/>
    <x v="7"/>
    <x v="7"/>
    <x v="435"/>
    <x v="0"/>
    <s v="TERMINAL DE ALBROOK"/>
    <x v="0"/>
  </r>
  <r>
    <x v="36"/>
    <x v="2"/>
    <x v="2"/>
    <x v="2"/>
    <x v="0"/>
    <x v="1"/>
    <x v="2"/>
    <x v="2"/>
    <x v="436"/>
    <x v="0"/>
    <s v="TERMINAL DE ALBROOK"/>
    <x v="0"/>
  </r>
  <r>
    <x v="36"/>
    <x v="9"/>
    <x v="6"/>
    <x v="6"/>
    <x v="0"/>
    <x v="1"/>
    <x v="9"/>
    <x v="9"/>
    <x v="437"/>
    <x v="0"/>
    <s v="TERMINAL DE ALBROOK"/>
    <x v="0"/>
  </r>
  <r>
    <x v="36"/>
    <x v="11"/>
    <x v="6"/>
    <x v="6"/>
    <x v="0"/>
    <x v="1"/>
    <x v="11"/>
    <x v="11"/>
    <x v="438"/>
    <x v="0"/>
    <s v="TERMINAL DE ALBROOK"/>
    <x v="0"/>
  </r>
  <r>
    <x v="36"/>
    <x v="3"/>
    <x v="3"/>
    <x v="3"/>
    <x v="0"/>
    <x v="1"/>
    <x v="3"/>
    <x v="3"/>
    <x v="439"/>
    <x v="0"/>
    <s v="TERMINAL DE ALBROOK"/>
    <x v="0"/>
  </r>
  <r>
    <x v="36"/>
    <x v="12"/>
    <x v="4"/>
    <x v="4"/>
    <x v="0"/>
    <x v="1"/>
    <x v="12"/>
    <x v="12"/>
    <x v="440"/>
    <x v="0"/>
    <s v="TERMINAL DE ALBROOK"/>
    <x v="0"/>
  </r>
  <r>
    <x v="36"/>
    <x v="4"/>
    <x v="4"/>
    <x v="4"/>
    <x v="0"/>
    <x v="1"/>
    <x v="4"/>
    <x v="4"/>
    <x v="441"/>
    <x v="0"/>
    <s v="TERMINAL DE ALBROOK"/>
    <x v="0"/>
  </r>
  <r>
    <x v="36"/>
    <x v="0"/>
    <x v="0"/>
    <x v="0"/>
    <x v="0"/>
    <x v="1"/>
    <x v="0"/>
    <x v="0"/>
    <x v="442"/>
    <x v="0"/>
    <s v="TERMINAL DE ALBROOK"/>
    <x v="0"/>
  </r>
  <r>
    <x v="36"/>
    <x v="13"/>
    <x v="5"/>
    <x v="5"/>
    <x v="0"/>
    <x v="1"/>
    <x v="13"/>
    <x v="13"/>
    <x v="443"/>
    <x v="0"/>
    <s v="TERMINAL DE ALBROOK"/>
    <x v="0"/>
  </r>
  <r>
    <x v="36"/>
    <x v="6"/>
    <x v="5"/>
    <x v="5"/>
    <x v="0"/>
    <x v="1"/>
    <x v="6"/>
    <x v="6"/>
    <x v="444"/>
    <x v="0"/>
    <s v="TERMINAL DE ALBROOK"/>
    <x v="0"/>
  </r>
  <r>
    <x v="36"/>
    <x v="14"/>
    <x v="1"/>
    <x v="1"/>
    <x v="0"/>
    <x v="1"/>
    <x v="14"/>
    <x v="14"/>
    <x v="445"/>
    <x v="0"/>
    <s v="TERMINAL DE ALBROOK"/>
    <x v="0"/>
  </r>
  <r>
    <x v="36"/>
    <x v="8"/>
    <x v="1"/>
    <x v="1"/>
    <x v="0"/>
    <x v="1"/>
    <x v="8"/>
    <x v="8"/>
    <x v="446"/>
    <x v="0"/>
    <s v="TERMINAL DE ALBROOK"/>
    <x v="0"/>
  </r>
  <r>
    <x v="36"/>
    <x v="1"/>
    <x v="1"/>
    <x v="1"/>
    <x v="0"/>
    <x v="1"/>
    <x v="1"/>
    <x v="1"/>
    <x v="1"/>
    <x v="89"/>
    <s v="TERMINAL DE ALBROOK"/>
    <x v="0"/>
  </r>
  <r>
    <x v="37"/>
    <x v="1"/>
    <x v="1"/>
    <x v="1"/>
    <x v="0"/>
    <x v="2"/>
    <x v="1"/>
    <x v="1"/>
    <x v="1"/>
    <x v="90"/>
    <s v="CONCEPCION"/>
    <x v="0"/>
  </r>
  <r>
    <x v="37"/>
    <x v="1"/>
    <x v="1"/>
    <x v="1"/>
    <x v="0"/>
    <x v="0"/>
    <x v="1"/>
    <x v="1"/>
    <x v="1"/>
    <x v="91"/>
    <s v="CONCEPCION"/>
    <x v="0"/>
  </r>
  <r>
    <x v="38"/>
    <x v="10"/>
    <x v="3"/>
    <x v="3"/>
    <x v="0"/>
    <x v="0"/>
    <x v="10"/>
    <x v="10"/>
    <x v="447"/>
    <x v="0"/>
    <s v="BOQUETE"/>
    <x v="0"/>
  </r>
  <r>
    <x v="38"/>
    <x v="3"/>
    <x v="3"/>
    <x v="3"/>
    <x v="0"/>
    <x v="0"/>
    <x v="3"/>
    <x v="3"/>
    <x v="448"/>
    <x v="0"/>
    <s v="BOQUETE"/>
    <x v="0"/>
  </r>
  <r>
    <x v="38"/>
    <x v="1"/>
    <x v="1"/>
    <x v="1"/>
    <x v="0"/>
    <x v="0"/>
    <x v="1"/>
    <x v="1"/>
    <x v="1"/>
    <x v="92"/>
    <s v="BOQUETE"/>
    <x v="0"/>
  </r>
  <r>
    <x v="39"/>
    <x v="7"/>
    <x v="2"/>
    <x v="2"/>
    <x v="0"/>
    <x v="0"/>
    <x v="7"/>
    <x v="7"/>
    <x v="449"/>
    <x v="0"/>
    <s v="BRISAS DEL GOLF"/>
    <x v="0"/>
  </r>
  <r>
    <x v="39"/>
    <x v="2"/>
    <x v="2"/>
    <x v="2"/>
    <x v="0"/>
    <x v="0"/>
    <x v="2"/>
    <x v="2"/>
    <x v="450"/>
    <x v="0"/>
    <s v="BRISAS DEL GOLF"/>
    <x v="0"/>
  </r>
  <r>
    <x v="39"/>
    <x v="9"/>
    <x v="6"/>
    <x v="6"/>
    <x v="0"/>
    <x v="0"/>
    <x v="9"/>
    <x v="9"/>
    <x v="451"/>
    <x v="0"/>
    <s v="BRISAS DEL GOLF"/>
    <x v="0"/>
  </r>
  <r>
    <x v="39"/>
    <x v="11"/>
    <x v="6"/>
    <x v="6"/>
    <x v="0"/>
    <x v="0"/>
    <x v="11"/>
    <x v="11"/>
    <x v="452"/>
    <x v="0"/>
    <s v="BRISAS DEL GOLF"/>
    <x v="0"/>
  </r>
  <r>
    <x v="39"/>
    <x v="10"/>
    <x v="3"/>
    <x v="3"/>
    <x v="0"/>
    <x v="0"/>
    <x v="10"/>
    <x v="10"/>
    <x v="453"/>
    <x v="0"/>
    <s v="BRISAS DEL GOLF"/>
    <x v="0"/>
  </r>
  <r>
    <x v="39"/>
    <x v="3"/>
    <x v="3"/>
    <x v="3"/>
    <x v="0"/>
    <x v="0"/>
    <x v="3"/>
    <x v="3"/>
    <x v="454"/>
    <x v="0"/>
    <s v="BRISAS DEL GOLF"/>
    <x v="0"/>
  </r>
  <r>
    <x v="39"/>
    <x v="12"/>
    <x v="4"/>
    <x v="4"/>
    <x v="0"/>
    <x v="0"/>
    <x v="12"/>
    <x v="12"/>
    <x v="455"/>
    <x v="0"/>
    <s v="BRISAS DEL GOLF"/>
    <x v="0"/>
  </r>
  <r>
    <x v="39"/>
    <x v="4"/>
    <x v="4"/>
    <x v="4"/>
    <x v="0"/>
    <x v="0"/>
    <x v="4"/>
    <x v="4"/>
    <x v="456"/>
    <x v="0"/>
    <s v="BRISAS DEL GOLF"/>
    <x v="0"/>
  </r>
  <r>
    <x v="39"/>
    <x v="0"/>
    <x v="0"/>
    <x v="0"/>
    <x v="0"/>
    <x v="0"/>
    <x v="0"/>
    <x v="0"/>
    <x v="457"/>
    <x v="0"/>
    <s v="BRISAS DEL GOLF"/>
    <x v="0"/>
  </r>
  <r>
    <x v="39"/>
    <x v="5"/>
    <x v="0"/>
    <x v="0"/>
    <x v="0"/>
    <x v="0"/>
    <x v="5"/>
    <x v="5"/>
    <x v="458"/>
    <x v="0"/>
    <s v="BRISAS DEL GOLF"/>
    <x v="0"/>
  </r>
  <r>
    <x v="39"/>
    <x v="13"/>
    <x v="5"/>
    <x v="5"/>
    <x v="0"/>
    <x v="0"/>
    <x v="13"/>
    <x v="13"/>
    <x v="459"/>
    <x v="0"/>
    <s v="BRISAS DEL GOLF"/>
    <x v="0"/>
  </r>
  <r>
    <x v="39"/>
    <x v="6"/>
    <x v="5"/>
    <x v="5"/>
    <x v="0"/>
    <x v="0"/>
    <x v="6"/>
    <x v="6"/>
    <x v="460"/>
    <x v="0"/>
    <s v="BRISAS DEL GOLF"/>
    <x v="0"/>
  </r>
  <r>
    <x v="39"/>
    <x v="14"/>
    <x v="1"/>
    <x v="1"/>
    <x v="0"/>
    <x v="0"/>
    <x v="14"/>
    <x v="14"/>
    <x v="461"/>
    <x v="0"/>
    <s v="BRISAS DEL GOLF"/>
    <x v="0"/>
  </r>
  <r>
    <x v="39"/>
    <x v="8"/>
    <x v="1"/>
    <x v="1"/>
    <x v="0"/>
    <x v="0"/>
    <x v="8"/>
    <x v="8"/>
    <x v="462"/>
    <x v="0"/>
    <s v="BRISAS DEL GOLF"/>
    <x v="0"/>
  </r>
  <r>
    <x v="39"/>
    <x v="1"/>
    <x v="1"/>
    <x v="1"/>
    <x v="0"/>
    <x v="0"/>
    <x v="1"/>
    <x v="1"/>
    <x v="1"/>
    <x v="93"/>
    <s v="BRISAS DEL GOLF"/>
    <x v="0"/>
  </r>
  <r>
    <x v="39"/>
    <x v="7"/>
    <x v="2"/>
    <x v="2"/>
    <x v="0"/>
    <x v="1"/>
    <x v="7"/>
    <x v="7"/>
    <x v="463"/>
    <x v="0"/>
    <s v="BRISAS DEL GOLF"/>
    <x v="0"/>
  </r>
  <r>
    <x v="39"/>
    <x v="10"/>
    <x v="3"/>
    <x v="3"/>
    <x v="0"/>
    <x v="1"/>
    <x v="10"/>
    <x v="10"/>
    <x v="464"/>
    <x v="0"/>
    <s v="BRISAS DEL GOLF"/>
    <x v="0"/>
  </r>
  <r>
    <x v="39"/>
    <x v="1"/>
    <x v="1"/>
    <x v="1"/>
    <x v="0"/>
    <x v="1"/>
    <x v="1"/>
    <x v="1"/>
    <x v="1"/>
    <x v="94"/>
    <s v="BRISAS DEL GOLF"/>
    <x v="0"/>
  </r>
  <r>
    <x v="40"/>
    <x v="7"/>
    <x v="2"/>
    <x v="2"/>
    <x v="0"/>
    <x v="2"/>
    <x v="7"/>
    <x v="7"/>
    <x v="465"/>
    <x v="0"/>
    <s v="PUENTE CENTENARIO"/>
    <x v="0"/>
  </r>
  <r>
    <x v="40"/>
    <x v="10"/>
    <x v="3"/>
    <x v="3"/>
    <x v="0"/>
    <x v="2"/>
    <x v="10"/>
    <x v="10"/>
    <x v="466"/>
    <x v="0"/>
    <s v="PUENTE CENTENARIO"/>
    <x v="0"/>
  </r>
  <r>
    <x v="40"/>
    <x v="1"/>
    <x v="1"/>
    <x v="1"/>
    <x v="0"/>
    <x v="2"/>
    <x v="1"/>
    <x v="1"/>
    <x v="1"/>
    <x v="95"/>
    <s v="PUENTE CENTENARIO"/>
    <x v="0"/>
  </r>
  <r>
    <x v="40"/>
    <x v="7"/>
    <x v="2"/>
    <x v="2"/>
    <x v="0"/>
    <x v="0"/>
    <x v="7"/>
    <x v="7"/>
    <x v="467"/>
    <x v="0"/>
    <s v="PUENTE CENTENARIO"/>
    <x v="0"/>
  </r>
  <r>
    <x v="40"/>
    <x v="2"/>
    <x v="2"/>
    <x v="2"/>
    <x v="0"/>
    <x v="0"/>
    <x v="2"/>
    <x v="2"/>
    <x v="468"/>
    <x v="0"/>
    <s v="PUENTE CENTENARIO"/>
    <x v="0"/>
  </r>
  <r>
    <x v="40"/>
    <x v="9"/>
    <x v="6"/>
    <x v="6"/>
    <x v="0"/>
    <x v="0"/>
    <x v="9"/>
    <x v="9"/>
    <x v="469"/>
    <x v="0"/>
    <s v="PUENTE CENTENARIO"/>
    <x v="0"/>
  </r>
  <r>
    <x v="40"/>
    <x v="11"/>
    <x v="6"/>
    <x v="6"/>
    <x v="0"/>
    <x v="0"/>
    <x v="11"/>
    <x v="11"/>
    <x v="470"/>
    <x v="0"/>
    <s v="PUENTE CENTENARIO"/>
    <x v="0"/>
  </r>
  <r>
    <x v="40"/>
    <x v="10"/>
    <x v="3"/>
    <x v="3"/>
    <x v="0"/>
    <x v="0"/>
    <x v="10"/>
    <x v="10"/>
    <x v="471"/>
    <x v="0"/>
    <s v="PUENTE CENTENARIO"/>
    <x v="0"/>
  </r>
  <r>
    <x v="40"/>
    <x v="3"/>
    <x v="3"/>
    <x v="3"/>
    <x v="0"/>
    <x v="0"/>
    <x v="3"/>
    <x v="3"/>
    <x v="472"/>
    <x v="0"/>
    <s v="PUENTE CENTENARIO"/>
    <x v="0"/>
  </r>
  <r>
    <x v="40"/>
    <x v="12"/>
    <x v="4"/>
    <x v="4"/>
    <x v="0"/>
    <x v="0"/>
    <x v="12"/>
    <x v="12"/>
    <x v="473"/>
    <x v="0"/>
    <s v="PUENTE CENTENARIO"/>
    <x v="0"/>
  </r>
  <r>
    <x v="40"/>
    <x v="4"/>
    <x v="4"/>
    <x v="4"/>
    <x v="0"/>
    <x v="0"/>
    <x v="4"/>
    <x v="4"/>
    <x v="474"/>
    <x v="0"/>
    <s v="PUENTE CENTENARIO"/>
    <x v="0"/>
  </r>
  <r>
    <x v="40"/>
    <x v="0"/>
    <x v="0"/>
    <x v="0"/>
    <x v="0"/>
    <x v="0"/>
    <x v="0"/>
    <x v="0"/>
    <x v="475"/>
    <x v="0"/>
    <s v="PUENTE CENTENARIO"/>
    <x v="0"/>
  </r>
  <r>
    <x v="40"/>
    <x v="5"/>
    <x v="0"/>
    <x v="0"/>
    <x v="0"/>
    <x v="0"/>
    <x v="5"/>
    <x v="5"/>
    <x v="476"/>
    <x v="0"/>
    <s v="PUENTE CENTENARIO"/>
    <x v="0"/>
  </r>
  <r>
    <x v="40"/>
    <x v="13"/>
    <x v="5"/>
    <x v="5"/>
    <x v="0"/>
    <x v="0"/>
    <x v="13"/>
    <x v="13"/>
    <x v="477"/>
    <x v="0"/>
    <s v="PUENTE CENTENARIO"/>
    <x v="0"/>
  </r>
  <r>
    <x v="40"/>
    <x v="6"/>
    <x v="5"/>
    <x v="5"/>
    <x v="0"/>
    <x v="0"/>
    <x v="6"/>
    <x v="6"/>
    <x v="478"/>
    <x v="0"/>
    <s v="PUENTE CENTENARIO"/>
    <x v="0"/>
  </r>
  <r>
    <x v="40"/>
    <x v="14"/>
    <x v="1"/>
    <x v="1"/>
    <x v="0"/>
    <x v="0"/>
    <x v="14"/>
    <x v="14"/>
    <x v="479"/>
    <x v="0"/>
    <s v="PUENTE CENTENARIO"/>
    <x v="0"/>
  </r>
  <r>
    <x v="40"/>
    <x v="8"/>
    <x v="1"/>
    <x v="1"/>
    <x v="0"/>
    <x v="0"/>
    <x v="8"/>
    <x v="8"/>
    <x v="480"/>
    <x v="0"/>
    <s v="PUENTE CENTENARIO"/>
    <x v="0"/>
  </r>
  <r>
    <x v="40"/>
    <x v="1"/>
    <x v="1"/>
    <x v="1"/>
    <x v="0"/>
    <x v="0"/>
    <x v="1"/>
    <x v="1"/>
    <x v="1"/>
    <x v="96"/>
    <s v="PUENTE CENTENARIO"/>
    <x v="0"/>
  </r>
  <r>
    <x v="40"/>
    <x v="7"/>
    <x v="2"/>
    <x v="2"/>
    <x v="0"/>
    <x v="1"/>
    <x v="7"/>
    <x v="7"/>
    <x v="481"/>
    <x v="0"/>
    <s v="PUENTE CENTENARIO"/>
    <x v="0"/>
  </r>
  <r>
    <x v="40"/>
    <x v="9"/>
    <x v="6"/>
    <x v="6"/>
    <x v="0"/>
    <x v="1"/>
    <x v="9"/>
    <x v="9"/>
    <x v="482"/>
    <x v="0"/>
    <s v="PUENTE CENTENARIO"/>
    <x v="0"/>
  </r>
  <r>
    <x v="40"/>
    <x v="11"/>
    <x v="6"/>
    <x v="6"/>
    <x v="0"/>
    <x v="1"/>
    <x v="11"/>
    <x v="11"/>
    <x v="483"/>
    <x v="0"/>
    <s v="PUENTE CENTENARIO"/>
    <x v="0"/>
  </r>
  <r>
    <x v="40"/>
    <x v="10"/>
    <x v="3"/>
    <x v="3"/>
    <x v="0"/>
    <x v="1"/>
    <x v="10"/>
    <x v="10"/>
    <x v="484"/>
    <x v="0"/>
    <s v="PUENTE CENTENARIO"/>
    <x v="0"/>
  </r>
  <r>
    <x v="40"/>
    <x v="12"/>
    <x v="4"/>
    <x v="4"/>
    <x v="0"/>
    <x v="1"/>
    <x v="12"/>
    <x v="12"/>
    <x v="485"/>
    <x v="0"/>
    <s v="PUENTE CENTENARIO"/>
    <x v="0"/>
  </r>
  <r>
    <x v="40"/>
    <x v="0"/>
    <x v="0"/>
    <x v="0"/>
    <x v="0"/>
    <x v="1"/>
    <x v="0"/>
    <x v="0"/>
    <x v="486"/>
    <x v="0"/>
    <s v="PUENTE CENTENARIO"/>
    <x v="0"/>
  </r>
  <r>
    <x v="40"/>
    <x v="6"/>
    <x v="5"/>
    <x v="5"/>
    <x v="0"/>
    <x v="1"/>
    <x v="6"/>
    <x v="6"/>
    <x v="487"/>
    <x v="0"/>
    <s v="PUENTE CENTENARIO"/>
    <x v="0"/>
  </r>
  <r>
    <x v="40"/>
    <x v="8"/>
    <x v="1"/>
    <x v="1"/>
    <x v="0"/>
    <x v="1"/>
    <x v="8"/>
    <x v="8"/>
    <x v="488"/>
    <x v="0"/>
    <s v="PUENTE CENTENARIO"/>
    <x v="0"/>
  </r>
  <r>
    <x v="40"/>
    <x v="1"/>
    <x v="1"/>
    <x v="1"/>
    <x v="0"/>
    <x v="1"/>
    <x v="1"/>
    <x v="1"/>
    <x v="1"/>
    <x v="97"/>
    <s v="PUENTE CENTENARIO"/>
    <x v="0"/>
  </r>
  <r>
    <x v="41"/>
    <x v="1"/>
    <x v="1"/>
    <x v="1"/>
    <x v="0"/>
    <x v="0"/>
    <x v="1"/>
    <x v="1"/>
    <x v="1"/>
    <x v="98"/>
    <s v="METROMALL"/>
    <x v="0"/>
  </r>
  <r>
    <x v="42"/>
    <x v="11"/>
    <x v="6"/>
    <x v="6"/>
    <x v="0"/>
    <x v="0"/>
    <x v="11"/>
    <x v="11"/>
    <x v="252"/>
    <x v="0"/>
    <s v="ALTOS DE PANAMA"/>
    <x v="0"/>
  </r>
  <r>
    <x v="42"/>
    <x v="10"/>
    <x v="3"/>
    <x v="3"/>
    <x v="0"/>
    <x v="0"/>
    <x v="10"/>
    <x v="10"/>
    <x v="489"/>
    <x v="0"/>
    <s v="ALTOS DE PANAMA"/>
    <x v="0"/>
  </r>
  <r>
    <x v="42"/>
    <x v="3"/>
    <x v="3"/>
    <x v="3"/>
    <x v="0"/>
    <x v="0"/>
    <x v="3"/>
    <x v="3"/>
    <x v="490"/>
    <x v="0"/>
    <s v="ALTOS DE PANAMA"/>
    <x v="0"/>
  </r>
  <r>
    <x v="42"/>
    <x v="12"/>
    <x v="4"/>
    <x v="4"/>
    <x v="0"/>
    <x v="0"/>
    <x v="12"/>
    <x v="12"/>
    <x v="491"/>
    <x v="0"/>
    <s v="ALTOS DE PANAMA"/>
    <x v="0"/>
  </r>
  <r>
    <x v="42"/>
    <x v="4"/>
    <x v="4"/>
    <x v="4"/>
    <x v="0"/>
    <x v="0"/>
    <x v="4"/>
    <x v="4"/>
    <x v="492"/>
    <x v="0"/>
    <s v="ALTOS DE PANAMA"/>
    <x v="0"/>
  </r>
  <r>
    <x v="42"/>
    <x v="1"/>
    <x v="1"/>
    <x v="1"/>
    <x v="0"/>
    <x v="0"/>
    <x v="1"/>
    <x v="1"/>
    <x v="1"/>
    <x v="99"/>
    <s v="ALTOS DE PANAMA"/>
    <x v="0"/>
  </r>
  <r>
    <x v="43"/>
    <x v="4"/>
    <x v="4"/>
    <x v="4"/>
    <x v="0"/>
    <x v="0"/>
    <x v="4"/>
    <x v="4"/>
    <x v="493"/>
    <x v="0"/>
    <s v="VERSALLES"/>
    <x v="0"/>
  </r>
  <r>
    <x v="43"/>
    <x v="8"/>
    <x v="1"/>
    <x v="1"/>
    <x v="0"/>
    <x v="0"/>
    <x v="8"/>
    <x v="8"/>
    <x v="494"/>
    <x v="0"/>
    <s v="VERSALLES"/>
    <x v="0"/>
  </r>
  <r>
    <x v="43"/>
    <x v="1"/>
    <x v="1"/>
    <x v="1"/>
    <x v="0"/>
    <x v="0"/>
    <x v="1"/>
    <x v="1"/>
    <x v="1"/>
    <x v="100"/>
    <s v="VERSALLES"/>
    <x v="0"/>
  </r>
  <r>
    <x v="44"/>
    <x v="12"/>
    <x v="4"/>
    <x v="4"/>
    <x v="0"/>
    <x v="0"/>
    <x v="12"/>
    <x v="12"/>
    <x v="495"/>
    <x v="0"/>
    <s v="BUSINESS PARK"/>
    <x v="0"/>
  </r>
  <r>
    <x v="44"/>
    <x v="1"/>
    <x v="1"/>
    <x v="1"/>
    <x v="0"/>
    <x v="0"/>
    <x v="1"/>
    <x v="1"/>
    <x v="1"/>
    <x v="101"/>
    <s v="BUSINESS PARK"/>
    <x v="0"/>
  </r>
  <r>
    <x v="44"/>
    <x v="10"/>
    <x v="3"/>
    <x v="3"/>
    <x v="0"/>
    <x v="1"/>
    <x v="10"/>
    <x v="10"/>
    <x v="448"/>
    <x v="0"/>
    <s v="BUSINESS PARK"/>
    <x v="0"/>
  </r>
  <r>
    <x v="44"/>
    <x v="13"/>
    <x v="5"/>
    <x v="5"/>
    <x v="0"/>
    <x v="1"/>
    <x v="13"/>
    <x v="13"/>
    <x v="496"/>
    <x v="0"/>
    <s v="BUSINESS PARK"/>
    <x v="0"/>
  </r>
  <r>
    <x v="44"/>
    <x v="1"/>
    <x v="1"/>
    <x v="1"/>
    <x v="0"/>
    <x v="1"/>
    <x v="1"/>
    <x v="1"/>
    <x v="1"/>
    <x v="102"/>
    <s v="BUSINESS PARK"/>
    <x v="0"/>
  </r>
  <r>
    <x v="45"/>
    <x v="3"/>
    <x v="3"/>
    <x v="3"/>
    <x v="0"/>
    <x v="0"/>
    <x v="3"/>
    <x v="3"/>
    <x v="497"/>
    <x v="0"/>
    <s v="SAN FRANCISCO"/>
    <x v="0"/>
  </r>
  <r>
    <x v="45"/>
    <x v="1"/>
    <x v="1"/>
    <x v="1"/>
    <x v="0"/>
    <x v="0"/>
    <x v="1"/>
    <x v="1"/>
    <x v="1"/>
    <x v="103"/>
    <s v="SAN FRANCISCO"/>
    <x v="0"/>
  </r>
  <r>
    <x v="46"/>
    <x v="4"/>
    <x v="4"/>
    <x v="4"/>
    <x v="0"/>
    <x v="2"/>
    <x v="4"/>
    <x v="4"/>
    <x v="498"/>
    <x v="0"/>
    <s v="PLAZA BANCO GENERAL"/>
    <x v="0"/>
  </r>
  <r>
    <x v="46"/>
    <x v="5"/>
    <x v="0"/>
    <x v="0"/>
    <x v="0"/>
    <x v="2"/>
    <x v="5"/>
    <x v="5"/>
    <x v="499"/>
    <x v="0"/>
    <s v="PLAZA BANCO GENERAL"/>
    <x v="0"/>
  </r>
  <r>
    <x v="46"/>
    <x v="1"/>
    <x v="1"/>
    <x v="1"/>
    <x v="0"/>
    <x v="2"/>
    <x v="1"/>
    <x v="1"/>
    <x v="1"/>
    <x v="104"/>
    <s v="PLAZA BANCO GENERAL"/>
    <x v="0"/>
  </r>
  <r>
    <x v="46"/>
    <x v="1"/>
    <x v="1"/>
    <x v="1"/>
    <x v="0"/>
    <x v="0"/>
    <x v="1"/>
    <x v="1"/>
    <x v="1"/>
    <x v="105"/>
    <s v="PLAZA BANCO GENERAL"/>
    <x v="0"/>
  </r>
  <r>
    <x v="46"/>
    <x v="3"/>
    <x v="3"/>
    <x v="3"/>
    <x v="0"/>
    <x v="1"/>
    <x v="3"/>
    <x v="3"/>
    <x v="500"/>
    <x v="0"/>
    <s v="PLAZA BANCO GENERAL"/>
    <x v="0"/>
  </r>
  <r>
    <x v="46"/>
    <x v="12"/>
    <x v="4"/>
    <x v="4"/>
    <x v="0"/>
    <x v="1"/>
    <x v="12"/>
    <x v="12"/>
    <x v="501"/>
    <x v="0"/>
    <s v="PLAZA BANCO GENERAL"/>
    <x v="0"/>
  </r>
  <r>
    <x v="46"/>
    <x v="4"/>
    <x v="4"/>
    <x v="4"/>
    <x v="0"/>
    <x v="1"/>
    <x v="4"/>
    <x v="4"/>
    <x v="502"/>
    <x v="0"/>
    <s v="PLAZA BANCO GENERAL"/>
    <x v="0"/>
  </r>
  <r>
    <x v="46"/>
    <x v="14"/>
    <x v="1"/>
    <x v="1"/>
    <x v="0"/>
    <x v="1"/>
    <x v="14"/>
    <x v="14"/>
    <x v="240"/>
    <x v="0"/>
    <s v="PLAZA BANCO GENERAL"/>
    <x v="0"/>
  </r>
  <r>
    <x v="46"/>
    <x v="1"/>
    <x v="1"/>
    <x v="1"/>
    <x v="0"/>
    <x v="1"/>
    <x v="1"/>
    <x v="1"/>
    <x v="1"/>
    <x v="106"/>
    <s v="PLAZA BANCO GENERAL"/>
    <x v="0"/>
  </r>
  <r>
    <x v="47"/>
    <x v="7"/>
    <x v="2"/>
    <x v="2"/>
    <x v="0"/>
    <x v="2"/>
    <x v="7"/>
    <x v="7"/>
    <x v="503"/>
    <x v="0"/>
    <s v="LA CHORRERA - PARQUE 10 DE NOV."/>
    <x v="0"/>
  </r>
  <r>
    <x v="47"/>
    <x v="11"/>
    <x v="6"/>
    <x v="6"/>
    <x v="0"/>
    <x v="2"/>
    <x v="11"/>
    <x v="11"/>
    <x v="504"/>
    <x v="0"/>
    <s v="LA CHORRERA - PARQUE 10 DE NOV."/>
    <x v="0"/>
  </r>
  <r>
    <x v="47"/>
    <x v="10"/>
    <x v="3"/>
    <x v="3"/>
    <x v="0"/>
    <x v="2"/>
    <x v="10"/>
    <x v="10"/>
    <x v="505"/>
    <x v="0"/>
    <s v="LA CHORRERA - PARQUE 10 DE NOV."/>
    <x v="0"/>
  </r>
  <r>
    <x v="47"/>
    <x v="12"/>
    <x v="4"/>
    <x v="4"/>
    <x v="0"/>
    <x v="2"/>
    <x v="12"/>
    <x v="12"/>
    <x v="506"/>
    <x v="0"/>
    <s v="LA CHORRERA - PARQUE 10 DE NOV."/>
    <x v="0"/>
  </r>
  <r>
    <x v="47"/>
    <x v="4"/>
    <x v="4"/>
    <x v="4"/>
    <x v="0"/>
    <x v="2"/>
    <x v="4"/>
    <x v="4"/>
    <x v="507"/>
    <x v="0"/>
    <s v="LA CHORRERA - PARQUE 10 DE NOV."/>
    <x v="0"/>
  </r>
  <r>
    <x v="47"/>
    <x v="5"/>
    <x v="0"/>
    <x v="0"/>
    <x v="0"/>
    <x v="2"/>
    <x v="5"/>
    <x v="5"/>
    <x v="508"/>
    <x v="0"/>
    <s v="LA CHORRERA - PARQUE 10 DE NOV."/>
    <x v="0"/>
  </r>
  <r>
    <x v="47"/>
    <x v="13"/>
    <x v="5"/>
    <x v="5"/>
    <x v="0"/>
    <x v="2"/>
    <x v="13"/>
    <x v="13"/>
    <x v="509"/>
    <x v="0"/>
    <s v="LA CHORRERA - PARQUE 10 DE NOV."/>
    <x v="0"/>
  </r>
  <r>
    <x v="47"/>
    <x v="1"/>
    <x v="1"/>
    <x v="1"/>
    <x v="0"/>
    <x v="2"/>
    <x v="1"/>
    <x v="1"/>
    <x v="1"/>
    <x v="107"/>
    <s v="LA CHORRERA - PARQUE 10 DE NOV."/>
    <x v="0"/>
  </r>
  <r>
    <x v="47"/>
    <x v="7"/>
    <x v="2"/>
    <x v="2"/>
    <x v="0"/>
    <x v="0"/>
    <x v="7"/>
    <x v="7"/>
    <x v="510"/>
    <x v="0"/>
    <s v="LA CHORRERA - PARQUE 10 DE NOV."/>
    <x v="0"/>
  </r>
  <r>
    <x v="47"/>
    <x v="2"/>
    <x v="2"/>
    <x v="2"/>
    <x v="0"/>
    <x v="0"/>
    <x v="2"/>
    <x v="2"/>
    <x v="511"/>
    <x v="0"/>
    <s v="LA CHORRERA - PARQUE 10 DE NOV."/>
    <x v="0"/>
  </r>
  <r>
    <x v="47"/>
    <x v="9"/>
    <x v="6"/>
    <x v="6"/>
    <x v="0"/>
    <x v="0"/>
    <x v="9"/>
    <x v="9"/>
    <x v="512"/>
    <x v="0"/>
    <s v="LA CHORRERA - PARQUE 10 DE NOV."/>
    <x v="0"/>
  </r>
  <r>
    <x v="47"/>
    <x v="11"/>
    <x v="6"/>
    <x v="6"/>
    <x v="0"/>
    <x v="0"/>
    <x v="11"/>
    <x v="11"/>
    <x v="513"/>
    <x v="0"/>
    <s v="LA CHORRERA - PARQUE 10 DE NOV."/>
    <x v="0"/>
  </r>
  <r>
    <x v="47"/>
    <x v="10"/>
    <x v="3"/>
    <x v="3"/>
    <x v="0"/>
    <x v="0"/>
    <x v="10"/>
    <x v="10"/>
    <x v="514"/>
    <x v="0"/>
    <s v="LA CHORRERA - PARQUE 10 DE NOV."/>
    <x v="0"/>
  </r>
  <r>
    <x v="47"/>
    <x v="3"/>
    <x v="3"/>
    <x v="3"/>
    <x v="0"/>
    <x v="0"/>
    <x v="3"/>
    <x v="3"/>
    <x v="515"/>
    <x v="0"/>
    <s v="LA CHORRERA - PARQUE 10 DE NOV."/>
    <x v="0"/>
  </r>
  <r>
    <x v="47"/>
    <x v="12"/>
    <x v="4"/>
    <x v="4"/>
    <x v="0"/>
    <x v="0"/>
    <x v="12"/>
    <x v="12"/>
    <x v="516"/>
    <x v="0"/>
    <s v="LA CHORRERA - PARQUE 10 DE NOV."/>
    <x v="0"/>
  </r>
  <r>
    <x v="47"/>
    <x v="4"/>
    <x v="4"/>
    <x v="4"/>
    <x v="0"/>
    <x v="0"/>
    <x v="4"/>
    <x v="4"/>
    <x v="517"/>
    <x v="0"/>
    <s v="LA CHORRERA - PARQUE 10 DE NOV."/>
    <x v="0"/>
  </r>
  <r>
    <x v="47"/>
    <x v="0"/>
    <x v="0"/>
    <x v="0"/>
    <x v="0"/>
    <x v="0"/>
    <x v="0"/>
    <x v="0"/>
    <x v="518"/>
    <x v="0"/>
    <s v="LA CHORRERA - PARQUE 10 DE NOV."/>
    <x v="0"/>
  </r>
  <r>
    <x v="47"/>
    <x v="5"/>
    <x v="0"/>
    <x v="0"/>
    <x v="0"/>
    <x v="0"/>
    <x v="5"/>
    <x v="5"/>
    <x v="519"/>
    <x v="0"/>
    <s v="LA CHORRERA - PARQUE 10 DE NOV."/>
    <x v="0"/>
  </r>
  <r>
    <x v="47"/>
    <x v="13"/>
    <x v="5"/>
    <x v="5"/>
    <x v="0"/>
    <x v="0"/>
    <x v="13"/>
    <x v="13"/>
    <x v="520"/>
    <x v="0"/>
    <s v="LA CHORRERA - PARQUE 10 DE NOV."/>
    <x v="0"/>
  </r>
  <r>
    <x v="47"/>
    <x v="6"/>
    <x v="5"/>
    <x v="5"/>
    <x v="0"/>
    <x v="0"/>
    <x v="6"/>
    <x v="6"/>
    <x v="521"/>
    <x v="0"/>
    <s v="LA CHORRERA - PARQUE 10 DE NOV."/>
    <x v="0"/>
  </r>
  <r>
    <x v="47"/>
    <x v="14"/>
    <x v="1"/>
    <x v="1"/>
    <x v="0"/>
    <x v="0"/>
    <x v="14"/>
    <x v="14"/>
    <x v="522"/>
    <x v="0"/>
    <s v="LA CHORRERA - PARQUE 10 DE NOV."/>
    <x v="0"/>
  </r>
  <r>
    <x v="47"/>
    <x v="8"/>
    <x v="1"/>
    <x v="1"/>
    <x v="0"/>
    <x v="0"/>
    <x v="8"/>
    <x v="8"/>
    <x v="523"/>
    <x v="0"/>
    <s v="LA CHORRERA - PARQUE 10 DE NOV."/>
    <x v="0"/>
  </r>
  <r>
    <x v="47"/>
    <x v="1"/>
    <x v="1"/>
    <x v="1"/>
    <x v="0"/>
    <x v="0"/>
    <x v="1"/>
    <x v="1"/>
    <x v="1"/>
    <x v="108"/>
    <s v="LA CHORRERA - PARQUE 10 DE NOV."/>
    <x v="0"/>
  </r>
  <r>
    <x v="47"/>
    <x v="7"/>
    <x v="2"/>
    <x v="2"/>
    <x v="0"/>
    <x v="1"/>
    <x v="7"/>
    <x v="7"/>
    <x v="524"/>
    <x v="0"/>
    <s v="LA CHORRERA - PARQUE 10 DE NOV."/>
    <x v="0"/>
  </r>
  <r>
    <x v="47"/>
    <x v="2"/>
    <x v="2"/>
    <x v="2"/>
    <x v="0"/>
    <x v="1"/>
    <x v="2"/>
    <x v="2"/>
    <x v="525"/>
    <x v="0"/>
    <s v="LA CHORRERA - PARQUE 10 DE NOV."/>
    <x v="0"/>
  </r>
  <r>
    <x v="47"/>
    <x v="9"/>
    <x v="6"/>
    <x v="6"/>
    <x v="0"/>
    <x v="1"/>
    <x v="9"/>
    <x v="9"/>
    <x v="526"/>
    <x v="0"/>
    <s v="LA CHORRERA - PARQUE 10 DE NOV."/>
    <x v="0"/>
  </r>
  <r>
    <x v="47"/>
    <x v="10"/>
    <x v="3"/>
    <x v="3"/>
    <x v="0"/>
    <x v="1"/>
    <x v="10"/>
    <x v="10"/>
    <x v="527"/>
    <x v="0"/>
    <s v="LA CHORRERA - PARQUE 10 DE NOV."/>
    <x v="0"/>
  </r>
  <r>
    <x v="47"/>
    <x v="4"/>
    <x v="4"/>
    <x v="4"/>
    <x v="0"/>
    <x v="1"/>
    <x v="4"/>
    <x v="4"/>
    <x v="528"/>
    <x v="0"/>
    <s v="LA CHORRERA - PARQUE 10 DE NOV."/>
    <x v="0"/>
  </r>
  <r>
    <x v="47"/>
    <x v="0"/>
    <x v="0"/>
    <x v="0"/>
    <x v="0"/>
    <x v="1"/>
    <x v="0"/>
    <x v="0"/>
    <x v="249"/>
    <x v="0"/>
    <s v="LA CHORRERA - PARQUE 10 DE NOV."/>
    <x v="0"/>
  </r>
  <r>
    <x v="47"/>
    <x v="13"/>
    <x v="5"/>
    <x v="5"/>
    <x v="0"/>
    <x v="1"/>
    <x v="13"/>
    <x v="13"/>
    <x v="529"/>
    <x v="0"/>
    <s v="LA CHORRERA - PARQUE 10 DE NOV."/>
    <x v="0"/>
  </r>
  <r>
    <x v="47"/>
    <x v="6"/>
    <x v="5"/>
    <x v="5"/>
    <x v="0"/>
    <x v="1"/>
    <x v="6"/>
    <x v="6"/>
    <x v="530"/>
    <x v="0"/>
    <s v="LA CHORRERA - PARQUE 10 DE NOV."/>
    <x v="0"/>
  </r>
  <r>
    <x v="47"/>
    <x v="1"/>
    <x v="1"/>
    <x v="1"/>
    <x v="0"/>
    <x v="1"/>
    <x v="1"/>
    <x v="1"/>
    <x v="1"/>
    <x v="109"/>
    <s v="LA CHORRERA - PARQUE 10 DE NOV."/>
    <x v="0"/>
  </r>
  <r>
    <x v="48"/>
    <x v="10"/>
    <x v="3"/>
    <x v="3"/>
    <x v="0"/>
    <x v="2"/>
    <x v="10"/>
    <x v="10"/>
    <x v="531"/>
    <x v="0"/>
    <s v="COSTA DEL ESTE - CENTENARIO"/>
    <x v="0"/>
  </r>
  <r>
    <x v="48"/>
    <x v="1"/>
    <x v="1"/>
    <x v="1"/>
    <x v="0"/>
    <x v="2"/>
    <x v="1"/>
    <x v="1"/>
    <x v="1"/>
    <x v="110"/>
    <s v="COSTA DEL ESTE - CENTENARIO"/>
    <x v="0"/>
  </r>
  <r>
    <x v="48"/>
    <x v="1"/>
    <x v="1"/>
    <x v="1"/>
    <x v="0"/>
    <x v="0"/>
    <x v="1"/>
    <x v="1"/>
    <x v="1"/>
    <x v="111"/>
    <s v="COSTA DEL ESTE - CENTENARIO"/>
    <x v="0"/>
  </r>
  <r>
    <x v="48"/>
    <x v="1"/>
    <x v="1"/>
    <x v="1"/>
    <x v="0"/>
    <x v="1"/>
    <x v="1"/>
    <x v="1"/>
    <x v="1"/>
    <x v="112"/>
    <s v="COSTA DEL ESTE - CENTENARIO"/>
    <x v="0"/>
  </r>
  <r>
    <x v="49"/>
    <x v="14"/>
    <x v="1"/>
    <x v="1"/>
    <x v="0"/>
    <x v="1"/>
    <x v="14"/>
    <x v="14"/>
    <x v="532"/>
    <x v="0"/>
    <s v="CLAYTON"/>
    <x v="0"/>
  </r>
  <r>
    <x v="49"/>
    <x v="1"/>
    <x v="1"/>
    <x v="1"/>
    <x v="0"/>
    <x v="1"/>
    <x v="1"/>
    <x v="1"/>
    <x v="1"/>
    <x v="113"/>
    <s v="CLAYTON"/>
    <x v="0"/>
  </r>
  <r>
    <x v="50"/>
    <x v="2"/>
    <x v="2"/>
    <x v="2"/>
    <x v="0"/>
    <x v="2"/>
    <x v="2"/>
    <x v="2"/>
    <x v="444"/>
    <x v="0"/>
    <s v="MARBELLA"/>
    <x v="0"/>
  </r>
  <r>
    <x v="50"/>
    <x v="1"/>
    <x v="1"/>
    <x v="1"/>
    <x v="0"/>
    <x v="2"/>
    <x v="1"/>
    <x v="1"/>
    <x v="1"/>
    <x v="114"/>
    <s v="MARBELLA"/>
    <x v="0"/>
  </r>
  <r>
    <x v="50"/>
    <x v="10"/>
    <x v="3"/>
    <x v="3"/>
    <x v="0"/>
    <x v="0"/>
    <x v="10"/>
    <x v="10"/>
    <x v="533"/>
    <x v="0"/>
    <s v="MARBELLA"/>
    <x v="0"/>
  </r>
  <r>
    <x v="50"/>
    <x v="3"/>
    <x v="3"/>
    <x v="3"/>
    <x v="0"/>
    <x v="0"/>
    <x v="3"/>
    <x v="3"/>
    <x v="534"/>
    <x v="0"/>
    <s v="MARBELLA"/>
    <x v="0"/>
  </r>
  <r>
    <x v="50"/>
    <x v="1"/>
    <x v="1"/>
    <x v="1"/>
    <x v="0"/>
    <x v="0"/>
    <x v="1"/>
    <x v="1"/>
    <x v="1"/>
    <x v="115"/>
    <s v="MARBELLA"/>
    <x v="0"/>
  </r>
  <r>
    <x v="51"/>
    <x v="1"/>
    <x v="1"/>
    <x v="1"/>
    <x v="0"/>
    <x v="2"/>
    <x v="1"/>
    <x v="1"/>
    <x v="1"/>
    <x v="116"/>
    <s v="PLAZA CAROLINA"/>
    <x v="0"/>
  </r>
  <r>
    <x v="51"/>
    <x v="6"/>
    <x v="5"/>
    <x v="5"/>
    <x v="0"/>
    <x v="0"/>
    <x v="6"/>
    <x v="6"/>
    <x v="535"/>
    <x v="0"/>
    <s v="PLAZA CAROLINA"/>
    <x v="0"/>
  </r>
  <r>
    <x v="51"/>
    <x v="1"/>
    <x v="1"/>
    <x v="1"/>
    <x v="0"/>
    <x v="0"/>
    <x v="1"/>
    <x v="1"/>
    <x v="1"/>
    <x v="117"/>
    <s v="PLAZA CAROLINA"/>
    <x v="0"/>
  </r>
  <r>
    <x v="52"/>
    <x v="0"/>
    <x v="0"/>
    <x v="0"/>
    <x v="0"/>
    <x v="0"/>
    <x v="0"/>
    <x v="0"/>
    <x v="536"/>
    <x v="0"/>
    <s v="PLAZA CORDOBA"/>
    <x v="0"/>
  </r>
  <r>
    <x v="52"/>
    <x v="14"/>
    <x v="1"/>
    <x v="1"/>
    <x v="0"/>
    <x v="0"/>
    <x v="14"/>
    <x v="14"/>
    <x v="537"/>
    <x v="0"/>
    <s v="PLAZA CORDOBA"/>
    <x v="0"/>
  </r>
  <r>
    <x v="52"/>
    <x v="1"/>
    <x v="1"/>
    <x v="1"/>
    <x v="0"/>
    <x v="0"/>
    <x v="1"/>
    <x v="1"/>
    <x v="1"/>
    <x v="118"/>
    <s v="PLAZA CORDOBA"/>
    <x v="0"/>
  </r>
  <r>
    <x v="53"/>
    <x v="7"/>
    <x v="2"/>
    <x v="2"/>
    <x v="0"/>
    <x v="0"/>
    <x v="7"/>
    <x v="7"/>
    <x v="538"/>
    <x v="0"/>
    <s v="VIA SIMON BOLIVAR"/>
    <x v="0"/>
  </r>
  <r>
    <x v="53"/>
    <x v="2"/>
    <x v="2"/>
    <x v="2"/>
    <x v="0"/>
    <x v="0"/>
    <x v="2"/>
    <x v="2"/>
    <x v="539"/>
    <x v="0"/>
    <s v="VIA SIMON BOLIVAR"/>
    <x v="0"/>
  </r>
  <r>
    <x v="53"/>
    <x v="9"/>
    <x v="6"/>
    <x v="6"/>
    <x v="0"/>
    <x v="0"/>
    <x v="9"/>
    <x v="9"/>
    <x v="540"/>
    <x v="0"/>
    <s v="VIA SIMON BOLIVAR"/>
    <x v="0"/>
  </r>
  <r>
    <x v="53"/>
    <x v="11"/>
    <x v="6"/>
    <x v="6"/>
    <x v="0"/>
    <x v="0"/>
    <x v="11"/>
    <x v="11"/>
    <x v="541"/>
    <x v="0"/>
    <s v="VIA SIMON BOLIVAR"/>
    <x v="0"/>
  </r>
  <r>
    <x v="53"/>
    <x v="10"/>
    <x v="3"/>
    <x v="3"/>
    <x v="0"/>
    <x v="0"/>
    <x v="10"/>
    <x v="10"/>
    <x v="542"/>
    <x v="0"/>
    <s v="VIA SIMON BOLIVAR"/>
    <x v="0"/>
  </r>
  <r>
    <x v="53"/>
    <x v="3"/>
    <x v="3"/>
    <x v="3"/>
    <x v="0"/>
    <x v="0"/>
    <x v="3"/>
    <x v="3"/>
    <x v="543"/>
    <x v="0"/>
    <s v="VIA SIMON BOLIVAR"/>
    <x v="0"/>
  </r>
  <r>
    <x v="53"/>
    <x v="12"/>
    <x v="4"/>
    <x v="4"/>
    <x v="0"/>
    <x v="0"/>
    <x v="12"/>
    <x v="12"/>
    <x v="544"/>
    <x v="0"/>
    <s v="VIA SIMON BOLIVAR"/>
    <x v="0"/>
  </r>
  <r>
    <x v="53"/>
    <x v="4"/>
    <x v="4"/>
    <x v="4"/>
    <x v="0"/>
    <x v="0"/>
    <x v="4"/>
    <x v="4"/>
    <x v="545"/>
    <x v="0"/>
    <s v="VIA SIMON BOLIVAR"/>
    <x v="0"/>
  </r>
  <r>
    <x v="53"/>
    <x v="0"/>
    <x v="0"/>
    <x v="0"/>
    <x v="0"/>
    <x v="0"/>
    <x v="0"/>
    <x v="0"/>
    <x v="546"/>
    <x v="0"/>
    <s v="VIA SIMON BOLIVAR"/>
    <x v="0"/>
  </r>
  <r>
    <x v="53"/>
    <x v="5"/>
    <x v="0"/>
    <x v="0"/>
    <x v="0"/>
    <x v="0"/>
    <x v="5"/>
    <x v="5"/>
    <x v="547"/>
    <x v="0"/>
    <s v="VIA SIMON BOLIVAR"/>
    <x v="0"/>
  </r>
  <r>
    <x v="53"/>
    <x v="13"/>
    <x v="5"/>
    <x v="5"/>
    <x v="0"/>
    <x v="0"/>
    <x v="13"/>
    <x v="13"/>
    <x v="548"/>
    <x v="0"/>
    <s v="VIA SIMON BOLIVAR"/>
    <x v="0"/>
  </r>
  <r>
    <x v="53"/>
    <x v="6"/>
    <x v="5"/>
    <x v="5"/>
    <x v="0"/>
    <x v="0"/>
    <x v="6"/>
    <x v="6"/>
    <x v="549"/>
    <x v="0"/>
    <s v="VIA SIMON BOLIVAR"/>
    <x v="0"/>
  </r>
  <r>
    <x v="53"/>
    <x v="14"/>
    <x v="1"/>
    <x v="1"/>
    <x v="0"/>
    <x v="0"/>
    <x v="14"/>
    <x v="14"/>
    <x v="550"/>
    <x v="0"/>
    <s v="VIA SIMON BOLIVAR"/>
    <x v="0"/>
  </r>
  <r>
    <x v="53"/>
    <x v="8"/>
    <x v="1"/>
    <x v="1"/>
    <x v="0"/>
    <x v="0"/>
    <x v="8"/>
    <x v="8"/>
    <x v="551"/>
    <x v="0"/>
    <s v="VIA SIMON BOLIVAR"/>
    <x v="0"/>
  </r>
  <r>
    <x v="53"/>
    <x v="1"/>
    <x v="1"/>
    <x v="1"/>
    <x v="0"/>
    <x v="0"/>
    <x v="1"/>
    <x v="1"/>
    <x v="1"/>
    <x v="119"/>
    <s v="VIA SIMON BOLIVAR"/>
    <x v="0"/>
  </r>
  <r>
    <x v="53"/>
    <x v="2"/>
    <x v="2"/>
    <x v="2"/>
    <x v="0"/>
    <x v="1"/>
    <x v="2"/>
    <x v="2"/>
    <x v="552"/>
    <x v="0"/>
    <s v="VIA SIMON BOLIVAR"/>
    <x v="0"/>
  </r>
  <r>
    <x v="53"/>
    <x v="10"/>
    <x v="3"/>
    <x v="3"/>
    <x v="0"/>
    <x v="1"/>
    <x v="10"/>
    <x v="10"/>
    <x v="553"/>
    <x v="0"/>
    <s v="VIA SIMON BOLIVAR"/>
    <x v="0"/>
  </r>
  <r>
    <x v="53"/>
    <x v="4"/>
    <x v="4"/>
    <x v="4"/>
    <x v="0"/>
    <x v="1"/>
    <x v="4"/>
    <x v="4"/>
    <x v="554"/>
    <x v="0"/>
    <s v="VIA SIMON BOLIVAR"/>
    <x v="0"/>
  </r>
  <r>
    <x v="53"/>
    <x v="13"/>
    <x v="5"/>
    <x v="5"/>
    <x v="0"/>
    <x v="1"/>
    <x v="13"/>
    <x v="13"/>
    <x v="555"/>
    <x v="0"/>
    <s v="VIA SIMON BOLIVAR"/>
    <x v="0"/>
  </r>
  <r>
    <x v="53"/>
    <x v="14"/>
    <x v="1"/>
    <x v="1"/>
    <x v="0"/>
    <x v="1"/>
    <x v="14"/>
    <x v="14"/>
    <x v="556"/>
    <x v="0"/>
    <s v="VIA SIMON BOLIVAR"/>
    <x v="0"/>
  </r>
  <r>
    <x v="53"/>
    <x v="1"/>
    <x v="1"/>
    <x v="1"/>
    <x v="0"/>
    <x v="1"/>
    <x v="1"/>
    <x v="1"/>
    <x v="1"/>
    <x v="120"/>
    <s v="VIA SIMON BOLIVAR"/>
    <x v="0"/>
  </r>
  <r>
    <x v="54"/>
    <x v="1"/>
    <x v="1"/>
    <x v="1"/>
    <x v="0"/>
    <x v="2"/>
    <x v="1"/>
    <x v="1"/>
    <x v="1"/>
    <x v="121"/>
    <s v="JUSTO AROSEMENA"/>
    <x v="0"/>
  </r>
  <r>
    <x v="54"/>
    <x v="9"/>
    <x v="6"/>
    <x v="6"/>
    <x v="0"/>
    <x v="0"/>
    <x v="9"/>
    <x v="9"/>
    <x v="553"/>
    <x v="0"/>
    <s v="JUSTO AROSEMENA"/>
    <x v="0"/>
  </r>
  <r>
    <x v="54"/>
    <x v="11"/>
    <x v="6"/>
    <x v="6"/>
    <x v="0"/>
    <x v="0"/>
    <x v="11"/>
    <x v="11"/>
    <x v="557"/>
    <x v="0"/>
    <s v="JUSTO AROSEMENA"/>
    <x v="0"/>
  </r>
  <r>
    <x v="54"/>
    <x v="1"/>
    <x v="1"/>
    <x v="1"/>
    <x v="0"/>
    <x v="0"/>
    <x v="1"/>
    <x v="1"/>
    <x v="1"/>
    <x v="122"/>
    <s v="JUSTO AROSEMENA"/>
    <x v="0"/>
  </r>
  <r>
    <x v="54"/>
    <x v="9"/>
    <x v="6"/>
    <x v="6"/>
    <x v="0"/>
    <x v="1"/>
    <x v="9"/>
    <x v="9"/>
    <x v="558"/>
    <x v="0"/>
    <s v="JUSTO AROSEMENA"/>
    <x v="0"/>
  </r>
  <r>
    <x v="54"/>
    <x v="3"/>
    <x v="3"/>
    <x v="3"/>
    <x v="0"/>
    <x v="1"/>
    <x v="3"/>
    <x v="3"/>
    <x v="559"/>
    <x v="0"/>
    <s v="JUSTO AROSEMENA"/>
    <x v="0"/>
  </r>
  <r>
    <x v="54"/>
    <x v="1"/>
    <x v="1"/>
    <x v="1"/>
    <x v="0"/>
    <x v="1"/>
    <x v="1"/>
    <x v="1"/>
    <x v="1"/>
    <x v="123"/>
    <s v="JUSTO AROSEMENA"/>
    <x v="0"/>
  </r>
  <r>
    <x v="55"/>
    <x v="1"/>
    <x v="1"/>
    <x v="1"/>
    <x v="0"/>
    <x v="3"/>
    <x v="1"/>
    <x v="1"/>
    <x v="1"/>
    <x v="124"/>
    <s v="NEGOCIOS"/>
    <x v="0"/>
  </r>
  <r>
    <x v="55"/>
    <x v="7"/>
    <x v="2"/>
    <x v="2"/>
    <x v="0"/>
    <x v="4"/>
    <x v="7"/>
    <x v="7"/>
    <x v="560"/>
    <x v="0"/>
    <s v="NEGOCIOS"/>
    <x v="0"/>
  </r>
  <r>
    <x v="55"/>
    <x v="2"/>
    <x v="2"/>
    <x v="2"/>
    <x v="0"/>
    <x v="4"/>
    <x v="2"/>
    <x v="2"/>
    <x v="561"/>
    <x v="0"/>
    <s v="NEGOCIOS"/>
    <x v="0"/>
  </r>
  <r>
    <x v="55"/>
    <x v="9"/>
    <x v="6"/>
    <x v="6"/>
    <x v="0"/>
    <x v="4"/>
    <x v="9"/>
    <x v="9"/>
    <x v="562"/>
    <x v="0"/>
    <s v="NEGOCIOS"/>
    <x v="0"/>
  </r>
  <r>
    <x v="55"/>
    <x v="10"/>
    <x v="3"/>
    <x v="3"/>
    <x v="0"/>
    <x v="4"/>
    <x v="10"/>
    <x v="10"/>
    <x v="563"/>
    <x v="0"/>
    <s v="NEGOCIOS"/>
    <x v="0"/>
  </r>
  <r>
    <x v="55"/>
    <x v="3"/>
    <x v="3"/>
    <x v="3"/>
    <x v="0"/>
    <x v="4"/>
    <x v="3"/>
    <x v="3"/>
    <x v="564"/>
    <x v="0"/>
    <s v="NEGOCIOS"/>
    <x v="0"/>
  </r>
  <r>
    <x v="55"/>
    <x v="12"/>
    <x v="4"/>
    <x v="4"/>
    <x v="0"/>
    <x v="4"/>
    <x v="12"/>
    <x v="12"/>
    <x v="565"/>
    <x v="0"/>
    <s v="NEGOCIOS"/>
    <x v="0"/>
  </r>
  <r>
    <x v="55"/>
    <x v="4"/>
    <x v="4"/>
    <x v="4"/>
    <x v="0"/>
    <x v="4"/>
    <x v="4"/>
    <x v="4"/>
    <x v="566"/>
    <x v="0"/>
    <s v="NEGOCIOS"/>
    <x v="0"/>
  </r>
  <r>
    <x v="55"/>
    <x v="0"/>
    <x v="0"/>
    <x v="0"/>
    <x v="0"/>
    <x v="4"/>
    <x v="0"/>
    <x v="0"/>
    <x v="567"/>
    <x v="0"/>
    <s v="NEGOCIOS"/>
    <x v="0"/>
  </r>
  <r>
    <x v="55"/>
    <x v="5"/>
    <x v="0"/>
    <x v="0"/>
    <x v="0"/>
    <x v="4"/>
    <x v="5"/>
    <x v="5"/>
    <x v="562"/>
    <x v="0"/>
    <s v="NEGOCIOS"/>
    <x v="0"/>
  </r>
  <r>
    <x v="55"/>
    <x v="13"/>
    <x v="5"/>
    <x v="5"/>
    <x v="0"/>
    <x v="4"/>
    <x v="13"/>
    <x v="13"/>
    <x v="568"/>
    <x v="0"/>
    <s v="NEGOCIOS"/>
    <x v="0"/>
  </r>
  <r>
    <x v="55"/>
    <x v="6"/>
    <x v="5"/>
    <x v="5"/>
    <x v="0"/>
    <x v="4"/>
    <x v="6"/>
    <x v="6"/>
    <x v="569"/>
    <x v="0"/>
    <s v="NEGOCIOS"/>
    <x v="0"/>
  </r>
  <r>
    <x v="55"/>
    <x v="14"/>
    <x v="1"/>
    <x v="1"/>
    <x v="0"/>
    <x v="4"/>
    <x v="14"/>
    <x v="14"/>
    <x v="570"/>
    <x v="0"/>
    <s v="NEGOCIOS"/>
    <x v="0"/>
  </r>
  <r>
    <x v="55"/>
    <x v="8"/>
    <x v="1"/>
    <x v="1"/>
    <x v="0"/>
    <x v="4"/>
    <x v="8"/>
    <x v="8"/>
    <x v="571"/>
    <x v="0"/>
    <s v="NEGOCIOS"/>
    <x v="0"/>
  </r>
  <r>
    <x v="55"/>
    <x v="1"/>
    <x v="1"/>
    <x v="1"/>
    <x v="0"/>
    <x v="4"/>
    <x v="1"/>
    <x v="1"/>
    <x v="1"/>
    <x v="125"/>
    <s v="NEGOCIOS"/>
    <x v="0"/>
  </r>
  <r>
    <x v="55"/>
    <x v="14"/>
    <x v="1"/>
    <x v="1"/>
    <x v="0"/>
    <x v="5"/>
    <x v="14"/>
    <x v="14"/>
    <x v="572"/>
    <x v="0"/>
    <s v="NEGOCIOS"/>
    <x v="0"/>
  </r>
  <r>
    <x v="55"/>
    <x v="8"/>
    <x v="1"/>
    <x v="1"/>
    <x v="0"/>
    <x v="5"/>
    <x v="8"/>
    <x v="8"/>
    <x v="573"/>
    <x v="0"/>
    <s v="NEGOCIOS"/>
    <x v="0"/>
  </r>
  <r>
    <x v="55"/>
    <x v="1"/>
    <x v="1"/>
    <x v="1"/>
    <x v="0"/>
    <x v="5"/>
    <x v="1"/>
    <x v="1"/>
    <x v="1"/>
    <x v="126"/>
    <s v="NEGOCIOS"/>
    <x v="0"/>
  </r>
  <r>
    <x v="55"/>
    <x v="7"/>
    <x v="2"/>
    <x v="2"/>
    <x v="0"/>
    <x v="6"/>
    <x v="7"/>
    <x v="7"/>
    <x v="574"/>
    <x v="0"/>
    <s v="NEGOCIOS"/>
    <x v="0"/>
  </r>
  <r>
    <x v="55"/>
    <x v="2"/>
    <x v="2"/>
    <x v="2"/>
    <x v="0"/>
    <x v="6"/>
    <x v="2"/>
    <x v="2"/>
    <x v="575"/>
    <x v="0"/>
    <s v="NEGOCIOS"/>
    <x v="0"/>
  </r>
  <r>
    <x v="55"/>
    <x v="10"/>
    <x v="3"/>
    <x v="3"/>
    <x v="0"/>
    <x v="6"/>
    <x v="10"/>
    <x v="10"/>
    <x v="576"/>
    <x v="0"/>
    <s v="NEGOCIOS"/>
    <x v="0"/>
  </r>
  <r>
    <x v="55"/>
    <x v="12"/>
    <x v="4"/>
    <x v="4"/>
    <x v="0"/>
    <x v="6"/>
    <x v="12"/>
    <x v="12"/>
    <x v="577"/>
    <x v="0"/>
    <s v="NEGOCIOS"/>
    <x v="0"/>
  </r>
  <r>
    <x v="55"/>
    <x v="4"/>
    <x v="4"/>
    <x v="4"/>
    <x v="0"/>
    <x v="6"/>
    <x v="4"/>
    <x v="4"/>
    <x v="578"/>
    <x v="0"/>
    <s v="NEGOCIOS"/>
    <x v="0"/>
  </r>
  <r>
    <x v="55"/>
    <x v="5"/>
    <x v="0"/>
    <x v="0"/>
    <x v="0"/>
    <x v="6"/>
    <x v="5"/>
    <x v="5"/>
    <x v="579"/>
    <x v="0"/>
    <s v="NEGOCIOS"/>
    <x v="0"/>
  </r>
  <r>
    <x v="55"/>
    <x v="13"/>
    <x v="5"/>
    <x v="5"/>
    <x v="0"/>
    <x v="6"/>
    <x v="13"/>
    <x v="13"/>
    <x v="580"/>
    <x v="0"/>
    <s v="NEGOCIOS"/>
    <x v="0"/>
  </r>
  <r>
    <x v="55"/>
    <x v="6"/>
    <x v="5"/>
    <x v="5"/>
    <x v="0"/>
    <x v="6"/>
    <x v="6"/>
    <x v="6"/>
    <x v="581"/>
    <x v="0"/>
    <s v="NEGOCIOS"/>
    <x v="0"/>
  </r>
  <r>
    <x v="55"/>
    <x v="14"/>
    <x v="1"/>
    <x v="1"/>
    <x v="0"/>
    <x v="6"/>
    <x v="14"/>
    <x v="14"/>
    <x v="582"/>
    <x v="0"/>
    <s v="NEGOCIOS"/>
    <x v="0"/>
  </r>
  <r>
    <x v="55"/>
    <x v="8"/>
    <x v="1"/>
    <x v="1"/>
    <x v="0"/>
    <x v="6"/>
    <x v="8"/>
    <x v="8"/>
    <x v="583"/>
    <x v="0"/>
    <s v="NEGOCIOS"/>
    <x v="0"/>
  </r>
  <r>
    <x v="55"/>
    <x v="1"/>
    <x v="1"/>
    <x v="1"/>
    <x v="0"/>
    <x v="6"/>
    <x v="1"/>
    <x v="1"/>
    <x v="1"/>
    <x v="127"/>
    <s v="NEGOCIOS"/>
    <x v="0"/>
  </r>
  <r>
    <x v="55"/>
    <x v="7"/>
    <x v="2"/>
    <x v="2"/>
    <x v="0"/>
    <x v="7"/>
    <x v="7"/>
    <x v="7"/>
    <x v="584"/>
    <x v="0"/>
    <s v="NEGOCIOS"/>
    <x v="0"/>
  </r>
  <r>
    <x v="55"/>
    <x v="2"/>
    <x v="2"/>
    <x v="2"/>
    <x v="0"/>
    <x v="7"/>
    <x v="2"/>
    <x v="2"/>
    <x v="585"/>
    <x v="0"/>
    <s v="NEGOCIOS"/>
    <x v="0"/>
  </r>
  <r>
    <x v="55"/>
    <x v="9"/>
    <x v="6"/>
    <x v="6"/>
    <x v="0"/>
    <x v="7"/>
    <x v="9"/>
    <x v="9"/>
    <x v="586"/>
    <x v="0"/>
    <s v="NEGOCIOS"/>
    <x v="0"/>
  </r>
  <r>
    <x v="55"/>
    <x v="10"/>
    <x v="3"/>
    <x v="3"/>
    <x v="0"/>
    <x v="7"/>
    <x v="10"/>
    <x v="10"/>
    <x v="587"/>
    <x v="0"/>
    <s v="NEGOCIOS"/>
    <x v="0"/>
  </r>
  <r>
    <x v="55"/>
    <x v="3"/>
    <x v="3"/>
    <x v="3"/>
    <x v="0"/>
    <x v="7"/>
    <x v="3"/>
    <x v="3"/>
    <x v="588"/>
    <x v="0"/>
    <s v="NEGOCIOS"/>
    <x v="0"/>
  </r>
  <r>
    <x v="55"/>
    <x v="12"/>
    <x v="4"/>
    <x v="4"/>
    <x v="0"/>
    <x v="7"/>
    <x v="12"/>
    <x v="12"/>
    <x v="589"/>
    <x v="0"/>
    <s v="NEGOCIOS"/>
    <x v="0"/>
  </r>
  <r>
    <x v="55"/>
    <x v="4"/>
    <x v="4"/>
    <x v="4"/>
    <x v="0"/>
    <x v="7"/>
    <x v="4"/>
    <x v="4"/>
    <x v="590"/>
    <x v="0"/>
    <s v="NEGOCIOS"/>
    <x v="0"/>
  </r>
  <r>
    <x v="55"/>
    <x v="0"/>
    <x v="0"/>
    <x v="0"/>
    <x v="0"/>
    <x v="7"/>
    <x v="0"/>
    <x v="0"/>
    <x v="591"/>
    <x v="0"/>
    <s v="NEGOCIOS"/>
    <x v="0"/>
  </r>
  <r>
    <x v="55"/>
    <x v="5"/>
    <x v="0"/>
    <x v="0"/>
    <x v="0"/>
    <x v="7"/>
    <x v="5"/>
    <x v="5"/>
    <x v="592"/>
    <x v="0"/>
    <s v="NEGOCIOS"/>
    <x v="0"/>
  </r>
  <r>
    <x v="55"/>
    <x v="13"/>
    <x v="5"/>
    <x v="5"/>
    <x v="0"/>
    <x v="7"/>
    <x v="13"/>
    <x v="13"/>
    <x v="593"/>
    <x v="0"/>
    <s v="NEGOCIOS"/>
    <x v="0"/>
  </r>
  <r>
    <x v="55"/>
    <x v="6"/>
    <x v="5"/>
    <x v="5"/>
    <x v="0"/>
    <x v="7"/>
    <x v="6"/>
    <x v="6"/>
    <x v="594"/>
    <x v="0"/>
    <s v="NEGOCIOS"/>
    <x v="0"/>
  </r>
  <r>
    <x v="55"/>
    <x v="14"/>
    <x v="1"/>
    <x v="1"/>
    <x v="0"/>
    <x v="7"/>
    <x v="14"/>
    <x v="14"/>
    <x v="595"/>
    <x v="0"/>
    <s v="NEGOCIOS"/>
    <x v="0"/>
  </r>
  <r>
    <x v="55"/>
    <x v="8"/>
    <x v="1"/>
    <x v="1"/>
    <x v="0"/>
    <x v="7"/>
    <x v="8"/>
    <x v="8"/>
    <x v="596"/>
    <x v="0"/>
    <s v="NEGOCIOS"/>
    <x v="0"/>
  </r>
  <r>
    <x v="55"/>
    <x v="1"/>
    <x v="1"/>
    <x v="1"/>
    <x v="0"/>
    <x v="7"/>
    <x v="1"/>
    <x v="1"/>
    <x v="1"/>
    <x v="128"/>
    <s v="NEGOCIOS"/>
    <x v="0"/>
  </r>
  <r>
    <x v="55"/>
    <x v="14"/>
    <x v="1"/>
    <x v="1"/>
    <x v="0"/>
    <x v="8"/>
    <x v="14"/>
    <x v="14"/>
    <x v="597"/>
    <x v="0"/>
    <s v="NEGOCIOS"/>
    <x v="0"/>
  </r>
  <r>
    <x v="55"/>
    <x v="22"/>
    <x v="1"/>
    <x v="1"/>
    <x v="0"/>
    <x v="8"/>
    <x v="19"/>
    <x v="22"/>
    <x v="598"/>
    <x v="0"/>
    <s v="NEGOCIOS"/>
    <x v="0"/>
  </r>
  <r>
    <x v="55"/>
    <x v="1"/>
    <x v="1"/>
    <x v="1"/>
    <x v="0"/>
    <x v="8"/>
    <x v="1"/>
    <x v="1"/>
    <x v="1"/>
    <x v="129"/>
    <s v="NEGOCIOS"/>
    <x v="0"/>
  </r>
  <r>
    <x v="55"/>
    <x v="10"/>
    <x v="3"/>
    <x v="3"/>
    <x v="0"/>
    <x v="9"/>
    <x v="10"/>
    <x v="10"/>
    <x v="599"/>
    <x v="0"/>
    <s v="NEGOCIOS"/>
    <x v="0"/>
  </r>
  <r>
    <x v="55"/>
    <x v="3"/>
    <x v="3"/>
    <x v="3"/>
    <x v="0"/>
    <x v="9"/>
    <x v="3"/>
    <x v="3"/>
    <x v="600"/>
    <x v="0"/>
    <s v="NEGOCIOS"/>
    <x v="0"/>
  </r>
  <r>
    <x v="55"/>
    <x v="12"/>
    <x v="4"/>
    <x v="4"/>
    <x v="0"/>
    <x v="9"/>
    <x v="12"/>
    <x v="12"/>
    <x v="601"/>
    <x v="0"/>
    <s v="NEGOCIOS"/>
    <x v="0"/>
  </r>
  <r>
    <x v="55"/>
    <x v="4"/>
    <x v="4"/>
    <x v="4"/>
    <x v="0"/>
    <x v="9"/>
    <x v="4"/>
    <x v="4"/>
    <x v="602"/>
    <x v="0"/>
    <s v="NEGOCIOS"/>
    <x v="0"/>
  </r>
  <r>
    <x v="55"/>
    <x v="0"/>
    <x v="0"/>
    <x v="0"/>
    <x v="0"/>
    <x v="9"/>
    <x v="0"/>
    <x v="0"/>
    <x v="603"/>
    <x v="0"/>
    <s v="NEGOCIOS"/>
    <x v="0"/>
  </r>
  <r>
    <x v="55"/>
    <x v="5"/>
    <x v="0"/>
    <x v="0"/>
    <x v="0"/>
    <x v="9"/>
    <x v="5"/>
    <x v="5"/>
    <x v="604"/>
    <x v="0"/>
    <s v="NEGOCIOS"/>
    <x v="0"/>
  </r>
  <r>
    <x v="55"/>
    <x v="14"/>
    <x v="1"/>
    <x v="1"/>
    <x v="0"/>
    <x v="9"/>
    <x v="14"/>
    <x v="14"/>
    <x v="605"/>
    <x v="0"/>
    <s v="NEGOCIOS"/>
    <x v="0"/>
  </r>
  <r>
    <x v="55"/>
    <x v="8"/>
    <x v="1"/>
    <x v="1"/>
    <x v="0"/>
    <x v="9"/>
    <x v="8"/>
    <x v="8"/>
    <x v="606"/>
    <x v="0"/>
    <s v="NEGOCIOS"/>
    <x v="0"/>
  </r>
  <r>
    <x v="55"/>
    <x v="1"/>
    <x v="1"/>
    <x v="1"/>
    <x v="0"/>
    <x v="9"/>
    <x v="1"/>
    <x v="1"/>
    <x v="1"/>
    <x v="130"/>
    <s v="NEGOCIOS"/>
    <x v="0"/>
  </r>
  <r>
    <x v="55"/>
    <x v="3"/>
    <x v="3"/>
    <x v="3"/>
    <x v="0"/>
    <x v="10"/>
    <x v="3"/>
    <x v="3"/>
    <x v="607"/>
    <x v="0"/>
    <s v="NEGOCIOS"/>
    <x v="0"/>
  </r>
  <r>
    <x v="55"/>
    <x v="12"/>
    <x v="4"/>
    <x v="4"/>
    <x v="0"/>
    <x v="10"/>
    <x v="12"/>
    <x v="12"/>
    <x v="608"/>
    <x v="0"/>
    <s v="NEGOCIOS"/>
    <x v="0"/>
  </r>
  <r>
    <x v="55"/>
    <x v="4"/>
    <x v="4"/>
    <x v="4"/>
    <x v="0"/>
    <x v="10"/>
    <x v="4"/>
    <x v="4"/>
    <x v="609"/>
    <x v="0"/>
    <s v="NEGOCIOS"/>
    <x v="0"/>
  </r>
  <r>
    <x v="55"/>
    <x v="5"/>
    <x v="0"/>
    <x v="0"/>
    <x v="0"/>
    <x v="10"/>
    <x v="5"/>
    <x v="5"/>
    <x v="610"/>
    <x v="0"/>
    <s v="NEGOCIOS"/>
    <x v="0"/>
  </r>
  <r>
    <x v="55"/>
    <x v="13"/>
    <x v="5"/>
    <x v="5"/>
    <x v="0"/>
    <x v="10"/>
    <x v="13"/>
    <x v="13"/>
    <x v="611"/>
    <x v="0"/>
    <s v="NEGOCIOS"/>
    <x v="0"/>
  </r>
  <r>
    <x v="55"/>
    <x v="14"/>
    <x v="1"/>
    <x v="1"/>
    <x v="0"/>
    <x v="10"/>
    <x v="14"/>
    <x v="14"/>
    <x v="612"/>
    <x v="0"/>
    <s v="NEGOCIOS"/>
    <x v="0"/>
  </r>
  <r>
    <x v="55"/>
    <x v="1"/>
    <x v="1"/>
    <x v="1"/>
    <x v="0"/>
    <x v="10"/>
    <x v="1"/>
    <x v="1"/>
    <x v="1"/>
    <x v="131"/>
    <s v="NEGOCIOS"/>
    <x v="0"/>
  </r>
  <r>
    <x v="55"/>
    <x v="7"/>
    <x v="2"/>
    <x v="2"/>
    <x v="0"/>
    <x v="11"/>
    <x v="7"/>
    <x v="7"/>
    <x v="613"/>
    <x v="0"/>
    <s v="NEGOCIOS"/>
    <x v="0"/>
  </r>
  <r>
    <x v="55"/>
    <x v="2"/>
    <x v="2"/>
    <x v="2"/>
    <x v="0"/>
    <x v="11"/>
    <x v="2"/>
    <x v="2"/>
    <x v="614"/>
    <x v="0"/>
    <s v="NEGOCIOS"/>
    <x v="0"/>
  </r>
  <r>
    <x v="55"/>
    <x v="17"/>
    <x v="2"/>
    <x v="2"/>
    <x v="0"/>
    <x v="11"/>
    <x v="16"/>
    <x v="17"/>
    <x v="615"/>
    <x v="0"/>
    <s v="NEGOCIOS"/>
    <x v="0"/>
  </r>
  <r>
    <x v="55"/>
    <x v="9"/>
    <x v="6"/>
    <x v="6"/>
    <x v="0"/>
    <x v="11"/>
    <x v="9"/>
    <x v="9"/>
    <x v="616"/>
    <x v="0"/>
    <s v="NEGOCIOS"/>
    <x v="0"/>
  </r>
  <r>
    <x v="55"/>
    <x v="11"/>
    <x v="6"/>
    <x v="6"/>
    <x v="0"/>
    <x v="11"/>
    <x v="11"/>
    <x v="11"/>
    <x v="617"/>
    <x v="0"/>
    <s v="NEGOCIOS"/>
    <x v="0"/>
  </r>
  <r>
    <x v="55"/>
    <x v="10"/>
    <x v="3"/>
    <x v="3"/>
    <x v="0"/>
    <x v="11"/>
    <x v="10"/>
    <x v="10"/>
    <x v="618"/>
    <x v="0"/>
    <s v="NEGOCIOS"/>
    <x v="0"/>
  </r>
  <r>
    <x v="55"/>
    <x v="3"/>
    <x v="3"/>
    <x v="3"/>
    <x v="0"/>
    <x v="11"/>
    <x v="3"/>
    <x v="3"/>
    <x v="619"/>
    <x v="0"/>
    <s v="NEGOCIOS"/>
    <x v="0"/>
  </r>
  <r>
    <x v="55"/>
    <x v="12"/>
    <x v="4"/>
    <x v="4"/>
    <x v="0"/>
    <x v="11"/>
    <x v="12"/>
    <x v="12"/>
    <x v="620"/>
    <x v="0"/>
    <s v="NEGOCIOS"/>
    <x v="0"/>
  </r>
  <r>
    <x v="55"/>
    <x v="4"/>
    <x v="4"/>
    <x v="4"/>
    <x v="0"/>
    <x v="11"/>
    <x v="4"/>
    <x v="4"/>
    <x v="621"/>
    <x v="0"/>
    <s v="NEGOCIOS"/>
    <x v="0"/>
  </r>
  <r>
    <x v="55"/>
    <x v="0"/>
    <x v="0"/>
    <x v="0"/>
    <x v="0"/>
    <x v="11"/>
    <x v="0"/>
    <x v="0"/>
    <x v="622"/>
    <x v="0"/>
    <s v="NEGOCIOS"/>
    <x v="0"/>
  </r>
  <r>
    <x v="55"/>
    <x v="5"/>
    <x v="0"/>
    <x v="0"/>
    <x v="0"/>
    <x v="11"/>
    <x v="5"/>
    <x v="5"/>
    <x v="623"/>
    <x v="0"/>
    <s v="NEGOCIOS"/>
    <x v="0"/>
  </r>
  <r>
    <x v="55"/>
    <x v="13"/>
    <x v="5"/>
    <x v="5"/>
    <x v="0"/>
    <x v="11"/>
    <x v="13"/>
    <x v="13"/>
    <x v="624"/>
    <x v="0"/>
    <s v="NEGOCIOS"/>
    <x v="0"/>
  </r>
  <r>
    <x v="55"/>
    <x v="6"/>
    <x v="5"/>
    <x v="5"/>
    <x v="0"/>
    <x v="11"/>
    <x v="6"/>
    <x v="6"/>
    <x v="625"/>
    <x v="0"/>
    <s v="NEGOCIOS"/>
    <x v="0"/>
  </r>
  <r>
    <x v="55"/>
    <x v="14"/>
    <x v="1"/>
    <x v="1"/>
    <x v="0"/>
    <x v="11"/>
    <x v="14"/>
    <x v="14"/>
    <x v="626"/>
    <x v="0"/>
    <s v="NEGOCIOS"/>
    <x v="0"/>
  </r>
  <r>
    <x v="55"/>
    <x v="8"/>
    <x v="1"/>
    <x v="1"/>
    <x v="0"/>
    <x v="11"/>
    <x v="8"/>
    <x v="8"/>
    <x v="627"/>
    <x v="0"/>
    <s v="NEGOCIOS"/>
    <x v="0"/>
  </r>
  <r>
    <x v="55"/>
    <x v="1"/>
    <x v="1"/>
    <x v="1"/>
    <x v="0"/>
    <x v="11"/>
    <x v="1"/>
    <x v="1"/>
    <x v="1"/>
    <x v="132"/>
    <s v="NEGOCIOS"/>
    <x v="0"/>
  </r>
  <r>
    <x v="55"/>
    <x v="12"/>
    <x v="4"/>
    <x v="4"/>
    <x v="0"/>
    <x v="12"/>
    <x v="12"/>
    <x v="12"/>
    <x v="628"/>
    <x v="0"/>
    <s v="NEGOCIOS"/>
    <x v="0"/>
  </r>
  <r>
    <x v="55"/>
    <x v="4"/>
    <x v="4"/>
    <x v="4"/>
    <x v="0"/>
    <x v="12"/>
    <x v="4"/>
    <x v="4"/>
    <x v="629"/>
    <x v="0"/>
    <s v="NEGOCIOS"/>
    <x v="0"/>
  </r>
  <r>
    <x v="55"/>
    <x v="1"/>
    <x v="1"/>
    <x v="1"/>
    <x v="0"/>
    <x v="12"/>
    <x v="1"/>
    <x v="1"/>
    <x v="1"/>
    <x v="133"/>
    <s v="NEGOCIOS"/>
    <x v="0"/>
  </r>
  <r>
    <x v="55"/>
    <x v="12"/>
    <x v="4"/>
    <x v="4"/>
    <x v="0"/>
    <x v="13"/>
    <x v="12"/>
    <x v="12"/>
    <x v="630"/>
    <x v="0"/>
    <s v="NEGOCIOS"/>
    <x v="0"/>
  </r>
  <r>
    <x v="55"/>
    <x v="0"/>
    <x v="0"/>
    <x v="0"/>
    <x v="0"/>
    <x v="13"/>
    <x v="0"/>
    <x v="0"/>
    <x v="631"/>
    <x v="0"/>
    <s v="NEGOCIOS"/>
    <x v="0"/>
  </r>
  <r>
    <x v="55"/>
    <x v="14"/>
    <x v="1"/>
    <x v="1"/>
    <x v="0"/>
    <x v="13"/>
    <x v="14"/>
    <x v="14"/>
    <x v="632"/>
    <x v="0"/>
    <s v="NEGOCIOS"/>
    <x v="0"/>
  </r>
  <r>
    <x v="55"/>
    <x v="8"/>
    <x v="1"/>
    <x v="1"/>
    <x v="0"/>
    <x v="13"/>
    <x v="8"/>
    <x v="8"/>
    <x v="633"/>
    <x v="0"/>
    <s v="NEGOCIOS"/>
    <x v="0"/>
  </r>
  <r>
    <x v="55"/>
    <x v="1"/>
    <x v="1"/>
    <x v="1"/>
    <x v="0"/>
    <x v="13"/>
    <x v="1"/>
    <x v="1"/>
    <x v="1"/>
    <x v="134"/>
    <s v="NEGOCIOS"/>
    <x v="0"/>
  </r>
  <r>
    <x v="55"/>
    <x v="7"/>
    <x v="2"/>
    <x v="2"/>
    <x v="0"/>
    <x v="14"/>
    <x v="7"/>
    <x v="7"/>
    <x v="634"/>
    <x v="0"/>
    <s v="NEGOCIOS"/>
    <x v="0"/>
  </r>
  <r>
    <x v="55"/>
    <x v="2"/>
    <x v="2"/>
    <x v="2"/>
    <x v="0"/>
    <x v="14"/>
    <x v="2"/>
    <x v="2"/>
    <x v="635"/>
    <x v="0"/>
    <s v="NEGOCIOS"/>
    <x v="0"/>
  </r>
  <r>
    <x v="55"/>
    <x v="9"/>
    <x v="6"/>
    <x v="6"/>
    <x v="0"/>
    <x v="14"/>
    <x v="9"/>
    <x v="9"/>
    <x v="636"/>
    <x v="0"/>
    <s v="NEGOCIOS"/>
    <x v="0"/>
  </r>
  <r>
    <x v="55"/>
    <x v="11"/>
    <x v="6"/>
    <x v="6"/>
    <x v="0"/>
    <x v="14"/>
    <x v="11"/>
    <x v="11"/>
    <x v="637"/>
    <x v="0"/>
    <s v="NEGOCIOS"/>
    <x v="0"/>
  </r>
  <r>
    <x v="55"/>
    <x v="23"/>
    <x v="3"/>
    <x v="3"/>
    <x v="0"/>
    <x v="14"/>
    <x v="17"/>
    <x v="23"/>
    <x v="638"/>
    <x v="0"/>
    <s v="NEGOCIOS"/>
    <x v="0"/>
  </r>
  <r>
    <x v="55"/>
    <x v="10"/>
    <x v="3"/>
    <x v="3"/>
    <x v="0"/>
    <x v="14"/>
    <x v="10"/>
    <x v="10"/>
    <x v="639"/>
    <x v="0"/>
    <s v="NEGOCIOS"/>
    <x v="0"/>
  </r>
  <r>
    <x v="55"/>
    <x v="3"/>
    <x v="3"/>
    <x v="3"/>
    <x v="0"/>
    <x v="14"/>
    <x v="3"/>
    <x v="3"/>
    <x v="640"/>
    <x v="0"/>
    <s v="NEGOCIOS"/>
    <x v="0"/>
  </r>
  <r>
    <x v="55"/>
    <x v="12"/>
    <x v="4"/>
    <x v="4"/>
    <x v="0"/>
    <x v="14"/>
    <x v="12"/>
    <x v="12"/>
    <x v="641"/>
    <x v="0"/>
    <s v="NEGOCIOS"/>
    <x v="0"/>
  </r>
  <r>
    <x v="55"/>
    <x v="4"/>
    <x v="4"/>
    <x v="4"/>
    <x v="0"/>
    <x v="14"/>
    <x v="4"/>
    <x v="4"/>
    <x v="642"/>
    <x v="0"/>
    <s v="NEGOCIOS"/>
    <x v="0"/>
  </r>
  <r>
    <x v="55"/>
    <x v="0"/>
    <x v="0"/>
    <x v="0"/>
    <x v="0"/>
    <x v="14"/>
    <x v="0"/>
    <x v="0"/>
    <x v="643"/>
    <x v="0"/>
    <s v="NEGOCIOS"/>
    <x v="0"/>
  </r>
  <r>
    <x v="55"/>
    <x v="5"/>
    <x v="0"/>
    <x v="0"/>
    <x v="0"/>
    <x v="14"/>
    <x v="5"/>
    <x v="5"/>
    <x v="644"/>
    <x v="0"/>
    <s v="NEGOCIOS"/>
    <x v="0"/>
  </r>
  <r>
    <x v="55"/>
    <x v="13"/>
    <x v="5"/>
    <x v="5"/>
    <x v="0"/>
    <x v="14"/>
    <x v="13"/>
    <x v="13"/>
    <x v="645"/>
    <x v="0"/>
    <s v="NEGOCIOS"/>
    <x v="0"/>
  </r>
  <r>
    <x v="55"/>
    <x v="6"/>
    <x v="5"/>
    <x v="5"/>
    <x v="0"/>
    <x v="14"/>
    <x v="6"/>
    <x v="6"/>
    <x v="646"/>
    <x v="0"/>
    <s v="NEGOCIOS"/>
    <x v="0"/>
  </r>
  <r>
    <x v="55"/>
    <x v="14"/>
    <x v="1"/>
    <x v="1"/>
    <x v="0"/>
    <x v="14"/>
    <x v="14"/>
    <x v="14"/>
    <x v="647"/>
    <x v="0"/>
    <s v="NEGOCIOS"/>
    <x v="0"/>
  </r>
  <r>
    <x v="55"/>
    <x v="8"/>
    <x v="1"/>
    <x v="1"/>
    <x v="0"/>
    <x v="14"/>
    <x v="8"/>
    <x v="8"/>
    <x v="648"/>
    <x v="0"/>
    <s v="NEGOCIOS"/>
    <x v="0"/>
  </r>
  <r>
    <x v="55"/>
    <x v="1"/>
    <x v="1"/>
    <x v="1"/>
    <x v="0"/>
    <x v="14"/>
    <x v="1"/>
    <x v="1"/>
    <x v="1"/>
    <x v="135"/>
    <s v="NEGOCIOS"/>
    <x v="0"/>
  </r>
  <r>
    <x v="55"/>
    <x v="7"/>
    <x v="2"/>
    <x v="2"/>
    <x v="0"/>
    <x v="15"/>
    <x v="7"/>
    <x v="7"/>
    <x v="649"/>
    <x v="0"/>
    <s v="NEGOCIOS"/>
    <x v="0"/>
  </r>
  <r>
    <x v="55"/>
    <x v="2"/>
    <x v="2"/>
    <x v="2"/>
    <x v="0"/>
    <x v="15"/>
    <x v="2"/>
    <x v="2"/>
    <x v="650"/>
    <x v="0"/>
    <s v="NEGOCIOS"/>
    <x v="0"/>
  </r>
  <r>
    <x v="55"/>
    <x v="9"/>
    <x v="6"/>
    <x v="6"/>
    <x v="0"/>
    <x v="15"/>
    <x v="9"/>
    <x v="9"/>
    <x v="651"/>
    <x v="0"/>
    <s v="NEGOCIOS"/>
    <x v="0"/>
  </r>
  <r>
    <x v="55"/>
    <x v="10"/>
    <x v="3"/>
    <x v="3"/>
    <x v="0"/>
    <x v="15"/>
    <x v="10"/>
    <x v="10"/>
    <x v="652"/>
    <x v="0"/>
    <s v="NEGOCIOS"/>
    <x v="0"/>
  </r>
  <r>
    <x v="55"/>
    <x v="12"/>
    <x v="4"/>
    <x v="4"/>
    <x v="0"/>
    <x v="15"/>
    <x v="12"/>
    <x v="12"/>
    <x v="653"/>
    <x v="0"/>
    <s v="NEGOCIOS"/>
    <x v="0"/>
  </r>
  <r>
    <x v="55"/>
    <x v="4"/>
    <x v="4"/>
    <x v="4"/>
    <x v="0"/>
    <x v="15"/>
    <x v="4"/>
    <x v="4"/>
    <x v="654"/>
    <x v="0"/>
    <s v="NEGOCIOS"/>
    <x v="0"/>
  </r>
  <r>
    <x v="55"/>
    <x v="13"/>
    <x v="5"/>
    <x v="5"/>
    <x v="0"/>
    <x v="15"/>
    <x v="13"/>
    <x v="13"/>
    <x v="655"/>
    <x v="0"/>
    <s v="NEGOCIOS"/>
    <x v="0"/>
  </r>
  <r>
    <x v="55"/>
    <x v="14"/>
    <x v="1"/>
    <x v="1"/>
    <x v="0"/>
    <x v="15"/>
    <x v="14"/>
    <x v="14"/>
    <x v="656"/>
    <x v="0"/>
    <s v="NEGOCIOS"/>
    <x v="0"/>
  </r>
  <r>
    <x v="55"/>
    <x v="8"/>
    <x v="1"/>
    <x v="1"/>
    <x v="0"/>
    <x v="15"/>
    <x v="8"/>
    <x v="8"/>
    <x v="657"/>
    <x v="0"/>
    <s v="NEGOCIOS"/>
    <x v="0"/>
  </r>
  <r>
    <x v="55"/>
    <x v="1"/>
    <x v="1"/>
    <x v="1"/>
    <x v="0"/>
    <x v="15"/>
    <x v="1"/>
    <x v="1"/>
    <x v="1"/>
    <x v="136"/>
    <s v="NEGOCIOS"/>
    <x v="0"/>
  </r>
  <r>
    <x v="55"/>
    <x v="1"/>
    <x v="1"/>
    <x v="1"/>
    <x v="0"/>
    <x v="16"/>
    <x v="1"/>
    <x v="1"/>
    <x v="1"/>
    <x v="137"/>
    <s v="NEGOCIOS"/>
    <x v="0"/>
  </r>
  <r>
    <x v="55"/>
    <x v="1"/>
    <x v="1"/>
    <x v="1"/>
    <x v="0"/>
    <x v="17"/>
    <x v="1"/>
    <x v="1"/>
    <x v="1"/>
    <x v="138"/>
    <s v="NEGOCIOS"/>
    <x v="0"/>
  </r>
  <r>
    <x v="55"/>
    <x v="11"/>
    <x v="6"/>
    <x v="6"/>
    <x v="0"/>
    <x v="18"/>
    <x v="11"/>
    <x v="11"/>
    <x v="658"/>
    <x v="0"/>
    <s v="NEGOCIOS"/>
    <x v="0"/>
  </r>
  <r>
    <x v="55"/>
    <x v="12"/>
    <x v="4"/>
    <x v="4"/>
    <x v="0"/>
    <x v="18"/>
    <x v="12"/>
    <x v="12"/>
    <x v="659"/>
    <x v="0"/>
    <s v="NEGOCIOS"/>
    <x v="0"/>
  </r>
  <r>
    <x v="55"/>
    <x v="1"/>
    <x v="1"/>
    <x v="1"/>
    <x v="0"/>
    <x v="18"/>
    <x v="1"/>
    <x v="1"/>
    <x v="1"/>
    <x v="139"/>
    <s v="NEGOCIOS"/>
    <x v="0"/>
  </r>
  <r>
    <x v="56"/>
    <x v="7"/>
    <x v="2"/>
    <x v="2"/>
    <x v="0"/>
    <x v="2"/>
    <x v="7"/>
    <x v="7"/>
    <x v="660"/>
    <x v="0"/>
    <s v="BOULEVARD EL DORADO"/>
    <x v="0"/>
  </r>
  <r>
    <x v="56"/>
    <x v="1"/>
    <x v="1"/>
    <x v="1"/>
    <x v="0"/>
    <x v="2"/>
    <x v="1"/>
    <x v="1"/>
    <x v="1"/>
    <x v="140"/>
    <s v="BOULEVARD EL DORADO"/>
    <x v="0"/>
  </r>
  <r>
    <x v="56"/>
    <x v="7"/>
    <x v="2"/>
    <x v="2"/>
    <x v="0"/>
    <x v="0"/>
    <x v="7"/>
    <x v="7"/>
    <x v="661"/>
    <x v="0"/>
    <s v="BOULEVARD EL DORADO"/>
    <x v="0"/>
  </r>
  <r>
    <x v="56"/>
    <x v="2"/>
    <x v="2"/>
    <x v="2"/>
    <x v="0"/>
    <x v="0"/>
    <x v="2"/>
    <x v="2"/>
    <x v="662"/>
    <x v="0"/>
    <s v="BOULEVARD EL DORADO"/>
    <x v="0"/>
  </r>
  <r>
    <x v="56"/>
    <x v="9"/>
    <x v="6"/>
    <x v="6"/>
    <x v="0"/>
    <x v="0"/>
    <x v="9"/>
    <x v="9"/>
    <x v="663"/>
    <x v="0"/>
    <s v="BOULEVARD EL DORADO"/>
    <x v="0"/>
  </r>
  <r>
    <x v="56"/>
    <x v="11"/>
    <x v="6"/>
    <x v="6"/>
    <x v="0"/>
    <x v="0"/>
    <x v="11"/>
    <x v="11"/>
    <x v="664"/>
    <x v="0"/>
    <s v="BOULEVARD EL DORADO"/>
    <x v="0"/>
  </r>
  <r>
    <x v="56"/>
    <x v="10"/>
    <x v="3"/>
    <x v="3"/>
    <x v="0"/>
    <x v="0"/>
    <x v="10"/>
    <x v="10"/>
    <x v="665"/>
    <x v="0"/>
    <s v="BOULEVARD EL DORADO"/>
    <x v="0"/>
  </r>
  <r>
    <x v="56"/>
    <x v="3"/>
    <x v="3"/>
    <x v="3"/>
    <x v="0"/>
    <x v="0"/>
    <x v="3"/>
    <x v="3"/>
    <x v="666"/>
    <x v="0"/>
    <s v="BOULEVARD EL DORADO"/>
    <x v="0"/>
  </r>
  <r>
    <x v="56"/>
    <x v="12"/>
    <x v="4"/>
    <x v="4"/>
    <x v="0"/>
    <x v="0"/>
    <x v="12"/>
    <x v="12"/>
    <x v="667"/>
    <x v="0"/>
    <s v="BOULEVARD EL DORADO"/>
    <x v="0"/>
  </r>
  <r>
    <x v="56"/>
    <x v="4"/>
    <x v="4"/>
    <x v="4"/>
    <x v="0"/>
    <x v="0"/>
    <x v="4"/>
    <x v="4"/>
    <x v="668"/>
    <x v="0"/>
    <s v="BOULEVARD EL DORADO"/>
    <x v="0"/>
  </r>
  <r>
    <x v="56"/>
    <x v="0"/>
    <x v="0"/>
    <x v="0"/>
    <x v="0"/>
    <x v="0"/>
    <x v="0"/>
    <x v="0"/>
    <x v="669"/>
    <x v="0"/>
    <s v="BOULEVARD EL DORADO"/>
    <x v="0"/>
  </r>
  <r>
    <x v="56"/>
    <x v="5"/>
    <x v="0"/>
    <x v="0"/>
    <x v="0"/>
    <x v="0"/>
    <x v="5"/>
    <x v="5"/>
    <x v="670"/>
    <x v="0"/>
    <s v="BOULEVARD EL DORADO"/>
    <x v="0"/>
  </r>
  <r>
    <x v="56"/>
    <x v="13"/>
    <x v="5"/>
    <x v="5"/>
    <x v="0"/>
    <x v="0"/>
    <x v="13"/>
    <x v="13"/>
    <x v="671"/>
    <x v="0"/>
    <s v="BOULEVARD EL DORADO"/>
    <x v="0"/>
  </r>
  <r>
    <x v="56"/>
    <x v="6"/>
    <x v="5"/>
    <x v="5"/>
    <x v="0"/>
    <x v="0"/>
    <x v="6"/>
    <x v="6"/>
    <x v="672"/>
    <x v="0"/>
    <s v="BOULEVARD EL DORADO"/>
    <x v="0"/>
  </r>
  <r>
    <x v="56"/>
    <x v="14"/>
    <x v="1"/>
    <x v="1"/>
    <x v="0"/>
    <x v="0"/>
    <x v="14"/>
    <x v="14"/>
    <x v="673"/>
    <x v="0"/>
    <s v="BOULEVARD EL DORADO"/>
    <x v="0"/>
  </r>
  <r>
    <x v="56"/>
    <x v="8"/>
    <x v="1"/>
    <x v="1"/>
    <x v="0"/>
    <x v="0"/>
    <x v="8"/>
    <x v="8"/>
    <x v="674"/>
    <x v="0"/>
    <s v="BOULEVARD EL DORADO"/>
    <x v="0"/>
  </r>
  <r>
    <x v="56"/>
    <x v="1"/>
    <x v="1"/>
    <x v="1"/>
    <x v="0"/>
    <x v="0"/>
    <x v="1"/>
    <x v="1"/>
    <x v="1"/>
    <x v="141"/>
    <s v="BOULEVARD EL DORADO"/>
    <x v="0"/>
  </r>
  <r>
    <x v="56"/>
    <x v="7"/>
    <x v="2"/>
    <x v="2"/>
    <x v="0"/>
    <x v="1"/>
    <x v="7"/>
    <x v="7"/>
    <x v="675"/>
    <x v="0"/>
    <s v="BOULEVARD EL DORADO"/>
    <x v="0"/>
  </r>
  <r>
    <x v="56"/>
    <x v="2"/>
    <x v="2"/>
    <x v="2"/>
    <x v="0"/>
    <x v="1"/>
    <x v="2"/>
    <x v="2"/>
    <x v="676"/>
    <x v="0"/>
    <s v="BOULEVARD EL DORADO"/>
    <x v="0"/>
  </r>
  <r>
    <x v="56"/>
    <x v="10"/>
    <x v="3"/>
    <x v="3"/>
    <x v="0"/>
    <x v="1"/>
    <x v="10"/>
    <x v="10"/>
    <x v="677"/>
    <x v="0"/>
    <s v="BOULEVARD EL DORADO"/>
    <x v="0"/>
  </r>
  <r>
    <x v="56"/>
    <x v="3"/>
    <x v="3"/>
    <x v="3"/>
    <x v="0"/>
    <x v="1"/>
    <x v="3"/>
    <x v="3"/>
    <x v="678"/>
    <x v="0"/>
    <s v="BOULEVARD EL DORADO"/>
    <x v="0"/>
  </r>
  <r>
    <x v="56"/>
    <x v="0"/>
    <x v="0"/>
    <x v="0"/>
    <x v="0"/>
    <x v="1"/>
    <x v="0"/>
    <x v="0"/>
    <x v="284"/>
    <x v="0"/>
    <s v="BOULEVARD EL DORADO"/>
    <x v="0"/>
  </r>
  <r>
    <x v="56"/>
    <x v="5"/>
    <x v="0"/>
    <x v="0"/>
    <x v="0"/>
    <x v="1"/>
    <x v="5"/>
    <x v="5"/>
    <x v="679"/>
    <x v="0"/>
    <s v="BOULEVARD EL DORADO"/>
    <x v="0"/>
  </r>
  <r>
    <x v="56"/>
    <x v="13"/>
    <x v="5"/>
    <x v="5"/>
    <x v="0"/>
    <x v="1"/>
    <x v="13"/>
    <x v="13"/>
    <x v="680"/>
    <x v="0"/>
    <s v="BOULEVARD EL DORADO"/>
    <x v="0"/>
  </r>
  <r>
    <x v="56"/>
    <x v="6"/>
    <x v="5"/>
    <x v="5"/>
    <x v="0"/>
    <x v="1"/>
    <x v="6"/>
    <x v="6"/>
    <x v="681"/>
    <x v="0"/>
    <s v="BOULEVARD EL DORADO"/>
    <x v="0"/>
  </r>
  <r>
    <x v="56"/>
    <x v="1"/>
    <x v="1"/>
    <x v="1"/>
    <x v="0"/>
    <x v="1"/>
    <x v="1"/>
    <x v="1"/>
    <x v="1"/>
    <x v="142"/>
    <s v="BOULEVARD EL DORADO"/>
    <x v="0"/>
  </r>
  <r>
    <x v="57"/>
    <x v="11"/>
    <x v="6"/>
    <x v="6"/>
    <x v="0"/>
    <x v="2"/>
    <x v="11"/>
    <x v="11"/>
    <x v="682"/>
    <x v="0"/>
    <s v="SAN SEBASTIAN"/>
    <x v="0"/>
  </r>
  <r>
    <x v="57"/>
    <x v="1"/>
    <x v="1"/>
    <x v="1"/>
    <x v="0"/>
    <x v="2"/>
    <x v="1"/>
    <x v="1"/>
    <x v="1"/>
    <x v="143"/>
    <s v="SAN SEBASTIAN"/>
    <x v="0"/>
  </r>
  <r>
    <x v="57"/>
    <x v="7"/>
    <x v="2"/>
    <x v="2"/>
    <x v="0"/>
    <x v="0"/>
    <x v="7"/>
    <x v="7"/>
    <x v="683"/>
    <x v="0"/>
    <s v="SAN SEBASTIAN"/>
    <x v="0"/>
  </r>
  <r>
    <x v="57"/>
    <x v="2"/>
    <x v="2"/>
    <x v="2"/>
    <x v="0"/>
    <x v="0"/>
    <x v="2"/>
    <x v="2"/>
    <x v="684"/>
    <x v="0"/>
    <s v="SAN SEBASTIAN"/>
    <x v="0"/>
  </r>
  <r>
    <x v="57"/>
    <x v="9"/>
    <x v="6"/>
    <x v="6"/>
    <x v="0"/>
    <x v="0"/>
    <x v="9"/>
    <x v="9"/>
    <x v="685"/>
    <x v="0"/>
    <s v="SAN SEBASTIAN"/>
    <x v="0"/>
  </r>
  <r>
    <x v="57"/>
    <x v="11"/>
    <x v="6"/>
    <x v="6"/>
    <x v="0"/>
    <x v="0"/>
    <x v="11"/>
    <x v="11"/>
    <x v="686"/>
    <x v="0"/>
    <s v="SAN SEBASTIAN"/>
    <x v="0"/>
  </r>
  <r>
    <x v="57"/>
    <x v="10"/>
    <x v="3"/>
    <x v="3"/>
    <x v="0"/>
    <x v="0"/>
    <x v="10"/>
    <x v="10"/>
    <x v="687"/>
    <x v="0"/>
    <s v="SAN SEBASTIAN"/>
    <x v="0"/>
  </r>
  <r>
    <x v="57"/>
    <x v="3"/>
    <x v="3"/>
    <x v="3"/>
    <x v="0"/>
    <x v="0"/>
    <x v="3"/>
    <x v="3"/>
    <x v="688"/>
    <x v="0"/>
    <s v="SAN SEBASTIAN"/>
    <x v="0"/>
  </r>
  <r>
    <x v="57"/>
    <x v="12"/>
    <x v="4"/>
    <x v="4"/>
    <x v="0"/>
    <x v="0"/>
    <x v="12"/>
    <x v="12"/>
    <x v="689"/>
    <x v="0"/>
    <s v="SAN SEBASTIAN"/>
    <x v="0"/>
  </r>
  <r>
    <x v="57"/>
    <x v="4"/>
    <x v="4"/>
    <x v="4"/>
    <x v="0"/>
    <x v="0"/>
    <x v="4"/>
    <x v="4"/>
    <x v="690"/>
    <x v="0"/>
    <s v="SAN SEBASTIAN"/>
    <x v="0"/>
  </r>
  <r>
    <x v="57"/>
    <x v="0"/>
    <x v="0"/>
    <x v="0"/>
    <x v="0"/>
    <x v="0"/>
    <x v="0"/>
    <x v="0"/>
    <x v="691"/>
    <x v="0"/>
    <s v="SAN SEBASTIAN"/>
    <x v="0"/>
  </r>
  <r>
    <x v="57"/>
    <x v="5"/>
    <x v="0"/>
    <x v="0"/>
    <x v="0"/>
    <x v="0"/>
    <x v="5"/>
    <x v="5"/>
    <x v="692"/>
    <x v="0"/>
    <s v="SAN SEBASTIAN"/>
    <x v="0"/>
  </r>
  <r>
    <x v="57"/>
    <x v="13"/>
    <x v="5"/>
    <x v="5"/>
    <x v="0"/>
    <x v="0"/>
    <x v="13"/>
    <x v="13"/>
    <x v="693"/>
    <x v="0"/>
    <s v="SAN SEBASTIAN"/>
    <x v="0"/>
  </r>
  <r>
    <x v="57"/>
    <x v="6"/>
    <x v="5"/>
    <x v="5"/>
    <x v="0"/>
    <x v="0"/>
    <x v="6"/>
    <x v="6"/>
    <x v="694"/>
    <x v="0"/>
    <s v="SAN SEBASTIAN"/>
    <x v="0"/>
  </r>
  <r>
    <x v="57"/>
    <x v="14"/>
    <x v="1"/>
    <x v="1"/>
    <x v="0"/>
    <x v="0"/>
    <x v="14"/>
    <x v="14"/>
    <x v="695"/>
    <x v="0"/>
    <s v="SAN SEBASTIAN"/>
    <x v="0"/>
  </r>
  <r>
    <x v="57"/>
    <x v="8"/>
    <x v="1"/>
    <x v="1"/>
    <x v="0"/>
    <x v="0"/>
    <x v="8"/>
    <x v="8"/>
    <x v="696"/>
    <x v="0"/>
    <s v="SAN SEBASTIAN"/>
    <x v="0"/>
  </r>
  <r>
    <x v="57"/>
    <x v="1"/>
    <x v="1"/>
    <x v="1"/>
    <x v="0"/>
    <x v="0"/>
    <x v="1"/>
    <x v="1"/>
    <x v="1"/>
    <x v="144"/>
    <s v="SAN SEBASTIAN"/>
    <x v="0"/>
  </r>
  <r>
    <x v="57"/>
    <x v="9"/>
    <x v="6"/>
    <x v="6"/>
    <x v="0"/>
    <x v="1"/>
    <x v="9"/>
    <x v="9"/>
    <x v="697"/>
    <x v="0"/>
    <s v="SAN SEBASTIAN"/>
    <x v="0"/>
  </r>
  <r>
    <x v="57"/>
    <x v="11"/>
    <x v="6"/>
    <x v="6"/>
    <x v="0"/>
    <x v="1"/>
    <x v="11"/>
    <x v="11"/>
    <x v="698"/>
    <x v="0"/>
    <s v="SAN SEBASTIAN"/>
    <x v="0"/>
  </r>
  <r>
    <x v="57"/>
    <x v="10"/>
    <x v="3"/>
    <x v="3"/>
    <x v="0"/>
    <x v="1"/>
    <x v="10"/>
    <x v="10"/>
    <x v="699"/>
    <x v="0"/>
    <s v="SAN SEBASTIAN"/>
    <x v="0"/>
  </r>
  <r>
    <x v="57"/>
    <x v="3"/>
    <x v="3"/>
    <x v="3"/>
    <x v="0"/>
    <x v="1"/>
    <x v="3"/>
    <x v="3"/>
    <x v="700"/>
    <x v="0"/>
    <s v="SAN SEBASTIAN"/>
    <x v="0"/>
  </r>
  <r>
    <x v="57"/>
    <x v="12"/>
    <x v="4"/>
    <x v="4"/>
    <x v="0"/>
    <x v="1"/>
    <x v="12"/>
    <x v="12"/>
    <x v="701"/>
    <x v="0"/>
    <s v="SAN SEBASTIAN"/>
    <x v="0"/>
  </r>
  <r>
    <x v="57"/>
    <x v="4"/>
    <x v="4"/>
    <x v="4"/>
    <x v="0"/>
    <x v="1"/>
    <x v="4"/>
    <x v="4"/>
    <x v="702"/>
    <x v="0"/>
    <s v="SAN SEBASTIAN"/>
    <x v="0"/>
  </r>
  <r>
    <x v="57"/>
    <x v="13"/>
    <x v="5"/>
    <x v="5"/>
    <x v="0"/>
    <x v="1"/>
    <x v="13"/>
    <x v="13"/>
    <x v="703"/>
    <x v="0"/>
    <s v="SAN SEBASTIAN"/>
    <x v="0"/>
  </r>
  <r>
    <x v="57"/>
    <x v="6"/>
    <x v="5"/>
    <x v="5"/>
    <x v="0"/>
    <x v="1"/>
    <x v="6"/>
    <x v="6"/>
    <x v="704"/>
    <x v="0"/>
    <s v="SAN SEBASTIAN"/>
    <x v="0"/>
  </r>
  <r>
    <x v="57"/>
    <x v="8"/>
    <x v="1"/>
    <x v="1"/>
    <x v="0"/>
    <x v="1"/>
    <x v="8"/>
    <x v="8"/>
    <x v="705"/>
    <x v="0"/>
    <s v="SAN SEBASTIAN"/>
    <x v="0"/>
  </r>
  <r>
    <x v="57"/>
    <x v="1"/>
    <x v="1"/>
    <x v="1"/>
    <x v="0"/>
    <x v="1"/>
    <x v="1"/>
    <x v="1"/>
    <x v="1"/>
    <x v="145"/>
    <s v="SAN SEBASTIAN"/>
    <x v="0"/>
  </r>
  <r>
    <x v="58"/>
    <x v="4"/>
    <x v="4"/>
    <x v="4"/>
    <x v="0"/>
    <x v="0"/>
    <x v="4"/>
    <x v="4"/>
    <x v="706"/>
    <x v="0"/>
    <s v="SANTIAGO INTERAMERICANA"/>
    <x v="0"/>
  </r>
  <r>
    <x v="58"/>
    <x v="0"/>
    <x v="0"/>
    <x v="0"/>
    <x v="0"/>
    <x v="0"/>
    <x v="0"/>
    <x v="0"/>
    <x v="707"/>
    <x v="0"/>
    <s v="SANTIAGO INTERAMERICANA"/>
    <x v="0"/>
  </r>
  <r>
    <x v="58"/>
    <x v="1"/>
    <x v="1"/>
    <x v="1"/>
    <x v="0"/>
    <x v="0"/>
    <x v="1"/>
    <x v="1"/>
    <x v="1"/>
    <x v="146"/>
    <s v="SANTIAGO INTERAMERICANA"/>
    <x v="0"/>
  </r>
  <r>
    <x v="59"/>
    <x v="0"/>
    <x v="0"/>
    <x v="0"/>
    <x v="0"/>
    <x v="0"/>
    <x v="0"/>
    <x v="0"/>
    <x v="12"/>
    <x v="0"/>
    <s v="CIUDAD DEL SABER"/>
    <x v="0"/>
  </r>
  <r>
    <x v="59"/>
    <x v="1"/>
    <x v="1"/>
    <x v="1"/>
    <x v="0"/>
    <x v="0"/>
    <x v="1"/>
    <x v="1"/>
    <x v="1"/>
    <x v="147"/>
    <s v="CIUDAD DEL SABER"/>
    <x v="0"/>
  </r>
  <r>
    <x v="60"/>
    <x v="10"/>
    <x v="3"/>
    <x v="3"/>
    <x v="0"/>
    <x v="0"/>
    <x v="10"/>
    <x v="10"/>
    <x v="708"/>
    <x v="0"/>
    <s v="VILLA ZAITA"/>
    <x v="0"/>
  </r>
  <r>
    <x v="60"/>
    <x v="3"/>
    <x v="3"/>
    <x v="3"/>
    <x v="0"/>
    <x v="0"/>
    <x v="3"/>
    <x v="3"/>
    <x v="709"/>
    <x v="0"/>
    <s v="VILLA ZAITA"/>
    <x v="0"/>
  </r>
  <r>
    <x v="60"/>
    <x v="1"/>
    <x v="1"/>
    <x v="1"/>
    <x v="0"/>
    <x v="0"/>
    <x v="1"/>
    <x v="1"/>
    <x v="1"/>
    <x v="148"/>
    <s v="VILLA ZAITA"/>
    <x v="0"/>
  </r>
  <r>
    <x v="60"/>
    <x v="2"/>
    <x v="2"/>
    <x v="2"/>
    <x v="0"/>
    <x v="1"/>
    <x v="2"/>
    <x v="2"/>
    <x v="710"/>
    <x v="0"/>
    <s v="VILLA ZAITA"/>
    <x v="0"/>
  </r>
  <r>
    <x v="60"/>
    <x v="9"/>
    <x v="6"/>
    <x v="6"/>
    <x v="0"/>
    <x v="1"/>
    <x v="9"/>
    <x v="9"/>
    <x v="711"/>
    <x v="0"/>
    <s v="VILLA ZAITA"/>
    <x v="0"/>
  </r>
  <r>
    <x v="60"/>
    <x v="11"/>
    <x v="6"/>
    <x v="6"/>
    <x v="0"/>
    <x v="1"/>
    <x v="11"/>
    <x v="11"/>
    <x v="712"/>
    <x v="0"/>
    <s v="VILLA ZAITA"/>
    <x v="0"/>
  </r>
  <r>
    <x v="60"/>
    <x v="1"/>
    <x v="1"/>
    <x v="1"/>
    <x v="0"/>
    <x v="1"/>
    <x v="1"/>
    <x v="1"/>
    <x v="1"/>
    <x v="149"/>
    <s v="VILLA ZAITA"/>
    <x v="0"/>
  </r>
  <r>
    <x v="61"/>
    <x v="4"/>
    <x v="4"/>
    <x v="4"/>
    <x v="0"/>
    <x v="0"/>
    <x v="4"/>
    <x v="4"/>
    <x v="713"/>
    <x v="0"/>
    <s v="AZUERO TERMINAL PLAZA"/>
    <x v="0"/>
  </r>
  <r>
    <x v="61"/>
    <x v="13"/>
    <x v="5"/>
    <x v="5"/>
    <x v="0"/>
    <x v="0"/>
    <x v="13"/>
    <x v="13"/>
    <x v="714"/>
    <x v="0"/>
    <s v="AZUERO TERMINAL PLAZA"/>
    <x v="0"/>
  </r>
  <r>
    <x v="61"/>
    <x v="1"/>
    <x v="1"/>
    <x v="1"/>
    <x v="0"/>
    <x v="0"/>
    <x v="1"/>
    <x v="1"/>
    <x v="1"/>
    <x v="150"/>
    <s v="AZUERO TERMINAL PLAZA"/>
    <x v="0"/>
  </r>
  <r>
    <x v="62"/>
    <x v="9"/>
    <x v="6"/>
    <x v="6"/>
    <x v="0"/>
    <x v="2"/>
    <x v="9"/>
    <x v="9"/>
    <x v="715"/>
    <x v="0"/>
    <s v="TOWN CENTER COSTA DEL ESTE"/>
    <x v="0"/>
  </r>
  <r>
    <x v="62"/>
    <x v="1"/>
    <x v="1"/>
    <x v="1"/>
    <x v="0"/>
    <x v="2"/>
    <x v="1"/>
    <x v="1"/>
    <x v="1"/>
    <x v="151"/>
    <s v="TOWN CENTER COSTA DEL ESTE"/>
    <x v="0"/>
  </r>
  <r>
    <x v="62"/>
    <x v="9"/>
    <x v="6"/>
    <x v="6"/>
    <x v="0"/>
    <x v="0"/>
    <x v="9"/>
    <x v="9"/>
    <x v="716"/>
    <x v="0"/>
    <s v="TOWN CENTER COSTA DEL ESTE"/>
    <x v="0"/>
  </r>
  <r>
    <x v="62"/>
    <x v="6"/>
    <x v="5"/>
    <x v="5"/>
    <x v="0"/>
    <x v="0"/>
    <x v="6"/>
    <x v="6"/>
    <x v="717"/>
    <x v="0"/>
    <s v="TOWN CENTER COSTA DEL ESTE"/>
    <x v="0"/>
  </r>
  <r>
    <x v="62"/>
    <x v="1"/>
    <x v="1"/>
    <x v="1"/>
    <x v="0"/>
    <x v="0"/>
    <x v="1"/>
    <x v="1"/>
    <x v="1"/>
    <x v="152"/>
    <s v="TOWN CENTER COSTA DEL ESTE"/>
    <x v="0"/>
  </r>
  <r>
    <x v="62"/>
    <x v="9"/>
    <x v="6"/>
    <x v="6"/>
    <x v="0"/>
    <x v="1"/>
    <x v="9"/>
    <x v="9"/>
    <x v="718"/>
    <x v="0"/>
    <s v="TOWN CENTER COSTA DEL ESTE"/>
    <x v="0"/>
  </r>
  <r>
    <x v="62"/>
    <x v="1"/>
    <x v="1"/>
    <x v="1"/>
    <x v="0"/>
    <x v="1"/>
    <x v="1"/>
    <x v="1"/>
    <x v="1"/>
    <x v="153"/>
    <s v="TOWN CENTER COSTA DEL ESTE"/>
    <x v="0"/>
  </r>
  <r>
    <x v="63"/>
    <x v="4"/>
    <x v="4"/>
    <x v="4"/>
    <x v="0"/>
    <x v="0"/>
    <x v="4"/>
    <x v="4"/>
    <x v="719"/>
    <x v="0"/>
    <s v="COSTA VERDE"/>
    <x v="0"/>
  </r>
  <r>
    <x v="63"/>
    <x v="1"/>
    <x v="1"/>
    <x v="1"/>
    <x v="0"/>
    <x v="0"/>
    <x v="1"/>
    <x v="1"/>
    <x v="1"/>
    <x v="154"/>
    <s v="COSTA VERDE"/>
    <x v="0"/>
  </r>
  <r>
    <x v="63"/>
    <x v="1"/>
    <x v="1"/>
    <x v="1"/>
    <x v="0"/>
    <x v="1"/>
    <x v="1"/>
    <x v="1"/>
    <x v="1"/>
    <x v="155"/>
    <s v="COSTA VERDE"/>
    <x v="0"/>
  </r>
  <r>
    <x v="64"/>
    <x v="1"/>
    <x v="1"/>
    <x v="1"/>
    <x v="0"/>
    <x v="0"/>
    <x v="1"/>
    <x v="1"/>
    <x v="1"/>
    <x v="156"/>
    <s v="PLAZA LOS ANGELES"/>
    <x v="0"/>
  </r>
  <r>
    <x v="65"/>
    <x v="1"/>
    <x v="1"/>
    <x v="1"/>
    <x v="0"/>
    <x v="2"/>
    <x v="1"/>
    <x v="1"/>
    <x v="1"/>
    <x v="157"/>
    <s v="SAN MATEO"/>
    <x v="0"/>
  </r>
  <r>
    <x v="65"/>
    <x v="12"/>
    <x v="4"/>
    <x v="4"/>
    <x v="0"/>
    <x v="0"/>
    <x v="12"/>
    <x v="12"/>
    <x v="720"/>
    <x v="0"/>
    <s v="SAN MATEO"/>
    <x v="0"/>
  </r>
  <r>
    <x v="65"/>
    <x v="0"/>
    <x v="0"/>
    <x v="0"/>
    <x v="0"/>
    <x v="0"/>
    <x v="0"/>
    <x v="0"/>
    <x v="721"/>
    <x v="0"/>
    <s v="SAN MATEO"/>
    <x v="0"/>
  </r>
  <r>
    <x v="65"/>
    <x v="5"/>
    <x v="0"/>
    <x v="0"/>
    <x v="0"/>
    <x v="0"/>
    <x v="5"/>
    <x v="5"/>
    <x v="722"/>
    <x v="0"/>
    <s v="SAN MATEO"/>
    <x v="0"/>
  </r>
  <r>
    <x v="65"/>
    <x v="1"/>
    <x v="1"/>
    <x v="1"/>
    <x v="0"/>
    <x v="0"/>
    <x v="1"/>
    <x v="1"/>
    <x v="1"/>
    <x v="158"/>
    <s v="SAN MATEO"/>
    <x v="0"/>
  </r>
  <r>
    <x v="66"/>
    <x v="11"/>
    <x v="6"/>
    <x v="6"/>
    <x v="0"/>
    <x v="0"/>
    <x v="11"/>
    <x v="11"/>
    <x v="723"/>
    <x v="0"/>
    <s v="BRISAS DEL GOLF ARRAIJAN"/>
    <x v="0"/>
  </r>
  <r>
    <x v="66"/>
    <x v="3"/>
    <x v="3"/>
    <x v="3"/>
    <x v="0"/>
    <x v="0"/>
    <x v="3"/>
    <x v="3"/>
    <x v="724"/>
    <x v="0"/>
    <s v="BRISAS DEL GOLF ARRAIJAN"/>
    <x v="0"/>
  </r>
  <r>
    <x v="66"/>
    <x v="4"/>
    <x v="4"/>
    <x v="4"/>
    <x v="0"/>
    <x v="0"/>
    <x v="4"/>
    <x v="4"/>
    <x v="725"/>
    <x v="0"/>
    <s v="BRISAS DEL GOLF ARRAIJAN"/>
    <x v="0"/>
  </r>
  <r>
    <x v="66"/>
    <x v="5"/>
    <x v="0"/>
    <x v="0"/>
    <x v="0"/>
    <x v="0"/>
    <x v="5"/>
    <x v="5"/>
    <x v="725"/>
    <x v="0"/>
    <s v="BRISAS DEL GOLF ARRAIJAN"/>
    <x v="0"/>
  </r>
  <r>
    <x v="66"/>
    <x v="13"/>
    <x v="5"/>
    <x v="5"/>
    <x v="0"/>
    <x v="0"/>
    <x v="13"/>
    <x v="13"/>
    <x v="726"/>
    <x v="0"/>
    <s v="BRISAS DEL GOLF ARRAIJAN"/>
    <x v="0"/>
  </r>
  <r>
    <x v="66"/>
    <x v="1"/>
    <x v="1"/>
    <x v="1"/>
    <x v="0"/>
    <x v="0"/>
    <x v="1"/>
    <x v="1"/>
    <x v="1"/>
    <x v="159"/>
    <s v="BRISAS DEL GOLF ARRAIJAN"/>
    <x v="0"/>
  </r>
  <r>
    <x v="66"/>
    <x v="7"/>
    <x v="2"/>
    <x v="2"/>
    <x v="0"/>
    <x v="1"/>
    <x v="7"/>
    <x v="7"/>
    <x v="727"/>
    <x v="0"/>
    <s v="BRISAS DEL GOLF ARRAIJAN"/>
    <x v="0"/>
  </r>
  <r>
    <x v="66"/>
    <x v="10"/>
    <x v="3"/>
    <x v="3"/>
    <x v="0"/>
    <x v="1"/>
    <x v="10"/>
    <x v="10"/>
    <x v="728"/>
    <x v="0"/>
    <s v="BRISAS DEL GOLF ARRAIJAN"/>
    <x v="0"/>
  </r>
  <r>
    <x v="66"/>
    <x v="1"/>
    <x v="1"/>
    <x v="1"/>
    <x v="0"/>
    <x v="1"/>
    <x v="1"/>
    <x v="1"/>
    <x v="1"/>
    <x v="160"/>
    <s v="BRISAS DEL GOLF ARRAIJAN"/>
    <x v="0"/>
  </r>
  <r>
    <x v="67"/>
    <x v="9"/>
    <x v="6"/>
    <x v="6"/>
    <x v="0"/>
    <x v="0"/>
    <x v="9"/>
    <x v="9"/>
    <x v="729"/>
    <x v="0"/>
    <s v="PASEO ARRAIJAN"/>
    <x v="0"/>
  </r>
  <r>
    <x v="67"/>
    <x v="12"/>
    <x v="4"/>
    <x v="4"/>
    <x v="0"/>
    <x v="0"/>
    <x v="12"/>
    <x v="12"/>
    <x v="730"/>
    <x v="0"/>
    <s v="PASEO ARRAIJAN"/>
    <x v="0"/>
  </r>
  <r>
    <x v="67"/>
    <x v="1"/>
    <x v="1"/>
    <x v="1"/>
    <x v="0"/>
    <x v="0"/>
    <x v="1"/>
    <x v="1"/>
    <x v="1"/>
    <x v="161"/>
    <s v="PASEO ARRAIJAN"/>
    <x v="0"/>
  </r>
  <r>
    <x v="67"/>
    <x v="9"/>
    <x v="6"/>
    <x v="6"/>
    <x v="0"/>
    <x v="1"/>
    <x v="9"/>
    <x v="9"/>
    <x v="284"/>
    <x v="0"/>
    <s v="PASEO ARRAIJAN"/>
    <x v="0"/>
  </r>
  <r>
    <x v="67"/>
    <x v="1"/>
    <x v="1"/>
    <x v="1"/>
    <x v="0"/>
    <x v="1"/>
    <x v="1"/>
    <x v="1"/>
    <x v="1"/>
    <x v="62"/>
    <s v="PASEO ARRAIJAN"/>
    <x v="0"/>
  </r>
  <r>
    <x v="68"/>
    <x v="0"/>
    <x v="0"/>
    <x v="0"/>
    <x v="0"/>
    <x v="0"/>
    <x v="0"/>
    <x v="0"/>
    <x v="731"/>
    <x v="0"/>
    <s v="PLAZA NUEVO TOCUMEN"/>
    <x v="0"/>
  </r>
  <r>
    <x v="68"/>
    <x v="1"/>
    <x v="1"/>
    <x v="1"/>
    <x v="0"/>
    <x v="0"/>
    <x v="1"/>
    <x v="1"/>
    <x v="1"/>
    <x v="162"/>
    <s v="PLAZA NUEVO TOCUMEN"/>
    <x v="0"/>
  </r>
  <r>
    <x v="69"/>
    <x v="11"/>
    <x v="6"/>
    <x v="6"/>
    <x v="0"/>
    <x v="2"/>
    <x v="11"/>
    <x v="11"/>
    <x v="732"/>
    <x v="0"/>
    <s v="SANTA MARIA"/>
    <x v="0"/>
  </r>
  <r>
    <x v="69"/>
    <x v="5"/>
    <x v="0"/>
    <x v="0"/>
    <x v="0"/>
    <x v="2"/>
    <x v="5"/>
    <x v="5"/>
    <x v="733"/>
    <x v="0"/>
    <s v="SANTA MARIA"/>
    <x v="0"/>
  </r>
  <r>
    <x v="69"/>
    <x v="1"/>
    <x v="1"/>
    <x v="1"/>
    <x v="0"/>
    <x v="2"/>
    <x v="1"/>
    <x v="1"/>
    <x v="1"/>
    <x v="163"/>
    <s v="SANTA MARIA"/>
    <x v="0"/>
  </r>
  <r>
    <x v="69"/>
    <x v="1"/>
    <x v="1"/>
    <x v="1"/>
    <x v="0"/>
    <x v="0"/>
    <x v="1"/>
    <x v="1"/>
    <x v="1"/>
    <x v="164"/>
    <s v="SANTA MARIA"/>
    <x v="0"/>
  </r>
  <r>
    <x v="69"/>
    <x v="2"/>
    <x v="2"/>
    <x v="2"/>
    <x v="0"/>
    <x v="1"/>
    <x v="2"/>
    <x v="2"/>
    <x v="734"/>
    <x v="0"/>
    <s v="SANTA MARIA"/>
    <x v="0"/>
  </r>
  <r>
    <x v="69"/>
    <x v="1"/>
    <x v="1"/>
    <x v="1"/>
    <x v="0"/>
    <x v="1"/>
    <x v="1"/>
    <x v="1"/>
    <x v="1"/>
    <x v="165"/>
    <s v="SANTA MARIA"/>
    <x v="0"/>
  </r>
  <r>
    <x v="0"/>
    <x v="24"/>
    <x v="2"/>
    <x v="2"/>
    <x v="0"/>
    <x v="2"/>
    <x v="20"/>
    <x v="24"/>
    <x v="735"/>
    <x v="0"/>
    <s v="CASA MATRIZ"/>
    <x v="1"/>
  </r>
  <r>
    <x v="0"/>
    <x v="25"/>
    <x v="2"/>
    <x v="2"/>
    <x v="0"/>
    <x v="2"/>
    <x v="20"/>
    <x v="24"/>
    <x v="736"/>
    <x v="0"/>
    <s v="CASA MATRIZ"/>
    <x v="1"/>
  </r>
  <r>
    <x v="0"/>
    <x v="26"/>
    <x v="3"/>
    <x v="3"/>
    <x v="0"/>
    <x v="2"/>
    <x v="20"/>
    <x v="24"/>
    <x v="737"/>
    <x v="0"/>
    <s v="CASA MATRIZ"/>
    <x v="1"/>
  </r>
  <r>
    <x v="0"/>
    <x v="27"/>
    <x v="3"/>
    <x v="3"/>
    <x v="0"/>
    <x v="2"/>
    <x v="20"/>
    <x v="24"/>
    <x v="738"/>
    <x v="0"/>
    <s v="CASA MATRIZ"/>
    <x v="1"/>
  </r>
  <r>
    <x v="0"/>
    <x v="28"/>
    <x v="3"/>
    <x v="3"/>
    <x v="0"/>
    <x v="2"/>
    <x v="20"/>
    <x v="24"/>
    <x v="737"/>
    <x v="0"/>
    <s v="CASA MATRIZ"/>
    <x v="1"/>
  </r>
  <r>
    <x v="0"/>
    <x v="29"/>
    <x v="4"/>
    <x v="4"/>
    <x v="0"/>
    <x v="2"/>
    <x v="20"/>
    <x v="24"/>
    <x v="739"/>
    <x v="0"/>
    <s v="CASA MATRIZ"/>
    <x v="1"/>
  </r>
  <r>
    <x v="0"/>
    <x v="30"/>
    <x v="4"/>
    <x v="4"/>
    <x v="0"/>
    <x v="2"/>
    <x v="20"/>
    <x v="24"/>
    <x v="740"/>
    <x v="0"/>
    <s v="CASA MATRIZ"/>
    <x v="1"/>
  </r>
  <r>
    <x v="0"/>
    <x v="31"/>
    <x v="4"/>
    <x v="4"/>
    <x v="0"/>
    <x v="2"/>
    <x v="20"/>
    <x v="24"/>
    <x v="737"/>
    <x v="0"/>
    <s v="CASA MATRIZ"/>
    <x v="1"/>
  </r>
  <r>
    <x v="0"/>
    <x v="32"/>
    <x v="5"/>
    <x v="5"/>
    <x v="0"/>
    <x v="2"/>
    <x v="20"/>
    <x v="24"/>
    <x v="737"/>
    <x v="0"/>
    <s v="CASA MATRIZ"/>
    <x v="1"/>
  </r>
  <r>
    <x v="0"/>
    <x v="33"/>
    <x v="1"/>
    <x v="1"/>
    <x v="0"/>
    <x v="2"/>
    <x v="20"/>
    <x v="24"/>
    <x v="741"/>
    <x v="0"/>
    <s v="CASA MATRIZ"/>
    <x v="1"/>
  </r>
  <r>
    <x v="0"/>
    <x v="1"/>
    <x v="1"/>
    <x v="1"/>
    <x v="0"/>
    <x v="2"/>
    <x v="1"/>
    <x v="1"/>
    <x v="1"/>
    <x v="166"/>
    <s v="CASA MATRIZ"/>
    <x v="1"/>
  </r>
  <r>
    <x v="0"/>
    <x v="1"/>
    <x v="1"/>
    <x v="1"/>
    <x v="0"/>
    <x v="1"/>
    <x v="1"/>
    <x v="1"/>
    <x v="1"/>
    <x v="167"/>
    <s v="CASA MATRIZ"/>
    <x v="1"/>
  </r>
  <r>
    <x v="1"/>
    <x v="34"/>
    <x v="5"/>
    <x v="5"/>
    <x v="0"/>
    <x v="2"/>
    <x v="20"/>
    <x v="25"/>
    <x v="742"/>
    <x v="0"/>
    <s v="PAITILLA"/>
    <x v="1"/>
  </r>
  <r>
    <x v="1"/>
    <x v="1"/>
    <x v="1"/>
    <x v="1"/>
    <x v="0"/>
    <x v="2"/>
    <x v="1"/>
    <x v="1"/>
    <x v="1"/>
    <x v="168"/>
    <s v="PAITILLA"/>
    <x v="1"/>
  </r>
  <r>
    <x v="2"/>
    <x v="35"/>
    <x v="2"/>
    <x v="2"/>
    <x v="0"/>
    <x v="2"/>
    <x v="20"/>
    <x v="26"/>
    <x v="743"/>
    <x v="0"/>
    <s v="EL DORADO"/>
    <x v="1"/>
  </r>
  <r>
    <x v="2"/>
    <x v="36"/>
    <x v="6"/>
    <x v="6"/>
    <x v="0"/>
    <x v="2"/>
    <x v="20"/>
    <x v="26"/>
    <x v="744"/>
    <x v="0"/>
    <s v="EL DORADO"/>
    <x v="1"/>
  </r>
  <r>
    <x v="2"/>
    <x v="15"/>
    <x v="6"/>
    <x v="6"/>
    <x v="0"/>
    <x v="2"/>
    <x v="20"/>
    <x v="26"/>
    <x v="737"/>
    <x v="0"/>
    <s v="EL DORADO"/>
    <x v="1"/>
  </r>
  <r>
    <x v="2"/>
    <x v="37"/>
    <x v="6"/>
    <x v="6"/>
    <x v="0"/>
    <x v="2"/>
    <x v="20"/>
    <x v="26"/>
    <x v="745"/>
    <x v="0"/>
    <s v="EL DORADO"/>
    <x v="1"/>
  </r>
  <r>
    <x v="2"/>
    <x v="19"/>
    <x v="3"/>
    <x v="3"/>
    <x v="0"/>
    <x v="2"/>
    <x v="20"/>
    <x v="26"/>
    <x v="745"/>
    <x v="0"/>
    <s v="EL DORADO"/>
    <x v="1"/>
  </r>
  <r>
    <x v="2"/>
    <x v="38"/>
    <x v="4"/>
    <x v="4"/>
    <x v="0"/>
    <x v="2"/>
    <x v="20"/>
    <x v="26"/>
    <x v="742"/>
    <x v="0"/>
    <s v="EL DORADO"/>
    <x v="1"/>
  </r>
  <r>
    <x v="2"/>
    <x v="31"/>
    <x v="4"/>
    <x v="4"/>
    <x v="0"/>
    <x v="2"/>
    <x v="20"/>
    <x v="26"/>
    <x v="742"/>
    <x v="0"/>
    <s v="EL DORADO"/>
    <x v="1"/>
  </r>
  <r>
    <x v="2"/>
    <x v="39"/>
    <x v="4"/>
    <x v="4"/>
    <x v="0"/>
    <x v="2"/>
    <x v="20"/>
    <x v="26"/>
    <x v="737"/>
    <x v="0"/>
    <s v="EL DORADO"/>
    <x v="1"/>
  </r>
  <r>
    <x v="2"/>
    <x v="40"/>
    <x v="1"/>
    <x v="1"/>
    <x v="0"/>
    <x v="2"/>
    <x v="20"/>
    <x v="26"/>
    <x v="744"/>
    <x v="0"/>
    <s v="EL DORADO"/>
    <x v="1"/>
  </r>
  <r>
    <x v="2"/>
    <x v="41"/>
    <x v="1"/>
    <x v="1"/>
    <x v="0"/>
    <x v="2"/>
    <x v="20"/>
    <x v="26"/>
    <x v="737"/>
    <x v="0"/>
    <s v="EL DORADO"/>
    <x v="1"/>
  </r>
  <r>
    <x v="2"/>
    <x v="42"/>
    <x v="1"/>
    <x v="1"/>
    <x v="0"/>
    <x v="2"/>
    <x v="20"/>
    <x v="26"/>
    <x v="742"/>
    <x v="0"/>
    <s v="EL DORADO"/>
    <x v="1"/>
  </r>
  <r>
    <x v="2"/>
    <x v="1"/>
    <x v="1"/>
    <x v="1"/>
    <x v="0"/>
    <x v="2"/>
    <x v="1"/>
    <x v="1"/>
    <x v="1"/>
    <x v="169"/>
    <s v="EL DORADO"/>
    <x v="1"/>
  </r>
  <r>
    <x v="3"/>
    <x v="43"/>
    <x v="3"/>
    <x v="3"/>
    <x v="0"/>
    <x v="2"/>
    <x v="20"/>
    <x v="27"/>
    <x v="737"/>
    <x v="0"/>
    <s v="VIA ARGENTINA"/>
    <x v="1"/>
  </r>
  <r>
    <x v="3"/>
    <x v="44"/>
    <x v="3"/>
    <x v="3"/>
    <x v="0"/>
    <x v="2"/>
    <x v="20"/>
    <x v="27"/>
    <x v="744"/>
    <x v="0"/>
    <s v="VIA ARGENTINA"/>
    <x v="1"/>
  </r>
  <r>
    <x v="3"/>
    <x v="45"/>
    <x v="0"/>
    <x v="0"/>
    <x v="0"/>
    <x v="2"/>
    <x v="20"/>
    <x v="27"/>
    <x v="744"/>
    <x v="0"/>
    <s v="VIA ARGENTINA"/>
    <x v="1"/>
  </r>
  <r>
    <x v="3"/>
    <x v="46"/>
    <x v="0"/>
    <x v="0"/>
    <x v="0"/>
    <x v="2"/>
    <x v="20"/>
    <x v="27"/>
    <x v="744"/>
    <x v="0"/>
    <s v="VIA ARGENTINA"/>
    <x v="1"/>
  </r>
  <r>
    <x v="3"/>
    <x v="1"/>
    <x v="1"/>
    <x v="1"/>
    <x v="0"/>
    <x v="2"/>
    <x v="1"/>
    <x v="1"/>
    <x v="1"/>
    <x v="170"/>
    <s v="VIA ARGENTINA"/>
    <x v="1"/>
  </r>
  <r>
    <x v="4"/>
    <x v="47"/>
    <x v="2"/>
    <x v="2"/>
    <x v="0"/>
    <x v="2"/>
    <x v="20"/>
    <x v="28"/>
    <x v="745"/>
    <x v="0"/>
    <s v="VIA PORRAS"/>
    <x v="1"/>
  </r>
  <r>
    <x v="4"/>
    <x v="48"/>
    <x v="2"/>
    <x v="2"/>
    <x v="0"/>
    <x v="2"/>
    <x v="20"/>
    <x v="28"/>
    <x v="744"/>
    <x v="0"/>
    <s v="VIA PORRAS"/>
    <x v="1"/>
  </r>
  <r>
    <x v="4"/>
    <x v="36"/>
    <x v="6"/>
    <x v="6"/>
    <x v="0"/>
    <x v="2"/>
    <x v="20"/>
    <x v="28"/>
    <x v="737"/>
    <x v="0"/>
    <s v="VIA PORRAS"/>
    <x v="1"/>
  </r>
  <r>
    <x v="4"/>
    <x v="21"/>
    <x v="6"/>
    <x v="6"/>
    <x v="0"/>
    <x v="2"/>
    <x v="20"/>
    <x v="28"/>
    <x v="746"/>
    <x v="0"/>
    <s v="VIA PORRAS"/>
    <x v="1"/>
  </r>
  <r>
    <x v="4"/>
    <x v="49"/>
    <x v="3"/>
    <x v="3"/>
    <x v="0"/>
    <x v="2"/>
    <x v="20"/>
    <x v="28"/>
    <x v="745"/>
    <x v="0"/>
    <s v="VIA PORRAS"/>
    <x v="1"/>
  </r>
  <r>
    <x v="4"/>
    <x v="19"/>
    <x v="3"/>
    <x v="3"/>
    <x v="0"/>
    <x v="2"/>
    <x v="20"/>
    <x v="28"/>
    <x v="745"/>
    <x v="0"/>
    <s v="VIA PORRAS"/>
    <x v="1"/>
  </r>
  <r>
    <x v="4"/>
    <x v="10"/>
    <x v="3"/>
    <x v="3"/>
    <x v="0"/>
    <x v="2"/>
    <x v="20"/>
    <x v="28"/>
    <x v="744"/>
    <x v="0"/>
    <s v="VIA PORRAS"/>
    <x v="1"/>
  </r>
  <r>
    <x v="4"/>
    <x v="50"/>
    <x v="4"/>
    <x v="4"/>
    <x v="0"/>
    <x v="2"/>
    <x v="20"/>
    <x v="28"/>
    <x v="744"/>
    <x v="0"/>
    <s v="VIA PORRAS"/>
    <x v="1"/>
  </r>
  <r>
    <x v="4"/>
    <x v="51"/>
    <x v="4"/>
    <x v="4"/>
    <x v="0"/>
    <x v="2"/>
    <x v="20"/>
    <x v="28"/>
    <x v="747"/>
    <x v="0"/>
    <s v="VIA PORRAS"/>
    <x v="1"/>
  </r>
  <r>
    <x v="4"/>
    <x v="52"/>
    <x v="0"/>
    <x v="0"/>
    <x v="0"/>
    <x v="2"/>
    <x v="20"/>
    <x v="28"/>
    <x v="746"/>
    <x v="0"/>
    <s v="VIA PORRAS"/>
    <x v="1"/>
  </r>
  <r>
    <x v="4"/>
    <x v="53"/>
    <x v="0"/>
    <x v="0"/>
    <x v="0"/>
    <x v="2"/>
    <x v="20"/>
    <x v="28"/>
    <x v="737"/>
    <x v="0"/>
    <s v="VIA PORRAS"/>
    <x v="1"/>
  </r>
  <r>
    <x v="4"/>
    <x v="54"/>
    <x v="5"/>
    <x v="5"/>
    <x v="0"/>
    <x v="2"/>
    <x v="20"/>
    <x v="28"/>
    <x v="744"/>
    <x v="0"/>
    <s v="VIA PORRAS"/>
    <x v="1"/>
  </r>
  <r>
    <x v="4"/>
    <x v="55"/>
    <x v="1"/>
    <x v="1"/>
    <x v="0"/>
    <x v="2"/>
    <x v="20"/>
    <x v="28"/>
    <x v="744"/>
    <x v="0"/>
    <s v="VIA PORRAS"/>
    <x v="1"/>
  </r>
  <r>
    <x v="4"/>
    <x v="1"/>
    <x v="1"/>
    <x v="1"/>
    <x v="0"/>
    <x v="2"/>
    <x v="20"/>
    <x v="28"/>
    <x v="744"/>
    <x v="0"/>
    <s v="VIA PORRAS"/>
    <x v="1"/>
  </r>
  <r>
    <x v="4"/>
    <x v="1"/>
    <x v="1"/>
    <x v="1"/>
    <x v="0"/>
    <x v="2"/>
    <x v="1"/>
    <x v="1"/>
    <x v="1"/>
    <x v="171"/>
    <s v="VIA PORRAS"/>
    <x v="1"/>
  </r>
  <r>
    <x v="5"/>
    <x v="56"/>
    <x v="3"/>
    <x v="3"/>
    <x v="0"/>
    <x v="2"/>
    <x v="20"/>
    <x v="29"/>
    <x v="746"/>
    <x v="0"/>
    <s v="EL INGENIO"/>
    <x v="1"/>
  </r>
  <r>
    <x v="5"/>
    <x v="12"/>
    <x v="4"/>
    <x v="4"/>
    <x v="0"/>
    <x v="2"/>
    <x v="20"/>
    <x v="29"/>
    <x v="748"/>
    <x v="0"/>
    <s v="EL INGENIO"/>
    <x v="1"/>
  </r>
  <r>
    <x v="5"/>
    <x v="30"/>
    <x v="4"/>
    <x v="4"/>
    <x v="0"/>
    <x v="2"/>
    <x v="20"/>
    <x v="29"/>
    <x v="749"/>
    <x v="0"/>
    <s v="EL INGENIO"/>
    <x v="1"/>
  </r>
  <r>
    <x v="5"/>
    <x v="57"/>
    <x v="0"/>
    <x v="0"/>
    <x v="0"/>
    <x v="2"/>
    <x v="20"/>
    <x v="29"/>
    <x v="750"/>
    <x v="0"/>
    <s v="EL INGENIO"/>
    <x v="1"/>
  </r>
  <r>
    <x v="5"/>
    <x v="58"/>
    <x v="1"/>
    <x v="1"/>
    <x v="0"/>
    <x v="2"/>
    <x v="20"/>
    <x v="29"/>
    <x v="742"/>
    <x v="0"/>
    <s v="EL INGENIO"/>
    <x v="1"/>
  </r>
  <r>
    <x v="5"/>
    <x v="1"/>
    <x v="1"/>
    <x v="1"/>
    <x v="0"/>
    <x v="2"/>
    <x v="1"/>
    <x v="1"/>
    <x v="1"/>
    <x v="172"/>
    <s v="EL INGENIO"/>
    <x v="1"/>
  </r>
  <r>
    <x v="6"/>
    <x v="35"/>
    <x v="2"/>
    <x v="2"/>
    <x v="0"/>
    <x v="2"/>
    <x v="20"/>
    <x v="30"/>
    <x v="751"/>
    <x v="0"/>
    <s v="CHANIS"/>
    <x v="1"/>
  </r>
  <r>
    <x v="6"/>
    <x v="59"/>
    <x v="6"/>
    <x v="6"/>
    <x v="0"/>
    <x v="2"/>
    <x v="20"/>
    <x v="30"/>
    <x v="737"/>
    <x v="0"/>
    <s v="CHANIS"/>
    <x v="1"/>
  </r>
  <r>
    <x v="6"/>
    <x v="60"/>
    <x v="3"/>
    <x v="3"/>
    <x v="0"/>
    <x v="2"/>
    <x v="20"/>
    <x v="30"/>
    <x v="752"/>
    <x v="0"/>
    <s v="CHANIS"/>
    <x v="1"/>
  </r>
  <r>
    <x v="6"/>
    <x v="61"/>
    <x v="3"/>
    <x v="3"/>
    <x v="0"/>
    <x v="2"/>
    <x v="20"/>
    <x v="30"/>
    <x v="751"/>
    <x v="0"/>
    <s v="CHANIS"/>
    <x v="1"/>
  </r>
  <r>
    <x v="6"/>
    <x v="62"/>
    <x v="4"/>
    <x v="4"/>
    <x v="0"/>
    <x v="2"/>
    <x v="20"/>
    <x v="30"/>
    <x v="742"/>
    <x v="0"/>
    <s v="CHANIS"/>
    <x v="1"/>
  </r>
  <r>
    <x v="6"/>
    <x v="4"/>
    <x v="4"/>
    <x v="4"/>
    <x v="0"/>
    <x v="2"/>
    <x v="20"/>
    <x v="30"/>
    <x v="748"/>
    <x v="0"/>
    <s v="CHANIS"/>
    <x v="1"/>
  </r>
  <r>
    <x v="6"/>
    <x v="63"/>
    <x v="5"/>
    <x v="5"/>
    <x v="0"/>
    <x v="2"/>
    <x v="20"/>
    <x v="30"/>
    <x v="751"/>
    <x v="0"/>
    <s v="CHANIS"/>
    <x v="1"/>
  </r>
  <r>
    <x v="6"/>
    <x v="1"/>
    <x v="1"/>
    <x v="1"/>
    <x v="0"/>
    <x v="2"/>
    <x v="1"/>
    <x v="1"/>
    <x v="1"/>
    <x v="173"/>
    <s v="CHANIS"/>
    <x v="1"/>
  </r>
  <r>
    <x v="7"/>
    <x v="64"/>
    <x v="2"/>
    <x v="2"/>
    <x v="0"/>
    <x v="2"/>
    <x v="20"/>
    <x v="31"/>
    <x v="753"/>
    <x v="0"/>
    <s v="PLAZA TOCUMEN"/>
    <x v="1"/>
  </r>
  <r>
    <x v="7"/>
    <x v="65"/>
    <x v="6"/>
    <x v="6"/>
    <x v="0"/>
    <x v="2"/>
    <x v="20"/>
    <x v="31"/>
    <x v="754"/>
    <x v="0"/>
    <s v="PLAZA TOCUMEN"/>
    <x v="1"/>
  </r>
  <r>
    <x v="7"/>
    <x v="60"/>
    <x v="3"/>
    <x v="3"/>
    <x v="0"/>
    <x v="2"/>
    <x v="20"/>
    <x v="31"/>
    <x v="755"/>
    <x v="0"/>
    <s v="PLAZA TOCUMEN"/>
    <x v="1"/>
  </r>
  <r>
    <x v="7"/>
    <x v="29"/>
    <x v="4"/>
    <x v="4"/>
    <x v="0"/>
    <x v="2"/>
    <x v="20"/>
    <x v="31"/>
    <x v="756"/>
    <x v="0"/>
    <s v="PLAZA TOCUMEN"/>
    <x v="1"/>
  </r>
  <r>
    <x v="7"/>
    <x v="66"/>
    <x v="4"/>
    <x v="4"/>
    <x v="0"/>
    <x v="2"/>
    <x v="20"/>
    <x v="31"/>
    <x v="756"/>
    <x v="0"/>
    <s v="PLAZA TOCUMEN"/>
    <x v="1"/>
  </r>
  <r>
    <x v="7"/>
    <x v="13"/>
    <x v="5"/>
    <x v="5"/>
    <x v="0"/>
    <x v="2"/>
    <x v="20"/>
    <x v="31"/>
    <x v="757"/>
    <x v="0"/>
    <s v="PLAZA TOCUMEN"/>
    <x v="1"/>
  </r>
  <r>
    <x v="7"/>
    <x v="1"/>
    <x v="1"/>
    <x v="1"/>
    <x v="0"/>
    <x v="2"/>
    <x v="1"/>
    <x v="1"/>
    <x v="1"/>
    <x v="174"/>
    <s v="PLAZA TOCUMEN"/>
    <x v="1"/>
  </r>
  <r>
    <x v="8"/>
    <x v="67"/>
    <x v="6"/>
    <x v="6"/>
    <x v="0"/>
    <x v="2"/>
    <x v="21"/>
    <x v="32"/>
    <x v="758"/>
    <x v="0"/>
    <s v="SANTIAGO"/>
    <x v="1"/>
  </r>
  <r>
    <x v="8"/>
    <x v="26"/>
    <x v="3"/>
    <x v="3"/>
    <x v="0"/>
    <x v="2"/>
    <x v="20"/>
    <x v="33"/>
    <x v="759"/>
    <x v="0"/>
    <s v="SANTIAGO"/>
    <x v="1"/>
  </r>
  <r>
    <x v="8"/>
    <x v="68"/>
    <x v="4"/>
    <x v="4"/>
    <x v="0"/>
    <x v="2"/>
    <x v="20"/>
    <x v="33"/>
    <x v="760"/>
    <x v="0"/>
    <s v="SANTIAGO"/>
    <x v="1"/>
  </r>
  <r>
    <x v="8"/>
    <x v="51"/>
    <x v="4"/>
    <x v="4"/>
    <x v="0"/>
    <x v="2"/>
    <x v="21"/>
    <x v="34"/>
    <x v="761"/>
    <x v="0"/>
    <s v="SANTIAGO"/>
    <x v="1"/>
  </r>
  <r>
    <x v="8"/>
    <x v="39"/>
    <x v="4"/>
    <x v="4"/>
    <x v="0"/>
    <x v="2"/>
    <x v="20"/>
    <x v="33"/>
    <x v="762"/>
    <x v="0"/>
    <s v="SANTIAGO"/>
    <x v="1"/>
  </r>
  <r>
    <x v="8"/>
    <x v="1"/>
    <x v="1"/>
    <x v="1"/>
    <x v="0"/>
    <x v="2"/>
    <x v="1"/>
    <x v="1"/>
    <x v="1"/>
    <x v="175"/>
    <s v="SANTIAGO"/>
    <x v="1"/>
  </r>
  <r>
    <x v="9"/>
    <x v="69"/>
    <x v="3"/>
    <x v="3"/>
    <x v="0"/>
    <x v="2"/>
    <x v="20"/>
    <x v="35"/>
    <x v="763"/>
    <x v="0"/>
    <s v="OBARRIO"/>
    <x v="1"/>
  </r>
  <r>
    <x v="9"/>
    <x v="1"/>
    <x v="1"/>
    <x v="1"/>
    <x v="0"/>
    <x v="2"/>
    <x v="1"/>
    <x v="1"/>
    <x v="1"/>
    <x v="176"/>
    <s v="OBARRIO"/>
    <x v="1"/>
  </r>
  <r>
    <x v="70"/>
    <x v="70"/>
    <x v="2"/>
    <x v="2"/>
    <x v="0"/>
    <x v="2"/>
    <x v="21"/>
    <x v="36"/>
    <x v="764"/>
    <x v="0"/>
    <s v="COLON"/>
    <x v="1"/>
  </r>
  <r>
    <x v="70"/>
    <x v="71"/>
    <x v="6"/>
    <x v="6"/>
    <x v="0"/>
    <x v="2"/>
    <x v="21"/>
    <x v="37"/>
    <x v="765"/>
    <x v="0"/>
    <s v="COLON"/>
    <x v="1"/>
  </r>
  <r>
    <x v="70"/>
    <x v="72"/>
    <x v="5"/>
    <x v="5"/>
    <x v="0"/>
    <x v="2"/>
    <x v="21"/>
    <x v="38"/>
    <x v="766"/>
    <x v="0"/>
    <s v="COLON"/>
    <x v="1"/>
  </r>
  <r>
    <x v="70"/>
    <x v="73"/>
    <x v="1"/>
    <x v="1"/>
    <x v="0"/>
    <x v="2"/>
    <x v="21"/>
    <x v="39"/>
    <x v="767"/>
    <x v="0"/>
    <s v="COLON"/>
    <x v="1"/>
  </r>
  <r>
    <x v="70"/>
    <x v="1"/>
    <x v="1"/>
    <x v="1"/>
    <x v="0"/>
    <x v="2"/>
    <x v="1"/>
    <x v="1"/>
    <x v="1"/>
    <x v="177"/>
    <s v="COLON"/>
    <x v="1"/>
  </r>
  <r>
    <x v="71"/>
    <x v="1"/>
    <x v="1"/>
    <x v="1"/>
    <x v="0"/>
    <x v="2"/>
    <x v="1"/>
    <x v="1"/>
    <x v="1"/>
    <x v="178"/>
    <s v="AUTOBANCO SAN FRANCISCO"/>
    <x v="1"/>
  </r>
  <r>
    <x v="10"/>
    <x v="74"/>
    <x v="3"/>
    <x v="3"/>
    <x v="0"/>
    <x v="2"/>
    <x v="20"/>
    <x v="40"/>
    <x v="737"/>
    <x v="0"/>
    <s v="HATO PINTADO"/>
    <x v="1"/>
  </r>
  <r>
    <x v="10"/>
    <x v="75"/>
    <x v="3"/>
    <x v="3"/>
    <x v="0"/>
    <x v="2"/>
    <x v="20"/>
    <x v="40"/>
    <x v="768"/>
    <x v="0"/>
    <s v="HATO PINTADO"/>
    <x v="1"/>
  </r>
  <r>
    <x v="10"/>
    <x v="76"/>
    <x v="5"/>
    <x v="5"/>
    <x v="0"/>
    <x v="2"/>
    <x v="20"/>
    <x v="40"/>
    <x v="737"/>
    <x v="0"/>
    <s v="HATO PINTADO"/>
    <x v="1"/>
  </r>
  <r>
    <x v="10"/>
    <x v="77"/>
    <x v="5"/>
    <x v="5"/>
    <x v="0"/>
    <x v="2"/>
    <x v="20"/>
    <x v="40"/>
    <x v="737"/>
    <x v="0"/>
    <s v="HATO PINTADO"/>
    <x v="1"/>
  </r>
  <r>
    <x v="10"/>
    <x v="54"/>
    <x v="5"/>
    <x v="5"/>
    <x v="0"/>
    <x v="2"/>
    <x v="20"/>
    <x v="40"/>
    <x v="750"/>
    <x v="0"/>
    <s v="HATO PINTADO"/>
    <x v="1"/>
  </r>
  <r>
    <x v="10"/>
    <x v="1"/>
    <x v="1"/>
    <x v="1"/>
    <x v="0"/>
    <x v="2"/>
    <x v="1"/>
    <x v="1"/>
    <x v="1"/>
    <x v="179"/>
    <s v="HATO PINTADO"/>
    <x v="1"/>
  </r>
  <r>
    <x v="11"/>
    <x v="78"/>
    <x v="4"/>
    <x v="4"/>
    <x v="0"/>
    <x v="2"/>
    <x v="20"/>
    <x v="41"/>
    <x v="737"/>
    <x v="0"/>
    <s v="RIO ABAJO"/>
    <x v="1"/>
  </r>
  <r>
    <x v="11"/>
    <x v="73"/>
    <x v="1"/>
    <x v="1"/>
    <x v="0"/>
    <x v="2"/>
    <x v="20"/>
    <x v="41"/>
    <x v="737"/>
    <x v="0"/>
    <s v="RIO ABAJO"/>
    <x v="1"/>
  </r>
  <r>
    <x v="11"/>
    <x v="1"/>
    <x v="1"/>
    <x v="1"/>
    <x v="0"/>
    <x v="2"/>
    <x v="1"/>
    <x v="1"/>
    <x v="1"/>
    <x v="180"/>
    <s v="RIO ABAJO"/>
    <x v="1"/>
  </r>
  <r>
    <x v="11"/>
    <x v="1"/>
    <x v="1"/>
    <x v="1"/>
    <x v="0"/>
    <x v="0"/>
    <x v="1"/>
    <x v="1"/>
    <x v="1"/>
    <x v="181"/>
    <s v="RIO ABAJO"/>
    <x v="1"/>
  </r>
  <r>
    <x v="12"/>
    <x v="70"/>
    <x v="2"/>
    <x v="2"/>
    <x v="0"/>
    <x v="2"/>
    <x v="21"/>
    <x v="36"/>
    <x v="769"/>
    <x v="0"/>
    <s v="LA CHORRERA"/>
    <x v="1"/>
  </r>
  <r>
    <x v="12"/>
    <x v="25"/>
    <x v="2"/>
    <x v="2"/>
    <x v="0"/>
    <x v="2"/>
    <x v="20"/>
    <x v="42"/>
    <x v="748"/>
    <x v="0"/>
    <s v="LA CHORRERA"/>
    <x v="1"/>
  </r>
  <r>
    <x v="12"/>
    <x v="9"/>
    <x v="6"/>
    <x v="6"/>
    <x v="0"/>
    <x v="2"/>
    <x v="20"/>
    <x v="42"/>
    <x v="770"/>
    <x v="0"/>
    <s v="LA CHORRERA"/>
    <x v="1"/>
  </r>
  <r>
    <x v="12"/>
    <x v="60"/>
    <x v="3"/>
    <x v="3"/>
    <x v="0"/>
    <x v="2"/>
    <x v="20"/>
    <x v="42"/>
    <x v="771"/>
    <x v="0"/>
    <s v="LA CHORRERA"/>
    <x v="1"/>
  </r>
  <r>
    <x v="12"/>
    <x v="27"/>
    <x v="3"/>
    <x v="3"/>
    <x v="0"/>
    <x v="2"/>
    <x v="21"/>
    <x v="43"/>
    <x v="772"/>
    <x v="0"/>
    <s v="LA CHORRERA"/>
    <x v="1"/>
  </r>
  <r>
    <x v="12"/>
    <x v="79"/>
    <x v="3"/>
    <x v="3"/>
    <x v="0"/>
    <x v="2"/>
    <x v="20"/>
    <x v="42"/>
    <x v="771"/>
    <x v="0"/>
    <s v="LA CHORRERA"/>
    <x v="1"/>
  </r>
  <r>
    <x v="12"/>
    <x v="80"/>
    <x v="4"/>
    <x v="4"/>
    <x v="0"/>
    <x v="2"/>
    <x v="20"/>
    <x v="42"/>
    <x v="770"/>
    <x v="0"/>
    <s v="LA CHORRERA"/>
    <x v="1"/>
  </r>
  <r>
    <x v="12"/>
    <x v="81"/>
    <x v="4"/>
    <x v="4"/>
    <x v="0"/>
    <x v="2"/>
    <x v="20"/>
    <x v="42"/>
    <x v="748"/>
    <x v="0"/>
    <s v="LA CHORRERA"/>
    <x v="1"/>
  </r>
  <r>
    <x v="12"/>
    <x v="31"/>
    <x v="4"/>
    <x v="4"/>
    <x v="0"/>
    <x v="2"/>
    <x v="20"/>
    <x v="42"/>
    <x v="748"/>
    <x v="0"/>
    <s v="LA CHORRERA"/>
    <x v="1"/>
  </r>
  <r>
    <x v="12"/>
    <x v="57"/>
    <x v="0"/>
    <x v="0"/>
    <x v="0"/>
    <x v="2"/>
    <x v="21"/>
    <x v="44"/>
    <x v="769"/>
    <x v="0"/>
    <s v="LA CHORRERA"/>
    <x v="1"/>
  </r>
  <r>
    <x v="12"/>
    <x v="82"/>
    <x v="0"/>
    <x v="0"/>
    <x v="0"/>
    <x v="2"/>
    <x v="20"/>
    <x v="42"/>
    <x v="773"/>
    <x v="0"/>
    <s v="LA CHORRERA"/>
    <x v="1"/>
  </r>
  <r>
    <x v="12"/>
    <x v="20"/>
    <x v="5"/>
    <x v="5"/>
    <x v="0"/>
    <x v="2"/>
    <x v="21"/>
    <x v="45"/>
    <x v="769"/>
    <x v="0"/>
    <s v="LA CHORRERA"/>
    <x v="1"/>
  </r>
  <r>
    <x v="12"/>
    <x v="58"/>
    <x v="1"/>
    <x v="1"/>
    <x v="0"/>
    <x v="2"/>
    <x v="20"/>
    <x v="42"/>
    <x v="748"/>
    <x v="0"/>
    <s v="LA CHORRERA"/>
    <x v="1"/>
  </r>
  <r>
    <x v="12"/>
    <x v="83"/>
    <x v="1"/>
    <x v="1"/>
    <x v="0"/>
    <x v="2"/>
    <x v="20"/>
    <x v="42"/>
    <x v="770"/>
    <x v="0"/>
    <s v="LA CHORRERA"/>
    <x v="1"/>
  </r>
  <r>
    <x v="12"/>
    <x v="22"/>
    <x v="1"/>
    <x v="1"/>
    <x v="0"/>
    <x v="2"/>
    <x v="20"/>
    <x v="42"/>
    <x v="748"/>
    <x v="0"/>
    <s v="LA CHORRERA"/>
    <x v="1"/>
  </r>
  <r>
    <x v="12"/>
    <x v="33"/>
    <x v="1"/>
    <x v="1"/>
    <x v="0"/>
    <x v="2"/>
    <x v="20"/>
    <x v="42"/>
    <x v="748"/>
    <x v="0"/>
    <s v="LA CHORRERA"/>
    <x v="1"/>
  </r>
  <r>
    <x v="12"/>
    <x v="1"/>
    <x v="1"/>
    <x v="1"/>
    <x v="0"/>
    <x v="2"/>
    <x v="1"/>
    <x v="1"/>
    <x v="1"/>
    <x v="182"/>
    <s v="LA CHORRERA"/>
    <x v="1"/>
  </r>
  <r>
    <x v="12"/>
    <x v="1"/>
    <x v="1"/>
    <x v="1"/>
    <x v="0"/>
    <x v="1"/>
    <x v="1"/>
    <x v="1"/>
    <x v="1"/>
    <x v="183"/>
    <s v="LA CHORRERA"/>
    <x v="1"/>
  </r>
  <r>
    <x v="13"/>
    <x v="84"/>
    <x v="2"/>
    <x v="2"/>
    <x v="0"/>
    <x v="2"/>
    <x v="20"/>
    <x v="46"/>
    <x v="774"/>
    <x v="0"/>
    <s v="AVENIDA CENTRAL"/>
    <x v="1"/>
  </r>
  <r>
    <x v="13"/>
    <x v="30"/>
    <x v="4"/>
    <x v="4"/>
    <x v="0"/>
    <x v="2"/>
    <x v="20"/>
    <x v="46"/>
    <x v="774"/>
    <x v="0"/>
    <s v="AVENIDA CENTRAL"/>
    <x v="1"/>
  </r>
  <r>
    <x v="13"/>
    <x v="1"/>
    <x v="1"/>
    <x v="1"/>
    <x v="0"/>
    <x v="2"/>
    <x v="1"/>
    <x v="1"/>
    <x v="1"/>
    <x v="184"/>
    <s v="AVENIDA CENTRAL"/>
    <x v="1"/>
  </r>
  <r>
    <x v="14"/>
    <x v="85"/>
    <x v="2"/>
    <x v="2"/>
    <x v="0"/>
    <x v="2"/>
    <x v="20"/>
    <x v="47"/>
    <x v="754"/>
    <x v="0"/>
    <s v="LOS ANGELES"/>
    <x v="1"/>
  </r>
  <r>
    <x v="14"/>
    <x v="86"/>
    <x v="6"/>
    <x v="6"/>
    <x v="0"/>
    <x v="2"/>
    <x v="20"/>
    <x v="47"/>
    <x v="747"/>
    <x v="0"/>
    <s v="LOS ANGELES"/>
    <x v="1"/>
  </r>
  <r>
    <x v="14"/>
    <x v="87"/>
    <x v="6"/>
    <x v="6"/>
    <x v="0"/>
    <x v="2"/>
    <x v="20"/>
    <x v="47"/>
    <x v="742"/>
    <x v="0"/>
    <s v="LOS ANGELES"/>
    <x v="1"/>
  </r>
  <r>
    <x v="14"/>
    <x v="88"/>
    <x v="6"/>
    <x v="6"/>
    <x v="0"/>
    <x v="2"/>
    <x v="20"/>
    <x v="47"/>
    <x v="744"/>
    <x v="0"/>
    <s v="LOS ANGELES"/>
    <x v="1"/>
  </r>
  <r>
    <x v="14"/>
    <x v="67"/>
    <x v="6"/>
    <x v="6"/>
    <x v="0"/>
    <x v="2"/>
    <x v="20"/>
    <x v="47"/>
    <x v="745"/>
    <x v="0"/>
    <s v="LOS ANGELES"/>
    <x v="1"/>
  </r>
  <r>
    <x v="14"/>
    <x v="89"/>
    <x v="4"/>
    <x v="4"/>
    <x v="0"/>
    <x v="2"/>
    <x v="20"/>
    <x v="47"/>
    <x v="748"/>
    <x v="0"/>
    <s v="LOS ANGELES"/>
    <x v="1"/>
  </r>
  <r>
    <x v="14"/>
    <x v="4"/>
    <x v="4"/>
    <x v="4"/>
    <x v="0"/>
    <x v="2"/>
    <x v="20"/>
    <x v="47"/>
    <x v="748"/>
    <x v="0"/>
    <s v="LOS ANGELES"/>
    <x v="1"/>
  </r>
  <r>
    <x v="14"/>
    <x v="90"/>
    <x v="0"/>
    <x v="0"/>
    <x v="0"/>
    <x v="2"/>
    <x v="20"/>
    <x v="47"/>
    <x v="742"/>
    <x v="0"/>
    <s v="LOS ANGELES"/>
    <x v="1"/>
  </r>
  <r>
    <x v="14"/>
    <x v="0"/>
    <x v="0"/>
    <x v="0"/>
    <x v="0"/>
    <x v="2"/>
    <x v="20"/>
    <x v="47"/>
    <x v="737"/>
    <x v="0"/>
    <s v="LOS ANGELES"/>
    <x v="1"/>
  </r>
  <r>
    <x v="14"/>
    <x v="91"/>
    <x v="0"/>
    <x v="0"/>
    <x v="0"/>
    <x v="2"/>
    <x v="20"/>
    <x v="47"/>
    <x v="747"/>
    <x v="0"/>
    <s v="LOS ANGELES"/>
    <x v="1"/>
  </r>
  <r>
    <x v="14"/>
    <x v="92"/>
    <x v="0"/>
    <x v="0"/>
    <x v="0"/>
    <x v="2"/>
    <x v="20"/>
    <x v="47"/>
    <x v="737"/>
    <x v="0"/>
    <s v="LOS ANGELES"/>
    <x v="1"/>
  </r>
  <r>
    <x v="14"/>
    <x v="93"/>
    <x v="0"/>
    <x v="0"/>
    <x v="0"/>
    <x v="2"/>
    <x v="20"/>
    <x v="47"/>
    <x v="737"/>
    <x v="0"/>
    <s v="LOS ANGELES"/>
    <x v="1"/>
  </r>
  <r>
    <x v="14"/>
    <x v="94"/>
    <x v="0"/>
    <x v="0"/>
    <x v="0"/>
    <x v="2"/>
    <x v="20"/>
    <x v="47"/>
    <x v="775"/>
    <x v="0"/>
    <s v="LOS ANGELES"/>
    <x v="1"/>
  </r>
  <r>
    <x v="14"/>
    <x v="72"/>
    <x v="5"/>
    <x v="5"/>
    <x v="0"/>
    <x v="2"/>
    <x v="20"/>
    <x v="47"/>
    <x v="776"/>
    <x v="0"/>
    <s v="LOS ANGELES"/>
    <x v="1"/>
  </r>
  <r>
    <x v="14"/>
    <x v="95"/>
    <x v="1"/>
    <x v="1"/>
    <x v="0"/>
    <x v="2"/>
    <x v="20"/>
    <x v="47"/>
    <x v="748"/>
    <x v="0"/>
    <s v="LOS ANGELES"/>
    <x v="1"/>
  </r>
  <r>
    <x v="14"/>
    <x v="41"/>
    <x v="1"/>
    <x v="1"/>
    <x v="0"/>
    <x v="2"/>
    <x v="20"/>
    <x v="47"/>
    <x v="744"/>
    <x v="0"/>
    <s v="LOS ANGELES"/>
    <x v="1"/>
  </r>
  <r>
    <x v="14"/>
    <x v="42"/>
    <x v="1"/>
    <x v="1"/>
    <x v="0"/>
    <x v="2"/>
    <x v="20"/>
    <x v="47"/>
    <x v="776"/>
    <x v="0"/>
    <s v="LOS ANGELES"/>
    <x v="1"/>
  </r>
  <r>
    <x v="14"/>
    <x v="8"/>
    <x v="1"/>
    <x v="1"/>
    <x v="0"/>
    <x v="2"/>
    <x v="20"/>
    <x v="47"/>
    <x v="776"/>
    <x v="0"/>
    <s v="LOS ANGELES"/>
    <x v="1"/>
  </r>
  <r>
    <x v="14"/>
    <x v="1"/>
    <x v="1"/>
    <x v="1"/>
    <x v="0"/>
    <x v="2"/>
    <x v="1"/>
    <x v="1"/>
    <x v="1"/>
    <x v="185"/>
    <s v="LOS ANGELES"/>
    <x v="1"/>
  </r>
  <r>
    <x v="15"/>
    <x v="70"/>
    <x v="2"/>
    <x v="2"/>
    <x v="0"/>
    <x v="2"/>
    <x v="20"/>
    <x v="48"/>
    <x v="777"/>
    <x v="0"/>
    <s v="VILLA LUCRE"/>
    <x v="1"/>
  </r>
  <r>
    <x v="15"/>
    <x v="88"/>
    <x v="6"/>
    <x v="6"/>
    <x v="0"/>
    <x v="2"/>
    <x v="20"/>
    <x v="48"/>
    <x v="755"/>
    <x v="0"/>
    <s v="VILLA LUCRE"/>
    <x v="1"/>
  </r>
  <r>
    <x v="15"/>
    <x v="96"/>
    <x v="6"/>
    <x v="6"/>
    <x v="0"/>
    <x v="2"/>
    <x v="20"/>
    <x v="48"/>
    <x v="778"/>
    <x v="0"/>
    <s v="VILLA LUCRE"/>
    <x v="1"/>
  </r>
  <r>
    <x v="15"/>
    <x v="97"/>
    <x v="5"/>
    <x v="5"/>
    <x v="0"/>
    <x v="2"/>
    <x v="20"/>
    <x v="48"/>
    <x v="756"/>
    <x v="0"/>
    <s v="VILLA LUCRE"/>
    <x v="1"/>
  </r>
  <r>
    <x v="15"/>
    <x v="8"/>
    <x v="1"/>
    <x v="1"/>
    <x v="0"/>
    <x v="2"/>
    <x v="20"/>
    <x v="48"/>
    <x v="778"/>
    <x v="0"/>
    <s v="VILLA LUCRE"/>
    <x v="1"/>
  </r>
  <r>
    <x v="15"/>
    <x v="98"/>
    <x v="1"/>
    <x v="1"/>
    <x v="0"/>
    <x v="2"/>
    <x v="20"/>
    <x v="48"/>
    <x v="755"/>
    <x v="0"/>
    <s v="VILLA LUCRE"/>
    <x v="1"/>
  </r>
  <r>
    <x v="15"/>
    <x v="1"/>
    <x v="1"/>
    <x v="1"/>
    <x v="0"/>
    <x v="2"/>
    <x v="1"/>
    <x v="1"/>
    <x v="1"/>
    <x v="186"/>
    <s v="VILLA LUCRE"/>
    <x v="1"/>
  </r>
  <r>
    <x v="16"/>
    <x v="96"/>
    <x v="6"/>
    <x v="6"/>
    <x v="0"/>
    <x v="2"/>
    <x v="20"/>
    <x v="49"/>
    <x v="779"/>
    <x v="0"/>
    <s v="LOS ANDES"/>
    <x v="1"/>
  </r>
  <r>
    <x v="16"/>
    <x v="61"/>
    <x v="3"/>
    <x v="3"/>
    <x v="0"/>
    <x v="2"/>
    <x v="20"/>
    <x v="49"/>
    <x v="738"/>
    <x v="0"/>
    <s v="LOS ANDES"/>
    <x v="1"/>
  </r>
  <r>
    <x v="16"/>
    <x v="30"/>
    <x v="4"/>
    <x v="4"/>
    <x v="0"/>
    <x v="2"/>
    <x v="20"/>
    <x v="49"/>
    <x v="738"/>
    <x v="0"/>
    <s v="LOS ANDES"/>
    <x v="1"/>
  </r>
  <r>
    <x v="16"/>
    <x v="1"/>
    <x v="1"/>
    <x v="1"/>
    <x v="0"/>
    <x v="2"/>
    <x v="1"/>
    <x v="1"/>
    <x v="1"/>
    <x v="187"/>
    <s v="LOS ANDES"/>
    <x v="1"/>
  </r>
  <r>
    <x v="17"/>
    <x v="75"/>
    <x v="3"/>
    <x v="3"/>
    <x v="0"/>
    <x v="2"/>
    <x v="20"/>
    <x v="50"/>
    <x v="780"/>
    <x v="0"/>
    <s v="VIA ESPANA"/>
    <x v="1"/>
  </r>
  <r>
    <x v="17"/>
    <x v="56"/>
    <x v="3"/>
    <x v="3"/>
    <x v="0"/>
    <x v="2"/>
    <x v="22"/>
    <x v="51"/>
    <x v="1"/>
    <x v="188"/>
    <s v="VIA ESPANA"/>
    <x v="1"/>
  </r>
  <r>
    <x v="17"/>
    <x v="99"/>
    <x v="3"/>
    <x v="3"/>
    <x v="0"/>
    <x v="2"/>
    <x v="20"/>
    <x v="50"/>
    <x v="781"/>
    <x v="0"/>
    <s v="VIA ESPANA"/>
    <x v="1"/>
  </r>
  <r>
    <x v="17"/>
    <x v="89"/>
    <x v="4"/>
    <x v="4"/>
    <x v="0"/>
    <x v="2"/>
    <x v="20"/>
    <x v="50"/>
    <x v="737"/>
    <x v="0"/>
    <s v="VIA ESPANA"/>
    <x v="1"/>
  </r>
  <r>
    <x v="17"/>
    <x v="100"/>
    <x v="0"/>
    <x v="0"/>
    <x v="0"/>
    <x v="2"/>
    <x v="20"/>
    <x v="50"/>
    <x v="738"/>
    <x v="0"/>
    <s v="VIA ESPANA"/>
    <x v="1"/>
  </r>
  <r>
    <x v="17"/>
    <x v="34"/>
    <x v="5"/>
    <x v="5"/>
    <x v="0"/>
    <x v="2"/>
    <x v="20"/>
    <x v="50"/>
    <x v="744"/>
    <x v="0"/>
    <s v="VIA ESPANA"/>
    <x v="1"/>
  </r>
  <r>
    <x v="17"/>
    <x v="101"/>
    <x v="1"/>
    <x v="1"/>
    <x v="0"/>
    <x v="2"/>
    <x v="20"/>
    <x v="50"/>
    <x v="737"/>
    <x v="0"/>
    <s v="VIA ESPANA"/>
    <x v="1"/>
  </r>
  <r>
    <x v="17"/>
    <x v="1"/>
    <x v="1"/>
    <x v="1"/>
    <x v="0"/>
    <x v="2"/>
    <x v="1"/>
    <x v="1"/>
    <x v="1"/>
    <x v="189"/>
    <s v="VIA ESPANA"/>
    <x v="1"/>
  </r>
  <r>
    <x v="18"/>
    <x v="102"/>
    <x v="6"/>
    <x v="6"/>
    <x v="0"/>
    <x v="2"/>
    <x v="20"/>
    <x v="52"/>
    <x v="747"/>
    <x v="0"/>
    <s v="AVENIDA CUBA"/>
    <x v="1"/>
  </r>
  <r>
    <x v="18"/>
    <x v="1"/>
    <x v="1"/>
    <x v="1"/>
    <x v="0"/>
    <x v="2"/>
    <x v="1"/>
    <x v="1"/>
    <x v="1"/>
    <x v="190"/>
    <s v="AVENIDA CUBA"/>
    <x v="1"/>
  </r>
  <r>
    <x v="19"/>
    <x v="70"/>
    <x v="2"/>
    <x v="2"/>
    <x v="0"/>
    <x v="2"/>
    <x v="21"/>
    <x v="36"/>
    <x v="782"/>
    <x v="0"/>
    <s v="CHITRE"/>
    <x v="1"/>
  </r>
  <r>
    <x v="19"/>
    <x v="103"/>
    <x v="3"/>
    <x v="3"/>
    <x v="0"/>
    <x v="2"/>
    <x v="20"/>
    <x v="53"/>
    <x v="783"/>
    <x v="0"/>
    <s v="CHITRE"/>
    <x v="1"/>
  </r>
  <r>
    <x v="19"/>
    <x v="104"/>
    <x v="3"/>
    <x v="3"/>
    <x v="0"/>
    <x v="2"/>
    <x v="20"/>
    <x v="53"/>
    <x v="784"/>
    <x v="0"/>
    <s v="CHITRE"/>
    <x v="1"/>
  </r>
  <r>
    <x v="19"/>
    <x v="0"/>
    <x v="0"/>
    <x v="0"/>
    <x v="0"/>
    <x v="2"/>
    <x v="20"/>
    <x v="53"/>
    <x v="741"/>
    <x v="0"/>
    <s v="CHITRE"/>
    <x v="1"/>
  </r>
  <r>
    <x v="19"/>
    <x v="63"/>
    <x v="5"/>
    <x v="5"/>
    <x v="0"/>
    <x v="2"/>
    <x v="20"/>
    <x v="53"/>
    <x v="785"/>
    <x v="0"/>
    <s v="CHITRE"/>
    <x v="1"/>
  </r>
  <r>
    <x v="19"/>
    <x v="83"/>
    <x v="1"/>
    <x v="1"/>
    <x v="0"/>
    <x v="2"/>
    <x v="20"/>
    <x v="53"/>
    <x v="740"/>
    <x v="0"/>
    <s v="CHITRE"/>
    <x v="1"/>
  </r>
  <r>
    <x v="19"/>
    <x v="101"/>
    <x v="1"/>
    <x v="1"/>
    <x v="0"/>
    <x v="2"/>
    <x v="20"/>
    <x v="53"/>
    <x v="736"/>
    <x v="0"/>
    <s v="CHITRE"/>
    <x v="1"/>
  </r>
  <r>
    <x v="19"/>
    <x v="105"/>
    <x v="1"/>
    <x v="1"/>
    <x v="0"/>
    <x v="2"/>
    <x v="20"/>
    <x v="53"/>
    <x v="782"/>
    <x v="0"/>
    <s v="CHITRE"/>
    <x v="1"/>
  </r>
  <r>
    <x v="19"/>
    <x v="1"/>
    <x v="1"/>
    <x v="1"/>
    <x v="0"/>
    <x v="2"/>
    <x v="1"/>
    <x v="1"/>
    <x v="1"/>
    <x v="191"/>
    <s v="CHITRE"/>
    <x v="1"/>
  </r>
  <r>
    <x v="19"/>
    <x v="1"/>
    <x v="1"/>
    <x v="1"/>
    <x v="0"/>
    <x v="1"/>
    <x v="1"/>
    <x v="1"/>
    <x v="1"/>
    <x v="192"/>
    <s v="CHITRE"/>
    <x v="1"/>
  </r>
  <r>
    <x v="20"/>
    <x v="106"/>
    <x v="2"/>
    <x v="2"/>
    <x v="0"/>
    <x v="2"/>
    <x v="20"/>
    <x v="54"/>
    <x v="756"/>
    <x v="0"/>
    <s v="LOS PUEBLOS"/>
    <x v="1"/>
  </r>
  <r>
    <x v="20"/>
    <x v="107"/>
    <x v="2"/>
    <x v="2"/>
    <x v="0"/>
    <x v="2"/>
    <x v="20"/>
    <x v="54"/>
    <x v="756"/>
    <x v="0"/>
    <s v="LOS PUEBLOS"/>
    <x v="1"/>
  </r>
  <r>
    <x v="20"/>
    <x v="108"/>
    <x v="3"/>
    <x v="3"/>
    <x v="0"/>
    <x v="2"/>
    <x v="20"/>
    <x v="54"/>
    <x v="786"/>
    <x v="0"/>
    <s v="LOS PUEBLOS"/>
    <x v="1"/>
  </r>
  <r>
    <x v="20"/>
    <x v="18"/>
    <x v="3"/>
    <x v="3"/>
    <x v="0"/>
    <x v="2"/>
    <x v="20"/>
    <x v="54"/>
    <x v="756"/>
    <x v="0"/>
    <s v="LOS PUEBLOS"/>
    <x v="1"/>
  </r>
  <r>
    <x v="20"/>
    <x v="78"/>
    <x v="4"/>
    <x v="4"/>
    <x v="0"/>
    <x v="2"/>
    <x v="20"/>
    <x v="54"/>
    <x v="754"/>
    <x v="0"/>
    <s v="LOS PUEBLOS"/>
    <x v="1"/>
  </r>
  <r>
    <x v="20"/>
    <x v="77"/>
    <x v="5"/>
    <x v="5"/>
    <x v="0"/>
    <x v="2"/>
    <x v="20"/>
    <x v="54"/>
    <x v="756"/>
    <x v="0"/>
    <s v="LOS PUEBLOS"/>
    <x v="1"/>
  </r>
  <r>
    <x v="20"/>
    <x v="63"/>
    <x v="5"/>
    <x v="5"/>
    <x v="0"/>
    <x v="2"/>
    <x v="20"/>
    <x v="54"/>
    <x v="787"/>
    <x v="0"/>
    <s v="LOS PUEBLOS"/>
    <x v="1"/>
  </r>
  <r>
    <x v="20"/>
    <x v="95"/>
    <x v="1"/>
    <x v="1"/>
    <x v="0"/>
    <x v="2"/>
    <x v="20"/>
    <x v="54"/>
    <x v="754"/>
    <x v="0"/>
    <s v="LOS PUEBLOS"/>
    <x v="1"/>
  </r>
  <r>
    <x v="20"/>
    <x v="109"/>
    <x v="1"/>
    <x v="1"/>
    <x v="0"/>
    <x v="2"/>
    <x v="20"/>
    <x v="54"/>
    <x v="754"/>
    <x v="0"/>
    <s v="LOS PUEBLOS"/>
    <x v="1"/>
  </r>
  <r>
    <x v="20"/>
    <x v="1"/>
    <x v="1"/>
    <x v="1"/>
    <x v="0"/>
    <x v="2"/>
    <x v="1"/>
    <x v="1"/>
    <x v="1"/>
    <x v="193"/>
    <s v="LOS PUEBLOS"/>
    <x v="1"/>
  </r>
  <r>
    <x v="21"/>
    <x v="24"/>
    <x v="2"/>
    <x v="2"/>
    <x v="0"/>
    <x v="2"/>
    <x v="20"/>
    <x v="55"/>
    <x v="788"/>
    <x v="0"/>
    <s v="TRANSISTMICA"/>
    <x v="1"/>
  </r>
  <r>
    <x v="21"/>
    <x v="107"/>
    <x v="2"/>
    <x v="2"/>
    <x v="0"/>
    <x v="2"/>
    <x v="20"/>
    <x v="55"/>
    <x v="789"/>
    <x v="0"/>
    <s v="TRANSISTMICA"/>
    <x v="1"/>
  </r>
  <r>
    <x v="21"/>
    <x v="2"/>
    <x v="2"/>
    <x v="2"/>
    <x v="0"/>
    <x v="2"/>
    <x v="20"/>
    <x v="55"/>
    <x v="746"/>
    <x v="0"/>
    <s v="TRANSISTMICA"/>
    <x v="1"/>
  </r>
  <r>
    <x v="21"/>
    <x v="110"/>
    <x v="2"/>
    <x v="2"/>
    <x v="0"/>
    <x v="2"/>
    <x v="20"/>
    <x v="55"/>
    <x v="745"/>
    <x v="0"/>
    <s v="TRANSISTMICA"/>
    <x v="1"/>
  </r>
  <r>
    <x v="21"/>
    <x v="111"/>
    <x v="2"/>
    <x v="2"/>
    <x v="0"/>
    <x v="2"/>
    <x v="20"/>
    <x v="55"/>
    <x v="748"/>
    <x v="0"/>
    <s v="TRANSISTMICA"/>
    <x v="1"/>
  </r>
  <r>
    <x v="21"/>
    <x v="86"/>
    <x v="6"/>
    <x v="6"/>
    <x v="0"/>
    <x v="2"/>
    <x v="20"/>
    <x v="55"/>
    <x v="746"/>
    <x v="0"/>
    <s v="TRANSISTMICA"/>
    <x v="1"/>
  </r>
  <r>
    <x v="21"/>
    <x v="95"/>
    <x v="1"/>
    <x v="1"/>
    <x v="0"/>
    <x v="2"/>
    <x v="20"/>
    <x v="55"/>
    <x v="737"/>
    <x v="0"/>
    <s v="TRANSISTMICA"/>
    <x v="1"/>
  </r>
  <r>
    <x v="21"/>
    <x v="22"/>
    <x v="1"/>
    <x v="1"/>
    <x v="0"/>
    <x v="2"/>
    <x v="20"/>
    <x v="55"/>
    <x v="737"/>
    <x v="0"/>
    <s v="TRANSISTMICA"/>
    <x v="1"/>
  </r>
  <r>
    <x v="21"/>
    <x v="1"/>
    <x v="1"/>
    <x v="1"/>
    <x v="0"/>
    <x v="2"/>
    <x v="1"/>
    <x v="1"/>
    <x v="1"/>
    <x v="194"/>
    <s v="TRANSISTMICA"/>
    <x v="1"/>
  </r>
  <r>
    <x v="21"/>
    <x v="112"/>
    <x v="2"/>
    <x v="2"/>
    <x v="0"/>
    <x v="0"/>
    <x v="23"/>
    <x v="56"/>
    <x v="1"/>
    <x v="195"/>
    <s v="TRANSISTMICA"/>
    <x v="1"/>
  </r>
  <r>
    <x v="21"/>
    <x v="1"/>
    <x v="1"/>
    <x v="1"/>
    <x v="0"/>
    <x v="0"/>
    <x v="1"/>
    <x v="1"/>
    <x v="774"/>
    <x v="0"/>
    <s v="TRANSISTMICA"/>
    <x v="1"/>
  </r>
  <r>
    <x v="72"/>
    <x v="60"/>
    <x v="3"/>
    <x v="3"/>
    <x v="0"/>
    <x v="2"/>
    <x v="21"/>
    <x v="57"/>
    <x v="790"/>
    <x v="0"/>
    <s v="ZONA LIBRE"/>
    <x v="1"/>
  </r>
  <r>
    <x v="72"/>
    <x v="61"/>
    <x v="3"/>
    <x v="3"/>
    <x v="0"/>
    <x v="2"/>
    <x v="20"/>
    <x v="58"/>
    <x v="791"/>
    <x v="0"/>
    <s v="ZONA LIBRE"/>
    <x v="1"/>
  </r>
  <r>
    <x v="72"/>
    <x v="56"/>
    <x v="3"/>
    <x v="3"/>
    <x v="0"/>
    <x v="2"/>
    <x v="24"/>
    <x v="59"/>
    <x v="1"/>
    <x v="196"/>
    <s v="ZONA LIBRE"/>
    <x v="1"/>
  </r>
  <r>
    <x v="72"/>
    <x v="73"/>
    <x v="1"/>
    <x v="1"/>
    <x v="0"/>
    <x v="2"/>
    <x v="21"/>
    <x v="39"/>
    <x v="790"/>
    <x v="0"/>
    <s v="ZONA LIBRE"/>
    <x v="1"/>
  </r>
  <r>
    <x v="72"/>
    <x v="1"/>
    <x v="1"/>
    <x v="1"/>
    <x v="0"/>
    <x v="2"/>
    <x v="1"/>
    <x v="1"/>
    <x v="1"/>
    <x v="197"/>
    <s v="ZONA LIBRE"/>
    <x v="1"/>
  </r>
  <r>
    <x v="72"/>
    <x v="72"/>
    <x v="5"/>
    <x v="5"/>
    <x v="0"/>
    <x v="0"/>
    <x v="21"/>
    <x v="38"/>
    <x v="792"/>
    <x v="0"/>
    <s v="ZONA LIBRE"/>
    <x v="1"/>
  </r>
  <r>
    <x v="72"/>
    <x v="1"/>
    <x v="1"/>
    <x v="1"/>
    <x v="0"/>
    <x v="0"/>
    <x v="1"/>
    <x v="1"/>
    <x v="1"/>
    <x v="198"/>
    <s v="ZONA LIBRE"/>
    <x v="1"/>
  </r>
  <r>
    <x v="22"/>
    <x v="113"/>
    <x v="6"/>
    <x v="6"/>
    <x v="0"/>
    <x v="2"/>
    <x v="20"/>
    <x v="60"/>
    <x v="793"/>
    <x v="0"/>
    <s v="PLAZA GALAPAGO"/>
    <x v="1"/>
  </r>
  <r>
    <x v="22"/>
    <x v="60"/>
    <x v="3"/>
    <x v="3"/>
    <x v="0"/>
    <x v="2"/>
    <x v="20"/>
    <x v="60"/>
    <x v="778"/>
    <x v="0"/>
    <s v="PLAZA GALAPAGO"/>
    <x v="1"/>
  </r>
  <r>
    <x v="22"/>
    <x v="114"/>
    <x v="3"/>
    <x v="3"/>
    <x v="0"/>
    <x v="2"/>
    <x v="20"/>
    <x v="60"/>
    <x v="794"/>
    <x v="0"/>
    <s v="PLAZA GALAPAGO"/>
    <x v="1"/>
  </r>
  <r>
    <x v="22"/>
    <x v="75"/>
    <x v="3"/>
    <x v="3"/>
    <x v="0"/>
    <x v="2"/>
    <x v="20"/>
    <x v="60"/>
    <x v="795"/>
    <x v="0"/>
    <s v="PLAZA GALAPAGO"/>
    <x v="1"/>
  </r>
  <r>
    <x v="22"/>
    <x v="1"/>
    <x v="1"/>
    <x v="1"/>
    <x v="0"/>
    <x v="2"/>
    <x v="1"/>
    <x v="1"/>
    <x v="1"/>
    <x v="199"/>
    <s v="PLAZA GALAPAGO"/>
    <x v="1"/>
  </r>
  <r>
    <x v="23"/>
    <x v="48"/>
    <x v="2"/>
    <x v="2"/>
    <x v="0"/>
    <x v="2"/>
    <x v="20"/>
    <x v="61"/>
    <x v="787"/>
    <x v="0"/>
    <s v="PARQUE LEFEVRE"/>
    <x v="1"/>
  </r>
  <r>
    <x v="23"/>
    <x v="102"/>
    <x v="6"/>
    <x v="6"/>
    <x v="0"/>
    <x v="2"/>
    <x v="20"/>
    <x v="61"/>
    <x v="756"/>
    <x v="0"/>
    <s v="PARQUE LEFEVRE"/>
    <x v="1"/>
  </r>
  <r>
    <x v="23"/>
    <x v="113"/>
    <x v="6"/>
    <x v="6"/>
    <x v="0"/>
    <x v="2"/>
    <x v="20"/>
    <x v="61"/>
    <x v="756"/>
    <x v="0"/>
    <s v="PARQUE LEFEVRE"/>
    <x v="1"/>
  </r>
  <r>
    <x v="23"/>
    <x v="38"/>
    <x v="4"/>
    <x v="4"/>
    <x v="0"/>
    <x v="2"/>
    <x v="20"/>
    <x v="61"/>
    <x v="191"/>
    <x v="0"/>
    <s v="PARQUE LEFEVRE"/>
    <x v="1"/>
  </r>
  <r>
    <x v="23"/>
    <x v="115"/>
    <x v="5"/>
    <x v="5"/>
    <x v="0"/>
    <x v="2"/>
    <x v="20"/>
    <x v="61"/>
    <x v="737"/>
    <x v="0"/>
    <s v="PARQUE LEFEVRE"/>
    <x v="1"/>
  </r>
  <r>
    <x v="23"/>
    <x v="1"/>
    <x v="1"/>
    <x v="1"/>
    <x v="0"/>
    <x v="2"/>
    <x v="1"/>
    <x v="1"/>
    <x v="1"/>
    <x v="200"/>
    <s v="PARQUE LEFEVRE"/>
    <x v="1"/>
  </r>
  <r>
    <x v="24"/>
    <x v="19"/>
    <x v="3"/>
    <x v="3"/>
    <x v="0"/>
    <x v="2"/>
    <x v="21"/>
    <x v="62"/>
    <x v="796"/>
    <x v="0"/>
    <s v="DAVID"/>
    <x v="1"/>
  </r>
  <r>
    <x v="24"/>
    <x v="108"/>
    <x v="3"/>
    <x v="3"/>
    <x v="0"/>
    <x v="2"/>
    <x v="25"/>
    <x v="63"/>
    <x v="797"/>
    <x v="0"/>
    <s v="DAVID"/>
    <x v="1"/>
  </r>
  <r>
    <x v="24"/>
    <x v="116"/>
    <x v="0"/>
    <x v="0"/>
    <x v="0"/>
    <x v="2"/>
    <x v="21"/>
    <x v="64"/>
    <x v="798"/>
    <x v="0"/>
    <s v="DAVID"/>
    <x v="1"/>
  </r>
  <r>
    <x v="24"/>
    <x v="1"/>
    <x v="1"/>
    <x v="1"/>
    <x v="0"/>
    <x v="2"/>
    <x v="1"/>
    <x v="1"/>
    <x v="1"/>
    <x v="201"/>
    <s v="DAVID"/>
    <x v="1"/>
  </r>
  <r>
    <x v="24"/>
    <x v="1"/>
    <x v="1"/>
    <x v="1"/>
    <x v="0"/>
    <x v="0"/>
    <x v="1"/>
    <x v="1"/>
    <x v="1"/>
    <x v="202"/>
    <s v="DAVID"/>
    <x v="1"/>
  </r>
  <r>
    <x v="24"/>
    <x v="117"/>
    <x v="0"/>
    <x v="0"/>
    <x v="0"/>
    <x v="1"/>
    <x v="21"/>
    <x v="65"/>
    <x v="765"/>
    <x v="0"/>
    <s v="DAVID"/>
    <x v="1"/>
  </r>
  <r>
    <x v="24"/>
    <x v="1"/>
    <x v="1"/>
    <x v="1"/>
    <x v="0"/>
    <x v="1"/>
    <x v="1"/>
    <x v="1"/>
    <x v="1"/>
    <x v="203"/>
    <s v="DAVID"/>
    <x v="1"/>
  </r>
  <r>
    <x v="25"/>
    <x v="44"/>
    <x v="3"/>
    <x v="3"/>
    <x v="0"/>
    <x v="2"/>
    <x v="20"/>
    <x v="66"/>
    <x v="753"/>
    <x v="0"/>
    <s v="PLAZA LAS AMERICAS"/>
    <x v="1"/>
  </r>
  <r>
    <x v="25"/>
    <x v="33"/>
    <x v="1"/>
    <x v="1"/>
    <x v="0"/>
    <x v="2"/>
    <x v="20"/>
    <x v="66"/>
    <x v="799"/>
    <x v="0"/>
    <s v="PLAZA LAS AMERICAS"/>
    <x v="1"/>
  </r>
  <r>
    <x v="25"/>
    <x v="1"/>
    <x v="1"/>
    <x v="1"/>
    <x v="0"/>
    <x v="2"/>
    <x v="1"/>
    <x v="1"/>
    <x v="1"/>
    <x v="204"/>
    <s v="PLAZA LAS AMERICAS"/>
    <x v="1"/>
  </r>
  <r>
    <x v="26"/>
    <x v="70"/>
    <x v="2"/>
    <x v="2"/>
    <x v="0"/>
    <x v="2"/>
    <x v="20"/>
    <x v="67"/>
    <x v="800"/>
    <x v="0"/>
    <s v="CORONADO"/>
    <x v="1"/>
  </r>
  <r>
    <x v="26"/>
    <x v="70"/>
    <x v="2"/>
    <x v="2"/>
    <x v="0"/>
    <x v="2"/>
    <x v="21"/>
    <x v="36"/>
    <x v="801"/>
    <x v="0"/>
    <s v="CORONADO"/>
    <x v="1"/>
  </r>
  <r>
    <x v="26"/>
    <x v="47"/>
    <x v="2"/>
    <x v="2"/>
    <x v="0"/>
    <x v="2"/>
    <x v="21"/>
    <x v="68"/>
    <x v="769"/>
    <x v="0"/>
    <s v="CORONADO"/>
    <x v="1"/>
  </r>
  <r>
    <x v="26"/>
    <x v="118"/>
    <x v="2"/>
    <x v="2"/>
    <x v="0"/>
    <x v="2"/>
    <x v="21"/>
    <x v="69"/>
    <x v="802"/>
    <x v="0"/>
    <s v="CORONADO"/>
    <x v="1"/>
  </r>
  <r>
    <x v="26"/>
    <x v="71"/>
    <x v="6"/>
    <x v="6"/>
    <x v="0"/>
    <x v="2"/>
    <x v="21"/>
    <x v="37"/>
    <x v="803"/>
    <x v="0"/>
    <s v="CORONADO"/>
    <x v="1"/>
  </r>
  <r>
    <x v="26"/>
    <x v="21"/>
    <x v="6"/>
    <x v="6"/>
    <x v="0"/>
    <x v="2"/>
    <x v="20"/>
    <x v="67"/>
    <x v="800"/>
    <x v="0"/>
    <s v="CORONADO"/>
    <x v="1"/>
  </r>
  <r>
    <x v="26"/>
    <x v="21"/>
    <x v="6"/>
    <x v="6"/>
    <x v="0"/>
    <x v="2"/>
    <x v="21"/>
    <x v="70"/>
    <x v="804"/>
    <x v="0"/>
    <s v="CORONADO"/>
    <x v="1"/>
  </r>
  <r>
    <x v="26"/>
    <x v="74"/>
    <x v="3"/>
    <x v="3"/>
    <x v="0"/>
    <x v="2"/>
    <x v="20"/>
    <x v="67"/>
    <x v="800"/>
    <x v="0"/>
    <s v="CORONADO"/>
    <x v="1"/>
  </r>
  <r>
    <x v="26"/>
    <x v="26"/>
    <x v="3"/>
    <x v="3"/>
    <x v="0"/>
    <x v="2"/>
    <x v="20"/>
    <x v="67"/>
    <x v="805"/>
    <x v="0"/>
    <s v="CORONADO"/>
    <x v="1"/>
  </r>
  <r>
    <x v="26"/>
    <x v="43"/>
    <x v="3"/>
    <x v="3"/>
    <x v="0"/>
    <x v="2"/>
    <x v="21"/>
    <x v="71"/>
    <x v="800"/>
    <x v="0"/>
    <s v="CORONADO"/>
    <x v="1"/>
  </r>
  <r>
    <x v="26"/>
    <x v="31"/>
    <x v="4"/>
    <x v="4"/>
    <x v="0"/>
    <x v="2"/>
    <x v="21"/>
    <x v="72"/>
    <x v="804"/>
    <x v="0"/>
    <s v="CORONADO"/>
    <x v="1"/>
  </r>
  <r>
    <x v="26"/>
    <x v="51"/>
    <x v="4"/>
    <x v="4"/>
    <x v="0"/>
    <x v="2"/>
    <x v="20"/>
    <x v="67"/>
    <x v="779"/>
    <x v="0"/>
    <s v="CORONADO"/>
    <x v="1"/>
  </r>
  <r>
    <x v="26"/>
    <x v="119"/>
    <x v="0"/>
    <x v="0"/>
    <x v="0"/>
    <x v="2"/>
    <x v="20"/>
    <x v="67"/>
    <x v="770"/>
    <x v="0"/>
    <s v="CORONADO"/>
    <x v="1"/>
  </r>
  <r>
    <x v="26"/>
    <x v="120"/>
    <x v="0"/>
    <x v="0"/>
    <x v="0"/>
    <x v="2"/>
    <x v="20"/>
    <x v="67"/>
    <x v="770"/>
    <x v="0"/>
    <s v="CORONADO"/>
    <x v="1"/>
  </r>
  <r>
    <x v="26"/>
    <x v="121"/>
    <x v="0"/>
    <x v="0"/>
    <x v="0"/>
    <x v="2"/>
    <x v="20"/>
    <x v="67"/>
    <x v="800"/>
    <x v="0"/>
    <s v="CORONADO"/>
    <x v="1"/>
  </r>
  <r>
    <x v="26"/>
    <x v="100"/>
    <x v="0"/>
    <x v="0"/>
    <x v="0"/>
    <x v="2"/>
    <x v="21"/>
    <x v="73"/>
    <x v="806"/>
    <x v="0"/>
    <s v="CORONADO"/>
    <x v="1"/>
  </r>
  <r>
    <x v="26"/>
    <x v="122"/>
    <x v="0"/>
    <x v="0"/>
    <x v="0"/>
    <x v="2"/>
    <x v="20"/>
    <x v="67"/>
    <x v="779"/>
    <x v="0"/>
    <s v="CORONADO"/>
    <x v="1"/>
  </r>
  <r>
    <x v="26"/>
    <x v="32"/>
    <x v="5"/>
    <x v="5"/>
    <x v="0"/>
    <x v="2"/>
    <x v="20"/>
    <x v="67"/>
    <x v="779"/>
    <x v="0"/>
    <s v="CORONADO"/>
    <x v="1"/>
  </r>
  <r>
    <x v="26"/>
    <x v="97"/>
    <x v="5"/>
    <x v="5"/>
    <x v="0"/>
    <x v="2"/>
    <x v="20"/>
    <x v="67"/>
    <x v="800"/>
    <x v="0"/>
    <s v="CORONADO"/>
    <x v="1"/>
  </r>
  <r>
    <x v="26"/>
    <x v="123"/>
    <x v="5"/>
    <x v="5"/>
    <x v="0"/>
    <x v="2"/>
    <x v="21"/>
    <x v="74"/>
    <x v="804"/>
    <x v="0"/>
    <s v="CORONADO"/>
    <x v="1"/>
  </r>
  <r>
    <x v="26"/>
    <x v="124"/>
    <x v="5"/>
    <x v="5"/>
    <x v="0"/>
    <x v="2"/>
    <x v="20"/>
    <x v="67"/>
    <x v="770"/>
    <x v="0"/>
    <s v="CORONADO"/>
    <x v="1"/>
  </r>
  <r>
    <x v="26"/>
    <x v="83"/>
    <x v="1"/>
    <x v="1"/>
    <x v="0"/>
    <x v="2"/>
    <x v="20"/>
    <x v="67"/>
    <x v="771"/>
    <x v="0"/>
    <s v="CORONADO"/>
    <x v="1"/>
  </r>
  <r>
    <x v="26"/>
    <x v="109"/>
    <x v="1"/>
    <x v="1"/>
    <x v="0"/>
    <x v="2"/>
    <x v="20"/>
    <x v="67"/>
    <x v="801"/>
    <x v="0"/>
    <s v="CORONADO"/>
    <x v="1"/>
  </r>
  <r>
    <x v="26"/>
    <x v="1"/>
    <x v="1"/>
    <x v="1"/>
    <x v="0"/>
    <x v="2"/>
    <x v="1"/>
    <x v="1"/>
    <x v="1"/>
    <x v="205"/>
    <s v="CORONADO"/>
    <x v="1"/>
  </r>
  <r>
    <x v="26"/>
    <x v="70"/>
    <x v="2"/>
    <x v="2"/>
    <x v="0"/>
    <x v="0"/>
    <x v="21"/>
    <x v="36"/>
    <x v="802"/>
    <x v="0"/>
    <s v="CORONADO"/>
    <x v="1"/>
  </r>
  <r>
    <x v="26"/>
    <x v="118"/>
    <x v="2"/>
    <x v="2"/>
    <x v="0"/>
    <x v="0"/>
    <x v="21"/>
    <x v="69"/>
    <x v="807"/>
    <x v="0"/>
    <s v="CORONADO"/>
    <x v="1"/>
  </r>
  <r>
    <x v="26"/>
    <x v="111"/>
    <x v="2"/>
    <x v="2"/>
    <x v="0"/>
    <x v="0"/>
    <x v="21"/>
    <x v="75"/>
    <x v="803"/>
    <x v="0"/>
    <s v="CORONADO"/>
    <x v="1"/>
  </r>
  <r>
    <x v="26"/>
    <x v="114"/>
    <x v="3"/>
    <x v="3"/>
    <x v="0"/>
    <x v="0"/>
    <x v="21"/>
    <x v="76"/>
    <x v="807"/>
    <x v="0"/>
    <s v="CORONADO"/>
    <x v="1"/>
  </r>
  <r>
    <x v="26"/>
    <x v="50"/>
    <x v="4"/>
    <x v="4"/>
    <x v="0"/>
    <x v="0"/>
    <x v="21"/>
    <x v="77"/>
    <x v="761"/>
    <x v="0"/>
    <s v="CORONADO"/>
    <x v="1"/>
  </r>
  <r>
    <x v="26"/>
    <x v="66"/>
    <x v="4"/>
    <x v="4"/>
    <x v="0"/>
    <x v="0"/>
    <x v="21"/>
    <x v="78"/>
    <x v="761"/>
    <x v="0"/>
    <s v="CORONADO"/>
    <x v="1"/>
  </r>
  <r>
    <x v="26"/>
    <x v="90"/>
    <x v="0"/>
    <x v="0"/>
    <x v="0"/>
    <x v="0"/>
    <x v="21"/>
    <x v="79"/>
    <x v="808"/>
    <x v="0"/>
    <s v="CORONADO"/>
    <x v="1"/>
  </r>
  <r>
    <x v="26"/>
    <x v="121"/>
    <x v="0"/>
    <x v="0"/>
    <x v="0"/>
    <x v="0"/>
    <x v="21"/>
    <x v="80"/>
    <x v="809"/>
    <x v="0"/>
    <s v="CORONADO"/>
    <x v="1"/>
  </r>
  <r>
    <x v="26"/>
    <x v="32"/>
    <x v="5"/>
    <x v="5"/>
    <x v="0"/>
    <x v="0"/>
    <x v="21"/>
    <x v="81"/>
    <x v="810"/>
    <x v="0"/>
    <s v="CORONADO"/>
    <x v="1"/>
  </r>
  <r>
    <x v="26"/>
    <x v="125"/>
    <x v="5"/>
    <x v="5"/>
    <x v="0"/>
    <x v="0"/>
    <x v="21"/>
    <x v="82"/>
    <x v="811"/>
    <x v="0"/>
    <s v="CORONADO"/>
    <x v="1"/>
  </r>
  <r>
    <x v="26"/>
    <x v="1"/>
    <x v="1"/>
    <x v="1"/>
    <x v="0"/>
    <x v="0"/>
    <x v="1"/>
    <x v="1"/>
    <x v="1"/>
    <x v="206"/>
    <s v="CORONADO"/>
    <x v="1"/>
  </r>
  <r>
    <x v="26"/>
    <x v="114"/>
    <x v="3"/>
    <x v="3"/>
    <x v="0"/>
    <x v="1"/>
    <x v="21"/>
    <x v="76"/>
    <x v="803"/>
    <x v="0"/>
    <s v="CORONADO"/>
    <x v="1"/>
  </r>
  <r>
    <x v="26"/>
    <x v="126"/>
    <x v="4"/>
    <x v="4"/>
    <x v="0"/>
    <x v="1"/>
    <x v="21"/>
    <x v="83"/>
    <x v="761"/>
    <x v="0"/>
    <s v="CORONADO"/>
    <x v="1"/>
  </r>
  <r>
    <x v="26"/>
    <x v="58"/>
    <x v="1"/>
    <x v="1"/>
    <x v="0"/>
    <x v="1"/>
    <x v="21"/>
    <x v="84"/>
    <x v="807"/>
    <x v="0"/>
    <s v="CORONADO"/>
    <x v="1"/>
  </r>
  <r>
    <x v="26"/>
    <x v="127"/>
    <x v="1"/>
    <x v="1"/>
    <x v="0"/>
    <x v="1"/>
    <x v="21"/>
    <x v="85"/>
    <x v="812"/>
    <x v="0"/>
    <s v="CORONADO"/>
    <x v="1"/>
  </r>
  <r>
    <x v="26"/>
    <x v="1"/>
    <x v="1"/>
    <x v="1"/>
    <x v="0"/>
    <x v="1"/>
    <x v="1"/>
    <x v="1"/>
    <x v="1"/>
    <x v="207"/>
    <s v="CORONADO"/>
    <x v="1"/>
  </r>
  <r>
    <x v="27"/>
    <x v="49"/>
    <x v="3"/>
    <x v="3"/>
    <x v="0"/>
    <x v="2"/>
    <x v="20"/>
    <x v="86"/>
    <x v="744"/>
    <x v="0"/>
    <s v="ALBROOK MALL"/>
    <x v="1"/>
  </r>
  <r>
    <x v="27"/>
    <x v="19"/>
    <x v="3"/>
    <x v="3"/>
    <x v="0"/>
    <x v="2"/>
    <x v="20"/>
    <x v="86"/>
    <x v="813"/>
    <x v="0"/>
    <s v="ALBROOK MALL"/>
    <x v="1"/>
  </r>
  <r>
    <x v="27"/>
    <x v="43"/>
    <x v="3"/>
    <x v="3"/>
    <x v="0"/>
    <x v="2"/>
    <x v="21"/>
    <x v="71"/>
    <x v="814"/>
    <x v="0"/>
    <s v="ALBROOK MALL"/>
    <x v="1"/>
  </r>
  <r>
    <x v="27"/>
    <x v="100"/>
    <x v="0"/>
    <x v="0"/>
    <x v="0"/>
    <x v="2"/>
    <x v="20"/>
    <x v="86"/>
    <x v="742"/>
    <x v="0"/>
    <s v="ALBROOK MALL"/>
    <x v="1"/>
  </r>
  <r>
    <x v="27"/>
    <x v="128"/>
    <x v="1"/>
    <x v="1"/>
    <x v="0"/>
    <x v="2"/>
    <x v="20"/>
    <x v="86"/>
    <x v="737"/>
    <x v="0"/>
    <s v="ALBROOK MALL"/>
    <x v="1"/>
  </r>
  <r>
    <x v="27"/>
    <x v="1"/>
    <x v="1"/>
    <x v="1"/>
    <x v="0"/>
    <x v="2"/>
    <x v="1"/>
    <x v="1"/>
    <x v="1"/>
    <x v="208"/>
    <s v="ALBROOK MALL"/>
    <x v="1"/>
  </r>
  <r>
    <x v="28"/>
    <x v="129"/>
    <x v="2"/>
    <x v="2"/>
    <x v="0"/>
    <x v="2"/>
    <x v="20"/>
    <x v="87"/>
    <x v="739"/>
    <x v="0"/>
    <s v="PANAMA PACIFICO"/>
    <x v="1"/>
  </r>
  <r>
    <x v="28"/>
    <x v="65"/>
    <x v="6"/>
    <x v="6"/>
    <x v="0"/>
    <x v="2"/>
    <x v="20"/>
    <x v="87"/>
    <x v="815"/>
    <x v="0"/>
    <s v="PANAMA PACIFICO"/>
    <x v="1"/>
  </r>
  <r>
    <x v="28"/>
    <x v="71"/>
    <x v="6"/>
    <x v="6"/>
    <x v="0"/>
    <x v="2"/>
    <x v="20"/>
    <x v="87"/>
    <x v="815"/>
    <x v="0"/>
    <s v="PANAMA PACIFICO"/>
    <x v="1"/>
  </r>
  <r>
    <x v="28"/>
    <x v="21"/>
    <x v="6"/>
    <x v="6"/>
    <x v="0"/>
    <x v="2"/>
    <x v="20"/>
    <x v="87"/>
    <x v="739"/>
    <x v="0"/>
    <s v="PANAMA PACIFICO"/>
    <x v="1"/>
  </r>
  <r>
    <x v="28"/>
    <x v="130"/>
    <x v="3"/>
    <x v="3"/>
    <x v="0"/>
    <x v="2"/>
    <x v="20"/>
    <x v="87"/>
    <x v="816"/>
    <x v="0"/>
    <s v="PANAMA PACIFICO"/>
    <x v="1"/>
  </r>
  <r>
    <x v="28"/>
    <x v="99"/>
    <x v="3"/>
    <x v="3"/>
    <x v="0"/>
    <x v="2"/>
    <x v="20"/>
    <x v="87"/>
    <x v="815"/>
    <x v="0"/>
    <s v="PANAMA PACIFICO"/>
    <x v="1"/>
  </r>
  <r>
    <x v="28"/>
    <x v="29"/>
    <x v="4"/>
    <x v="4"/>
    <x v="0"/>
    <x v="2"/>
    <x v="20"/>
    <x v="87"/>
    <x v="816"/>
    <x v="0"/>
    <s v="PANAMA PACIFICO"/>
    <x v="1"/>
  </r>
  <r>
    <x v="28"/>
    <x v="57"/>
    <x v="0"/>
    <x v="0"/>
    <x v="0"/>
    <x v="2"/>
    <x v="21"/>
    <x v="44"/>
    <x v="772"/>
    <x v="0"/>
    <s v="PANAMA PACIFICO"/>
    <x v="1"/>
  </r>
  <r>
    <x v="28"/>
    <x v="120"/>
    <x v="0"/>
    <x v="0"/>
    <x v="0"/>
    <x v="2"/>
    <x v="20"/>
    <x v="87"/>
    <x v="739"/>
    <x v="0"/>
    <s v="PANAMA PACIFICO"/>
    <x v="1"/>
  </r>
  <r>
    <x v="28"/>
    <x v="32"/>
    <x v="5"/>
    <x v="5"/>
    <x v="0"/>
    <x v="2"/>
    <x v="20"/>
    <x v="87"/>
    <x v="816"/>
    <x v="0"/>
    <s v="PANAMA PACIFICO"/>
    <x v="1"/>
  </r>
  <r>
    <x v="28"/>
    <x v="13"/>
    <x v="5"/>
    <x v="5"/>
    <x v="0"/>
    <x v="2"/>
    <x v="20"/>
    <x v="87"/>
    <x v="815"/>
    <x v="0"/>
    <s v="PANAMA PACIFICO"/>
    <x v="1"/>
  </r>
  <r>
    <x v="28"/>
    <x v="124"/>
    <x v="5"/>
    <x v="5"/>
    <x v="0"/>
    <x v="2"/>
    <x v="20"/>
    <x v="87"/>
    <x v="816"/>
    <x v="0"/>
    <s v="PANAMA PACIFICO"/>
    <x v="1"/>
  </r>
  <r>
    <x v="28"/>
    <x v="8"/>
    <x v="1"/>
    <x v="1"/>
    <x v="0"/>
    <x v="2"/>
    <x v="20"/>
    <x v="87"/>
    <x v="815"/>
    <x v="0"/>
    <s v="PANAMA PACIFICO"/>
    <x v="1"/>
  </r>
  <r>
    <x v="28"/>
    <x v="1"/>
    <x v="1"/>
    <x v="1"/>
    <x v="0"/>
    <x v="2"/>
    <x v="1"/>
    <x v="1"/>
    <x v="1"/>
    <x v="209"/>
    <s v="PANAMA PACIFICO"/>
    <x v="1"/>
  </r>
  <r>
    <x v="73"/>
    <x v="16"/>
    <x v="2"/>
    <x v="2"/>
    <x v="0"/>
    <x v="2"/>
    <x v="20"/>
    <x v="88"/>
    <x v="817"/>
    <x v="0"/>
    <s v="PENONOME"/>
    <x v="1"/>
  </r>
  <r>
    <x v="73"/>
    <x v="47"/>
    <x v="2"/>
    <x v="2"/>
    <x v="0"/>
    <x v="2"/>
    <x v="20"/>
    <x v="88"/>
    <x v="748"/>
    <x v="0"/>
    <s v="PENONOME"/>
    <x v="1"/>
  </r>
  <r>
    <x v="73"/>
    <x v="113"/>
    <x v="6"/>
    <x v="6"/>
    <x v="0"/>
    <x v="2"/>
    <x v="21"/>
    <x v="89"/>
    <x v="818"/>
    <x v="0"/>
    <s v="PENONOME"/>
    <x v="1"/>
  </r>
  <r>
    <x v="73"/>
    <x v="27"/>
    <x v="3"/>
    <x v="3"/>
    <x v="0"/>
    <x v="2"/>
    <x v="20"/>
    <x v="88"/>
    <x v="755"/>
    <x v="0"/>
    <s v="PENONOME"/>
    <x v="1"/>
  </r>
  <r>
    <x v="73"/>
    <x v="80"/>
    <x v="4"/>
    <x v="4"/>
    <x v="0"/>
    <x v="2"/>
    <x v="21"/>
    <x v="90"/>
    <x v="819"/>
    <x v="0"/>
    <s v="PENONOME"/>
    <x v="1"/>
  </r>
  <r>
    <x v="73"/>
    <x v="5"/>
    <x v="0"/>
    <x v="0"/>
    <x v="0"/>
    <x v="2"/>
    <x v="20"/>
    <x v="88"/>
    <x v="820"/>
    <x v="0"/>
    <s v="PENONOME"/>
    <x v="1"/>
  </r>
  <r>
    <x v="73"/>
    <x v="1"/>
    <x v="1"/>
    <x v="1"/>
    <x v="0"/>
    <x v="2"/>
    <x v="1"/>
    <x v="1"/>
    <x v="1"/>
    <x v="210"/>
    <s v="PENONOME"/>
    <x v="1"/>
  </r>
  <r>
    <x v="73"/>
    <x v="70"/>
    <x v="2"/>
    <x v="2"/>
    <x v="0"/>
    <x v="0"/>
    <x v="21"/>
    <x v="36"/>
    <x v="821"/>
    <x v="0"/>
    <s v="PENONOME"/>
    <x v="1"/>
  </r>
  <r>
    <x v="73"/>
    <x v="118"/>
    <x v="2"/>
    <x v="2"/>
    <x v="0"/>
    <x v="0"/>
    <x v="21"/>
    <x v="69"/>
    <x v="822"/>
    <x v="0"/>
    <s v="PENONOME"/>
    <x v="1"/>
  </r>
  <r>
    <x v="73"/>
    <x v="108"/>
    <x v="3"/>
    <x v="3"/>
    <x v="0"/>
    <x v="0"/>
    <x v="21"/>
    <x v="63"/>
    <x v="823"/>
    <x v="0"/>
    <s v="PENONOME"/>
    <x v="1"/>
  </r>
  <r>
    <x v="73"/>
    <x v="66"/>
    <x v="4"/>
    <x v="4"/>
    <x v="0"/>
    <x v="0"/>
    <x v="21"/>
    <x v="78"/>
    <x v="822"/>
    <x v="0"/>
    <s v="PENONOME"/>
    <x v="1"/>
  </r>
  <r>
    <x v="73"/>
    <x v="32"/>
    <x v="5"/>
    <x v="5"/>
    <x v="0"/>
    <x v="0"/>
    <x v="21"/>
    <x v="81"/>
    <x v="824"/>
    <x v="0"/>
    <s v="PENONOME"/>
    <x v="1"/>
  </r>
  <r>
    <x v="73"/>
    <x v="125"/>
    <x v="5"/>
    <x v="5"/>
    <x v="0"/>
    <x v="0"/>
    <x v="21"/>
    <x v="82"/>
    <x v="822"/>
    <x v="0"/>
    <s v="PENONOME"/>
    <x v="1"/>
  </r>
  <r>
    <x v="73"/>
    <x v="1"/>
    <x v="1"/>
    <x v="1"/>
    <x v="0"/>
    <x v="0"/>
    <x v="1"/>
    <x v="1"/>
    <x v="1"/>
    <x v="211"/>
    <s v="PENONOME"/>
    <x v="1"/>
  </r>
  <r>
    <x v="73"/>
    <x v="11"/>
    <x v="6"/>
    <x v="6"/>
    <x v="0"/>
    <x v="1"/>
    <x v="21"/>
    <x v="91"/>
    <x v="825"/>
    <x v="0"/>
    <s v="PENONOME"/>
    <x v="1"/>
  </r>
  <r>
    <x v="73"/>
    <x v="1"/>
    <x v="1"/>
    <x v="1"/>
    <x v="0"/>
    <x v="1"/>
    <x v="1"/>
    <x v="1"/>
    <x v="1"/>
    <x v="212"/>
    <s v="PENONOME"/>
    <x v="1"/>
  </r>
  <r>
    <x v="29"/>
    <x v="17"/>
    <x v="2"/>
    <x v="2"/>
    <x v="0"/>
    <x v="2"/>
    <x v="20"/>
    <x v="92"/>
    <x v="826"/>
    <x v="0"/>
    <s v="ALBROOK"/>
    <x v="1"/>
  </r>
  <r>
    <x v="29"/>
    <x v="9"/>
    <x v="6"/>
    <x v="6"/>
    <x v="0"/>
    <x v="2"/>
    <x v="20"/>
    <x v="92"/>
    <x v="189"/>
    <x v="0"/>
    <s v="ALBROOK"/>
    <x v="1"/>
  </r>
  <r>
    <x v="29"/>
    <x v="11"/>
    <x v="6"/>
    <x v="6"/>
    <x v="0"/>
    <x v="2"/>
    <x v="20"/>
    <x v="92"/>
    <x v="826"/>
    <x v="0"/>
    <s v="ALBROOK"/>
    <x v="1"/>
  </r>
  <r>
    <x v="29"/>
    <x v="96"/>
    <x v="6"/>
    <x v="6"/>
    <x v="0"/>
    <x v="2"/>
    <x v="20"/>
    <x v="92"/>
    <x v="742"/>
    <x v="0"/>
    <s v="ALBROOK"/>
    <x v="1"/>
  </r>
  <r>
    <x v="29"/>
    <x v="28"/>
    <x v="3"/>
    <x v="3"/>
    <x v="0"/>
    <x v="2"/>
    <x v="20"/>
    <x v="92"/>
    <x v="826"/>
    <x v="0"/>
    <s v="ALBROOK"/>
    <x v="1"/>
  </r>
  <r>
    <x v="29"/>
    <x v="131"/>
    <x v="3"/>
    <x v="3"/>
    <x v="0"/>
    <x v="2"/>
    <x v="20"/>
    <x v="92"/>
    <x v="744"/>
    <x v="0"/>
    <s v="ALBROOK"/>
    <x v="1"/>
  </r>
  <r>
    <x v="29"/>
    <x v="38"/>
    <x v="4"/>
    <x v="4"/>
    <x v="0"/>
    <x v="2"/>
    <x v="20"/>
    <x v="92"/>
    <x v="826"/>
    <x v="0"/>
    <s v="ALBROOK"/>
    <x v="1"/>
  </r>
  <r>
    <x v="29"/>
    <x v="1"/>
    <x v="1"/>
    <x v="1"/>
    <x v="0"/>
    <x v="2"/>
    <x v="20"/>
    <x v="92"/>
    <x v="784"/>
    <x v="0"/>
    <s v="ALBROOK"/>
    <x v="1"/>
  </r>
  <r>
    <x v="29"/>
    <x v="1"/>
    <x v="1"/>
    <x v="1"/>
    <x v="0"/>
    <x v="2"/>
    <x v="1"/>
    <x v="1"/>
    <x v="1"/>
    <x v="213"/>
    <s v="ALBROOK"/>
    <x v="1"/>
  </r>
  <r>
    <x v="29"/>
    <x v="16"/>
    <x v="2"/>
    <x v="2"/>
    <x v="0"/>
    <x v="0"/>
    <x v="21"/>
    <x v="93"/>
    <x v="827"/>
    <x v="0"/>
    <s v="ALBROOK"/>
    <x v="1"/>
  </r>
  <r>
    <x v="29"/>
    <x v="36"/>
    <x v="6"/>
    <x v="6"/>
    <x v="0"/>
    <x v="0"/>
    <x v="21"/>
    <x v="94"/>
    <x v="828"/>
    <x v="0"/>
    <s v="ALBROOK"/>
    <x v="1"/>
  </r>
  <r>
    <x v="29"/>
    <x v="60"/>
    <x v="3"/>
    <x v="3"/>
    <x v="0"/>
    <x v="0"/>
    <x v="21"/>
    <x v="57"/>
    <x v="828"/>
    <x v="0"/>
    <s v="ALBROOK"/>
    <x v="1"/>
  </r>
  <r>
    <x v="29"/>
    <x v="132"/>
    <x v="4"/>
    <x v="4"/>
    <x v="0"/>
    <x v="0"/>
    <x v="21"/>
    <x v="95"/>
    <x v="829"/>
    <x v="0"/>
    <s v="ALBROOK"/>
    <x v="1"/>
  </r>
  <r>
    <x v="29"/>
    <x v="57"/>
    <x v="0"/>
    <x v="0"/>
    <x v="0"/>
    <x v="0"/>
    <x v="21"/>
    <x v="44"/>
    <x v="830"/>
    <x v="0"/>
    <s v="ALBROOK"/>
    <x v="1"/>
  </r>
  <r>
    <x v="29"/>
    <x v="119"/>
    <x v="0"/>
    <x v="0"/>
    <x v="0"/>
    <x v="0"/>
    <x v="21"/>
    <x v="96"/>
    <x v="831"/>
    <x v="0"/>
    <s v="ALBROOK"/>
    <x v="1"/>
  </r>
  <r>
    <x v="29"/>
    <x v="72"/>
    <x v="5"/>
    <x v="5"/>
    <x v="0"/>
    <x v="0"/>
    <x v="21"/>
    <x v="38"/>
    <x v="829"/>
    <x v="0"/>
    <s v="ALBROOK"/>
    <x v="1"/>
  </r>
  <r>
    <x v="29"/>
    <x v="95"/>
    <x v="1"/>
    <x v="1"/>
    <x v="0"/>
    <x v="0"/>
    <x v="21"/>
    <x v="97"/>
    <x v="828"/>
    <x v="0"/>
    <s v="ALBROOK"/>
    <x v="1"/>
  </r>
  <r>
    <x v="29"/>
    <x v="1"/>
    <x v="1"/>
    <x v="1"/>
    <x v="0"/>
    <x v="0"/>
    <x v="1"/>
    <x v="1"/>
    <x v="1"/>
    <x v="214"/>
    <s v="ALBROOK"/>
    <x v="1"/>
  </r>
  <r>
    <x v="30"/>
    <x v="15"/>
    <x v="6"/>
    <x v="6"/>
    <x v="0"/>
    <x v="2"/>
    <x v="20"/>
    <x v="98"/>
    <x v="735"/>
    <x v="0"/>
    <s v="SUCURSAL DE VISTA ALEGRE"/>
    <x v="1"/>
  </r>
  <r>
    <x v="30"/>
    <x v="108"/>
    <x v="3"/>
    <x v="3"/>
    <x v="0"/>
    <x v="2"/>
    <x v="20"/>
    <x v="98"/>
    <x v="771"/>
    <x v="0"/>
    <s v="SUCURSAL DE VISTA ALEGRE"/>
    <x v="1"/>
  </r>
  <r>
    <x v="30"/>
    <x v="126"/>
    <x v="4"/>
    <x v="4"/>
    <x v="0"/>
    <x v="2"/>
    <x v="20"/>
    <x v="98"/>
    <x v="739"/>
    <x v="0"/>
    <s v="SUCURSAL DE VISTA ALEGRE"/>
    <x v="1"/>
  </r>
  <r>
    <x v="30"/>
    <x v="31"/>
    <x v="4"/>
    <x v="4"/>
    <x v="0"/>
    <x v="2"/>
    <x v="20"/>
    <x v="98"/>
    <x v="743"/>
    <x v="0"/>
    <s v="SUCURSAL DE VISTA ALEGRE"/>
    <x v="1"/>
  </r>
  <r>
    <x v="30"/>
    <x v="92"/>
    <x v="0"/>
    <x v="0"/>
    <x v="0"/>
    <x v="2"/>
    <x v="20"/>
    <x v="98"/>
    <x v="735"/>
    <x v="0"/>
    <s v="SUCURSAL DE VISTA ALEGRE"/>
    <x v="1"/>
  </r>
  <r>
    <x v="30"/>
    <x v="1"/>
    <x v="1"/>
    <x v="1"/>
    <x v="0"/>
    <x v="2"/>
    <x v="1"/>
    <x v="1"/>
    <x v="1"/>
    <x v="215"/>
    <s v="SUCURSAL DE VISTA ALEGRE"/>
    <x v="1"/>
  </r>
  <r>
    <x v="30"/>
    <x v="1"/>
    <x v="1"/>
    <x v="1"/>
    <x v="0"/>
    <x v="1"/>
    <x v="1"/>
    <x v="1"/>
    <x v="1"/>
    <x v="216"/>
    <s v="SUCURSAL DE VISTA ALEGRE"/>
    <x v="1"/>
  </r>
  <r>
    <x v="31"/>
    <x v="133"/>
    <x v="2"/>
    <x v="2"/>
    <x v="0"/>
    <x v="2"/>
    <x v="20"/>
    <x v="99"/>
    <x v="785"/>
    <x v="0"/>
    <s v="LAS TABLAS"/>
    <x v="1"/>
  </r>
  <r>
    <x v="31"/>
    <x v="71"/>
    <x v="6"/>
    <x v="6"/>
    <x v="0"/>
    <x v="2"/>
    <x v="21"/>
    <x v="37"/>
    <x v="832"/>
    <x v="0"/>
    <s v="LAS TABLAS"/>
    <x v="1"/>
  </r>
  <r>
    <x v="31"/>
    <x v="88"/>
    <x v="6"/>
    <x v="6"/>
    <x v="0"/>
    <x v="2"/>
    <x v="20"/>
    <x v="99"/>
    <x v="833"/>
    <x v="0"/>
    <s v="LAS TABLAS"/>
    <x v="1"/>
  </r>
  <r>
    <x v="31"/>
    <x v="134"/>
    <x v="6"/>
    <x v="6"/>
    <x v="0"/>
    <x v="2"/>
    <x v="20"/>
    <x v="99"/>
    <x v="834"/>
    <x v="0"/>
    <s v="LAS TABLAS"/>
    <x v="1"/>
  </r>
  <r>
    <x v="31"/>
    <x v="37"/>
    <x v="6"/>
    <x v="6"/>
    <x v="0"/>
    <x v="2"/>
    <x v="20"/>
    <x v="99"/>
    <x v="805"/>
    <x v="0"/>
    <s v="LAS TABLAS"/>
    <x v="1"/>
  </r>
  <r>
    <x v="31"/>
    <x v="130"/>
    <x v="3"/>
    <x v="3"/>
    <x v="0"/>
    <x v="2"/>
    <x v="20"/>
    <x v="99"/>
    <x v="835"/>
    <x v="0"/>
    <s v="LAS TABLAS"/>
    <x v="1"/>
  </r>
  <r>
    <x v="31"/>
    <x v="135"/>
    <x v="3"/>
    <x v="3"/>
    <x v="0"/>
    <x v="2"/>
    <x v="20"/>
    <x v="99"/>
    <x v="742"/>
    <x v="0"/>
    <s v="LAS TABLAS"/>
    <x v="1"/>
  </r>
  <r>
    <x v="31"/>
    <x v="75"/>
    <x v="3"/>
    <x v="3"/>
    <x v="0"/>
    <x v="2"/>
    <x v="20"/>
    <x v="99"/>
    <x v="785"/>
    <x v="0"/>
    <s v="LAS TABLAS"/>
    <x v="1"/>
  </r>
  <r>
    <x v="31"/>
    <x v="3"/>
    <x v="3"/>
    <x v="3"/>
    <x v="0"/>
    <x v="2"/>
    <x v="20"/>
    <x v="99"/>
    <x v="785"/>
    <x v="0"/>
    <s v="LAS TABLAS"/>
    <x v="1"/>
  </r>
  <r>
    <x v="31"/>
    <x v="80"/>
    <x v="4"/>
    <x v="4"/>
    <x v="0"/>
    <x v="2"/>
    <x v="21"/>
    <x v="90"/>
    <x v="836"/>
    <x v="0"/>
    <s v="LAS TABLAS"/>
    <x v="1"/>
  </r>
  <r>
    <x v="31"/>
    <x v="136"/>
    <x v="0"/>
    <x v="0"/>
    <x v="0"/>
    <x v="2"/>
    <x v="21"/>
    <x v="100"/>
    <x v="837"/>
    <x v="0"/>
    <s v="LAS TABLAS"/>
    <x v="1"/>
  </r>
  <r>
    <x v="31"/>
    <x v="1"/>
    <x v="1"/>
    <x v="1"/>
    <x v="0"/>
    <x v="2"/>
    <x v="1"/>
    <x v="1"/>
    <x v="1"/>
    <x v="217"/>
    <s v="LAS TABLAS"/>
    <x v="1"/>
  </r>
  <r>
    <x v="31"/>
    <x v="111"/>
    <x v="2"/>
    <x v="2"/>
    <x v="0"/>
    <x v="0"/>
    <x v="21"/>
    <x v="75"/>
    <x v="764"/>
    <x v="0"/>
    <s v="LAS TABLAS"/>
    <x v="1"/>
  </r>
  <r>
    <x v="31"/>
    <x v="57"/>
    <x v="0"/>
    <x v="0"/>
    <x v="0"/>
    <x v="0"/>
    <x v="21"/>
    <x v="44"/>
    <x v="838"/>
    <x v="0"/>
    <s v="LAS TABLAS"/>
    <x v="1"/>
  </r>
  <r>
    <x v="31"/>
    <x v="117"/>
    <x v="0"/>
    <x v="0"/>
    <x v="0"/>
    <x v="0"/>
    <x v="21"/>
    <x v="65"/>
    <x v="838"/>
    <x v="0"/>
    <s v="LAS TABLAS"/>
    <x v="1"/>
  </r>
  <r>
    <x v="31"/>
    <x v="1"/>
    <x v="1"/>
    <x v="1"/>
    <x v="0"/>
    <x v="0"/>
    <x v="1"/>
    <x v="1"/>
    <x v="1"/>
    <x v="218"/>
    <s v="LAS TABLAS"/>
    <x v="1"/>
  </r>
  <r>
    <x v="31"/>
    <x v="111"/>
    <x v="2"/>
    <x v="2"/>
    <x v="0"/>
    <x v="1"/>
    <x v="21"/>
    <x v="75"/>
    <x v="839"/>
    <x v="0"/>
    <s v="LAS TABLAS"/>
    <x v="1"/>
  </r>
  <r>
    <x v="31"/>
    <x v="114"/>
    <x v="3"/>
    <x v="3"/>
    <x v="0"/>
    <x v="1"/>
    <x v="21"/>
    <x v="76"/>
    <x v="839"/>
    <x v="0"/>
    <s v="LAS TABLAS"/>
    <x v="1"/>
  </r>
  <r>
    <x v="31"/>
    <x v="66"/>
    <x v="4"/>
    <x v="4"/>
    <x v="0"/>
    <x v="1"/>
    <x v="21"/>
    <x v="78"/>
    <x v="840"/>
    <x v="0"/>
    <s v="LAS TABLAS"/>
    <x v="1"/>
  </r>
  <r>
    <x v="31"/>
    <x v="1"/>
    <x v="1"/>
    <x v="1"/>
    <x v="0"/>
    <x v="1"/>
    <x v="1"/>
    <x v="1"/>
    <x v="1"/>
    <x v="219"/>
    <s v="LAS TABLAS"/>
    <x v="1"/>
  </r>
  <r>
    <x v="32"/>
    <x v="60"/>
    <x v="3"/>
    <x v="3"/>
    <x v="0"/>
    <x v="2"/>
    <x v="20"/>
    <x v="101"/>
    <x v="753"/>
    <x v="0"/>
    <s v="24 DE DICIEMBRE"/>
    <x v="1"/>
  </r>
  <r>
    <x v="32"/>
    <x v="131"/>
    <x v="3"/>
    <x v="3"/>
    <x v="0"/>
    <x v="2"/>
    <x v="20"/>
    <x v="101"/>
    <x v="799"/>
    <x v="0"/>
    <s v="24 DE DICIEMBRE"/>
    <x v="1"/>
  </r>
  <r>
    <x v="32"/>
    <x v="120"/>
    <x v="0"/>
    <x v="0"/>
    <x v="0"/>
    <x v="2"/>
    <x v="20"/>
    <x v="101"/>
    <x v="841"/>
    <x v="0"/>
    <s v="24 DE DICIEMBRE"/>
    <x v="1"/>
  </r>
  <r>
    <x v="32"/>
    <x v="1"/>
    <x v="1"/>
    <x v="1"/>
    <x v="0"/>
    <x v="2"/>
    <x v="1"/>
    <x v="1"/>
    <x v="1"/>
    <x v="220"/>
    <s v="24 DE DICIEMBRE"/>
    <x v="1"/>
  </r>
  <r>
    <x v="33"/>
    <x v="137"/>
    <x v="6"/>
    <x v="6"/>
    <x v="0"/>
    <x v="2"/>
    <x v="21"/>
    <x v="102"/>
    <x v="816"/>
    <x v="0"/>
    <s v="DAVID - TERRONAL"/>
    <x v="1"/>
  </r>
  <r>
    <x v="33"/>
    <x v="1"/>
    <x v="1"/>
    <x v="1"/>
    <x v="0"/>
    <x v="2"/>
    <x v="1"/>
    <x v="1"/>
    <x v="1"/>
    <x v="221"/>
    <s v="DAVID - TERRONAL"/>
    <x v="1"/>
  </r>
  <r>
    <x v="34"/>
    <x v="59"/>
    <x v="6"/>
    <x v="6"/>
    <x v="0"/>
    <x v="2"/>
    <x v="20"/>
    <x v="103"/>
    <x v="744"/>
    <x v="0"/>
    <s v="COSTA DEL ESTE"/>
    <x v="1"/>
  </r>
  <r>
    <x v="34"/>
    <x v="18"/>
    <x v="3"/>
    <x v="3"/>
    <x v="0"/>
    <x v="2"/>
    <x v="20"/>
    <x v="103"/>
    <x v="842"/>
    <x v="0"/>
    <s v="COSTA DEL ESTE"/>
    <x v="1"/>
  </r>
  <r>
    <x v="34"/>
    <x v="50"/>
    <x v="4"/>
    <x v="4"/>
    <x v="0"/>
    <x v="2"/>
    <x v="20"/>
    <x v="103"/>
    <x v="842"/>
    <x v="0"/>
    <s v="COSTA DEL ESTE"/>
    <x v="1"/>
  </r>
  <r>
    <x v="34"/>
    <x v="95"/>
    <x v="1"/>
    <x v="1"/>
    <x v="0"/>
    <x v="2"/>
    <x v="20"/>
    <x v="103"/>
    <x v="776"/>
    <x v="0"/>
    <s v="COSTA DEL ESTE"/>
    <x v="1"/>
  </r>
  <r>
    <x v="34"/>
    <x v="14"/>
    <x v="1"/>
    <x v="1"/>
    <x v="0"/>
    <x v="2"/>
    <x v="20"/>
    <x v="103"/>
    <x v="776"/>
    <x v="0"/>
    <s v="COSTA DEL ESTE"/>
    <x v="1"/>
  </r>
  <r>
    <x v="34"/>
    <x v="1"/>
    <x v="1"/>
    <x v="1"/>
    <x v="0"/>
    <x v="2"/>
    <x v="1"/>
    <x v="1"/>
    <x v="1"/>
    <x v="222"/>
    <s v="COSTA DEL ESTE"/>
    <x v="1"/>
  </r>
  <r>
    <x v="35"/>
    <x v="117"/>
    <x v="0"/>
    <x v="0"/>
    <x v="0"/>
    <x v="2"/>
    <x v="20"/>
    <x v="104"/>
    <x v="745"/>
    <x v="0"/>
    <s v="MULTI PLAZA"/>
    <x v="1"/>
  </r>
  <r>
    <x v="35"/>
    <x v="1"/>
    <x v="1"/>
    <x v="1"/>
    <x v="0"/>
    <x v="2"/>
    <x v="1"/>
    <x v="1"/>
    <x v="1"/>
    <x v="223"/>
    <s v="MULTI PLAZA"/>
    <x v="1"/>
  </r>
  <r>
    <x v="36"/>
    <x v="43"/>
    <x v="3"/>
    <x v="3"/>
    <x v="0"/>
    <x v="2"/>
    <x v="21"/>
    <x v="71"/>
    <x v="814"/>
    <x v="0"/>
    <s v="TERMINAL DE ALBROOK"/>
    <x v="1"/>
  </r>
  <r>
    <x v="36"/>
    <x v="97"/>
    <x v="5"/>
    <x v="5"/>
    <x v="0"/>
    <x v="2"/>
    <x v="20"/>
    <x v="105"/>
    <x v="784"/>
    <x v="0"/>
    <s v="TERMINAL DE ALBROOK"/>
    <x v="1"/>
  </r>
  <r>
    <x v="36"/>
    <x v="1"/>
    <x v="1"/>
    <x v="1"/>
    <x v="0"/>
    <x v="2"/>
    <x v="1"/>
    <x v="1"/>
    <x v="1"/>
    <x v="224"/>
    <s v="TERMINAL DE ALBROOK"/>
    <x v="1"/>
  </r>
  <r>
    <x v="36"/>
    <x v="1"/>
    <x v="1"/>
    <x v="1"/>
    <x v="0"/>
    <x v="1"/>
    <x v="1"/>
    <x v="1"/>
    <x v="1"/>
    <x v="225"/>
    <s v="TERMINAL DE ALBROOK"/>
    <x v="1"/>
  </r>
  <r>
    <x v="37"/>
    <x v="38"/>
    <x v="4"/>
    <x v="4"/>
    <x v="0"/>
    <x v="2"/>
    <x v="21"/>
    <x v="106"/>
    <x v="843"/>
    <x v="0"/>
    <s v="CONCEPCION"/>
    <x v="1"/>
  </r>
  <r>
    <x v="37"/>
    <x v="52"/>
    <x v="0"/>
    <x v="0"/>
    <x v="0"/>
    <x v="2"/>
    <x v="25"/>
    <x v="107"/>
    <x v="844"/>
    <x v="0"/>
    <s v="CONCEPCION"/>
    <x v="1"/>
  </r>
  <r>
    <x v="37"/>
    <x v="138"/>
    <x v="0"/>
    <x v="0"/>
    <x v="0"/>
    <x v="2"/>
    <x v="20"/>
    <x v="108"/>
    <x v="845"/>
    <x v="0"/>
    <s v="CONCEPCION"/>
    <x v="1"/>
  </r>
  <r>
    <x v="37"/>
    <x v="92"/>
    <x v="0"/>
    <x v="0"/>
    <x v="0"/>
    <x v="2"/>
    <x v="21"/>
    <x v="109"/>
    <x v="846"/>
    <x v="0"/>
    <s v="CONCEPCION"/>
    <x v="1"/>
  </r>
  <r>
    <x v="37"/>
    <x v="92"/>
    <x v="0"/>
    <x v="0"/>
    <x v="0"/>
    <x v="2"/>
    <x v="26"/>
    <x v="109"/>
    <x v="1"/>
    <x v="226"/>
    <s v="CONCEPCION"/>
    <x v="1"/>
  </r>
  <r>
    <x v="37"/>
    <x v="139"/>
    <x v="5"/>
    <x v="5"/>
    <x v="0"/>
    <x v="2"/>
    <x v="21"/>
    <x v="110"/>
    <x v="847"/>
    <x v="0"/>
    <s v="CONCEPCION"/>
    <x v="1"/>
  </r>
  <r>
    <x v="37"/>
    <x v="63"/>
    <x v="5"/>
    <x v="5"/>
    <x v="0"/>
    <x v="2"/>
    <x v="21"/>
    <x v="111"/>
    <x v="848"/>
    <x v="0"/>
    <s v="CONCEPCION"/>
    <x v="1"/>
  </r>
  <r>
    <x v="37"/>
    <x v="20"/>
    <x v="5"/>
    <x v="5"/>
    <x v="0"/>
    <x v="2"/>
    <x v="20"/>
    <x v="108"/>
    <x v="849"/>
    <x v="0"/>
    <s v="CONCEPCION"/>
    <x v="1"/>
  </r>
  <r>
    <x v="37"/>
    <x v="14"/>
    <x v="1"/>
    <x v="1"/>
    <x v="0"/>
    <x v="2"/>
    <x v="25"/>
    <x v="112"/>
    <x v="850"/>
    <x v="0"/>
    <s v="CONCEPCION"/>
    <x v="1"/>
  </r>
  <r>
    <x v="37"/>
    <x v="41"/>
    <x v="1"/>
    <x v="1"/>
    <x v="0"/>
    <x v="2"/>
    <x v="21"/>
    <x v="113"/>
    <x v="851"/>
    <x v="0"/>
    <s v="CONCEPCION"/>
    <x v="1"/>
  </r>
  <r>
    <x v="37"/>
    <x v="1"/>
    <x v="1"/>
    <x v="1"/>
    <x v="0"/>
    <x v="2"/>
    <x v="1"/>
    <x v="1"/>
    <x v="1"/>
    <x v="227"/>
    <s v="CONCEPCION"/>
    <x v="1"/>
  </r>
  <r>
    <x v="38"/>
    <x v="25"/>
    <x v="2"/>
    <x v="2"/>
    <x v="0"/>
    <x v="2"/>
    <x v="20"/>
    <x v="114"/>
    <x v="852"/>
    <x v="0"/>
    <s v="BOQUETE"/>
    <x v="1"/>
  </r>
  <r>
    <x v="38"/>
    <x v="84"/>
    <x v="2"/>
    <x v="2"/>
    <x v="0"/>
    <x v="2"/>
    <x v="20"/>
    <x v="114"/>
    <x v="852"/>
    <x v="0"/>
    <s v="BOQUETE"/>
    <x v="1"/>
  </r>
  <r>
    <x v="38"/>
    <x v="17"/>
    <x v="2"/>
    <x v="2"/>
    <x v="0"/>
    <x v="2"/>
    <x v="20"/>
    <x v="114"/>
    <x v="852"/>
    <x v="0"/>
    <s v="BOQUETE"/>
    <x v="1"/>
  </r>
  <r>
    <x v="38"/>
    <x v="26"/>
    <x v="3"/>
    <x v="3"/>
    <x v="0"/>
    <x v="2"/>
    <x v="21"/>
    <x v="115"/>
    <x v="812"/>
    <x v="0"/>
    <s v="BOQUETE"/>
    <x v="1"/>
  </r>
  <r>
    <x v="38"/>
    <x v="23"/>
    <x v="3"/>
    <x v="3"/>
    <x v="0"/>
    <x v="2"/>
    <x v="20"/>
    <x v="114"/>
    <x v="852"/>
    <x v="0"/>
    <s v="BOQUETE"/>
    <x v="1"/>
  </r>
  <r>
    <x v="38"/>
    <x v="130"/>
    <x v="3"/>
    <x v="3"/>
    <x v="0"/>
    <x v="2"/>
    <x v="20"/>
    <x v="114"/>
    <x v="852"/>
    <x v="0"/>
    <s v="BOQUETE"/>
    <x v="1"/>
  </r>
  <r>
    <x v="38"/>
    <x v="43"/>
    <x v="3"/>
    <x v="3"/>
    <x v="0"/>
    <x v="2"/>
    <x v="26"/>
    <x v="71"/>
    <x v="853"/>
    <x v="0"/>
    <s v="BOQUETE"/>
    <x v="1"/>
  </r>
  <r>
    <x v="38"/>
    <x v="99"/>
    <x v="3"/>
    <x v="3"/>
    <x v="0"/>
    <x v="2"/>
    <x v="26"/>
    <x v="116"/>
    <x v="1"/>
    <x v="228"/>
    <s v="BOQUETE"/>
    <x v="1"/>
  </r>
  <r>
    <x v="38"/>
    <x v="140"/>
    <x v="4"/>
    <x v="4"/>
    <x v="0"/>
    <x v="2"/>
    <x v="21"/>
    <x v="117"/>
    <x v="812"/>
    <x v="0"/>
    <s v="BOQUETE"/>
    <x v="1"/>
  </r>
  <r>
    <x v="38"/>
    <x v="90"/>
    <x v="0"/>
    <x v="0"/>
    <x v="0"/>
    <x v="2"/>
    <x v="21"/>
    <x v="79"/>
    <x v="812"/>
    <x v="0"/>
    <s v="BOQUETE"/>
    <x v="1"/>
  </r>
  <r>
    <x v="38"/>
    <x v="91"/>
    <x v="0"/>
    <x v="0"/>
    <x v="0"/>
    <x v="2"/>
    <x v="21"/>
    <x v="118"/>
    <x v="843"/>
    <x v="0"/>
    <s v="BOQUETE"/>
    <x v="1"/>
  </r>
  <r>
    <x v="38"/>
    <x v="93"/>
    <x v="0"/>
    <x v="0"/>
    <x v="0"/>
    <x v="2"/>
    <x v="20"/>
    <x v="114"/>
    <x v="852"/>
    <x v="0"/>
    <s v="BOQUETE"/>
    <x v="1"/>
  </r>
  <r>
    <x v="38"/>
    <x v="141"/>
    <x v="5"/>
    <x v="5"/>
    <x v="0"/>
    <x v="2"/>
    <x v="20"/>
    <x v="114"/>
    <x v="852"/>
    <x v="0"/>
    <s v="BOQUETE"/>
    <x v="1"/>
  </r>
  <r>
    <x v="38"/>
    <x v="41"/>
    <x v="1"/>
    <x v="1"/>
    <x v="0"/>
    <x v="2"/>
    <x v="20"/>
    <x v="114"/>
    <x v="852"/>
    <x v="0"/>
    <s v="BOQUETE"/>
    <x v="1"/>
  </r>
  <r>
    <x v="38"/>
    <x v="22"/>
    <x v="1"/>
    <x v="1"/>
    <x v="0"/>
    <x v="2"/>
    <x v="20"/>
    <x v="114"/>
    <x v="852"/>
    <x v="0"/>
    <s v="BOQUETE"/>
    <x v="1"/>
  </r>
  <r>
    <x v="38"/>
    <x v="1"/>
    <x v="1"/>
    <x v="1"/>
    <x v="0"/>
    <x v="2"/>
    <x v="1"/>
    <x v="1"/>
    <x v="1"/>
    <x v="229"/>
    <s v="BOQUETE"/>
    <x v="1"/>
  </r>
  <r>
    <x v="38"/>
    <x v="1"/>
    <x v="1"/>
    <x v="1"/>
    <x v="0"/>
    <x v="0"/>
    <x v="1"/>
    <x v="1"/>
    <x v="1"/>
    <x v="230"/>
    <s v="BOQUETE"/>
    <x v="1"/>
  </r>
  <r>
    <x v="38"/>
    <x v="1"/>
    <x v="1"/>
    <x v="1"/>
    <x v="0"/>
    <x v="1"/>
    <x v="1"/>
    <x v="1"/>
    <x v="1"/>
    <x v="231"/>
    <s v="BOQUETE"/>
    <x v="1"/>
  </r>
  <r>
    <x v="39"/>
    <x v="41"/>
    <x v="1"/>
    <x v="1"/>
    <x v="0"/>
    <x v="2"/>
    <x v="21"/>
    <x v="113"/>
    <x v="754"/>
    <x v="0"/>
    <s v="BRISAS DEL GOLF"/>
    <x v="1"/>
  </r>
  <r>
    <x v="39"/>
    <x v="1"/>
    <x v="1"/>
    <x v="1"/>
    <x v="0"/>
    <x v="2"/>
    <x v="1"/>
    <x v="1"/>
    <x v="1"/>
    <x v="232"/>
    <s v="BRISAS DEL GOLF"/>
    <x v="1"/>
  </r>
  <r>
    <x v="39"/>
    <x v="1"/>
    <x v="1"/>
    <x v="1"/>
    <x v="0"/>
    <x v="0"/>
    <x v="1"/>
    <x v="1"/>
    <x v="1"/>
    <x v="233"/>
    <s v="BRISAS DEL GOLF"/>
    <x v="1"/>
  </r>
  <r>
    <x v="39"/>
    <x v="119"/>
    <x v="0"/>
    <x v="0"/>
    <x v="0"/>
    <x v="1"/>
    <x v="21"/>
    <x v="96"/>
    <x v="854"/>
    <x v="0"/>
    <s v="BRISAS DEL GOLF"/>
    <x v="1"/>
  </r>
  <r>
    <x v="39"/>
    <x v="142"/>
    <x v="0"/>
    <x v="0"/>
    <x v="0"/>
    <x v="1"/>
    <x v="21"/>
    <x v="119"/>
    <x v="855"/>
    <x v="0"/>
    <s v="BRISAS DEL GOLF"/>
    <x v="1"/>
  </r>
  <r>
    <x v="39"/>
    <x v="13"/>
    <x v="5"/>
    <x v="5"/>
    <x v="0"/>
    <x v="1"/>
    <x v="21"/>
    <x v="120"/>
    <x v="856"/>
    <x v="0"/>
    <s v="BRISAS DEL GOLF"/>
    <x v="1"/>
  </r>
  <r>
    <x v="39"/>
    <x v="95"/>
    <x v="1"/>
    <x v="1"/>
    <x v="0"/>
    <x v="1"/>
    <x v="21"/>
    <x v="97"/>
    <x v="754"/>
    <x v="0"/>
    <s v="BRISAS DEL GOLF"/>
    <x v="1"/>
  </r>
  <r>
    <x v="39"/>
    <x v="1"/>
    <x v="1"/>
    <x v="1"/>
    <x v="0"/>
    <x v="1"/>
    <x v="1"/>
    <x v="1"/>
    <x v="1"/>
    <x v="234"/>
    <s v="BRISAS DEL GOLF"/>
    <x v="1"/>
  </r>
  <r>
    <x v="40"/>
    <x v="47"/>
    <x v="2"/>
    <x v="2"/>
    <x v="0"/>
    <x v="2"/>
    <x v="20"/>
    <x v="121"/>
    <x v="857"/>
    <x v="0"/>
    <s v="PUENTE CENTENARIO"/>
    <x v="1"/>
  </r>
  <r>
    <x v="40"/>
    <x v="143"/>
    <x v="2"/>
    <x v="2"/>
    <x v="0"/>
    <x v="2"/>
    <x v="20"/>
    <x v="121"/>
    <x v="754"/>
    <x v="0"/>
    <s v="PUENTE CENTENARIO"/>
    <x v="1"/>
  </r>
  <r>
    <x v="40"/>
    <x v="24"/>
    <x v="2"/>
    <x v="2"/>
    <x v="0"/>
    <x v="2"/>
    <x v="20"/>
    <x v="121"/>
    <x v="777"/>
    <x v="0"/>
    <s v="PUENTE CENTENARIO"/>
    <x v="1"/>
  </r>
  <r>
    <x v="40"/>
    <x v="111"/>
    <x v="2"/>
    <x v="2"/>
    <x v="0"/>
    <x v="2"/>
    <x v="20"/>
    <x v="121"/>
    <x v="756"/>
    <x v="0"/>
    <s v="PUENTE CENTENARIO"/>
    <x v="1"/>
  </r>
  <r>
    <x v="40"/>
    <x v="74"/>
    <x v="3"/>
    <x v="3"/>
    <x v="0"/>
    <x v="2"/>
    <x v="20"/>
    <x v="121"/>
    <x v="756"/>
    <x v="0"/>
    <s v="PUENTE CENTENARIO"/>
    <x v="1"/>
  </r>
  <r>
    <x v="40"/>
    <x v="49"/>
    <x v="3"/>
    <x v="3"/>
    <x v="0"/>
    <x v="2"/>
    <x v="20"/>
    <x v="121"/>
    <x v="754"/>
    <x v="0"/>
    <s v="PUENTE CENTENARIO"/>
    <x v="1"/>
  </r>
  <r>
    <x v="40"/>
    <x v="132"/>
    <x v="4"/>
    <x v="4"/>
    <x v="0"/>
    <x v="2"/>
    <x v="20"/>
    <x v="121"/>
    <x v="754"/>
    <x v="0"/>
    <s v="PUENTE CENTENARIO"/>
    <x v="1"/>
  </r>
  <r>
    <x v="40"/>
    <x v="119"/>
    <x v="0"/>
    <x v="0"/>
    <x v="0"/>
    <x v="2"/>
    <x v="20"/>
    <x v="121"/>
    <x v="754"/>
    <x v="0"/>
    <s v="PUENTE CENTENARIO"/>
    <x v="1"/>
  </r>
  <r>
    <x v="40"/>
    <x v="100"/>
    <x v="0"/>
    <x v="0"/>
    <x v="0"/>
    <x v="2"/>
    <x v="20"/>
    <x v="121"/>
    <x v="754"/>
    <x v="0"/>
    <s v="PUENTE CENTENARIO"/>
    <x v="1"/>
  </r>
  <r>
    <x v="40"/>
    <x v="142"/>
    <x v="0"/>
    <x v="0"/>
    <x v="0"/>
    <x v="2"/>
    <x v="20"/>
    <x v="121"/>
    <x v="856"/>
    <x v="0"/>
    <s v="PUENTE CENTENARIO"/>
    <x v="1"/>
  </r>
  <r>
    <x v="40"/>
    <x v="141"/>
    <x v="5"/>
    <x v="5"/>
    <x v="0"/>
    <x v="2"/>
    <x v="20"/>
    <x v="121"/>
    <x v="777"/>
    <x v="0"/>
    <s v="PUENTE CENTENARIO"/>
    <x v="1"/>
  </r>
  <r>
    <x v="40"/>
    <x v="83"/>
    <x v="1"/>
    <x v="1"/>
    <x v="0"/>
    <x v="2"/>
    <x v="20"/>
    <x v="121"/>
    <x v="754"/>
    <x v="0"/>
    <s v="PUENTE CENTENARIO"/>
    <x v="1"/>
  </r>
  <r>
    <x v="40"/>
    <x v="41"/>
    <x v="1"/>
    <x v="1"/>
    <x v="0"/>
    <x v="2"/>
    <x v="20"/>
    <x v="121"/>
    <x v="754"/>
    <x v="0"/>
    <s v="PUENTE CENTENARIO"/>
    <x v="1"/>
  </r>
  <r>
    <x v="40"/>
    <x v="1"/>
    <x v="1"/>
    <x v="1"/>
    <x v="0"/>
    <x v="2"/>
    <x v="1"/>
    <x v="1"/>
    <x v="1"/>
    <x v="235"/>
    <s v="PUENTE CENTENARIO"/>
    <x v="1"/>
  </r>
  <r>
    <x v="74"/>
    <x v="144"/>
    <x v="2"/>
    <x v="2"/>
    <x v="0"/>
    <x v="2"/>
    <x v="20"/>
    <x v="122"/>
    <x v="858"/>
    <x v="0"/>
    <s v="AGUADULCE"/>
    <x v="1"/>
  </r>
  <r>
    <x v="74"/>
    <x v="110"/>
    <x v="2"/>
    <x v="2"/>
    <x v="0"/>
    <x v="2"/>
    <x v="20"/>
    <x v="122"/>
    <x v="858"/>
    <x v="0"/>
    <s v="AGUADULCE"/>
    <x v="1"/>
  </r>
  <r>
    <x v="74"/>
    <x v="49"/>
    <x v="3"/>
    <x v="3"/>
    <x v="0"/>
    <x v="2"/>
    <x v="20"/>
    <x v="122"/>
    <x v="858"/>
    <x v="0"/>
    <s v="AGUADULCE"/>
    <x v="1"/>
  </r>
  <r>
    <x v="74"/>
    <x v="19"/>
    <x v="3"/>
    <x v="3"/>
    <x v="0"/>
    <x v="2"/>
    <x v="20"/>
    <x v="122"/>
    <x v="859"/>
    <x v="0"/>
    <s v="AGUADULCE"/>
    <x v="1"/>
  </r>
  <r>
    <x v="74"/>
    <x v="10"/>
    <x v="3"/>
    <x v="3"/>
    <x v="0"/>
    <x v="2"/>
    <x v="21"/>
    <x v="123"/>
    <x v="860"/>
    <x v="0"/>
    <s v="AGUADULCE"/>
    <x v="1"/>
  </r>
  <r>
    <x v="74"/>
    <x v="80"/>
    <x v="4"/>
    <x v="4"/>
    <x v="0"/>
    <x v="2"/>
    <x v="21"/>
    <x v="90"/>
    <x v="861"/>
    <x v="0"/>
    <s v="AGUADULCE"/>
    <x v="1"/>
  </r>
  <r>
    <x v="74"/>
    <x v="31"/>
    <x v="4"/>
    <x v="4"/>
    <x v="0"/>
    <x v="2"/>
    <x v="26"/>
    <x v="72"/>
    <x v="1"/>
    <x v="236"/>
    <s v="AGUADULCE"/>
    <x v="1"/>
  </r>
  <r>
    <x v="74"/>
    <x v="39"/>
    <x v="4"/>
    <x v="4"/>
    <x v="0"/>
    <x v="2"/>
    <x v="20"/>
    <x v="122"/>
    <x v="740"/>
    <x v="0"/>
    <s v="AGUADULCE"/>
    <x v="1"/>
  </r>
  <r>
    <x v="74"/>
    <x v="90"/>
    <x v="0"/>
    <x v="0"/>
    <x v="0"/>
    <x v="2"/>
    <x v="21"/>
    <x v="79"/>
    <x v="862"/>
    <x v="0"/>
    <s v="AGUADULCE"/>
    <x v="1"/>
  </r>
  <r>
    <x v="74"/>
    <x v="91"/>
    <x v="0"/>
    <x v="0"/>
    <x v="0"/>
    <x v="2"/>
    <x v="20"/>
    <x v="122"/>
    <x v="735"/>
    <x v="0"/>
    <s v="AGUADULCE"/>
    <x v="1"/>
  </r>
  <r>
    <x v="74"/>
    <x v="117"/>
    <x v="0"/>
    <x v="0"/>
    <x v="0"/>
    <x v="2"/>
    <x v="20"/>
    <x v="122"/>
    <x v="858"/>
    <x v="0"/>
    <s v="AGUADULCE"/>
    <x v="1"/>
  </r>
  <r>
    <x v="74"/>
    <x v="5"/>
    <x v="0"/>
    <x v="0"/>
    <x v="0"/>
    <x v="2"/>
    <x v="20"/>
    <x v="122"/>
    <x v="858"/>
    <x v="0"/>
    <s v="AGUADULCE"/>
    <x v="1"/>
  </r>
  <r>
    <x v="74"/>
    <x v="76"/>
    <x v="5"/>
    <x v="5"/>
    <x v="0"/>
    <x v="2"/>
    <x v="20"/>
    <x v="122"/>
    <x v="858"/>
    <x v="0"/>
    <s v="AGUADULCE"/>
    <x v="1"/>
  </r>
  <r>
    <x v="74"/>
    <x v="145"/>
    <x v="5"/>
    <x v="5"/>
    <x v="0"/>
    <x v="2"/>
    <x v="26"/>
    <x v="124"/>
    <x v="1"/>
    <x v="237"/>
    <s v="AGUADULCE"/>
    <x v="1"/>
  </r>
  <r>
    <x v="74"/>
    <x v="40"/>
    <x v="1"/>
    <x v="1"/>
    <x v="0"/>
    <x v="2"/>
    <x v="21"/>
    <x v="125"/>
    <x v="862"/>
    <x v="0"/>
    <s v="AGUADULCE"/>
    <x v="1"/>
  </r>
  <r>
    <x v="74"/>
    <x v="41"/>
    <x v="1"/>
    <x v="1"/>
    <x v="0"/>
    <x v="2"/>
    <x v="20"/>
    <x v="122"/>
    <x v="739"/>
    <x v="0"/>
    <s v="AGUADULCE"/>
    <x v="1"/>
  </r>
  <r>
    <x v="74"/>
    <x v="42"/>
    <x v="1"/>
    <x v="1"/>
    <x v="0"/>
    <x v="2"/>
    <x v="20"/>
    <x v="122"/>
    <x v="858"/>
    <x v="0"/>
    <s v="AGUADULCE"/>
    <x v="1"/>
  </r>
  <r>
    <x v="74"/>
    <x v="101"/>
    <x v="1"/>
    <x v="1"/>
    <x v="0"/>
    <x v="2"/>
    <x v="20"/>
    <x v="122"/>
    <x v="146"/>
    <x v="0"/>
    <s v="AGUADULCE"/>
    <x v="1"/>
  </r>
  <r>
    <x v="74"/>
    <x v="1"/>
    <x v="1"/>
    <x v="1"/>
    <x v="0"/>
    <x v="2"/>
    <x v="1"/>
    <x v="1"/>
    <x v="1"/>
    <x v="238"/>
    <s v="AGUADULCE"/>
    <x v="1"/>
  </r>
  <r>
    <x v="74"/>
    <x v="114"/>
    <x v="3"/>
    <x v="3"/>
    <x v="0"/>
    <x v="1"/>
    <x v="21"/>
    <x v="76"/>
    <x v="825"/>
    <x v="0"/>
    <s v="AGUADULCE"/>
    <x v="1"/>
  </r>
  <r>
    <x v="74"/>
    <x v="1"/>
    <x v="1"/>
    <x v="1"/>
    <x v="0"/>
    <x v="1"/>
    <x v="1"/>
    <x v="1"/>
    <x v="1"/>
    <x v="239"/>
    <s v="AGUADULCE"/>
    <x v="1"/>
  </r>
  <r>
    <x v="75"/>
    <x v="71"/>
    <x v="6"/>
    <x v="6"/>
    <x v="0"/>
    <x v="2"/>
    <x v="21"/>
    <x v="37"/>
    <x v="863"/>
    <x v="0"/>
    <s v="SABANITAS"/>
    <x v="1"/>
  </r>
  <r>
    <x v="75"/>
    <x v="61"/>
    <x v="3"/>
    <x v="3"/>
    <x v="0"/>
    <x v="2"/>
    <x v="21"/>
    <x v="126"/>
    <x v="764"/>
    <x v="0"/>
    <s v="SABANITAS"/>
    <x v="1"/>
  </r>
  <r>
    <x v="75"/>
    <x v="80"/>
    <x v="4"/>
    <x v="4"/>
    <x v="0"/>
    <x v="2"/>
    <x v="21"/>
    <x v="90"/>
    <x v="864"/>
    <x v="0"/>
    <s v="SABANITAS"/>
    <x v="1"/>
  </r>
  <r>
    <x v="75"/>
    <x v="136"/>
    <x v="0"/>
    <x v="0"/>
    <x v="0"/>
    <x v="2"/>
    <x v="21"/>
    <x v="100"/>
    <x v="865"/>
    <x v="0"/>
    <s v="SABANITAS"/>
    <x v="1"/>
  </r>
  <r>
    <x v="75"/>
    <x v="1"/>
    <x v="1"/>
    <x v="1"/>
    <x v="0"/>
    <x v="2"/>
    <x v="1"/>
    <x v="1"/>
    <x v="1"/>
    <x v="240"/>
    <s v="SABANITAS"/>
    <x v="1"/>
  </r>
  <r>
    <x v="75"/>
    <x v="111"/>
    <x v="2"/>
    <x v="2"/>
    <x v="0"/>
    <x v="1"/>
    <x v="21"/>
    <x v="75"/>
    <x v="866"/>
    <x v="0"/>
    <s v="SABANITAS"/>
    <x v="1"/>
  </r>
  <r>
    <x v="75"/>
    <x v="114"/>
    <x v="3"/>
    <x v="3"/>
    <x v="0"/>
    <x v="1"/>
    <x v="21"/>
    <x v="76"/>
    <x v="867"/>
    <x v="0"/>
    <s v="SABANITAS"/>
    <x v="1"/>
  </r>
  <r>
    <x v="75"/>
    <x v="66"/>
    <x v="4"/>
    <x v="4"/>
    <x v="0"/>
    <x v="1"/>
    <x v="21"/>
    <x v="78"/>
    <x v="868"/>
    <x v="0"/>
    <s v="SABANITAS"/>
    <x v="1"/>
  </r>
  <r>
    <x v="75"/>
    <x v="90"/>
    <x v="0"/>
    <x v="0"/>
    <x v="0"/>
    <x v="1"/>
    <x v="21"/>
    <x v="79"/>
    <x v="869"/>
    <x v="0"/>
    <s v="SABANITAS"/>
    <x v="1"/>
  </r>
  <r>
    <x v="75"/>
    <x v="1"/>
    <x v="1"/>
    <x v="1"/>
    <x v="0"/>
    <x v="1"/>
    <x v="1"/>
    <x v="1"/>
    <x v="1"/>
    <x v="241"/>
    <s v="SABANITAS"/>
    <x v="1"/>
  </r>
  <r>
    <x v="42"/>
    <x v="1"/>
    <x v="1"/>
    <x v="1"/>
    <x v="0"/>
    <x v="2"/>
    <x v="1"/>
    <x v="1"/>
    <x v="1"/>
    <x v="242"/>
    <s v="ALTOS DE PANAMA"/>
    <x v="1"/>
  </r>
  <r>
    <x v="43"/>
    <x v="90"/>
    <x v="0"/>
    <x v="0"/>
    <x v="0"/>
    <x v="2"/>
    <x v="20"/>
    <x v="127"/>
    <x v="870"/>
    <x v="0"/>
    <s v="VERSALLES"/>
    <x v="1"/>
  </r>
  <r>
    <x v="43"/>
    <x v="1"/>
    <x v="1"/>
    <x v="1"/>
    <x v="0"/>
    <x v="2"/>
    <x v="1"/>
    <x v="1"/>
    <x v="1"/>
    <x v="243"/>
    <s v="VERSALLES"/>
    <x v="1"/>
  </r>
  <r>
    <x v="44"/>
    <x v="146"/>
    <x v="6"/>
    <x v="6"/>
    <x v="0"/>
    <x v="2"/>
    <x v="20"/>
    <x v="128"/>
    <x v="776"/>
    <x v="0"/>
    <s v="BUSINESS PARK"/>
    <x v="1"/>
  </r>
  <r>
    <x v="44"/>
    <x v="102"/>
    <x v="6"/>
    <x v="6"/>
    <x v="0"/>
    <x v="2"/>
    <x v="20"/>
    <x v="128"/>
    <x v="748"/>
    <x v="0"/>
    <s v="BUSINESS PARK"/>
    <x v="1"/>
  </r>
  <r>
    <x v="44"/>
    <x v="43"/>
    <x v="3"/>
    <x v="3"/>
    <x v="0"/>
    <x v="2"/>
    <x v="20"/>
    <x v="128"/>
    <x v="737"/>
    <x v="0"/>
    <s v="BUSINESS PARK"/>
    <x v="1"/>
  </r>
  <r>
    <x v="44"/>
    <x v="99"/>
    <x v="3"/>
    <x v="3"/>
    <x v="0"/>
    <x v="2"/>
    <x v="20"/>
    <x v="128"/>
    <x v="744"/>
    <x v="0"/>
    <s v="BUSINESS PARK"/>
    <x v="1"/>
  </r>
  <r>
    <x v="44"/>
    <x v="82"/>
    <x v="0"/>
    <x v="0"/>
    <x v="0"/>
    <x v="2"/>
    <x v="20"/>
    <x v="128"/>
    <x v="744"/>
    <x v="0"/>
    <s v="BUSINESS PARK"/>
    <x v="1"/>
  </r>
  <r>
    <x v="44"/>
    <x v="92"/>
    <x v="0"/>
    <x v="0"/>
    <x v="0"/>
    <x v="2"/>
    <x v="20"/>
    <x v="128"/>
    <x v="737"/>
    <x v="0"/>
    <s v="BUSINESS PARK"/>
    <x v="1"/>
  </r>
  <r>
    <x v="44"/>
    <x v="77"/>
    <x v="5"/>
    <x v="5"/>
    <x v="0"/>
    <x v="2"/>
    <x v="20"/>
    <x v="128"/>
    <x v="748"/>
    <x v="0"/>
    <s v="BUSINESS PARK"/>
    <x v="1"/>
  </r>
  <r>
    <x v="44"/>
    <x v="123"/>
    <x v="5"/>
    <x v="5"/>
    <x v="0"/>
    <x v="2"/>
    <x v="20"/>
    <x v="128"/>
    <x v="748"/>
    <x v="0"/>
    <s v="BUSINESS PARK"/>
    <x v="1"/>
  </r>
  <r>
    <x v="44"/>
    <x v="1"/>
    <x v="1"/>
    <x v="1"/>
    <x v="0"/>
    <x v="2"/>
    <x v="1"/>
    <x v="1"/>
    <x v="1"/>
    <x v="7"/>
    <s v="BUSINESS PARK"/>
    <x v="1"/>
  </r>
  <r>
    <x v="45"/>
    <x v="36"/>
    <x v="6"/>
    <x v="6"/>
    <x v="0"/>
    <x v="2"/>
    <x v="20"/>
    <x v="129"/>
    <x v="745"/>
    <x v="0"/>
    <s v="SAN FRANCISCO"/>
    <x v="1"/>
  </r>
  <r>
    <x v="45"/>
    <x v="87"/>
    <x v="6"/>
    <x v="6"/>
    <x v="0"/>
    <x v="2"/>
    <x v="20"/>
    <x v="129"/>
    <x v="737"/>
    <x v="0"/>
    <s v="SAN FRANCISCO"/>
    <x v="1"/>
  </r>
  <r>
    <x v="45"/>
    <x v="113"/>
    <x v="6"/>
    <x v="6"/>
    <x v="0"/>
    <x v="2"/>
    <x v="20"/>
    <x v="129"/>
    <x v="744"/>
    <x v="0"/>
    <s v="SAN FRANCISCO"/>
    <x v="1"/>
  </r>
  <r>
    <x v="45"/>
    <x v="74"/>
    <x v="3"/>
    <x v="3"/>
    <x v="0"/>
    <x v="2"/>
    <x v="20"/>
    <x v="129"/>
    <x v="791"/>
    <x v="0"/>
    <s v="SAN FRANCISCO"/>
    <x v="1"/>
  </r>
  <r>
    <x v="45"/>
    <x v="56"/>
    <x v="3"/>
    <x v="3"/>
    <x v="0"/>
    <x v="2"/>
    <x v="27"/>
    <x v="59"/>
    <x v="1"/>
    <x v="196"/>
    <s v="SAN FRANCISCO"/>
    <x v="1"/>
  </r>
  <r>
    <x v="45"/>
    <x v="99"/>
    <x v="3"/>
    <x v="3"/>
    <x v="0"/>
    <x v="2"/>
    <x v="20"/>
    <x v="129"/>
    <x v="871"/>
    <x v="0"/>
    <s v="SAN FRANCISCO"/>
    <x v="1"/>
  </r>
  <r>
    <x v="45"/>
    <x v="44"/>
    <x v="3"/>
    <x v="3"/>
    <x v="0"/>
    <x v="2"/>
    <x v="20"/>
    <x v="129"/>
    <x v="871"/>
    <x v="0"/>
    <s v="SAN FRANCISCO"/>
    <x v="1"/>
  </r>
  <r>
    <x v="45"/>
    <x v="92"/>
    <x v="0"/>
    <x v="0"/>
    <x v="0"/>
    <x v="2"/>
    <x v="20"/>
    <x v="129"/>
    <x v="745"/>
    <x v="0"/>
    <s v="SAN FRANCISCO"/>
    <x v="1"/>
  </r>
  <r>
    <x v="45"/>
    <x v="13"/>
    <x v="5"/>
    <x v="5"/>
    <x v="0"/>
    <x v="2"/>
    <x v="20"/>
    <x v="129"/>
    <x v="750"/>
    <x v="0"/>
    <s v="SAN FRANCISCO"/>
    <x v="1"/>
  </r>
  <r>
    <x v="45"/>
    <x v="125"/>
    <x v="5"/>
    <x v="5"/>
    <x v="0"/>
    <x v="2"/>
    <x v="20"/>
    <x v="129"/>
    <x v="742"/>
    <x v="0"/>
    <s v="SAN FRANCISCO"/>
    <x v="1"/>
  </r>
  <r>
    <x v="45"/>
    <x v="1"/>
    <x v="1"/>
    <x v="1"/>
    <x v="0"/>
    <x v="2"/>
    <x v="1"/>
    <x v="1"/>
    <x v="1"/>
    <x v="244"/>
    <s v="SAN FRANCISCO"/>
    <x v="1"/>
  </r>
  <r>
    <x v="46"/>
    <x v="88"/>
    <x v="6"/>
    <x v="6"/>
    <x v="0"/>
    <x v="2"/>
    <x v="20"/>
    <x v="130"/>
    <x v="744"/>
    <x v="0"/>
    <s v="PLAZA BANCO GENERAL"/>
    <x v="1"/>
  </r>
  <r>
    <x v="46"/>
    <x v="147"/>
    <x v="6"/>
    <x v="6"/>
    <x v="0"/>
    <x v="2"/>
    <x v="20"/>
    <x v="130"/>
    <x v="744"/>
    <x v="0"/>
    <s v="PLAZA BANCO GENERAL"/>
    <x v="1"/>
  </r>
  <r>
    <x v="46"/>
    <x v="11"/>
    <x v="6"/>
    <x v="6"/>
    <x v="0"/>
    <x v="2"/>
    <x v="20"/>
    <x v="130"/>
    <x v="737"/>
    <x v="0"/>
    <s v="PLAZA BANCO GENERAL"/>
    <x v="1"/>
  </r>
  <r>
    <x v="46"/>
    <x v="96"/>
    <x v="6"/>
    <x v="6"/>
    <x v="0"/>
    <x v="2"/>
    <x v="20"/>
    <x v="130"/>
    <x v="744"/>
    <x v="0"/>
    <s v="PLAZA BANCO GENERAL"/>
    <x v="1"/>
  </r>
  <r>
    <x v="46"/>
    <x v="23"/>
    <x v="3"/>
    <x v="3"/>
    <x v="0"/>
    <x v="2"/>
    <x v="20"/>
    <x v="130"/>
    <x v="744"/>
    <x v="0"/>
    <s v="PLAZA BANCO GENERAL"/>
    <x v="1"/>
  </r>
  <r>
    <x v="46"/>
    <x v="148"/>
    <x v="3"/>
    <x v="3"/>
    <x v="0"/>
    <x v="2"/>
    <x v="20"/>
    <x v="130"/>
    <x v="872"/>
    <x v="0"/>
    <s v="PLAZA BANCO GENERAL"/>
    <x v="1"/>
  </r>
  <r>
    <x v="46"/>
    <x v="28"/>
    <x v="3"/>
    <x v="3"/>
    <x v="0"/>
    <x v="2"/>
    <x v="20"/>
    <x v="130"/>
    <x v="737"/>
    <x v="0"/>
    <s v="PLAZA BANCO GENERAL"/>
    <x v="1"/>
  </r>
  <r>
    <x v="46"/>
    <x v="4"/>
    <x v="4"/>
    <x v="4"/>
    <x v="0"/>
    <x v="2"/>
    <x v="20"/>
    <x v="130"/>
    <x v="744"/>
    <x v="0"/>
    <s v="PLAZA BANCO GENERAL"/>
    <x v="1"/>
  </r>
  <r>
    <x v="46"/>
    <x v="51"/>
    <x v="4"/>
    <x v="4"/>
    <x v="0"/>
    <x v="2"/>
    <x v="20"/>
    <x v="130"/>
    <x v="744"/>
    <x v="0"/>
    <s v="PLAZA BANCO GENERAL"/>
    <x v="1"/>
  </r>
  <r>
    <x v="46"/>
    <x v="145"/>
    <x v="5"/>
    <x v="5"/>
    <x v="0"/>
    <x v="2"/>
    <x v="20"/>
    <x v="130"/>
    <x v="744"/>
    <x v="0"/>
    <s v="PLAZA BANCO GENERAL"/>
    <x v="1"/>
  </r>
  <r>
    <x v="46"/>
    <x v="1"/>
    <x v="1"/>
    <x v="1"/>
    <x v="0"/>
    <x v="2"/>
    <x v="1"/>
    <x v="1"/>
    <x v="1"/>
    <x v="245"/>
    <s v="PLAZA BANCO GENERAL"/>
    <x v="1"/>
  </r>
  <r>
    <x v="47"/>
    <x v="111"/>
    <x v="2"/>
    <x v="2"/>
    <x v="0"/>
    <x v="2"/>
    <x v="20"/>
    <x v="131"/>
    <x v="771"/>
    <x v="0"/>
    <s v="LA CHORRERA - PARQUE 10 DE NOV."/>
    <x v="1"/>
  </r>
  <r>
    <x v="47"/>
    <x v="9"/>
    <x v="6"/>
    <x v="6"/>
    <x v="0"/>
    <x v="2"/>
    <x v="20"/>
    <x v="131"/>
    <x v="816"/>
    <x v="0"/>
    <s v="LA CHORRERA - PARQUE 10 DE NOV."/>
    <x v="1"/>
  </r>
  <r>
    <x v="47"/>
    <x v="59"/>
    <x v="6"/>
    <x v="6"/>
    <x v="0"/>
    <x v="2"/>
    <x v="20"/>
    <x v="131"/>
    <x v="770"/>
    <x v="0"/>
    <s v="LA CHORRERA - PARQUE 10 DE NOV."/>
    <x v="1"/>
  </r>
  <r>
    <x v="47"/>
    <x v="149"/>
    <x v="6"/>
    <x v="6"/>
    <x v="0"/>
    <x v="2"/>
    <x v="20"/>
    <x v="131"/>
    <x v="771"/>
    <x v="0"/>
    <s v="LA CHORRERA - PARQUE 10 DE NOV."/>
    <x v="1"/>
  </r>
  <r>
    <x v="47"/>
    <x v="37"/>
    <x v="6"/>
    <x v="6"/>
    <x v="0"/>
    <x v="2"/>
    <x v="20"/>
    <x v="131"/>
    <x v="748"/>
    <x v="0"/>
    <s v="LA CHORRERA - PARQUE 10 DE NOV."/>
    <x v="1"/>
  </r>
  <r>
    <x v="47"/>
    <x v="108"/>
    <x v="3"/>
    <x v="3"/>
    <x v="0"/>
    <x v="2"/>
    <x v="20"/>
    <x v="131"/>
    <x v="770"/>
    <x v="0"/>
    <s v="LA CHORRERA - PARQUE 10 DE NOV."/>
    <x v="1"/>
  </r>
  <r>
    <x v="47"/>
    <x v="131"/>
    <x v="3"/>
    <x v="3"/>
    <x v="0"/>
    <x v="2"/>
    <x v="20"/>
    <x v="131"/>
    <x v="770"/>
    <x v="0"/>
    <s v="LA CHORRERA - PARQUE 10 DE NOV."/>
    <x v="1"/>
  </r>
  <r>
    <x v="47"/>
    <x v="119"/>
    <x v="0"/>
    <x v="0"/>
    <x v="0"/>
    <x v="2"/>
    <x v="20"/>
    <x v="131"/>
    <x v="770"/>
    <x v="0"/>
    <s v="LA CHORRERA - PARQUE 10 DE NOV."/>
    <x v="1"/>
  </r>
  <r>
    <x v="47"/>
    <x v="93"/>
    <x v="0"/>
    <x v="0"/>
    <x v="0"/>
    <x v="2"/>
    <x v="20"/>
    <x v="131"/>
    <x v="873"/>
    <x v="0"/>
    <s v="LA CHORRERA - PARQUE 10 DE NOV."/>
    <x v="1"/>
  </r>
  <r>
    <x v="47"/>
    <x v="125"/>
    <x v="5"/>
    <x v="5"/>
    <x v="0"/>
    <x v="2"/>
    <x v="20"/>
    <x v="131"/>
    <x v="748"/>
    <x v="0"/>
    <s v="LA CHORRERA - PARQUE 10 DE NOV."/>
    <x v="1"/>
  </r>
  <r>
    <x v="47"/>
    <x v="150"/>
    <x v="5"/>
    <x v="5"/>
    <x v="0"/>
    <x v="2"/>
    <x v="20"/>
    <x v="131"/>
    <x v="748"/>
    <x v="0"/>
    <s v="LA CHORRERA - PARQUE 10 DE NOV."/>
    <x v="1"/>
  </r>
  <r>
    <x v="47"/>
    <x v="14"/>
    <x v="1"/>
    <x v="1"/>
    <x v="0"/>
    <x v="2"/>
    <x v="20"/>
    <x v="131"/>
    <x v="748"/>
    <x v="0"/>
    <s v="LA CHORRERA - PARQUE 10 DE NOV."/>
    <x v="1"/>
  </r>
  <r>
    <x v="47"/>
    <x v="151"/>
    <x v="1"/>
    <x v="1"/>
    <x v="0"/>
    <x v="2"/>
    <x v="20"/>
    <x v="131"/>
    <x v="771"/>
    <x v="0"/>
    <s v="LA CHORRERA - PARQUE 10 DE NOV."/>
    <x v="1"/>
  </r>
  <r>
    <x v="47"/>
    <x v="1"/>
    <x v="1"/>
    <x v="1"/>
    <x v="0"/>
    <x v="2"/>
    <x v="1"/>
    <x v="1"/>
    <x v="1"/>
    <x v="246"/>
    <s v="LA CHORRERA - PARQUE 10 DE NOV."/>
    <x v="1"/>
  </r>
  <r>
    <x v="47"/>
    <x v="147"/>
    <x v="6"/>
    <x v="6"/>
    <x v="0"/>
    <x v="0"/>
    <x v="21"/>
    <x v="132"/>
    <x v="874"/>
    <x v="0"/>
    <s v="LA CHORRERA - PARQUE 10 DE NOV."/>
    <x v="1"/>
  </r>
  <r>
    <x v="47"/>
    <x v="1"/>
    <x v="1"/>
    <x v="1"/>
    <x v="0"/>
    <x v="0"/>
    <x v="1"/>
    <x v="1"/>
    <x v="1"/>
    <x v="216"/>
    <s v="LA CHORRERA - PARQUE 10 DE NOV."/>
    <x v="1"/>
  </r>
  <r>
    <x v="47"/>
    <x v="11"/>
    <x v="6"/>
    <x v="6"/>
    <x v="0"/>
    <x v="1"/>
    <x v="21"/>
    <x v="91"/>
    <x v="875"/>
    <x v="0"/>
    <s v="LA CHORRERA - PARQUE 10 DE NOV."/>
    <x v="1"/>
  </r>
  <r>
    <x v="47"/>
    <x v="1"/>
    <x v="1"/>
    <x v="1"/>
    <x v="0"/>
    <x v="1"/>
    <x v="1"/>
    <x v="1"/>
    <x v="1"/>
    <x v="247"/>
    <s v="LA CHORRERA - PARQUE 10 DE NOV."/>
    <x v="1"/>
  </r>
  <r>
    <x v="48"/>
    <x v="107"/>
    <x v="2"/>
    <x v="2"/>
    <x v="0"/>
    <x v="2"/>
    <x v="20"/>
    <x v="133"/>
    <x v="748"/>
    <x v="0"/>
    <s v="COSTA DEL ESTE - CENTENARIO"/>
    <x v="1"/>
  </r>
  <r>
    <x v="48"/>
    <x v="36"/>
    <x v="6"/>
    <x v="6"/>
    <x v="0"/>
    <x v="2"/>
    <x v="20"/>
    <x v="133"/>
    <x v="842"/>
    <x v="0"/>
    <s v="COSTA DEL ESTE - CENTENARIO"/>
    <x v="1"/>
  </r>
  <r>
    <x v="48"/>
    <x v="60"/>
    <x v="3"/>
    <x v="3"/>
    <x v="0"/>
    <x v="2"/>
    <x v="20"/>
    <x v="133"/>
    <x v="842"/>
    <x v="0"/>
    <s v="COSTA DEL ESTE - CENTENARIO"/>
    <x v="1"/>
  </r>
  <r>
    <x v="48"/>
    <x v="135"/>
    <x v="3"/>
    <x v="3"/>
    <x v="0"/>
    <x v="2"/>
    <x v="20"/>
    <x v="133"/>
    <x v="748"/>
    <x v="0"/>
    <s v="COSTA DEL ESTE - CENTENARIO"/>
    <x v="1"/>
  </r>
  <r>
    <x v="48"/>
    <x v="76"/>
    <x v="5"/>
    <x v="5"/>
    <x v="0"/>
    <x v="2"/>
    <x v="20"/>
    <x v="133"/>
    <x v="744"/>
    <x v="0"/>
    <s v="COSTA DEL ESTE - CENTENARIO"/>
    <x v="1"/>
  </r>
  <r>
    <x v="48"/>
    <x v="1"/>
    <x v="1"/>
    <x v="1"/>
    <x v="0"/>
    <x v="2"/>
    <x v="1"/>
    <x v="1"/>
    <x v="1"/>
    <x v="248"/>
    <s v="COSTA DEL ESTE - CENTENARIO"/>
    <x v="1"/>
  </r>
  <r>
    <x v="49"/>
    <x v="112"/>
    <x v="2"/>
    <x v="2"/>
    <x v="0"/>
    <x v="2"/>
    <x v="20"/>
    <x v="134"/>
    <x v="876"/>
    <x v="0"/>
    <s v="CLAYTON"/>
    <x v="1"/>
  </r>
  <r>
    <x v="49"/>
    <x v="145"/>
    <x v="5"/>
    <x v="5"/>
    <x v="0"/>
    <x v="2"/>
    <x v="20"/>
    <x v="134"/>
    <x v="784"/>
    <x v="0"/>
    <s v="CLAYTON"/>
    <x v="1"/>
  </r>
  <r>
    <x v="49"/>
    <x v="1"/>
    <x v="1"/>
    <x v="1"/>
    <x v="0"/>
    <x v="2"/>
    <x v="1"/>
    <x v="1"/>
    <x v="1"/>
    <x v="249"/>
    <s v="CLAYTON"/>
    <x v="1"/>
  </r>
  <r>
    <x v="50"/>
    <x v="2"/>
    <x v="2"/>
    <x v="2"/>
    <x v="0"/>
    <x v="2"/>
    <x v="20"/>
    <x v="135"/>
    <x v="744"/>
    <x v="0"/>
    <s v="MARBELLA"/>
    <x v="1"/>
  </r>
  <r>
    <x v="50"/>
    <x v="124"/>
    <x v="5"/>
    <x v="5"/>
    <x v="0"/>
    <x v="2"/>
    <x v="20"/>
    <x v="135"/>
    <x v="737"/>
    <x v="0"/>
    <s v="MARBELLA"/>
    <x v="1"/>
  </r>
  <r>
    <x v="50"/>
    <x v="1"/>
    <x v="1"/>
    <x v="1"/>
    <x v="0"/>
    <x v="2"/>
    <x v="1"/>
    <x v="1"/>
    <x v="1"/>
    <x v="250"/>
    <s v="MARBELLA"/>
    <x v="1"/>
  </r>
  <r>
    <x v="51"/>
    <x v="107"/>
    <x v="2"/>
    <x v="2"/>
    <x v="0"/>
    <x v="2"/>
    <x v="20"/>
    <x v="136"/>
    <x v="748"/>
    <x v="0"/>
    <s v="PLAZA CAROLINA"/>
    <x v="1"/>
  </r>
  <r>
    <x v="51"/>
    <x v="27"/>
    <x v="3"/>
    <x v="3"/>
    <x v="0"/>
    <x v="2"/>
    <x v="20"/>
    <x v="136"/>
    <x v="877"/>
    <x v="0"/>
    <s v="PLAZA CAROLINA"/>
    <x v="1"/>
  </r>
  <r>
    <x v="51"/>
    <x v="79"/>
    <x v="3"/>
    <x v="3"/>
    <x v="0"/>
    <x v="2"/>
    <x v="20"/>
    <x v="136"/>
    <x v="751"/>
    <x v="0"/>
    <s v="PLAZA CAROLINA"/>
    <x v="1"/>
  </r>
  <r>
    <x v="51"/>
    <x v="56"/>
    <x v="3"/>
    <x v="3"/>
    <x v="0"/>
    <x v="2"/>
    <x v="28"/>
    <x v="59"/>
    <x v="1"/>
    <x v="251"/>
    <s v="PLAZA CAROLINA"/>
    <x v="1"/>
  </r>
  <r>
    <x v="51"/>
    <x v="3"/>
    <x v="3"/>
    <x v="3"/>
    <x v="0"/>
    <x v="2"/>
    <x v="20"/>
    <x v="136"/>
    <x v="799"/>
    <x v="0"/>
    <s v="PLAZA CAROLINA"/>
    <x v="1"/>
  </r>
  <r>
    <x v="51"/>
    <x v="8"/>
    <x v="1"/>
    <x v="1"/>
    <x v="0"/>
    <x v="2"/>
    <x v="20"/>
    <x v="136"/>
    <x v="799"/>
    <x v="0"/>
    <s v="PLAZA CAROLINA"/>
    <x v="1"/>
  </r>
  <r>
    <x v="51"/>
    <x v="152"/>
    <x v="1"/>
    <x v="1"/>
    <x v="0"/>
    <x v="2"/>
    <x v="20"/>
    <x v="136"/>
    <x v="816"/>
    <x v="0"/>
    <s v="PLAZA CAROLINA"/>
    <x v="1"/>
  </r>
  <r>
    <x v="51"/>
    <x v="55"/>
    <x v="1"/>
    <x v="1"/>
    <x v="0"/>
    <x v="2"/>
    <x v="20"/>
    <x v="136"/>
    <x v="747"/>
    <x v="0"/>
    <s v="PLAZA CAROLINA"/>
    <x v="1"/>
  </r>
  <r>
    <x v="51"/>
    <x v="1"/>
    <x v="1"/>
    <x v="1"/>
    <x v="0"/>
    <x v="2"/>
    <x v="1"/>
    <x v="1"/>
    <x v="1"/>
    <x v="252"/>
    <s v="PLAZA CAROLINA"/>
    <x v="1"/>
  </r>
  <r>
    <x v="52"/>
    <x v="145"/>
    <x v="5"/>
    <x v="5"/>
    <x v="0"/>
    <x v="2"/>
    <x v="20"/>
    <x v="137"/>
    <x v="744"/>
    <x v="0"/>
    <s v="PLAZA CORDOBA"/>
    <x v="1"/>
  </r>
  <r>
    <x v="52"/>
    <x v="153"/>
    <x v="5"/>
    <x v="5"/>
    <x v="0"/>
    <x v="2"/>
    <x v="20"/>
    <x v="137"/>
    <x v="785"/>
    <x v="0"/>
    <s v="PLAZA CORDOBA"/>
    <x v="1"/>
  </r>
  <r>
    <x v="52"/>
    <x v="1"/>
    <x v="1"/>
    <x v="1"/>
    <x v="0"/>
    <x v="2"/>
    <x v="1"/>
    <x v="1"/>
    <x v="1"/>
    <x v="253"/>
    <s v="PLAZA CORDOBA"/>
    <x v="1"/>
  </r>
  <r>
    <x v="53"/>
    <x v="1"/>
    <x v="1"/>
    <x v="1"/>
    <x v="0"/>
    <x v="2"/>
    <x v="1"/>
    <x v="1"/>
    <x v="1"/>
    <x v="254"/>
    <s v="VIA SIMON BOLIVAR"/>
    <x v="1"/>
  </r>
  <r>
    <x v="54"/>
    <x v="107"/>
    <x v="2"/>
    <x v="2"/>
    <x v="0"/>
    <x v="2"/>
    <x v="20"/>
    <x v="138"/>
    <x v="744"/>
    <x v="0"/>
    <s v="JUSTO AROSEMENA"/>
    <x v="1"/>
  </r>
  <r>
    <x v="54"/>
    <x v="147"/>
    <x v="6"/>
    <x v="6"/>
    <x v="0"/>
    <x v="2"/>
    <x v="20"/>
    <x v="138"/>
    <x v="744"/>
    <x v="0"/>
    <s v="JUSTO AROSEMENA"/>
    <x v="1"/>
  </r>
  <r>
    <x v="54"/>
    <x v="119"/>
    <x v="0"/>
    <x v="0"/>
    <x v="0"/>
    <x v="2"/>
    <x v="20"/>
    <x v="138"/>
    <x v="744"/>
    <x v="0"/>
    <s v="JUSTO AROSEMENA"/>
    <x v="1"/>
  </r>
  <r>
    <x v="54"/>
    <x v="1"/>
    <x v="1"/>
    <x v="1"/>
    <x v="0"/>
    <x v="2"/>
    <x v="1"/>
    <x v="1"/>
    <x v="1"/>
    <x v="255"/>
    <s v="JUSTO AROSEMENA"/>
    <x v="1"/>
  </r>
  <r>
    <x v="55"/>
    <x v="64"/>
    <x v="2"/>
    <x v="2"/>
    <x v="0"/>
    <x v="19"/>
    <x v="25"/>
    <x v="139"/>
    <x v="878"/>
    <x v="0"/>
    <s v="NEGOCIOS"/>
    <x v="1"/>
  </r>
  <r>
    <x v="55"/>
    <x v="1"/>
    <x v="1"/>
    <x v="1"/>
    <x v="0"/>
    <x v="19"/>
    <x v="1"/>
    <x v="1"/>
    <x v="1"/>
    <x v="256"/>
    <s v="NEGOCIOS"/>
    <x v="1"/>
  </r>
  <r>
    <x v="55"/>
    <x v="2"/>
    <x v="2"/>
    <x v="2"/>
    <x v="0"/>
    <x v="20"/>
    <x v="26"/>
    <x v="140"/>
    <x v="879"/>
    <x v="0"/>
    <s v="NEGOCIOS"/>
    <x v="1"/>
  </r>
  <r>
    <x v="55"/>
    <x v="102"/>
    <x v="6"/>
    <x v="6"/>
    <x v="0"/>
    <x v="20"/>
    <x v="26"/>
    <x v="141"/>
    <x v="880"/>
    <x v="0"/>
    <s v="NEGOCIOS"/>
    <x v="1"/>
  </r>
  <r>
    <x v="55"/>
    <x v="79"/>
    <x v="3"/>
    <x v="3"/>
    <x v="0"/>
    <x v="20"/>
    <x v="26"/>
    <x v="142"/>
    <x v="879"/>
    <x v="0"/>
    <s v="NEGOCIOS"/>
    <x v="1"/>
  </r>
  <r>
    <x v="55"/>
    <x v="154"/>
    <x v="4"/>
    <x v="4"/>
    <x v="0"/>
    <x v="20"/>
    <x v="26"/>
    <x v="143"/>
    <x v="881"/>
    <x v="0"/>
    <s v="NEGOCIOS"/>
    <x v="1"/>
  </r>
  <r>
    <x v="55"/>
    <x v="31"/>
    <x v="4"/>
    <x v="4"/>
    <x v="0"/>
    <x v="20"/>
    <x v="26"/>
    <x v="72"/>
    <x v="781"/>
    <x v="0"/>
    <s v="NEGOCIOS"/>
    <x v="1"/>
  </r>
  <r>
    <x v="55"/>
    <x v="53"/>
    <x v="0"/>
    <x v="0"/>
    <x v="0"/>
    <x v="20"/>
    <x v="26"/>
    <x v="144"/>
    <x v="789"/>
    <x v="0"/>
    <s v="NEGOCIOS"/>
    <x v="1"/>
  </r>
  <r>
    <x v="55"/>
    <x v="63"/>
    <x v="5"/>
    <x v="5"/>
    <x v="0"/>
    <x v="20"/>
    <x v="26"/>
    <x v="111"/>
    <x v="746"/>
    <x v="0"/>
    <s v="NEGOCIOS"/>
    <x v="1"/>
  </r>
  <r>
    <x v="55"/>
    <x v="155"/>
    <x v="1"/>
    <x v="1"/>
    <x v="0"/>
    <x v="20"/>
    <x v="26"/>
    <x v="145"/>
    <x v="881"/>
    <x v="0"/>
    <s v="NEGOCIOS"/>
    <x v="1"/>
  </r>
  <r>
    <x v="55"/>
    <x v="1"/>
    <x v="1"/>
    <x v="1"/>
    <x v="0"/>
    <x v="20"/>
    <x v="1"/>
    <x v="1"/>
    <x v="1"/>
    <x v="257"/>
    <s v="NEGOCIOS"/>
    <x v="1"/>
  </r>
  <r>
    <x v="55"/>
    <x v="156"/>
    <x v="4"/>
    <x v="4"/>
    <x v="0"/>
    <x v="21"/>
    <x v="21"/>
    <x v="146"/>
    <x v="882"/>
    <x v="0"/>
    <s v="NEGOCIOS"/>
    <x v="1"/>
  </r>
  <r>
    <x v="55"/>
    <x v="1"/>
    <x v="1"/>
    <x v="1"/>
    <x v="0"/>
    <x v="21"/>
    <x v="1"/>
    <x v="1"/>
    <x v="1"/>
    <x v="258"/>
    <s v="NEGOCIOS"/>
    <x v="1"/>
  </r>
  <r>
    <x v="55"/>
    <x v="1"/>
    <x v="1"/>
    <x v="1"/>
    <x v="0"/>
    <x v="22"/>
    <x v="1"/>
    <x v="1"/>
    <x v="1"/>
    <x v="259"/>
    <s v="NEGOCIOS"/>
    <x v="1"/>
  </r>
  <r>
    <x v="55"/>
    <x v="157"/>
    <x v="2"/>
    <x v="2"/>
    <x v="0"/>
    <x v="23"/>
    <x v="26"/>
    <x v="147"/>
    <x v="883"/>
    <x v="0"/>
    <s v="NEGOCIOS"/>
    <x v="1"/>
  </r>
  <r>
    <x v="55"/>
    <x v="149"/>
    <x v="6"/>
    <x v="6"/>
    <x v="0"/>
    <x v="23"/>
    <x v="26"/>
    <x v="148"/>
    <x v="884"/>
    <x v="0"/>
    <s v="NEGOCIOS"/>
    <x v="1"/>
  </r>
  <r>
    <x v="55"/>
    <x v="135"/>
    <x v="3"/>
    <x v="3"/>
    <x v="0"/>
    <x v="23"/>
    <x v="26"/>
    <x v="149"/>
    <x v="885"/>
    <x v="0"/>
    <s v="NEGOCIOS"/>
    <x v="1"/>
  </r>
  <r>
    <x v="55"/>
    <x v="154"/>
    <x v="4"/>
    <x v="4"/>
    <x v="0"/>
    <x v="23"/>
    <x v="26"/>
    <x v="143"/>
    <x v="886"/>
    <x v="0"/>
    <s v="NEGOCIOS"/>
    <x v="1"/>
  </r>
  <r>
    <x v="55"/>
    <x v="119"/>
    <x v="0"/>
    <x v="0"/>
    <x v="0"/>
    <x v="23"/>
    <x v="21"/>
    <x v="96"/>
    <x v="887"/>
    <x v="0"/>
    <s v="NEGOCIOS"/>
    <x v="1"/>
  </r>
  <r>
    <x v="55"/>
    <x v="53"/>
    <x v="0"/>
    <x v="0"/>
    <x v="0"/>
    <x v="23"/>
    <x v="26"/>
    <x v="144"/>
    <x v="888"/>
    <x v="0"/>
    <s v="NEGOCIOS"/>
    <x v="1"/>
  </r>
  <r>
    <x v="55"/>
    <x v="63"/>
    <x v="5"/>
    <x v="5"/>
    <x v="0"/>
    <x v="23"/>
    <x v="26"/>
    <x v="111"/>
    <x v="889"/>
    <x v="0"/>
    <s v="NEGOCIOS"/>
    <x v="1"/>
  </r>
  <r>
    <x v="55"/>
    <x v="155"/>
    <x v="1"/>
    <x v="1"/>
    <x v="0"/>
    <x v="23"/>
    <x v="26"/>
    <x v="145"/>
    <x v="890"/>
    <x v="0"/>
    <s v="NEGOCIOS"/>
    <x v="1"/>
  </r>
  <r>
    <x v="55"/>
    <x v="1"/>
    <x v="1"/>
    <x v="1"/>
    <x v="0"/>
    <x v="23"/>
    <x v="1"/>
    <x v="1"/>
    <x v="1"/>
    <x v="260"/>
    <s v="NEGOCIOS"/>
    <x v="1"/>
  </r>
  <r>
    <x v="55"/>
    <x v="70"/>
    <x v="2"/>
    <x v="2"/>
    <x v="0"/>
    <x v="3"/>
    <x v="25"/>
    <x v="36"/>
    <x v="891"/>
    <x v="0"/>
    <s v="NEGOCIOS"/>
    <x v="1"/>
  </r>
  <r>
    <x v="55"/>
    <x v="64"/>
    <x v="2"/>
    <x v="2"/>
    <x v="0"/>
    <x v="3"/>
    <x v="21"/>
    <x v="139"/>
    <x v="891"/>
    <x v="0"/>
    <s v="NEGOCIOS"/>
    <x v="1"/>
  </r>
  <r>
    <x v="55"/>
    <x v="17"/>
    <x v="2"/>
    <x v="2"/>
    <x v="0"/>
    <x v="3"/>
    <x v="25"/>
    <x v="150"/>
    <x v="810"/>
    <x v="0"/>
    <s v="NEGOCIOS"/>
    <x v="1"/>
  </r>
  <r>
    <x v="55"/>
    <x v="17"/>
    <x v="2"/>
    <x v="2"/>
    <x v="0"/>
    <x v="3"/>
    <x v="21"/>
    <x v="150"/>
    <x v="736"/>
    <x v="0"/>
    <s v="NEGOCIOS"/>
    <x v="1"/>
  </r>
  <r>
    <x v="55"/>
    <x v="36"/>
    <x v="6"/>
    <x v="6"/>
    <x v="0"/>
    <x v="3"/>
    <x v="25"/>
    <x v="94"/>
    <x v="892"/>
    <x v="0"/>
    <s v="NEGOCIOS"/>
    <x v="1"/>
  </r>
  <r>
    <x v="55"/>
    <x v="36"/>
    <x v="6"/>
    <x v="6"/>
    <x v="0"/>
    <x v="3"/>
    <x v="21"/>
    <x v="94"/>
    <x v="893"/>
    <x v="0"/>
    <s v="NEGOCIOS"/>
    <x v="1"/>
  </r>
  <r>
    <x v="55"/>
    <x v="149"/>
    <x v="6"/>
    <x v="6"/>
    <x v="0"/>
    <x v="3"/>
    <x v="21"/>
    <x v="148"/>
    <x v="782"/>
    <x v="0"/>
    <s v="NEGOCIOS"/>
    <x v="1"/>
  </r>
  <r>
    <x v="55"/>
    <x v="113"/>
    <x v="6"/>
    <x v="6"/>
    <x v="0"/>
    <x v="3"/>
    <x v="21"/>
    <x v="89"/>
    <x v="894"/>
    <x v="0"/>
    <s v="NEGOCIOS"/>
    <x v="1"/>
  </r>
  <r>
    <x v="55"/>
    <x v="74"/>
    <x v="3"/>
    <x v="3"/>
    <x v="0"/>
    <x v="3"/>
    <x v="25"/>
    <x v="151"/>
    <x v="895"/>
    <x v="0"/>
    <s v="NEGOCIOS"/>
    <x v="1"/>
  </r>
  <r>
    <x v="55"/>
    <x v="26"/>
    <x v="3"/>
    <x v="3"/>
    <x v="0"/>
    <x v="3"/>
    <x v="21"/>
    <x v="115"/>
    <x v="896"/>
    <x v="0"/>
    <s v="NEGOCIOS"/>
    <x v="1"/>
  </r>
  <r>
    <x v="55"/>
    <x v="10"/>
    <x v="3"/>
    <x v="3"/>
    <x v="0"/>
    <x v="3"/>
    <x v="25"/>
    <x v="123"/>
    <x v="897"/>
    <x v="0"/>
    <s v="NEGOCIOS"/>
    <x v="1"/>
  </r>
  <r>
    <x v="55"/>
    <x v="69"/>
    <x v="3"/>
    <x v="3"/>
    <x v="0"/>
    <x v="3"/>
    <x v="21"/>
    <x v="152"/>
    <x v="146"/>
    <x v="0"/>
    <s v="NEGOCIOS"/>
    <x v="1"/>
  </r>
  <r>
    <x v="55"/>
    <x v="43"/>
    <x v="3"/>
    <x v="3"/>
    <x v="0"/>
    <x v="3"/>
    <x v="25"/>
    <x v="71"/>
    <x v="898"/>
    <x v="0"/>
    <s v="NEGOCIOS"/>
    <x v="1"/>
  </r>
  <r>
    <x v="55"/>
    <x v="56"/>
    <x v="3"/>
    <x v="3"/>
    <x v="0"/>
    <x v="3"/>
    <x v="25"/>
    <x v="153"/>
    <x v="899"/>
    <x v="0"/>
    <s v="NEGOCIOS"/>
    <x v="1"/>
  </r>
  <r>
    <x v="55"/>
    <x v="80"/>
    <x v="4"/>
    <x v="4"/>
    <x v="0"/>
    <x v="3"/>
    <x v="21"/>
    <x v="90"/>
    <x v="900"/>
    <x v="0"/>
    <s v="NEGOCIOS"/>
    <x v="1"/>
  </r>
  <r>
    <x v="55"/>
    <x v="140"/>
    <x v="4"/>
    <x v="4"/>
    <x v="0"/>
    <x v="3"/>
    <x v="21"/>
    <x v="117"/>
    <x v="901"/>
    <x v="0"/>
    <s v="NEGOCIOS"/>
    <x v="1"/>
  </r>
  <r>
    <x v="55"/>
    <x v="140"/>
    <x v="4"/>
    <x v="4"/>
    <x v="0"/>
    <x v="3"/>
    <x v="25"/>
    <x v="117"/>
    <x v="902"/>
    <x v="0"/>
    <s v="NEGOCIOS"/>
    <x v="1"/>
  </r>
  <r>
    <x v="55"/>
    <x v="156"/>
    <x v="4"/>
    <x v="4"/>
    <x v="0"/>
    <x v="3"/>
    <x v="21"/>
    <x v="146"/>
    <x v="808"/>
    <x v="0"/>
    <s v="NEGOCIOS"/>
    <x v="1"/>
  </r>
  <r>
    <x v="55"/>
    <x v="156"/>
    <x v="4"/>
    <x v="4"/>
    <x v="0"/>
    <x v="3"/>
    <x v="26"/>
    <x v="146"/>
    <x v="1"/>
    <x v="261"/>
    <s v="NEGOCIOS"/>
    <x v="1"/>
  </r>
  <r>
    <x v="55"/>
    <x v="132"/>
    <x v="4"/>
    <x v="4"/>
    <x v="0"/>
    <x v="3"/>
    <x v="21"/>
    <x v="95"/>
    <x v="759"/>
    <x v="0"/>
    <s v="NEGOCIOS"/>
    <x v="1"/>
  </r>
  <r>
    <x v="55"/>
    <x v="50"/>
    <x v="4"/>
    <x v="4"/>
    <x v="0"/>
    <x v="3"/>
    <x v="21"/>
    <x v="77"/>
    <x v="903"/>
    <x v="0"/>
    <s v="NEGOCIOS"/>
    <x v="1"/>
  </r>
  <r>
    <x v="55"/>
    <x v="89"/>
    <x v="4"/>
    <x v="4"/>
    <x v="0"/>
    <x v="3"/>
    <x v="25"/>
    <x v="154"/>
    <x v="904"/>
    <x v="0"/>
    <s v="NEGOCIOS"/>
    <x v="1"/>
  </r>
  <r>
    <x v="55"/>
    <x v="89"/>
    <x v="4"/>
    <x v="4"/>
    <x v="0"/>
    <x v="3"/>
    <x v="26"/>
    <x v="154"/>
    <x v="1"/>
    <x v="203"/>
    <s v="NEGOCIOS"/>
    <x v="1"/>
  </r>
  <r>
    <x v="55"/>
    <x v="38"/>
    <x v="4"/>
    <x v="4"/>
    <x v="0"/>
    <x v="3"/>
    <x v="25"/>
    <x v="106"/>
    <x v="905"/>
    <x v="0"/>
    <s v="NEGOCIOS"/>
    <x v="1"/>
  </r>
  <r>
    <x v="55"/>
    <x v="51"/>
    <x v="4"/>
    <x v="4"/>
    <x v="0"/>
    <x v="3"/>
    <x v="25"/>
    <x v="34"/>
    <x v="847"/>
    <x v="0"/>
    <s v="NEGOCIOS"/>
    <x v="1"/>
  </r>
  <r>
    <x v="55"/>
    <x v="116"/>
    <x v="0"/>
    <x v="0"/>
    <x v="0"/>
    <x v="3"/>
    <x v="21"/>
    <x v="64"/>
    <x v="146"/>
    <x v="0"/>
    <s v="NEGOCIOS"/>
    <x v="1"/>
  </r>
  <r>
    <x v="55"/>
    <x v="57"/>
    <x v="0"/>
    <x v="0"/>
    <x v="0"/>
    <x v="3"/>
    <x v="25"/>
    <x v="44"/>
    <x v="899"/>
    <x v="0"/>
    <s v="NEGOCIOS"/>
    <x v="1"/>
  </r>
  <r>
    <x v="55"/>
    <x v="52"/>
    <x v="0"/>
    <x v="0"/>
    <x v="0"/>
    <x v="3"/>
    <x v="21"/>
    <x v="107"/>
    <x v="906"/>
    <x v="0"/>
    <s v="NEGOCIOS"/>
    <x v="1"/>
  </r>
  <r>
    <x v="55"/>
    <x v="91"/>
    <x v="0"/>
    <x v="0"/>
    <x v="0"/>
    <x v="3"/>
    <x v="25"/>
    <x v="118"/>
    <x v="907"/>
    <x v="0"/>
    <s v="NEGOCIOS"/>
    <x v="1"/>
  </r>
  <r>
    <x v="55"/>
    <x v="91"/>
    <x v="0"/>
    <x v="0"/>
    <x v="0"/>
    <x v="3"/>
    <x v="21"/>
    <x v="118"/>
    <x v="908"/>
    <x v="0"/>
    <s v="NEGOCIOS"/>
    <x v="1"/>
  </r>
  <r>
    <x v="55"/>
    <x v="46"/>
    <x v="0"/>
    <x v="0"/>
    <x v="0"/>
    <x v="3"/>
    <x v="25"/>
    <x v="155"/>
    <x v="909"/>
    <x v="0"/>
    <s v="NEGOCIOS"/>
    <x v="1"/>
  </r>
  <r>
    <x v="55"/>
    <x v="136"/>
    <x v="0"/>
    <x v="0"/>
    <x v="0"/>
    <x v="3"/>
    <x v="25"/>
    <x v="100"/>
    <x v="909"/>
    <x v="0"/>
    <s v="NEGOCIOS"/>
    <x v="1"/>
  </r>
  <r>
    <x v="55"/>
    <x v="77"/>
    <x v="5"/>
    <x v="5"/>
    <x v="0"/>
    <x v="3"/>
    <x v="25"/>
    <x v="156"/>
    <x v="798"/>
    <x v="0"/>
    <s v="NEGOCIOS"/>
    <x v="1"/>
  </r>
  <r>
    <x v="55"/>
    <x v="153"/>
    <x v="5"/>
    <x v="5"/>
    <x v="0"/>
    <x v="3"/>
    <x v="25"/>
    <x v="157"/>
    <x v="905"/>
    <x v="0"/>
    <s v="NEGOCIOS"/>
    <x v="1"/>
  </r>
  <r>
    <x v="55"/>
    <x v="58"/>
    <x v="1"/>
    <x v="1"/>
    <x v="0"/>
    <x v="3"/>
    <x v="25"/>
    <x v="84"/>
    <x v="905"/>
    <x v="0"/>
    <s v="NEGOCIOS"/>
    <x v="1"/>
  </r>
  <r>
    <x v="55"/>
    <x v="40"/>
    <x v="1"/>
    <x v="1"/>
    <x v="0"/>
    <x v="3"/>
    <x v="21"/>
    <x v="125"/>
    <x v="910"/>
    <x v="0"/>
    <s v="NEGOCIOS"/>
    <x v="1"/>
  </r>
  <r>
    <x v="55"/>
    <x v="95"/>
    <x v="1"/>
    <x v="1"/>
    <x v="0"/>
    <x v="3"/>
    <x v="26"/>
    <x v="97"/>
    <x v="1"/>
    <x v="262"/>
    <s v="NEGOCIOS"/>
    <x v="1"/>
  </r>
  <r>
    <x v="55"/>
    <x v="127"/>
    <x v="1"/>
    <x v="1"/>
    <x v="0"/>
    <x v="3"/>
    <x v="21"/>
    <x v="85"/>
    <x v="911"/>
    <x v="0"/>
    <s v="NEGOCIOS"/>
    <x v="1"/>
  </r>
  <r>
    <x v="55"/>
    <x v="1"/>
    <x v="1"/>
    <x v="1"/>
    <x v="0"/>
    <x v="3"/>
    <x v="1"/>
    <x v="1"/>
    <x v="1"/>
    <x v="263"/>
    <s v="NEGOCIOS"/>
    <x v="1"/>
  </r>
  <r>
    <x v="55"/>
    <x v="16"/>
    <x v="2"/>
    <x v="2"/>
    <x v="0"/>
    <x v="24"/>
    <x v="21"/>
    <x v="93"/>
    <x v="912"/>
    <x v="0"/>
    <s v="NEGOCIOS"/>
    <x v="1"/>
  </r>
  <r>
    <x v="55"/>
    <x v="107"/>
    <x v="2"/>
    <x v="2"/>
    <x v="0"/>
    <x v="24"/>
    <x v="21"/>
    <x v="158"/>
    <x v="735"/>
    <x v="0"/>
    <s v="NEGOCIOS"/>
    <x v="1"/>
  </r>
  <r>
    <x v="55"/>
    <x v="30"/>
    <x v="4"/>
    <x v="4"/>
    <x v="0"/>
    <x v="24"/>
    <x v="21"/>
    <x v="159"/>
    <x v="736"/>
    <x v="0"/>
    <s v="NEGOCIOS"/>
    <x v="1"/>
  </r>
  <r>
    <x v="55"/>
    <x v="78"/>
    <x v="4"/>
    <x v="4"/>
    <x v="0"/>
    <x v="24"/>
    <x v="21"/>
    <x v="160"/>
    <x v="793"/>
    <x v="0"/>
    <s v="NEGOCIOS"/>
    <x v="1"/>
  </r>
  <r>
    <x v="55"/>
    <x v="77"/>
    <x v="5"/>
    <x v="5"/>
    <x v="0"/>
    <x v="24"/>
    <x v="21"/>
    <x v="156"/>
    <x v="913"/>
    <x v="0"/>
    <s v="NEGOCIOS"/>
    <x v="1"/>
  </r>
  <r>
    <x v="55"/>
    <x v="1"/>
    <x v="1"/>
    <x v="1"/>
    <x v="0"/>
    <x v="24"/>
    <x v="1"/>
    <x v="1"/>
    <x v="1"/>
    <x v="264"/>
    <s v="NEGOCIOS"/>
    <x v="1"/>
  </r>
  <r>
    <x v="55"/>
    <x v="85"/>
    <x v="2"/>
    <x v="2"/>
    <x v="0"/>
    <x v="4"/>
    <x v="21"/>
    <x v="161"/>
    <x v="858"/>
    <x v="0"/>
    <s v="NEGOCIOS"/>
    <x v="1"/>
  </r>
  <r>
    <x v="55"/>
    <x v="107"/>
    <x v="2"/>
    <x v="2"/>
    <x v="0"/>
    <x v="4"/>
    <x v="21"/>
    <x v="158"/>
    <x v="814"/>
    <x v="0"/>
    <s v="NEGOCIOS"/>
    <x v="1"/>
  </r>
  <r>
    <x v="55"/>
    <x v="144"/>
    <x v="2"/>
    <x v="2"/>
    <x v="0"/>
    <x v="4"/>
    <x v="21"/>
    <x v="162"/>
    <x v="914"/>
    <x v="0"/>
    <s v="NEGOCIOS"/>
    <x v="1"/>
  </r>
  <r>
    <x v="55"/>
    <x v="111"/>
    <x v="2"/>
    <x v="2"/>
    <x v="0"/>
    <x v="4"/>
    <x v="21"/>
    <x v="75"/>
    <x v="915"/>
    <x v="0"/>
    <s v="NEGOCIOS"/>
    <x v="1"/>
  </r>
  <r>
    <x v="55"/>
    <x v="26"/>
    <x v="3"/>
    <x v="3"/>
    <x v="0"/>
    <x v="4"/>
    <x v="21"/>
    <x v="115"/>
    <x v="739"/>
    <x v="0"/>
    <s v="NEGOCIOS"/>
    <x v="1"/>
  </r>
  <r>
    <x v="55"/>
    <x v="108"/>
    <x v="3"/>
    <x v="3"/>
    <x v="0"/>
    <x v="4"/>
    <x v="21"/>
    <x v="63"/>
    <x v="814"/>
    <x v="0"/>
    <s v="NEGOCIOS"/>
    <x v="1"/>
  </r>
  <r>
    <x v="55"/>
    <x v="131"/>
    <x v="3"/>
    <x v="3"/>
    <x v="0"/>
    <x v="4"/>
    <x v="21"/>
    <x v="163"/>
    <x v="916"/>
    <x v="0"/>
    <s v="NEGOCIOS"/>
    <x v="1"/>
  </r>
  <r>
    <x v="55"/>
    <x v="51"/>
    <x v="4"/>
    <x v="4"/>
    <x v="0"/>
    <x v="4"/>
    <x v="21"/>
    <x v="34"/>
    <x v="917"/>
    <x v="0"/>
    <s v="NEGOCIOS"/>
    <x v="1"/>
  </r>
  <r>
    <x v="55"/>
    <x v="92"/>
    <x v="0"/>
    <x v="0"/>
    <x v="0"/>
    <x v="4"/>
    <x v="26"/>
    <x v="109"/>
    <x v="1"/>
    <x v="265"/>
    <s v="NEGOCIOS"/>
    <x v="1"/>
  </r>
  <r>
    <x v="55"/>
    <x v="32"/>
    <x v="5"/>
    <x v="5"/>
    <x v="0"/>
    <x v="4"/>
    <x v="21"/>
    <x v="81"/>
    <x v="918"/>
    <x v="0"/>
    <s v="NEGOCIOS"/>
    <x v="1"/>
  </r>
  <r>
    <x v="55"/>
    <x v="73"/>
    <x v="1"/>
    <x v="1"/>
    <x v="0"/>
    <x v="4"/>
    <x v="21"/>
    <x v="39"/>
    <x v="919"/>
    <x v="0"/>
    <s v="NEGOCIOS"/>
    <x v="1"/>
  </r>
  <r>
    <x v="55"/>
    <x v="128"/>
    <x v="1"/>
    <x v="1"/>
    <x v="0"/>
    <x v="4"/>
    <x v="21"/>
    <x v="164"/>
    <x v="920"/>
    <x v="0"/>
    <s v="NEGOCIOS"/>
    <x v="1"/>
  </r>
  <r>
    <x v="55"/>
    <x v="1"/>
    <x v="1"/>
    <x v="1"/>
    <x v="0"/>
    <x v="4"/>
    <x v="1"/>
    <x v="1"/>
    <x v="1"/>
    <x v="266"/>
    <s v="NEGOCIOS"/>
    <x v="1"/>
  </r>
  <r>
    <x v="55"/>
    <x v="96"/>
    <x v="6"/>
    <x v="6"/>
    <x v="0"/>
    <x v="5"/>
    <x v="21"/>
    <x v="165"/>
    <x v="921"/>
    <x v="0"/>
    <s v="NEGOCIOS"/>
    <x v="1"/>
  </r>
  <r>
    <x v="55"/>
    <x v="20"/>
    <x v="5"/>
    <x v="5"/>
    <x v="0"/>
    <x v="5"/>
    <x v="26"/>
    <x v="45"/>
    <x v="922"/>
    <x v="0"/>
    <s v="NEGOCIOS"/>
    <x v="1"/>
  </r>
  <r>
    <x v="55"/>
    <x v="151"/>
    <x v="1"/>
    <x v="1"/>
    <x v="0"/>
    <x v="5"/>
    <x v="25"/>
    <x v="166"/>
    <x v="923"/>
    <x v="0"/>
    <s v="NEGOCIOS"/>
    <x v="1"/>
  </r>
  <r>
    <x v="55"/>
    <x v="42"/>
    <x v="1"/>
    <x v="1"/>
    <x v="0"/>
    <x v="5"/>
    <x v="21"/>
    <x v="167"/>
    <x v="924"/>
    <x v="0"/>
    <s v="NEGOCIOS"/>
    <x v="1"/>
  </r>
  <r>
    <x v="55"/>
    <x v="1"/>
    <x v="1"/>
    <x v="1"/>
    <x v="0"/>
    <x v="5"/>
    <x v="1"/>
    <x v="1"/>
    <x v="1"/>
    <x v="267"/>
    <s v="NEGOCIOS"/>
    <x v="1"/>
  </r>
  <r>
    <x v="55"/>
    <x v="158"/>
    <x v="2"/>
    <x v="2"/>
    <x v="0"/>
    <x v="6"/>
    <x v="25"/>
    <x v="168"/>
    <x v="925"/>
    <x v="0"/>
    <s v="NEGOCIOS"/>
    <x v="1"/>
  </r>
  <r>
    <x v="55"/>
    <x v="64"/>
    <x v="2"/>
    <x v="2"/>
    <x v="0"/>
    <x v="6"/>
    <x v="25"/>
    <x v="139"/>
    <x v="926"/>
    <x v="0"/>
    <s v="NEGOCIOS"/>
    <x v="1"/>
  </r>
  <r>
    <x v="55"/>
    <x v="25"/>
    <x v="2"/>
    <x v="2"/>
    <x v="0"/>
    <x v="6"/>
    <x v="21"/>
    <x v="169"/>
    <x v="146"/>
    <x v="0"/>
    <s v="NEGOCIOS"/>
    <x v="1"/>
  </r>
  <r>
    <x v="55"/>
    <x v="35"/>
    <x v="2"/>
    <x v="2"/>
    <x v="0"/>
    <x v="6"/>
    <x v="21"/>
    <x v="170"/>
    <x v="927"/>
    <x v="0"/>
    <s v="NEGOCIOS"/>
    <x v="1"/>
  </r>
  <r>
    <x v="55"/>
    <x v="110"/>
    <x v="2"/>
    <x v="2"/>
    <x v="0"/>
    <x v="6"/>
    <x v="25"/>
    <x v="171"/>
    <x v="928"/>
    <x v="0"/>
    <s v="NEGOCIOS"/>
    <x v="1"/>
  </r>
  <r>
    <x v="55"/>
    <x v="146"/>
    <x v="6"/>
    <x v="6"/>
    <x v="0"/>
    <x v="6"/>
    <x v="25"/>
    <x v="172"/>
    <x v="925"/>
    <x v="0"/>
    <s v="NEGOCIOS"/>
    <x v="1"/>
  </r>
  <r>
    <x v="55"/>
    <x v="36"/>
    <x v="6"/>
    <x v="6"/>
    <x v="0"/>
    <x v="6"/>
    <x v="25"/>
    <x v="94"/>
    <x v="929"/>
    <x v="0"/>
    <s v="NEGOCIOS"/>
    <x v="1"/>
  </r>
  <r>
    <x v="55"/>
    <x v="36"/>
    <x v="6"/>
    <x v="6"/>
    <x v="0"/>
    <x v="6"/>
    <x v="21"/>
    <x v="94"/>
    <x v="930"/>
    <x v="0"/>
    <s v="NEGOCIOS"/>
    <x v="1"/>
  </r>
  <r>
    <x v="55"/>
    <x v="26"/>
    <x v="3"/>
    <x v="3"/>
    <x v="0"/>
    <x v="6"/>
    <x v="25"/>
    <x v="115"/>
    <x v="925"/>
    <x v="0"/>
    <s v="NEGOCIOS"/>
    <x v="1"/>
  </r>
  <r>
    <x v="55"/>
    <x v="19"/>
    <x v="3"/>
    <x v="3"/>
    <x v="0"/>
    <x v="6"/>
    <x v="21"/>
    <x v="62"/>
    <x v="816"/>
    <x v="0"/>
    <s v="NEGOCIOS"/>
    <x v="1"/>
  </r>
  <r>
    <x v="55"/>
    <x v="108"/>
    <x v="3"/>
    <x v="3"/>
    <x v="0"/>
    <x v="6"/>
    <x v="25"/>
    <x v="63"/>
    <x v="931"/>
    <x v="0"/>
    <s v="NEGOCIOS"/>
    <x v="1"/>
  </r>
  <r>
    <x v="55"/>
    <x v="43"/>
    <x v="3"/>
    <x v="3"/>
    <x v="0"/>
    <x v="6"/>
    <x v="26"/>
    <x v="71"/>
    <x v="932"/>
    <x v="0"/>
    <s v="NEGOCIOS"/>
    <x v="1"/>
  </r>
  <r>
    <x v="55"/>
    <x v="103"/>
    <x v="3"/>
    <x v="3"/>
    <x v="0"/>
    <x v="6"/>
    <x v="21"/>
    <x v="173"/>
    <x v="772"/>
    <x v="0"/>
    <s v="NEGOCIOS"/>
    <x v="1"/>
  </r>
  <r>
    <x v="55"/>
    <x v="148"/>
    <x v="3"/>
    <x v="3"/>
    <x v="0"/>
    <x v="6"/>
    <x v="21"/>
    <x v="174"/>
    <x v="933"/>
    <x v="0"/>
    <s v="NEGOCIOS"/>
    <x v="1"/>
  </r>
  <r>
    <x v="55"/>
    <x v="79"/>
    <x v="3"/>
    <x v="3"/>
    <x v="0"/>
    <x v="6"/>
    <x v="21"/>
    <x v="142"/>
    <x v="934"/>
    <x v="0"/>
    <s v="NEGOCIOS"/>
    <x v="1"/>
  </r>
  <r>
    <x v="55"/>
    <x v="80"/>
    <x v="4"/>
    <x v="4"/>
    <x v="0"/>
    <x v="6"/>
    <x v="25"/>
    <x v="90"/>
    <x v="935"/>
    <x v="0"/>
    <s v="NEGOCIOS"/>
    <x v="1"/>
  </r>
  <r>
    <x v="55"/>
    <x v="140"/>
    <x v="4"/>
    <x v="4"/>
    <x v="0"/>
    <x v="6"/>
    <x v="25"/>
    <x v="117"/>
    <x v="925"/>
    <x v="0"/>
    <s v="NEGOCIOS"/>
    <x v="1"/>
  </r>
  <r>
    <x v="55"/>
    <x v="81"/>
    <x v="4"/>
    <x v="4"/>
    <x v="0"/>
    <x v="6"/>
    <x v="21"/>
    <x v="175"/>
    <x v="110"/>
    <x v="0"/>
    <s v="NEGOCIOS"/>
    <x v="1"/>
  </r>
  <r>
    <x v="55"/>
    <x v="132"/>
    <x v="4"/>
    <x v="4"/>
    <x v="0"/>
    <x v="6"/>
    <x v="21"/>
    <x v="95"/>
    <x v="936"/>
    <x v="0"/>
    <s v="NEGOCIOS"/>
    <x v="1"/>
  </r>
  <r>
    <x v="55"/>
    <x v="50"/>
    <x v="4"/>
    <x v="4"/>
    <x v="0"/>
    <x v="6"/>
    <x v="21"/>
    <x v="77"/>
    <x v="736"/>
    <x v="0"/>
    <s v="NEGOCIOS"/>
    <x v="1"/>
  </r>
  <r>
    <x v="55"/>
    <x v="62"/>
    <x v="4"/>
    <x v="4"/>
    <x v="0"/>
    <x v="6"/>
    <x v="21"/>
    <x v="176"/>
    <x v="936"/>
    <x v="0"/>
    <s v="NEGOCIOS"/>
    <x v="1"/>
  </r>
  <r>
    <x v="55"/>
    <x v="90"/>
    <x v="0"/>
    <x v="0"/>
    <x v="0"/>
    <x v="6"/>
    <x v="21"/>
    <x v="79"/>
    <x v="937"/>
    <x v="0"/>
    <s v="NEGOCIOS"/>
    <x v="1"/>
  </r>
  <r>
    <x v="55"/>
    <x v="159"/>
    <x v="0"/>
    <x v="0"/>
    <x v="0"/>
    <x v="6"/>
    <x v="25"/>
    <x v="177"/>
    <x v="925"/>
    <x v="0"/>
    <s v="NEGOCIOS"/>
    <x v="1"/>
  </r>
  <r>
    <x v="55"/>
    <x v="116"/>
    <x v="0"/>
    <x v="0"/>
    <x v="0"/>
    <x v="6"/>
    <x v="21"/>
    <x v="64"/>
    <x v="938"/>
    <x v="0"/>
    <s v="NEGOCIOS"/>
    <x v="1"/>
  </r>
  <r>
    <x v="55"/>
    <x v="57"/>
    <x v="0"/>
    <x v="0"/>
    <x v="0"/>
    <x v="6"/>
    <x v="25"/>
    <x v="44"/>
    <x v="939"/>
    <x v="0"/>
    <s v="NEGOCIOS"/>
    <x v="1"/>
  </r>
  <r>
    <x v="55"/>
    <x v="52"/>
    <x v="0"/>
    <x v="0"/>
    <x v="0"/>
    <x v="6"/>
    <x v="25"/>
    <x v="107"/>
    <x v="940"/>
    <x v="0"/>
    <s v="NEGOCIOS"/>
    <x v="1"/>
  </r>
  <r>
    <x v="55"/>
    <x v="52"/>
    <x v="0"/>
    <x v="0"/>
    <x v="0"/>
    <x v="6"/>
    <x v="21"/>
    <x v="107"/>
    <x v="941"/>
    <x v="0"/>
    <s v="NEGOCIOS"/>
    <x v="1"/>
  </r>
  <r>
    <x v="55"/>
    <x v="91"/>
    <x v="0"/>
    <x v="0"/>
    <x v="0"/>
    <x v="6"/>
    <x v="21"/>
    <x v="118"/>
    <x v="942"/>
    <x v="0"/>
    <s v="NEGOCIOS"/>
    <x v="1"/>
  </r>
  <r>
    <x v="55"/>
    <x v="82"/>
    <x v="0"/>
    <x v="0"/>
    <x v="0"/>
    <x v="6"/>
    <x v="21"/>
    <x v="178"/>
    <x v="772"/>
    <x v="0"/>
    <s v="NEGOCIOS"/>
    <x v="1"/>
  </r>
  <r>
    <x v="55"/>
    <x v="100"/>
    <x v="0"/>
    <x v="0"/>
    <x v="0"/>
    <x v="6"/>
    <x v="21"/>
    <x v="73"/>
    <x v="943"/>
    <x v="0"/>
    <s v="NEGOCIOS"/>
    <x v="1"/>
  </r>
  <r>
    <x v="55"/>
    <x v="160"/>
    <x v="0"/>
    <x v="0"/>
    <x v="0"/>
    <x v="6"/>
    <x v="21"/>
    <x v="179"/>
    <x v="835"/>
    <x v="0"/>
    <s v="NEGOCIOS"/>
    <x v="1"/>
  </r>
  <r>
    <x v="55"/>
    <x v="53"/>
    <x v="0"/>
    <x v="0"/>
    <x v="0"/>
    <x v="6"/>
    <x v="21"/>
    <x v="144"/>
    <x v="110"/>
    <x v="0"/>
    <s v="NEGOCIOS"/>
    <x v="1"/>
  </r>
  <r>
    <x v="55"/>
    <x v="45"/>
    <x v="0"/>
    <x v="0"/>
    <x v="0"/>
    <x v="6"/>
    <x v="25"/>
    <x v="180"/>
    <x v="928"/>
    <x v="0"/>
    <s v="NEGOCIOS"/>
    <x v="1"/>
  </r>
  <r>
    <x v="55"/>
    <x v="46"/>
    <x v="0"/>
    <x v="0"/>
    <x v="0"/>
    <x v="6"/>
    <x v="21"/>
    <x v="155"/>
    <x v="944"/>
    <x v="0"/>
    <s v="NEGOCIOS"/>
    <x v="1"/>
  </r>
  <r>
    <x v="55"/>
    <x v="117"/>
    <x v="0"/>
    <x v="0"/>
    <x v="0"/>
    <x v="6"/>
    <x v="21"/>
    <x v="65"/>
    <x v="765"/>
    <x v="0"/>
    <s v="NEGOCIOS"/>
    <x v="1"/>
  </r>
  <r>
    <x v="55"/>
    <x v="122"/>
    <x v="0"/>
    <x v="0"/>
    <x v="0"/>
    <x v="6"/>
    <x v="21"/>
    <x v="181"/>
    <x v="945"/>
    <x v="0"/>
    <s v="NEGOCIOS"/>
    <x v="1"/>
  </r>
  <r>
    <x v="55"/>
    <x v="32"/>
    <x v="5"/>
    <x v="5"/>
    <x v="0"/>
    <x v="6"/>
    <x v="21"/>
    <x v="81"/>
    <x v="946"/>
    <x v="0"/>
    <s v="NEGOCIOS"/>
    <x v="1"/>
  </r>
  <r>
    <x v="55"/>
    <x v="76"/>
    <x v="5"/>
    <x v="5"/>
    <x v="0"/>
    <x v="6"/>
    <x v="25"/>
    <x v="182"/>
    <x v="925"/>
    <x v="0"/>
    <s v="NEGOCIOS"/>
    <x v="1"/>
  </r>
  <r>
    <x v="55"/>
    <x v="97"/>
    <x v="5"/>
    <x v="5"/>
    <x v="0"/>
    <x v="6"/>
    <x v="21"/>
    <x v="183"/>
    <x v="947"/>
    <x v="0"/>
    <s v="NEGOCIOS"/>
    <x v="1"/>
  </r>
  <r>
    <x v="55"/>
    <x v="145"/>
    <x v="5"/>
    <x v="5"/>
    <x v="0"/>
    <x v="6"/>
    <x v="25"/>
    <x v="124"/>
    <x v="948"/>
    <x v="0"/>
    <s v="NEGOCIOS"/>
    <x v="1"/>
  </r>
  <r>
    <x v="55"/>
    <x v="145"/>
    <x v="5"/>
    <x v="5"/>
    <x v="0"/>
    <x v="6"/>
    <x v="26"/>
    <x v="124"/>
    <x v="1"/>
    <x v="268"/>
    <s v="NEGOCIOS"/>
    <x v="1"/>
  </r>
  <r>
    <x v="55"/>
    <x v="34"/>
    <x v="5"/>
    <x v="5"/>
    <x v="0"/>
    <x v="6"/>
    <x v="25"/>
    <x v="184"/>
    <x v="949"/>
    <x v="0"/>
    <s v="NEGOCIOS"/>
    <x v="1"/>
  </r>
  <r>
    <x v="55"/>
    <x v="77"/>
    <x v="5"/>
    <x v="5"/>
    <x v="0"/>
    <x v="6"/>
    <x v="25"/>
    <x v="156"/>
    <x v="950"/>
    <x v="0"/>
    <s v="NEGOCIOS"/>
    <x v="1"/>
  </r>
  <r>
    <x v="55"/>
    <x v="141"/>
    <x v="5"/>
    <x v="5"/>
    <x v="0"/>
    <x v="6"/>
    <x v="21"/>
    <x v="185"/>
    <x v="891"/>
    <x v="0"/>
    <s v="NEGOCIOS"/>
    <x v="1"/>
  </r>
  <r>
    <x v="55"/>
    <x v="123"/>
    <x v="5"/>
    <x v="5"/>
    <x v="0"/>
    <x v="6"/>
    <x v="21"/>
    <x v="74"/>
    <x v="951"/>
    <x v="0"/>
    <s v="NEGOCIOS"/>
    <x v="1"/>
  </r>
  <r>
    <x v="55"/>
    <x v="40"/>
    <x v="1"/>
    <x v="1"/>
    <x v="0"/>
    <x v="6"/>
    <x v="25"/>
    <x v="125"/>
    <x v="925"/>
    <x v="0"/>
    <s v="NEGOCIOS"/>
    <x v="1"/>
  </r>
  <r>
    <x v="55"/>
    <x v="161"/>
    <x v="1"/>
    <x v="1"/>
    <x v="0"/>
    <x v="6"/>
    <x v="21"/>
    <x v="186"/>
    <x v="952"/>
    <x v="0"/>
    <s v="NEGOCIOS"/>
    <x v="1"/>
  </r>
  <r>
    <x v="55"/>
    <x v="95"/>
    <x v="1"/>
    <x v="1"/>
    <x v="0"/>
    <x v="6"/>
    <x v="25"/>
    <x v="97"/>
    <x v="953"/>
    <x v="0"/>
    <s v="NEGOCIOS"/>
    <x v="1"/>
  </r>
  <r>
    <x v="55"/>
    <x v="155"/>
    <x v="1"/>
    <x v="1"/>
    <x v="0"/>
    <x v="6"/>
    <x v="21"/>
    <x v="145"/>
    <x v="954"/>
    <x v="0"/>
    <s v="NEGOCIOS"/>
    <x v="1"/>
  </r>
  <r>
    <x v="55"/>
    <x v="14"/>
    <x v="1"/>
    <x v="1"/>
    <x v="0"/>
    <x v="6"/>
    <x v="25"/>
    <x v="112"/>
    <x v="955"/>
    <x v="0"/>
    <s v="NEGOCIOS"/>
    <x v="1"/>
  </r>
  <r>
    <x v="55"/>
    <x v="14"/>
    <x v="1"/>
    <x v="1"/>
    <x v="0"/>
    <x v="6"/>
    <x v="21"/>
    <x v="112"/>
    <x v="944"/>
    <x v="0"/>
    <s v="NEGOCIOS"/>
    <x v="1"/>
  </r>
  <r>
    <x v="55"/>
    <x v="8"/>
    <x v="1"/>
    <x v="1"/>
    <x v="0"/>
    <x v="6"/>
    <x v="21"/>
    <x v="187"/>
    <x v="907"/>
    <x v="0"/>
    <s v="NEGOCIOS"/>
    <x v="1"/>
  </r>
  <r>
    <x v="55"/>
    <x v="55"/>
    <x v="1"/>
    <x v="1"/>
    <x v="0"/>
    <x v="6"/>
    <x v="21"/>
    <x v="188"/>
    <x v="956"/>
    <x v="0"/>
    <s v="NEGOCIOS"/>
    <x v="1"/>
  </r>
  <r>
    <x v="55"/>
    <x v="1"/>
    <x v="1"/>
    <x v="1"/>
    <x v="0"/>
    <x v="6"/>
    <x v="1"/>
    <x v="1"/>
    <x v="1"/>
    <x v="269"/>
    <s v="NEGOCIOS"/>
    <x v="1"/>
  </r>
  <r>
    <x v="55"/>
    <x v="56"/>
    <x v="3"/>
    <x v="3"/>
    <x v="0"/>
    <x v="2"/>
    <x v="21"/>
    <x v="153"/>
    <x v="957"/>
    <x v="0"/>
    <s v="NEGOCIOS"/>
    <x v="1"/>
  </r>
  <r>
    <x v="55"/>
    <x v="100"/>
    <x v="0"/>
    <x v="0"/>
    <x v="0"/>
    <x v="2"/>
    <x v="21"/>
    <x v="73"/>
    <x v="958"/>
    <x v="0"/>
    <s v="NEGOCIOS"/>
    <x v="1"/>
  </r>
  <r>
    <x v="55"/>
    <x v="1"/>
    <x v="1"/>
    <x v="1"/>
    <x v="0"/>
    <x v="2"/>
    <x v="1"/>
    <x v="1"/>
    <x v="1"/>
    <x v="270"/>
    <s v="NEGOCIOS"/>
    <x v="1"/>
  </r>
  <r>
    <x v="55"/>
    <x v="2"/>
    <x v="2"/>
    <x v="2"/>
    <x v="0"/>
    <x v="25"/>
    <x v="21"/>
    <x v="140"/>
    <x v="959"/>
    <x v="0"/>
    <s v="NEGOCIOS"/>
    <x v="1"/>
  </r>
  <r>
    <x v="55"/>
    <x v="87"/>
    <x v="6"/>
    <x v="6"/>
    <x v="0"/>
    <x v="25"/>
    <x v="26"/>
    <x v="189"/>
    <x v="1"/>
    <x v="271"/>
    <s v="NEGOCIOS"/>
    <x v="1"/>
  </r>
  <r>
    <x v="55"/>
    <x v="108"/>
    <x v="3"/>
    <x v="3"/>
    <x v="0"/>
    <x v="25"/>
    <x v="25"/>
    <x v="63"/>
    <x v="960"/>
    <x v="0"/>
    <s v="NEGOCIOS"/>
    <x v="1"/>
  </r>
  <r>
    <x v="55"/>
    <x v="1"/>
    <x v="1"/>
    <x v="1"/>
    <x v="0"/>
    <x v="25"/>
    <x v="1"/>
    <x v="1"/>
    <x v="1"/>
    <x v="272"/>
    <s v="NEGOCIOS"/>
    <x v="1"/>
  </r>
  <r>
    <x v="55"/>
    <x v="64"/>
    <x v="2"/>
    <x v="2"/>
    <x v="0"/>
    <x v="7"/>
    <x v="26"/>
    <x v="139"/>
    <x v="961"/>
    <x v="0"/>
    <s v="NEGOCIOS"/>
    <x v="1"/>
  </r>
  <r>
    <x v="55"/>
    <x v="85"/>
    <x v="2"/>
    <x v="2"/>
    <x v="0"/>
    <x v="7"/>
    <x v="26"/>
    <x v="161"/>
    <x v="962"/>
    <x v="0"/>
    <s v="NEGOCIOS"/>
    <x v="1"/>
  </r>
  <r>
    <x v="55"/>
    <x v="118"/>
    <x v="2"/>
    <x v="2"/>
    <x v="0"/>
    <x v="7"/>
    <x v="21"/>
    <x v="69"/>
    <x v="963"/>
    <x v="0"/>
    <s v="NEGOCIOS"/>
    <x v="1"/>
  </r>
  <r>
    <x v="55"/>
    <x v="146"/>
    <x v="6"/>
    <x v="6"/>
    <x v="0"/>
    <x v="7"/>
    <x v="21"/>
    <x v="172"/>
    <x v="964"/>
    <x v="0"/>
    <s v="NEGOCIOS"/>
    <x v="1"/>
  </r>
  <r>
    <x v="55"/>
    <x v="65"/>
    <x v="6"/>
    <x v="6"/>
    <x v="0"/>
    <x v="7"/>
    <x v="26"/>
    <x v="190"/>
    <x v="965"/>
    <x v="0"/>
    <s v="NEGOCIOS"/>
    <x v="1"/>
  </r>
  <r>
    <x v="55"/>
    <x v="87"/>
    <x v="6"/>
    <x v="6"/>
    <x v="0"/>
    <x v="7"/>
    <x v="21"/>
    <x v="189"/>
    <x v="533"/>
    <x v="0"/>
    <s v="NEGOCIOS"/>
    <x v="1"/>
  </r>
  <r>
    <x v="55"/>
    <x v="137"/>
    <x v="6"/>
    <x v="6"/>
    <x v="0"/>
    <x v="7"/>
    <x v="21"/>
    <x v="102"/>
    <x v="966"/>
    <x v="0"/>
    <s v="NEGOCIOS"/>
    <x v="1"/>
  </r>
  <r>
    <x v="55"/>
    <x v="137"/>
    <x v="6"/>
    <x v="6"/>
    <x v="0"/>
    <x v="7"/>
    <x v="26"/>
    <x v="102"/>
    <x v="1"/>
    <x v="273"/>
    <s v="NEGOCIOS"/>
    <x v="1"/>
  </r>
  <r>
    <x v="55"/>
    <x v="26"/>
    <x v="3"/>
    <x v="3"/>
    <x v="0"/>
    <x v="7"/>
    <x v="21"/>
    <x v="115"/>
    <x v="967"/>
    <x v="0"/>
    <s v="NEGOCIOS"/>
    <x v="1"/>
  </r>
  <r>
    <x v="55"/>
    <x v="19"/>
    <x v="3"/>
    <x v="3"/>
    <x v="0"/>
    <x v="7"/>
    <x v="21"/>
    <x v="62"/>
    <x v="968"/>
    <x v="0"/>
    <s v="NEGOCIOS"/>
    <x v="1"/>
  </r>
  <r>
    <x v="55"/>
    <x v="108"/>
    <x v="3"/>
    <x v="3"/>
    <x v="0"/>
    <x v="7"/>
    <x v="26"/>
    <x v="63"/>
    <x v="969"/>
    <x v="0"/>
    <s v="NEGOCIOS"/>
    <x v="1"/>
  </r>
  <r>
    <x v="55"/>
    <x v="44"/>
    <x v="3"/>
    <x v="3"/>
    <x v="0"/>
    <x v="7"/>
    <x v="21"/>
    <x v="191"/>
    <x v="970"/>
    <x v="0"/>
    <s v="NEGOCIOS"/>
    <x v="1"/>
  </r>
  <r>
    <x v="55"/>
    <x v="162"/>
    <x v="4"/>
    <x v="4"/>
    <x v="0"/>
    <x v="7"/>
    <x v="21"/>
    <x v="192"/>
    <x v="971"/>
    <x v="0"/>
    <s v="NEGOCIOS"/>
    <x v="1"/>
  </r>
  <r>
    <x v="55"/>
    <x v="50"/>
    <x v="4"/>
    <x v="4"/>
    <x v="0"/>
    <x v="7"/>
    <x v="21"/>
    <x v="77"/>
    <x v="972"/>
    <x v="0"/>
    <s v="NEGOCIOS"/>
    <x v="1"/>
  </r>
  <r>
    <x v="55"/>
    <x v="89"/>
    <x v="4"/>
    <x v="4"/>
    <x v="0"/>
    <x v="7"/>
    <x v="21"/>
    <x v="154"/>
    <x v="973"/>
    <x v="0"/>
    <s v="NEGOCIOS"/>
    <x v="1"/>
  </r>
  <r>
    <x v="55"/>
    <x v="159"/>
    <x v="0"/>
    <x v="0"/>
    <x v="0"/>
    <x v="7"/>
    <x v="26"/>
    <x v="177"/>
    <x v="974"/>
    <x v="0"/>
    <s v="NEGOCIOS"/>
    <x v="1"/>
  </r>
  <r>
    <x v="55"/>
    <x v="141"/>
    <x v="5"/>
    <x v="5"/>
    <x v="0"/>
    <x v="7"/>
    <x v="21"/>
    <x v="185"/>
    <x v="975"/>
    <x v="0"/>
    <s v="NEGOCIOS"/>
    <x v="1"/>
  </r>
  <r>
    <x v="55"/>
    <x v="153"/>
    <x v="5"/>
    <x v="5"/>
    <x v="0"/>
    <x v="7"/>
    <x v="21"/>
    <x v="157"/>
    <x v="976"/>
    <x v="0"/>
    <s v="NEGOCIOS"/>
    <x v="1"/>
  </r>
  <r>
    <x v="55"/>
    <x v="6"/>
    <x v="5"/>
    <x v="5"/>
    <x v="0"/>
    <x v="7"/>
    <x v="21"/>
    <x v="193"/>
    <x v="908"/>
    <x v="0"/>
    <s v="NEGOCIOS"/>
    <x v="1"/>
  </r>
  <r>
    <x v="55"/>
    <x v="20"/>
    <x v="5"/>
    <x v="5"/>
    <x v="0"/>
    <x v="7"/>
    <x v="21"/>
    <x v="45"/>
    <x v="856"/>
    <x v="0"/>
    <s v="NEGOCIOS"/>
    <x v="1"/>
  </r>
  <r>
    <x v="55"/>
    <x v="40"/>
    <x v="1"/>
    <x v="1"/>
    <x v="0"/>
    <x v="7"/>
    <x v="21"/>
    <x v="125"/>
    <x v="977"/>
    <x v="0"/>
    <s v="NEGOCIOS"/>
    <x v="1"/>
  </r>
  <r>
    <x v="55"/>
    <x v="152"/>
    <x v="1"/>
    <x v="1"/>
    <x v="0"/>
    <x v="7"/>
    <x v="26"/>
    <x v="194"/>
    <x v="1"/>
    <x v="274"/>
    <s v="NEGOCIOS"/>
    <x v="1"/>
  </r>
  <r>
    <x v="55"/>
    <x v="1"/>
    <x v="1"/>
    <x v="1"/>
    <x v="0"/>
    <x v="7"/>
    <x v="1"/>
    <x v="1"/>
    <x v="1"/>
    <x v="275"/>
    <s v="NEGOCIOS"/>
    <x v="1"/>
  </r>
  <r>
    <x v="55"/>
    <x v="107"/>
    <x v="2"/>
    <x v="2"/>
    <x v="0"/>
    <x v="8"/>
    <x v="21"/>
    <x v="158"/>
    <x v="978"/>
    <x v="0"/>
    <s v="NEGOCIOS"/>
    <x v="1"/>
  </r>
  <r>
    <x v="55"/>
    <x v="163"/>
    <x v="6"/>
    <x v="6"/>
    <x v="0"/>
    <x v="8"/>
    <x v="21"/>
    <x v="195"/>
    <x v="979"/>
    <x v="0"/>
    <s v="NEGOCIOS"/>
    <x v="1"/>
  </r>
  <r>
    <x v="55"/>
    <x v="19"/>
    <x v="3"/>
    <x v="3"/>
    <x v="0"/>
    <x v="8"/>
    <x v="21"/>
    <x v="62"/>
    <x v="192"/>
    <x v="0"/>
    <s v="NEGOCIOS"/>
    <x v="1"/>
  </r>
  <r>
    <x v="55"/>
    <x v="79"/>
    <x v="3"/>
    <x v="3"/>
    <x v="0"/>
    <x v="8"/>
    <x v="21"/>
    <x v="142"/>
    <x v="980"/>
    <x v="0"/>
    <s v="NEGOCIOS"/>
    <x v="1"/>
  </r>
  <r>
    <x v="55"/>
    <x v="104"/>
    <x v="3"/>
    <x v="3"/>
    <x v="0"/>
    <x v="8"/>
    <x v="21"/>
    <x v="196"/>
    <x v="736"/>
    <x v="0"/>
    <s v="NEGOCIOS"/>
    <x v="1"/>
  </r>
  <r>
    <x v="55"/>
    <x v="50"/>
    <x v="4"/>
    <x v="4"/>
    <x v="0"/>
    <x v="8"/>
    <x v="25"/>
    <x v="77"/>
    <x v="960"/>
    <x v="0"/>
    <s v="NEGOCIOS"/>
    <x v="1"/>
  </r>
  <r>
    <x v="55"/>
    <x v="38"/>
    <x v="4"/>
    <x v="4"/>
    <x v="0"/>
    <x v="8"/>
    <x v="21"/>
    <x v="106"/>
    <x v="981"/>
    <x v="0"/>
    <s v="NEGOCIOS"/>
    <x v="1"/>
  </r>
  <r>
    <x v="55"/>
    <x v="51"/>
    <x v="4"/>
    <x v="4"/>
    <x v="0"/>
    <x v="8"/>
    <x v="21"/>
    <x v="34"/>
    <x v="982"/>
    <x v="0"/>
    <s v="NEGOCIOS"/>
    <x v="1"/>
  </r>
  <r>
    <x v="55"/>
    <x v="57"/>
    <x v="0"/>
    <x v="0"/>
    <x v="0"/>
    <x v="8"/>
    <x v="21"/>
    <x v="44"/>
    <x v="983"/>
    <x v="0"/>
    <s v="NEGOCIOS"/>
    <x v="1"/>
  </r>
  <r>
    <x v="55"/>
    <x v="52"/>
    <x v="0"/>
    <x v="0"/>
    <x v="0"/>
    <x v="8"/>
    <x v="21"/>
    <x v="107"/>
    <x v="984"/>
    <x v="0"/>
    <s v="NEGOCIOS"/>
    <x v="1"/>
  </r>
  <r>
    <x v="55"/>
    <x v="0"/>
    <x v="0"/>
    <x v="0"/>
    <x v="0"/>
    <x v="8"/>
    <x v="21"/>
    <x v="197"/>
    <x v="985"/>
    <x v="0"/>
    <s v="NEGOCIOS"/>
    <x v="1"/>
  </r>
  <r>
    <x v="55"/>
    <x v="91"/>
    <x v="0"/>
    <x v="0"/>
    <x v="0"/>
    <x v="8"/>
    <x v="21"/>
    <x v="118"/>
    <x v="857"/>
    <x v="0"/>
    <s v="NEGOCIOS"/>
    <x v="1"/>
  </r>
  <r>
    <x v="55"/>
    <x v="121"/>
    <x v="0"/>
    <x v="0"/>
    <x v="0"/>
    <x v="8"/>
    <x v="21"/>
    <x v="80"/>
    <x v="984"/>
    <x v="0"/>
    <s v="NEGOCIOS"/>
    <x v="1"/>
  </r>
  <r>
    <x v="55"/>
    <x v="53"/>
    <x v="0"/>
    <x v="0"/>
    <x v="0"/>
    <x v="8"/>
    <x v="21"/>
    <x v="144"/>
    <x v="986"/>
    <x v="0"/>
    <s v="NEGOCIOS"/>
    <x v="1"/>
  </r>
  <r>
    <x v="55"/>
    <x v="92"/>
    <x v="0"/>
    <x v="0"/>
    <x v="0"/>
    <x v="8"/>
    <x v="21"/>
    <x v="109"/>
    <x v="987"/>
    <x v="0"/>
    <s v="NEGOCIOS"/>
    <x v="1"/>
  </r>
  <r>
    <x v="55"/>
    <x v="122"/>
    <x v="0"/>
    <x v="0"/>
    <x v="0"/>
    <x v="8"/>
    <x v="21"/>
    <x v="181"/>
    <x v="765"/>
    <x v="0"/>
    <s v="NEGOCIOS"/>
    <x v="1"/>
  </r>
  <r>
    <x v="55"/>
    <x v="6"/>
    <x v="5"/>
    <x v="5"/>
    <x v="0"/>
    <x v="8"/>
    <x v="21"/>
    <x v="193"/>
    <x v="736"/>
    <x v="0"/>
    <s v="NEGOCIOS"/>
    <x v="1"/>
  </r>
  <r>
    <x v="55"/>
    <x v="161"/>
    <x v="1"/>
    <x v="1"/>
    <x v="0"/>
    <x v="8"/>
    <x v="21"/>
    <x v="186"/>
    <x v="988"/>
    <x v="0"/>
    <s v="NEGOCIOS"/>
    <x v="1"/>
  </r>
  <r>
    <x v="55"/>
    <x v="127"/>
    <x v="1"/>
    <x v="1"/>
    <x v="0"/>
    <x v="8"/>
    <x v="21"/>
    <x v="85"/>
    <x v="989"/>
    <x v="0"/>
    <s v="NEGOCIOS"/>
    <x v="1"/>
  </r>
  <r>
    <x v="55"/>
    <x v="98"/>
    <x v="1"/>
    <x v="1"/>
    <x v="0"/>
    <x v="8"/>
    <x v="21"/>
    <x v="198"/>
    <x v="990"/>
    <x v="0"/>
    <s v="NEGOCIOS"/>
    <x v="1"/>
  </r>
  <r>
    <x v="55"/>
    <x v="1"/>
    <x v="1"/>
    <x v="1"/>
    <x v="0"/>
    <x v="8"/>
    <x v="1"/>
    <x v="1"/>
    <x v="1"/>
    <x v="276"/>
    <s v="NEGOCIOS"/>
    <x v="1"/>
  </r>
  <r>
    <x v="55"/>
    <x v="157"/>
    <x v="2"/>
    <x v="2"/>
    <x v="0"/>
    <x v="9"/>
    <x v="26"/>
    <x v="147"/>
    <x v="991"/>
    <x v="0"/>
    <s v="NEGOCIOS"/>
    <x v="1"/>
  </r>
  <r>
    <x v="55"/>
    <x v="149"/>
    <x v="6"/>
    <x v="6"/>
    <x v="0"/>
    <x v="9"/>
    <x v="26"/>
    <x v="148"/>
    <x v="992"/>
    <x v="0"/>
    <s v="NEGOCIOS"/>
    <x v="1"/>
  </r>
  <r>
    <x v="55"/>
    <x v="96"/>
    <x v="6"/>
    <x v="6"/>
    <x v="0"/>
    <x v="9"/>
    <x v="21"/>
    <x v="165"/>
    <x v="993"/>
    <x v="0"/>
    <s v="NEGOCIOS"/>
    <x v="1"/>
  </r>
  <r>
    <x v="55"/>
    <x v="135"/>
    <x v="3"/>
    <x v="3"/>
    <x v="0"/>
    <x v="9"/>
    <x v="26"/>
    <x v="149"/>
    <x v="994"/>
    <x v="0"/>
    <s v="NEGOCIOS"/>
    <x v="1"/>
  </r>
  <r>
    <x v="55"/>
    <x v="154"/>
    <x v="4"/>
    <x v="4"/>
    <x v="0"/>
    <x v="9"/>
    <x v="26"/>
    <x v="143"/>
    <x v="995"/>
    <x v="0"/>
    <s v="NEGOCIOS"/>
    <x v="1"/>
  </r>
  <r>
    <x v="55"/>
    <x v="4"/>
    <x v="4"/>
    <x v="4"/>
    <x v="0"/>
    <x v="9"/>
    <x v="21"/>
    <x v="199"/>
    <x v="996"/>
    <x v="0"/>
    <s v="NEGOCIOS"/>
    <x v="1"/>
  </r>
  <r>
    <x v="55"/>
    <x v="57"/>
    <x v="0"/>
    <x v="0"/>
    <x v="0"/>
    <x v="9"/>
    <x v="21"/>
    <x v="44"/>
    <x v="751"/>
    <x v="0"/>
    <s v="NEGOCIOS"/>
    <x v="1"/>
  </r>
  <r>
    <x v="55"/>
    <x v="53"/>
    <x v="0"/>
    <x v="0"/>
    <x v="0"/>
    <x v="9"/>
    <x v="26"/>
    <x v="144"/>
    <x v="997"/>
    <x v="0"/>
    <s v="NEGOCIOS"/>
    <x v="1"/>
  </r>
  <r>
    <x v="55"/>
    <x v="63"/>
    <x v="5"/>
    <x v="5"/>
    <x v="0"/>
    <x v="9"/>
    <x v="26"/>
    <x v="111"/>
    <x v="998"/>
    <x v="0"/>
    <s v="NEGOCIOS"/>
    <x v="1"/>
  </r>
  <r>
    <x v="55"/>
    <x v="141"/>
    <x v="5"/>
    <x v="5"/>
    <x v="0"/>
    <x v="9"/>
    <x v="21"/>
    <x v="185"/>
    <x v="999"/>
    <x v="0"/>
    <s v="NEGOCIOS"/>
    <x v="1"/>
  </r>
  <r>
    <x v="55"/>
    <x v="155"/>
    <x v="1"/>
    <x v="1"/>
    <x v="0"/>
    <x v="9"/>
    <x v="26"/>
    <x v="145"/>
    <x v="1000"/>
    <x v="0"/>
    <s v="NEGOCIOS"/>
    <x v="1"/>
  </r>
  <r>
    <x v="55"/>
    <x v="1"/>
    <x v="1"/>
    <x v="1"/>
    <x v="0"/>
    <x v="9"/>
    <x v="1"/>
    <x v="1"/>
    <x v="1"/>
    <x v="277"/>
    <s v="NEGOCIOS"/>
    <x v="1"/>
  </r>
  <r>
    <x v="55"/>
    <x v="146"/>
    <x v="6"/>
    <x v="6"/>
    <x v="0"/>
    <x v="26"/>
    <x v="21"/>
    <x v="172"/>
    <x v="1001"/>
    <x v="0"/>
    <s v="NEGOCIOS"/>
    <x v="1"/>
  </r>
  <r>
    <x v="55"/>
    <x v="65"/>
    <x v="6"/>
    <x v="6"/>
    <x v="0"/>
    <x v="26"/>
    <x v="21"/>
    <x v="190"/>
    <x v="1002"/>
    <x v="0"/>
    <s v="NEGOCIOS"/>
    <x v="1"/>
  </r>
  <r>
    <x v="55"/>
    <x v="164"/>
    <x v="6"/>
    <x v="6"/>
    <x v="0"/>
    <x v="26"/>
    <x v="21"/>
    <x v="200"/>
    <x v="1003"/>
    <x v="0"/>
    <s v="NEGOCIOS"/>
    <x v="1"/>
  </r>
  <r>
    <x v="55"/>
    <x v="21"/>
    <x v="6"/>
    <x v="6"/>
    <x v="0"/>
    <x v="26"/>
    <x v="21"/>
    <x v="70"/>
    <x v="1004"/>
    <x v="0"/>
    <s v="NEGOCIOS"/>
    <x v="1"/>
  </r>
  <r>
    <x v="55"/>
    <x v="69"/>
    <x v="3"/>
    <x v="3"/>
    <x v="0"/>
    <x v="26"/>
    <x v="21"/>
    <x v="152"/>
    <x v="1005"/>
    <x v="0"/>
    <s v="NEGOCIOS"/>
    <x v="1"/>
  </r>
  <r>
    <x v="55"/>
    <x v="27"/>
    <x v="3"/>
    <x v="3"/>
    <x v="0"/>
    <x v="26"/>
    <x v="21"/>
    <x v="43"/>
    <x v="343"/>
    <x v="0"/>
    <s v="NEGOCIOS"/>
    <x v="1"/>
  </r>
  <r>
    <x v="55"/>
    <x v="135"/>
    <x v="3"/>
    <x v="3"/>
    <x v="0"/>
    <x v="26"/>
    <x v="21"/>
    <x v="149"/>
    <x v="1006"/>
    <x v="0"/>
    <s v="NEGOCIOS"/>
    <x v="1"/>
  </r>
  <r>
    <x v="55"/>
    <x v="1"/>
    <x v="1"/>
    <x v="1"/>
    <x v="0"/>
    <x v="26"/>
    <x v="1"/>
    <x v="1"/>
    <x v="1"/>
    <x v="278"/>
    <s v="NEGOCIOS"/>
    <x v="1"/>
  </r>
  <r>
    <x v="55"/>
    <x v="70"/>
    <x v="2"/>
    <x v="2"/>
    <x v="0"/>
    <x v="10"/>
    <x v="21"/>
    <x v="36"/>
    <x v="736"/>
    <x v="0"/>
    <s v="NEGOCIOS"/>
    <x v="1"/>
  </r>
  <r>
    <x v="55"/>
    <x v="158"/>
    <x v="2"/>
    <x v="2"/>
    <x v="0"/>
    <x v="10"/>
    <x v="21"/>
    <x v="168"/>
    <x v="736"/>
    <x v="0"/>
    <s v="NEGOCIOS"/>
    <x v="1"/>
  </r>
  <r>
    <x v="55"/>
    <x v="64"/>
    <x v="2"/>
    <x v="2"/>
    <x v="0"/>
    <x v="10"/>
    <x v="25"/>
    <x v="139"/>
    <x v="1007"/>
    <x v="0"/>
    <s v="NEGOCIOS"/>
    <x v="1"/>
  </r>
  <r>
    <x v="55"/>
    <x v="47"/>
    <x v="2"/>
    <x v="2"/>
    <x v="0"/>
    <x v="10"/>
    <x v="21"/>
    <x v="68"/>
    <x v="1008"/>
    <x v="0"/>
    <s v="NEGOCIOS"/>
    <x v="1"/>
  </r>
  <r>
    <x v="55"/>
    <x v="85"/>
    <x v="2"/>
    <x v="2"/>
    <x v="0"/>
    <x v="10"/>
    <x v="21"/>
    <x v="161"/>
    <x v="736"/>
    <x v="0"/>
    <s v="NEGOCIOS"/>
    <x v="1"/>
  </r>
  <r>
    <x v="55"/>
    <x v="143"/>
    <x v="2"/>
    <x v="2"/>
    <x v="0"/>
    <x v="10"/>
    <x v="21"/>
    <x v="201"/>
    <x v="852"/>
    <x v="0"/>
    <s v="NEGOCIOS"/>
    <x v="1"/>
  </r>
  <r>
    <x v="55"/>
    <x v="118"/>
    <x v="2"/>
    <x v="2"/>
    <x v="0"/>
    <x v="10"/>
    <x v="21"/>
    <x v="69"/>
    <x v="1009"/>
    <x v="0"/>
    <s v="NEGOCIOS"/>
    <x v="1"/>
  </r>
  <r>
    <x v="55"/>
    <x v="24"/>
    <x v="2"/>
    <x v="2"/>
    <x v="0"/>
    <x v="10"/>
    <x v="21"/>
    <x v="202"/>
    <x v="735"/>
    <x v="0"/>
    <s v="NEGOCIOS"/>
    <x v="1"/>
  </r>
  <r>
    <x v="55"/>
    <x v="144"/>
    <x v="2"/>
    <x v="2"/>
    <x v="0"/>
    <x v="10"/>
    <x v="21"/>
    <x v="162"/>
    <x v="1010"/>
    <x v="0"/>
    <s v="NEGOCIOS"/>
    <x v="1"/>
  </r>
  <r>
    <x v="55"/>
    <x v="84"/>
    <x v="2"/>
    <x v="2"/>
    <x v="0"/>
    <x v="10"/>
    <x v="21"/>
    <x v="203"/>
    <x v="852"/>
    <x v="0"/>
    <s v="NEGOCIOS"/>
    <x v="1"/>
  </r>
  <r>
    <x v="55"/>
    <x v="35"/>
    <x v="2"/>
    <x v="2"/>
    <x v="0"/>
    <x v="10"/>
    <x v="21"/>
    <x v="170"/>
    <x v="1011"/>
    <x v="0"/>
    <s v="NEGOCIOS"/>
    <x v="1"/>
  </r>
  <r>
    <x v="55"/>
    <x v="110"/>
    <x v="2"/>
    <x v="2"/>
    <x v="0"/>
    <x v="10"/>
    <x v="21"/>
    <x v="171"/>
    <x v="1012"/>
    <x v="0"/>
    <s v="NEGOCIOS"/>
    <x v="1"/>
  </r>
  <r>
    <x v="55"/>
    <x v="129"/>
    <x v="2"/>
    <x v="2"/>
    <x v="0"/>
    <x v="10"/>
    <x v="21"/>
    <x v="204"/>
    <x v="736"/>
    <x v="0"/>
    <s v="NEGOCIOS"/>
    <x v="1"/>
  </r>
  <r>
    <x v="55"/>
    <x v="146"/>
    <x v="6"/>
    <x v="6"/>
    <x v="0"/>
    <x v="10"/>
    <x v="21"/>
    <x v="172"/>
    <x v="1013"/>
    <x v="0"/>
    <s v="NEGOCIOS"/>
    <x v="1"/>
  </r>
  <r>
    <x v="55"/>
    <x v="36"/>
    <x v="6"/>
    <x v="6"/>
    <x v="0"/>
    <x v="10"/>
    <x v="21"/>
    <x v="94"/>
    <x v="1014"/>
    <x v="0"/>
    <s v="NEGOCIOS"/>
    <x v="1"/>
  </r>
  <r>
    <x v="55"/>
    <x v="71"/>
    <x v="6"/>
    <x v="6"/>
    <x v="0"/>
    <x v="10"/>
    <x v="21"/>
    <x v="37"/>
    <x v="815"/>
    <x v="0"/>
    <s v="NEGOCIOS"/>
    <x v="1"/>
  </r>
  <r>
    <x v="55"/>
    <x v="149"/>
    <x v="6"/>
    <x v="6"/>
    <x v="0"/>
    <x v="10"/>
    <x v="21"/>
    <x v="148"/>
    <x v="736"/>
    <x v="0"/>
    <s v="NEGOCIOS"/>
    <x v="1"/>
  </r>
  <r>
    <x v="55"/>
    <x v="149"/>
    <x v="6"/>
    <x v="6"/>
    <x v="0"/>
    <x v="10"/>
    <x v="26"/>
    <x v="148"/>
    <x v="1015"/>
    <x v="0"/>
    <s v="NEGOCIOS"/>
    <x v="1"/>
  </r>
  <r>
    <x v="55"/>
    <x v="163"/>
    <x v="6"/>
    <x v="6"/>
    <x v="0"/>
    <x v="10"/>
    <x v="21"/>
    <x v="195"/>
    <x v="748"/>
    <x v="0"/>
    <s v="NEGOCIOS"/>
    <x v="1"/>
  </r>
  <r>
    <x v="55"/>
    <x v="113"/>
    <x v="6"/>
    <x v="6"/>
    <x v="0"/>
    <x v="10"/>
    <x v="21"/>
    <x v="89"/>
    <x v="782"/>
    <x v="0"/>
    <s v="NEGOCIOS"/>
    <x v="1"/>
  </r>
  <r>
    <x v="55"/>
    <x v="67"/>
    <x v="6"/>
    <x v="6"/>
    <x v="0"/>
    <x v="10"/>
    <x v="21"/>
    <x v="32"/>
    <x v="735"/>
    <x v="0"/>
    <s v="NEGOCIOS"/>
    <x v="1"/>
  </r>
  <r>
    <x v="55"/>
    <x v="108"/>
    <x v="3"/>
    <x v="3"/>
    <x v="0"/>
    <x v="10"/>
    <x v="21"/>
    <x v="63"/>
    <x v="736"/>
    <x v="0"/>
    <s v="NEGOCIOS"/>
    <x v="1"/>
  </r>
  <r>
    <x v="55"/>
    <x v="108"/>
    <x v="3"/>
    <x v="3"/>
    <x v="0"/>
    <x v="10"/>
    <x v="25"/>
    <x v="63"/>
    <x v="929"/>
    <x v="0"/>
    <s v="NEGOCIOS"/>
    <x v="1"/>
  </r>
  <r>
    <x v="55"/>
    <x v="135"/>
    <x v="3"/>
    <x v="3"/>
    <x v="0"/>
    <x v="10"/>
    <x v="26"/>
    <x v="149"/>
    <x v="1016"/>
    <x v="0"/>
    <s v="NEGOCIOS"/>
    <x v="1"/>
  </r>
  <r>
    <x v="55"/>
    <x v="148"/>
    <x v="3"/>
    <x v="3"/>
    <x v="0"/>
    <x v="10"/>
    <x v="21"/>
    <x v="174"/>
    <x v="736"/>
    <x v="0"/>
    <s v="NEGOCIOS"/>
    <x v="1"/>
  </r>
  <r>
    <x v="55"/>
    <x v="148"/>
    <x v="3"/>
    <x v="3"/>
    <x v="0"/>
    <x v="10"/>
    <x v="25"/>
    <x v="174"/>
    <x v="907"/>
    <x v="0"/>
    <s v="NEGOCIOS"/>
    <x v="1"/>
  </r>
  <r>
    <x v="55"/>
    <x v="56"/>
    <x v="3"/>
    <x v="3"/>
    <x v="0"/>
    <x v="10"/>
    <x v="21"/>
    <x v="153"/>
    <x v="1017"/>
    <x v="0"/>
    <s v="NEGOCIOS"/>
    <x v="1"/>
  </r>
  <r>
    <x v="55"/>
    <x v="156"/>
    <x v="4"/>
    <x v="4"/>
    <x v="0"/>
    <x v="10"/>
    <x v="21"/>
    <x v="146"/>
    <x v="1018"/>
    <x v="0"/>
    <s v="NEGOCIOS"/>
    <x v="1"/>
  </r>
  <r>
    <x v="55"/>
    <x v="132"/>
    <x v="4"/>
    <x v="4"/>
    <x v="0"/>
    <x v="10"/>
    <x v="21"/>
    <x v="95"/>
    <x v="1019"/>
    <x v="0"/>
    <s v="NEGOCIOS"/>
    <x v="1"/>
  </r>
  <r>
    <x v="55"/>
    <x v="50"/>
    <x v="4"/>
    <x v="4"/>
    <x v="0"/>
    <x v="10"/>
    <x v="21"/>
    <x v="77"/>
    <x v="1020"/>
    <x v="0"/>
    <s v="NEGOCIOS"/>
    <x v="1"/>
  </r>
  <r>
    <x v="55"/>
    <x v="30"/>
    <x v="4"/>
    <x v="4"/>
    <x v="0"/>
    <x v="10"/>
    <x v="21"/>
    <x v="159"/>
    <x v="1021"/>
    <x v="0"/>
    <s v="NEGOCIOS"/>
    <x v="1"/>
  </r>
  <r>
    <x v="55"/>
    <x v="154"/>
    <x v="4"/>
    <x v="4"/>
    <x v="0"/>
    <x v="10"/>
    <x v="26"/>
    <x v="143"/>
    <x v="1022"/>
    <x v="0"/>
    <s v="NEGOCIOS"/>
    <x v="1"/>
  </r>
  <r>
    <x v="55"/>
    <x v="165"/>
    <x v="4"/>
    <x v="4"/>
    <x v="0"/>
    <x v="10"/>
    <x v="21"/>
    <x v="205"/>
    <x v="1019"/>
    <x v="0"/>
    <s v="NEGOCIOS"/>
    <x v="1"/>
  </r>
  <r>
    <x v="55"/>
    <x v="90"/>
    <x v="0"/>
    <x v="0"/>
    <x v="0"/>
    <x v="10"/>
    <x v="21"/>
    <x v="79"/>
    <x v="1023"/>
    <x v="0"/>
    <s v="NEGOCIOS"/>
    <x v="1"/>
  </r>
  <r>
    <x v="55"/>
    <x v="159"/>
    <x v="0"/>
    <x v="0"/>
    <x v="0"/>
    <x v="10"/>
    <x v="21"/>
    <x v="177"/>
    <x v="1019"/>
    <x v="0"/>
    <s v="NEGOCIOS"/>
    <x v="1"/>
  </r>
  <r>
    <x v="55"/>
    <x v="116"/>
    <x v="0"/>
    <x v="0"/>
    <x v="0"/>
    <x v="10"/>
    <x v="21"/>
    <x v="64"/>
    <x v="736"/>
    <x v="0"/>
    <s v="NEGOCIOS"/>
    <x v="1"/>
  </r>
  <r>
    <x v="55"/>
    <x v="119"/>
    <x v="0"/>
    <x v="0"/>
    <x v="0"/>
    <x v="10"/>
    <x v="21"/>
    <x v="96"/>
    <x v="736"/>
    <x v="0"/>
    <s v="NEGOCIOS"/>
    <x v="1"/>
  </r>
  <r>
    <x v="55"/>
    <x v="121"/>
    <x v="0"/>
    <x v="0"/>
    <x v="0"/>
    <x v="10"/>
    <x v="21"/>
    <x v="80"/>
    <x v="736"/>
    <x v="0"/>
    <s v="NEGOCIOS"/>
    <x v="1"/>
  </r>
  <r>
    <x v="55"/>
    <x v="100"/>
    <x v="0"/>
    <x v="0"/>
    <x v="0"/>
    <x v="10"/>
    <x v="21"/>
    <x v="73"/>
    <x v="1024"/>
    <x v="0"/>
    <s v="NEGOCIOS"/>
    <x v="1"/>
  </r>
  <r>
    <x v="55"/>
    <x v="53"/>
    <x v="0"/>
    <x v="0"/>
    <x v="0"/>
    <x v="10"/>
    <x v="26"/>
    <x v="144"/>
    <x v="1025"/>
    <x v="0"/>
    <s v="NEGOCIOS"/>
    <x v="1"/>
  </r>
  <r>
    <x v="55"/>
    <x v="46"/>
    <x v="0"/>
    <x v="0"/>
    <x v="0"/>
    <x v="10"/>
    <x v="21"/>
    <x v="155"/>
    <x v="736"/>
    <x v="0"/>
    <s v="NEGOCIOS"/>
    <x v="1"/>
  </r>
  <r>
    <x v="55"/>
    <x v="142"/>
    <x v="0"/>
    <x v="0"/>
    <x v="0"/>
    <x v="10"/>
    <x v="21"/>
    <x v="119"/>
    <x v="53"/>
    <x v="0"/>
    <s v="NEGOCIOS"/>
    <x v="1"/>
  </r>
  <r>
    <x v="55"/>
    <x v="136"/>
    <x v="0"/>
    <x v="0"/>
    <x v="0"/>
    <x v="10"/>
    <x v="21"/>
    <x v="100"/>
    <x v="1019"/>
    <x v="0"/>
    <s v="NEGOCIOS"/>
    <x v="1"/>
  </r>
  <r>
    <x v="55"/>
    <x v="32"/>
    <x v="5"/>
    <x v="5"/>
    <x v="0"/>
    <x v="10"/>
    <x v="21"/>
    <x v="81"/>
    <x v="1026"/>
    <x v="0"/>
    <s v="NEGOCIOS"/>
    <x v="1"/>
  </r>
  <r>
    <x v="55"/>
    <x v="76"/>
    <x v="5"/>
    <x v="5"/>
    <x v="0"/>
    <x v="10"/>
    <x v="21"/>
    <x v="182"/>
    <x v="1027"/>
    <x v="0"/>
    <s v="NEGOCIOS"/>
    <x v="1"/>
  </r>
  <r>
    <x v="55"/>
    <x v="13"/>
    <x v="5"/>
    <x v="5"/>
    <x v="0"/>
    <x v="10"/>
    <x v="21"/>
    <x v="120"/>
    <x v="736"/>
    <x v="0"/>
    <s v="NEGOCIOS"/>
    <x v="1"/>
  </r>
  <r>
    <x v="55"/>
    <x v="77"/>
    <x v="5"/>
    <x v="5"/>
    <x v="0"/>
    <x v="10"/>
    <x v="21"/>
    <x v="156"/>
    <x v="1028"/>
    <x v="0"/>
    <s v="NEGOCIOS"/>
    <x v="1"/>
  </r>
  <r>
    <x v="55"/>
    <x v="63"/>
    <x v="5"/>
    <x v="5"/>
    <x v="0"/>
    <x v="10"/>
    <x v="21"/>
    <x v="111"/>
    <x v="852"/>
    <x v="0"/>
    <s v="NEGOCIOS"/>
    <x v="1"/>
  </r>
  <r>
    <x v="55"/>
    <x v="63"/>
    <x v="5"/>
    <x v="5"/>
    <x v="0"/>
    <x v="10"/>
    <x v="26"/>
    <x v="111"/>
    <x v="1029"/>
    <x v="0"/>
    <s v="NEGOCIOS"/>
    <x v="1"/>
  </r>
  <r>
    <x v="55"/>
    <x v="153"/>
    <x v="5"/>
    <x v="5"/>
    <x v="0"/>
    <x v="10"/>
    <x v="21"/>
    <x v="157"/>
    <x v="736"/>
    <x v="0"/>
    <s v="NEGOCIOS"/>
    <x v="1"/>
  </r>
  <r>
    <x v="55"/>
    <x v="124"/>
    <x v="5"/>
    <x v="5"/>
    <x v="0"/>
    <x v="10"/>
    <x v="21"/>
    <x v="206"/>
    <x v="1030"/>
    <x v="0"/>
    <s v="NEGOCIOS"/>
    <x v="1"/>
  </r>
  <r>
    <x v="55"/>
    <x v="40"/>
    <x v="1"/>
    <x v="1"/>
    <x v="0"/>
    <x v="10"/>
    <x v="21"/>
    <x v="125"/>
    <x v="835"/>
    <x v="0"/>
    <s v="NEGOCIOS"/>
    <x v="1"/>
  </r>
  <r>
    <x v="55"/>
    <x v="161"/>
    <x v="1"/>
    <x v="1"/>
    <x v="0"/>
    <x v="10"/>
    <x v="21"/>
    <x v="186"/>
    <x v="661"/>
    <x v="0"/>
    <s v="NEGOCIOS"/>
    <x v="1"/>
  </r>
  <r>
    <x v="55"/>
    <x v="155"/>
    <x v="1"/>
    <x v="1"/>
    <x v="0"/>
    <x v="10"/>
    <x v="26"/>
    <x v="145"/>
    <x v="1031"/>
    <x v="0"/>
    <s v="NEGOCIOS"/>
    <x v="1"/>
  </r>
  <r>
    <x v="55"/>
    <x v="127"/>
    <x v="1"/>
    <x v="1"/>
    <x v="0"/>
    <x v="10"/>
    <x v="21"/>
    <x v="85"/>
    <x v="1032"/>
    <x v="0"/>
    <s v="NEGOCIOS"/>
    <x v="1"/>
  </r>
  <r>
    <x v="55"/>
    <x v="73"/>
    <x v="1"/>
    <x v="1"/>
    <x v="0"/>
    <x v="10"/>
    <x v="21"/>
    <x v="39"/>
    <x v="1033"/>
    <x v="0"/>
    <s v="NEGOCIOS"/>
    <x v="1"/>
  </r>
  <r>
    <x v="55"/>
    <x v="8"/>
    <x v="1"/>
    <x v="1"/>
    <x v="0"/>
    <x v="10"/>
    <x v="21"/>
    <x v="187"/>
    <x v="1013"/>
    <x v="0"/>
    <s v="NEGOCIOS"/>
    <x v="1"/>
  </r>
  <r>
    <x v="55"/>
    <x v="101"/>
    <x v="1"/>
    <x v="1"/>
    <x v="0"/>
    <x v="10"/>
    <x v="21"/>
    <x v="207"/>
    <x v="1013"/>
    <x v="0"/>
    <s v="NEGOCIOS"/>
    <x v="1"/>
  </r>
  <r>
    <x v="55"/>
    <x v="109"/>
    <x v="1"/>
    <x v="1"/>
    <x v="0"/>
    <x v="10"/>
    <x v="21"/>
    <x v="208"/>
    <x v="736"/>
    <x v="0"/>
    <s v="NEGOCIOS"/>
    <x v="1"/>
  </r>
  <r>
    <x v="55"/>
    <x v="1"/>
    <x v="1"/>
    <x v="1"/>
    <x v="0"/>
    <x v="10"/>
    <x v="1"/>
    <x v="1"/>
    <x v="1"/>
    <x v="279"/>
    <s v="NEGOCIOS"/>
    <x v="1"/>
  </r>
  <r>
    <x v="55"/>
    <x v="158"/>
    <x v="2"/>
    <x v="2"/>
    <x v="0"/>
    <x v="11"/>
    <x v="21"/>
    <x v="168"/>
    <x v="1034"/>
    <x v="0"/>
    <s v="NEGOCIOS"/>
    <x v="1"/>
  </r>
  <r>
    <x v="55"/>
    <x v="85"/>
    <x v="2"/>
    <x v="2"/>
    <x v="0"/>
    <x v="11"/>
    <x v="21"/>
    <x v="161"/>
    <x v="1035"/>
    <x v="0"/>
    <s v="NEGOCIOS"/>
    <x v="1"/>
  </r>
  <r>
    <x v="55"/>
    <x v="157"/>
    <x v="2"/>
    <x v="2"/>
    <x v="0"/>
    <x v="11"/>
    <x v="26"/>
    <x v="147"/>
    <x v="1036"/>
    <x v="0"/>
    <s v="NEGOCIOS"/>
    <x v="1"/>
  </r>
  <r>
    <x v="55"/>
    <x v="65"/>
    <x v="6"/>
    <x v="6"/>
    <x v="0"/>
    <x v="11"/>
    <x v="21"/>
    <x v="190"/>
    <x v="1037"/>
    <x v="0"/>
    <s v="NEGOCIOS"/>
    <x v="1"/>
  </r>
  <r>
    <x v="55"/>
    <x v="71"/>
    <x v="6"/>
    <x v="6"/>
    <x v="0"/>
    <x v="11"/>
    <x v="21"/>
    <x v="37"/>
    <x v="1013"/>
    <x v="0"/>
    <s v="NEGOCIOS"/>
    <x v="1"/>
  </r>
  <r>
    <x v="55"/>
    <x v="149"/>
    <x v="6"/>
    <x v="6"/>
    <x v="0"/>
    <x v="11"/>
    <x v="26"/>
    <x v="148"/>
    <x v="1038"/>
    <x v="0"/>
    <s v="NEGOCIOS"/>
    <x v="1"/>
  </r>
  <r>
    <x v="55"/>
    <x v="113"/>
    <x v="6"/>
    <x v="6"/>
    <x v="0"/>
    <x v="11"/>
    <x v="21"/>
    <x v="89"/>
    <x v="735"/>
    <x v="0"/>
    <s v="NEGOCIOS"/>
    <x v="1"/>
  </r>
  <r>
    <x v="55"/>
    <x v="135"/>
    <x v="3"/>
    <x v="3"/>
    <x v="0"/>
    <x v="11"/>
    <x v="26"/>
    <x v="149"/>
    <x v="1039"/>
    <x v="0"/>
    <s v="NEGOCIOS"/>
    <x v="1"/>
  </r>
  <r>
    <x v="55"/>
    <x v="154"/>
    <x v="4"/>
    <x v="4"/>
    <x v="0"/>
    <x v="11"/>
    <x v="26"/>
    <x v="143"/>
    <x v="1040"/>
    <x v="0"/>
    <s v="NEGOCIOS"/>
    <x v="1"/>
  </r>
  <r>
    <x v="55"/>
    <x v="53"/>
    <x v="0"/>
    <x v="0"/>
    <x v="0"/>
    <x v="11"/>
    <x v="21"/>
    <x v="144"/>
    <x v="1041"/>
    <x v="0"/>
    <s v="NEGOCIOS"/>
    <x v="1"/>
  </r>
  <r>
    <x v="55"/>
    <x v="53"/>
    <x v="0"/>
    <x v="0"/>
    <x v="0"/>
    <x v="11"/>
    <x v="26"/>
    <x v="144"/>
    <x v="1042"/>
    <x v="0"/>
    <s v="NEGOCIOS"/>
    <x v="1"/>
  </r>
  <r>
    <x v="55"/>
    <x v="63"/>
    <x v="5"/>
    <x v="5"/>
    <x v="0"/>
    <x v="11"/>
    <x v="26"/>
    <x v="111"/>
    <x v="1043"/>
    <x v="0"/>
    <s v="NEGOCIOS"/>
    <x v="1"/>
  </r>
  <r>
    <x v="55"/>
    <x v="124"/>
    <x v="5"/>
    <x v="5"/>
    <x v="0"/>
    <x v="11"/>
    <x v="26"/>
    <x v="206"/>
    <x v="1"/>
    <x v="280"/>
    <s v="NEGOCIOS"/>
    <x v="1"/>
  </r>
  <r>
    <x v="55"/>
    <x v="155"/>
    <x v="1"/>
    <x v="1"/>
    <x v="0"/>
    <x v="11"/>
    <x v="26"/>
    <x v="145"/>
    <x v="1044"/>
    <x v="0"/>
    <s v="NEGOCIOS"/>
    <x v="1"/>
  </r>
  <r>
    <x v="55"/>
    <x v="1"/>
    <x v="1"/>
    <x v="1"/>
    <x v="0"/>
    <x v="11"/>
    <x v="1"/>
    <x v="1"/>
    <x v="1"/>
    <x v="281"/>
    <s v="NEGOCIOS"/>
    <x v="1"/>
  </r>
  <r>
    <x v="55"/>
    <x v="47"/>
    <x v="2"/>
    <x v="2"/>
    <x v="0"/>
    <x v="12"/>
    <x v="21"/>
    <x v="68"/>
    <x v="1045"/>
    <x v="0"/>
    <s v="NEGOCIOS"/>
    <x v="1"/>
  </r>
  <r>
    <x v="55"/>
    <x v="112"/>
    <x v="2"/>
    <x v="2"/>
    <x v="0"/>
    <x v="12"/>
    <x v="26"/>
    <x v="209"/>
    <x v="1"/>
    <x v="282"/>
    <s v="NEGOCIOS"/>
    <x v="1"/>
  </r>
  <r>
    <x v="55"/>
    <x v="129"/>
    <x v="2"/>
    <x v="2"/>
    <x v="0"/>
    <x v="12"/>
    <x v="21"/>
    <x v="204"/>
    <x v="1046"/>
    <x v="0"/>
    <s v="NEGOCIOS"/>
    <x v="1"/>
  </r>
  <r>
    <x v="55"/>
    <x v="111"/>
    <x v="2"/>
    <x v="2"/>
    <x v="0"/>
    <x v="12"/>
    <x v="21"/>
    <x v="75"/>
    <x v="1047"/>
    <x v="0"/>
    <s v="NEGOCIOS"/>
    <x v="1"/>
  </r>
  <r>
    <x v="55"/>
    <x v="65"/>
    <x v="6"/>
    <x v="6"/>
    <x v="0"/>
    <x v="12"/>
    <x v="21"/>
    <x v="190"/>
    <x v="1048"/>
    <x v="0"/>
    <s v="NEGOCIOS"/>
    <x v="1"/>
  </r>
  <r>
    <x v="55"/>
    <x v="87"/>
    <x v="6"/>
    <x v="6"/>
    <x v="0"/>
    <x v="12"/>
    <x v="21"/>
    <x v="189"/>
    <x v="366"/>
    <x v="0"/>
    <s v="NEGOCIOS"/>
    <x v="1"/>
  </r>
  <r>
    <x v="55"/>
    <x v="163"/>
    <x v="6"/>
    <x v="6"/>
    <x v="0"/>
    <x v="12"/>
    <x v="21"/>
    <x v="195"/>
    <x v="146"/>
    <x v="0"/>
    <s v="NEGOCIOS"/>
    <x v="1"/>
  </r>
  <r>
    <x v="55"/>
    <x v="102"/>
    <x v="6"/>
    <x v="6"/>
    <x v="0"/>
    <x v="12"/>
    <x v="21"/>
    <x v="141"/>
    <x v="1049"/>
    <x v="0"/>
    <s v="NEGOCIOS"/>
    <x v="1"/>
  </r>
  <r>
    <x v="55"/>
    <x v="102"/>
    <x v="6"/>
    <x v="6"/>
    <x v="0"/>
    <x v="12"/>
    <x v="26"/>
    <x v="141"/>
    <x v="1050"/>
    <x v="0"/>
    <s v="NEGOCIOS"/>
    <x v="1"/>
  </r>
  <r>
    <x v="55"/>
    <x v="137"/>
    <x v="6"/>
    <x v="6"/>
    <x v="0"/>
    <x v="12"/>
    <x v="26"/>
    <x v="102"/>
    <x v="1"/>
    <x v="283"/>
    <s v="NEGOCIOS"/>
    <x v="1"/>
  </r>
  <r>
    <x v="55"/>
    <x v="156"/>
    <x v="4"/>
    <x v="4"/>
    <x v="0"/>
    <x v="12"/>
    <x v="21"/>
    <x v="146"/>
    <x v="1051"/>
    <x v="0"/>
    <s v="NEGOCIOS"/>
    <x v="1"/>
  </r>
  <r>
    <x v="55"/>
    <x v="39"/>
    <x v="4"/>
    <x v="4"/>
    <x v="0"/>
    <x v="12"/>
    <x v="26"/>
    <x v="210"/>
    <x v="1"/>
    <x v="284"/>
    <s v="NEGOCIOS"/>
    <x v="1"/>
  </r>
  <r>
    <x v="55"/>
    <x v="92"/>
    <x v="0"/>
    <x v="0"/>
    <x v="0"/>
    <x v="12"/>
    <x v="21"/>
    <x v="109"/>
    <x v="905"/>
    <x v="0"/>
    <s v="NEGOCIOS"/>
    <x v="1"/>
  </r>
  <r>
    <x v="55"/>
    <x v="136"/>
    <x v="0"/>
    <x v="0"/>
    <x v="0"/>
    <x v="12"/>
    <x v="21"/>
    <x v="100"/>
    <x v="1052"/>
    <x v="0"/>
    <s v="NEGOCIOS"/>
    <x v="1"/>
  </r>
  <r>
    <x v="55"/>
    <x v="136"/>
    <x v="0"/>
    <x v="0"/>
    <x v="0"/>
    <x v="12"/>
    <x v="26"/>
    <x v="100"/>
    <x v="1"/>
    <x v="285"/>
    <s v="NEGOCIOS"/>
    <x v="1"/>
  </r>
  <r>
    <x v="55"/>
    <x v="13"/>
    <x v="5"/>
    <x v="5"/>
    <x v="0"/>
    <x v="12"/>
    <x v="21"/>
    <x v="120"/>
    <x v="1053"/>
    <x v="0"/>
    <s v="NEGOCIOS"/>
    <x v="1"/>
  </r>
  <r>
    <x v="55"/>
    <x v="125"/>
    <x v="5"/>
    <x v="5"/>
    <x v="0"/>
    <x v="12"/>
    <x v="21"/>
    <x v="82"/>
    <x v="1054"/>
    <x v="0"/>
    <s v="NEGOCIOS"/>
    <x v="1"/>
  </r>
  <r>
    <x v="55"/>
    <x v="95"/>
    <x v="1"/>
    <x v="1"/>
    <x v="0"/>
    <x v="12"/>
    <x v="21"/>
    <x v="97"/>
    <x v="779"/>
    <x v="0"/>
    <s v="NEGOCIOS"/>
    <x v="1"/>
  </r>
  <r>
    <x v="55"/>
    <x v="155"/>
    <x v="1"/>
    <x v="1"/>
    <x v="0"/>
    <x v="12"/>
    <x v="21"/>
    <x v="145"/>
    <x v="1055"/>
    <x v="0"/>
    <s v="NEGOCIOS"/>
    <x v="1"/>
  </r>
  <r>
    <x v="55"/>
    <x v="1"/>
    <x v="1"/>
    <x v="1"/>
    <x v="0"/>
    <x v="12"/>
    <x v="1"/>
    <x v="1"/>
    <x v="1"/>
    <x v="286"/>
    <s v="NEGOCIOS"/>
    <x v="1"/>
  </r>
  <r>
    <x v="55"/>
    <x v="157"/>
    <x v="2"/>
    <x v="2"/>
    <x v="0"/>
    <x v="13"/>
    <x v="26"/>
    <x v="147"/>
    <x v="1056"/>
    <x v="0"/>
    <s v="NEGOCIOS"/>
    <x v="1"/>
  </r>
  <r>
    <x v="55"/>
    <x v="110"/>
    <x v="2"/>
    <x v="2"/>
    <x v="0"/>
    <x v="13"/>
    <x v="21"/>
    <x v="171"/>
    <x v="1057"/>
    <x v="0"/>
    <s v="NEGOCIOS"/>
    <x v="1"/>
  </r>
  <r>
    <x v="55"/>
    <x v="149"/>
    <x v="6"/>
    <x v="6"/>
    <x v="0"/>
    <x v="13"/>
    <x v="26"/>
    <x v="148"/>
    <x v="1058"/>
    <x v="0"/>
    <s v="NEGOCIOS"/>
    <x v="1"/>
  </r>
  <r>
    <x v="55"/>
    <x v="10"/>
    <x v="3"/>
    <x v="3"/>
    <x v="0"/>
    <x v="13"/>
    <x v="21"/>
    <x v="123"/>
    <x v="763"/>
    <x v="0"/>
    <s v="NEGOCIOS"/>
    <x v="1"/>
  </r>
  <r>
    <x v="55"/>
    <x v="135"/>
    <x v="3"/>
    <x v="3"/>
    <x v="0"/>
    <x v="13"/>
    <x v="26"/>
    <x v="149"/>
    <x v="1059"/>
    <x v="0"/>
    <s v="NEGOCIOS"/>
    <x v="1"/>
  </r>
  <r>
    <x v="55"/>
    <x v="79"/>
    <x v="3"/>
    <x v="3"/>
    <x v="0"/>
    <x v="13"/>
    <x v="21"/>
    <x v="142"/>
    <x v="1024"/>
    <x v="0"/>
    <s v="NEGOCIOS"/>
    <x v="1"/>
  </r>
  <r>
    <x v="55"/>
    <x v="154"/>
    <x v="4"/>
    <x v="4"/>
    <x v="0"/>
    <x v="13"/>
    <x v="26"/>
    <x v="143"/>
    <x v="1060"/>
    <x v="0"/>
    <s v="NEGOCIOS"/>
    <x v="1"/>
  </r>
  <r>
    <x v="55"/>
    <x v="53"/>
    <x v="0"/>
    <x v="0"/>
    <x v="0"/>
    <x v="13"/>
    <x v="21"/>
    <x v="144"/>
    <x v="1061"/>
    <x v="0"/>
    <s v="NEGOCIOS"/>
    <x v="1"/>
  </r>
  <r>
    <x v="55"/>
    <x v="53"/>
    <x v="0"/>
    <x v="0"/>
    <x v="0"/>
    <x v="13"/>
    <x v="26"/>
    <x v="144"/>
    <x v="1062"/>
    <x v="0"/>
    <s v="NEGOCIOS"/>
    <x v="1"/>
  </r>
  <r>
    <x v="55"/>
    <x v="13"/>
    <x v="5"/>
    <x v="5"/>
    <x v="0"/>
    <x v="13"/>
    <x v="21"/>
    <x v="120"/>
    <x v="1063"/>
    <x v="0"/>
    <s v="NEGOCIOS"/>
    <x v="1"/>
  </r>
  <r>
    <x v="55"/>
    <x v="34"/>
    <x v="5"/>
    <x v="5"/>
    <x v="0"/>
    <x v="13"/>
    <x v="25"/>
    <x v="184"/>
    <x v="1064"/>
    <x v="0"/>
    <s v="NEGOCIOS"/>
    <x v="1"/>
  </r>
  <r>
    <x v="55"/>
    <x v="77"/>
    <x v="5"/>
    <x v="5"/>
    <x v="0"/>
    <x v="13"/>
    <x v="21"/>
    <x v="156"/>
    <x v="1065"/>
    <x v="0"/>
    <s v="NEGOCIOS"/>
    <x v="1"/>
  </r>
  <r>
    <x v="55"/>
    <x v="63"/>
    <x v="5"/>
    <x v="5"/>
    <x v="0"/>
    <x v="13"/>
    <x v="26"/>
    <x v="111"/>
    <x v="1066"/>
    <x v="0"/>
    <s v="NEGOCIOS"/>
    <x v="1"/>
  </r>
  <r>
    <x v="55"/>
    <x v="40"/>
    <x v="1"/>
    <x v="1"/>
    <x v="0"/>
    <x v="13"/>
    <x v="21"/>
    <x v="125"/>
    <x v="1067"/>
    <x v="0"/>
    <s v="NEGOCIOS"/>
    <x v="1"/>
  </r>
  <r>
    <x v="55"/>
    <x v="155"/>
    <x v="1"/>
    <x v="1"/>
    <x v="0"/>
    <x v="13"/>
    <x v="26"/>
    <x v="145"/>
    <x v="1068"/>
    <x v="0"/>
    <s v="NEGOCIOS"/>
    <x v="1"/>
  </r>
  <r>
    <x v="55"/>
    <x v="22"/>
    <x v="1"/>
    <x v="1"/>
    <x v="0"/>
    <x v="13"/>
    <x v="21"/>
    <x v="211"/>
    <x v="1069"/>
    <x v="0"/>
    <s v="NEGOCIOS"/>
    <x v="1"/>
  </r>
  <r>
    <x v="55"/>
    <x v="22"/>
    <x v="1"/>
    <x v="1"/>
    <x v="0"/>
    <x v="13"/>
    <x v="26"/>
    <x v="211"/>
    <x v="1070"/>
    <x v="0"/>
    <s v="NEGOCIOS"/>
    <x v="1"/>
  </r>
  <r>
    <x v="55"/>
    <x v="73"/>
    <x v="1"/>
    <x v="1"/>
    <x v="0"/>
    <x v="13"/>
    <x v="21"/>
    <x v="39"/>
    <x v="763"/>
    <x v="0"/>
    <s v="NEGOCIOS"/>
    <x v="1"/>
  </r>
  <r>
    <x v="55"/>
    <x v="1"/>
    <x v="1"/>
    <x v="1"/>
    <x v="0"/>
    <x v="13"/>
    <x v="1"/>
    <x v="1"/>
    <x v="1"/>
    <x v="287"/>
    <s v="NEGOCIOS"/>
    <x v="1"/>
  </r>
  <r>
    <x v="55"/>
    <x v="70"/>
    <x v="2"/>
    <x v="2"/>
    <x v="0"/>
    <x v="14"/>
    <x v="21"/>
    <x v="36"/>
    <x v="735"/>
    <x v="0"/>
    <s v="NEGOCIOS"/>
    <x v="1"/>
  </r>
  <r>
    <x v="55"/>
    <x v="158"/>
    <x v="2"/>
    <x v="2"/>
    <x v="0"/>
    <x v="14"/>
    <x v="25"/>
    <x v="168"/>
    <x v="1071"/>
    <x v="0"/>
    <s v="NEGOCIOS"/>
    <x v="1"/>
  </r>
  <r>
    <x v="55"/>
    <x v="16"/>
    <x v="2"/>
    <x v="2"/>
    <x v="0"/>
    <x v="14"/>
    <x v="21"/>
    <x v="93"/>
    <x v="1072"/>
    <x v="0"/>
    <s v="NEGOCIOS"/>
    <x v="1"/>
  </r>
  <r>
    <x v="55"/>
    <x v="47"/>
    <x v="2"/>
    <x v="2"/>
    <x v="0"/>
    <x v="14"/>
    <x v="21"/>
    <x v="68"/>
    <x v="1073"/>
    <x v="0"/>
    <s v="NEGOCIOS"/>
    <x v="1"/>
  </r>
  <r>
    <x v="55"/>
    <x v="85"/>
    <x v="2"/>
    <x v="2"/>
    <x v="0"/>
    <x v="14"/>
    <x v="21"/>
    <x v="161"/>
    <x v="1074"/>
    <x v="0"/>
    <s v="NEGOCIOS"/>
    <x v="1"/>
  </r>
  <r>
    <x v="55"/>
    <x v="118"/>
    <x v="2"/>
    <x v="2"/>
    <x v="0"/>
    <x v="14"/>
    <x v="21"/>
    <x v="69"/>
    <x v="1075"/>
    <x v="0"/>
    <s v="NEGOCIOS"/>
    <x v="1"/>
  </r>
  <r>
    <x v="55"/>
    <x v="24"/>
    <x v="2"/>
    <x v="2"/>
    <x v="0"/>
    <x v="14"/>
    <x v="21"/>
    <x v="202"/>
    <x v="1076"/>
    <x v="0"/>
    <s v="NEGOCIOS"/>
    <x v="1"/>
  </r>
  <r>
    <x v="55"/>
    <x v="107"/>
    <x v="2"/>
    <x v="2"/>
    <x v="0"/>
    <x v="14"/>
    <x v="21"/>
    <x v="158"/>
    <x v="1077"/>
    <x v="0"/>
    <s v="NEGOCIOS"/>
    <x v="1"/>
  </r>
  <r>
    <x v="55"/>
    <x v="157"/>
    <x v="2"/>
    <x v="2"/>
    <x v="0"/>
    <x v="14"/>
    <x v="21"/>
    <x v="147"/>
    <x v="1078"/>
    <x v="0"/>
    <s v="NEGOCIOS"/>
    <x v="1"/>
  </r>
  <r>
    <x v="55"/>
    <x v="35"/>
    <x v="2"/>
    <x v="2"/>
    <x v="0"/>
    <x v="14"/>
    <x v="21"/>
    <x v="170"/>
    <x v="999"/>
    <x v="0"/>
    <s v="NEGOCIOS"/>
    <x v="1"/>
  </r>
  <r>
    <x v="55"/>
    <x v="129"/>
    <x v="2"/>
    <x v="2"/>
    <x v="0"/>
    <x v="14"/>
    <x v="21"/>
    <x v="204"/>
    <x v="1079"/>
    <x v="0"/>
    <s v="NEGOCIOS"/>
    <x v="1"/>
  </r>
  <r>
    <x v="55"/>
    <x v="146"/>
    <x v="6"/>
    <x v="6"/>
    <x v="0"/>
    <x v="14"/>
    <x v="25"/>
    <x v="172"/>
    <x v="1071"/>
    <x v="0"/>
    <s v="NEGOCIOS"/>
    <x v="1"/>
  </r>
  <r>
    <x v="55"/>
    <x v="87"/>
    <x v="6"/>
    <x v="6"/>
    <x v="0"/>
    <x v="14"/>
    <x v="21"/>
    <x v="189"/>
    <x v="1080"/>
    <x v="0"/>
    <s v="NEGOCIOS"/>
    <x v="1"/>
  </r>
  <r>
    <x v="55"/>
    <x v="71"/>
    <x v="6"/>
    <x v="6"/>
    <x v="0"/>
    <x v="14"/>
    <x v="21"/>
    <x v="37"/>
    <x v="1081"/>
    <x v="0"/>
    <s v="NEGOCIOS"/>
    <x v="1"/>
  </r>
  <r>
    <x v="55"/>
    <x v="163"/>
    <x v="6"/>
    <x v="6"/>
    <x v="0"/>
    <x v="14"/>
    <x v="21"/>
    <x v="195"/>
    <x v="1082"/>
    <x v="0"/>
    <s v="NEGOCIOS"/>
    <x v="1"/>
  </r>
  <r>
    <x v="55"/>
    <x v="102"/>
    <x v="6"/>
    <x v="6"/>
    <x v="0"/>
    <x v="14"/>
    <x v="21"/>
    <x v="141"/>
    <x v="1083"/>
    <x v="0"/>
    <s v="NEGOCIOS"/>
    <x v="1"/>
  </r>
  <r>
    <x v="55"/>
    <x v="113"/>
    <x v="6"/>
    <x v="6"/>
    <x v="0"/>
    <x v="14"/>
    <x v="21"/>
    <x v="89"/>
    <x v="1084"/>
    <x v="0"/>
    <s v="NEGOCIOS"/>
    <x v="1"/>
  </r>
  <r>
    <x v="55"/>
    <x v="164"/>
    <x v="6"/>
    <x v="6"/>
    <x v="0"/>
    <x v="14"/>
    <x v="21"/>
    <x v="200"/>
    <x v="1085"/>
    <x v="0"/>
    <s v="NEGOCIOS"/>
    <x v="1"/>
  </r>
  <r>
    <x v="55"/>
    <x v="96"/>
    <x v="6"/>
    <x v="6"/>
    <x v="0"/>
    <x v="14"/>
    <x v="21"/>
    <x v="165"/>
    <x v="1086"/>
    <x v="0"/>
    <s v="NEGOCIOS"/>
    <x v="1"/>
  </r>
  <r>
    <x v="55"/>
    <x v="137"/>
    <x v="6"/>
    <x v="6"/>
    <x v="0"/>
    <x v="14"/>
    <x v="21"/>
    <x v="102"/>
    <x v="146"/>
    <x v="0"/>
    <s v="NEGOCIOS"/>
    <x v="1"/>
  </r>
  <r>
    <x v="55"/>
    <x v="26"/>
    <x v="3"/>
    <x v="3"/>
    <x v="0"/>
    <x v="14"/>
    <x v="25"/>
    <x v="115"/>
    <x v="1087"/>
    <x v="0"/>
    <s v="NEGOCIOS"/>
    <x v="1"/>
  </r>
  <r>
    <x v="55"/>
    <x v="19"/>
    <x v="3"/>
    <x v="3"/>
    <x v="0"/>
    <x v="14"/>
    <x v="21"/>
    <x v="62"/>
    <x v="1088"/>
    <x v="0"/>
    <s v="NEGOCIOS"/>
    <x v="1"/>
  </r>
  <r>
    <x v="55"/>
    <x v="60"/>
    <x v="3"/>
    <x v="3"/>
    <x v="0"/>
    <x v="14"/>
    <x v="21"/>
    <x v="57"/>
    <x v="1089"/>
    <x v="0"/>
    <s v="NEGOCIOS"/>
    <x v="1"/>
  </r>
  <r>
    <x v="55"/>
    <x v="108"/>
    <x v="3"/>
    <x v="3"/>
    <x v="0"/>
    <x v="14"/>
    <x v="21"/>
    <x v="63"/>
    <x v="736"/>
    <x v="0"/>
    <s v="NEGOCIOS"/>
    <x v="1"/>
  </r>
  <r>
    <x v="55"/>
    <x v="10"/>
    <x v="3"/>
    <x v="3"/>
    <x v="0"/>
    <x v="14"/>
    <x v="21"/>
    <x v="123"/>
    <x v="0"/>
    <x v="0"/>
    <s v="NEGOCIOS"/>
    <x v="1"/>
  </r>
  <r>
    <x v="55"/>
    <x v="114"/>
    <x v="3"/>
    <x v="3"/>
    <x v="0"/>
    <x v="14"/>
    <x v="21"/>
    <x v="76"/>
    <x v="735"/>
    <x v="0"/>
    <s v="NEGOCIOS"/>
    <x v="1"/>
  </r>
  <r>
    <x v="55"/>
    <x v="43"/>
    <x v="3"/>
    <x v="3"/>
    <x v="0"/>
    <x v="14"/>
    <x v="21"/>
    <x v="71"/>
    <x v="1085"/>
    <x v="0"/>
    <s v="NEGOCIOS"/>
    <x v="1"/>
  </r>
  <r>
    <x v="55"/>
    <x v="61"/>
    <x v="3"/>
    <x v="3"/>
    <x v="0"/>
    <x v="14"/>
    <x v="21"/>
    <x v="126"/>
    <x v="1090"/>
    <x v="0"/>
    <s v="NEGOCIOS"/>
    <x v="1"/>
  </r>
  <r>
    <x v="55"/>
    <x v="148"/>
    <x v="3"/>
    <x v="3"/>
    <x v="0"/>
    <x v="14"/>
    <x v="21"/>
    <x v="174"/>
    <x v="1091"/>
    <x v="0"/>
    <s v="NEGOCIOS"/>
    <x v="1"/>
  </r>
  <r>
    <x v="55"/>
    <x v="56"/>
    <x v="3"/>
    <x v="3"/>
    <x v="0"/>
    <x v="14"/>
    <x v="21"/>
    <x v="153"/>
    <x v="1092"/>
    <x v="0"/>
    <s v="NEGOCIOS"/>
    <x v="1"/>
  </r>
  <r>
    <x v="55"/>
    <x v="99"/>
    <x v="3"/>
    <x v="3"/>
    <x v="0"/>
    <x v="14"/>
    <x v="21"/>
    <x v="116"/>
    <x v="1093"/>
    <x v="0"/>
    <s v="NEGOCIOS"/>
    <x v="1"/>
  </r>
  <r>
    <x v="55"/>
    <x v="140"/>
    <x v="4"/>
    <x v="4"/>
    <x v="0"/>
    <x v="14"/>
    <x v="25"/>
    <x v="117"/>
    <x v="1094"/>
    <x v="0"/>
    <s v="NEGOCIOS"/>
    <x v="1"/>
  </r>
  <r>
    <x v="55"/>
    <x v="81"/>
    <x v="4"/>
    <x v="4"/>
    <x v="0"/>
    <x v="14"/>
    <x v="21"/>
    <x v="175"/>
    <x v="1095"/>
    <x v="0"/>
    <s v="NEGOCIOS"/>
    <x v="1"/>
  </r>
  <r>
    <x v="55"/>
    <x v="132"/>
    <x v="4"/>
    <x v="4"/>
    <x v="0"/>
    <x v="14"/>
    <x v="21"/>
    <x v="95"/>
    <x v="1096"/>
    <x v="0"/>
    <s v="NEGOCIOS"/>
    <x v="1"/>
  </r>
  <r>
    <x v="55"/>
    <x v="162"/>
    <x v="4"/>
    <x v="4"/>
    <x v="0"/>
    <x v="14"/>
    <x v="21"/>
    <x v="192"/>
    <x v="1097"/>
    <x v="0"/>
    <s v="NEGOCIOS"/>
    <x v="1"/>
  </r>
  <r>
    <x v="55"/>
    <x v="50"/>
    <x v="4"/>
    <x v="4"/>
    <x v="0"/>
    <x v="14"/>
    <x v="21"/>
    <x v="77"/>
    <x v="191"/>
    <x v="0"/>
    <s v="NEGOCIOS"/>
    <x v="1"/>
  </r>
  <r>
    <x v="55"/>
    <x v="89"/>
    <x v="4"/>
    <x v="4"/>
    <x v="0"/>
    <x v="14"/>
    <x v="21"/>
    <x v="154"/>
    <x v="1098"/>
    <x v="0"/>
    <s v="NEGOCIOS"/>
    <x v="1"/>
  </r>
  <r>
    <x v="55"/>
    <x v="30"/>
    <x v="4"/>
    <x v="4"/>
    <x v="0"/>
    <x v="14"/>
    <x v="21"/>
    <x v="159"/>
    <x v="1099"/>
    <x v="0"/>
    <s v="NEGOCIOS"/>
    <x v="1"/>
  </r>
  <r>
    <x v="55"/>
    <x v="126"/>
    <x v="4"/>
    <x v="4"/>
    <x v="0"/>
    <x v="14"/>
    <x v="21"/>
    <x v="83"/>
    <x v="1100"/>
    <x v="0"/>
    <s v="NEGOCIOS"/>
    <x v="1"/>
  </r>
  <r>
    <x v="55"/>
    <x v="31"/>
    <x v="4"/>
    <x v="4"/>
    <x v="0"/>
    <x v="14"/>
    <x v="21"/>
    <x v="72"/>
    <x v="1101"/>
    <x v="0"/>
    <s v="NEGOCIOS"/>
    <x v="1"/>
  </r>
  <r>
    <x v="55"/>
    <x v="78"/>
    <x v="4"/>
    <x v="4"/>
    <x v="0"/>
    <x v="14"/>
    <x v="21"/>
    <x v="160"/>
    <x v="736"/>
    <x v="0"/>
    <s v="NEGOCIOS"/>
    <x v="1"/>
  </r>
  <r>
    <x v="55"/>
    <x v="51"/>
    <x v="4"/>
    <x v="4"/>
    <x v="0"/>
    <x v="14"/>
    <x v="21"/>
    <x v="34"/>
    <x v="1102"/>
    <x v="0"/>
    <s v="NEGOCIOS"/>
    <x v="1"/>
  </r>
  <r>
    <x v="55"/>
    <x v="90"/>
    <x v="0"/>
    <x v="0"/>
    <x v="0"/>
    <x v="14"/>
    <x v="21"/>
    <x v="79"/>
    <x v="1103"/>
    <x v="0"/>
    <s v="NEGOCIOS"/>
    <x v="1"/>
  </r>
  <r>
    <x v="55"/>
    <x v="159"/>
    <x v="0"/>
    <x v="0"/>
    <x v="0"/>
    <x v="14"/>
    <x v="25"/>
    <x v="177"/>
    <x v="1104"/>
    <x v="0"/>
    <s v="NEGOCIOS"/>
    <x v="1"/>
  </r>
  <r>
    <x v="55"/>
    <x v="52"/>
    <x v="0"/>
    <x v="0"/>
    <x v="0"/>
    <x v="14"/>
    <x v="21"/>
    <x v="107"/>
    <x v="1105"/>
    <x v="0"/>
    <s v="NEGOCIOS"/>
    <x v="1"/>
  </r>
  <r>
    <x v="55"/>
    <x v="119"/>
    <x v="0"/>
    <x v="0"/>
    <x v="0"/>
    <x v="14"/>
    <x v="21"/>
    <x v="96"/>
    <x v="1106"/>
    <x v="0"/>
    <s v="NEGOCIOS"/>
    <x v="1"/>
  </r>
  <r>
    <x v="55"/>
    <x v="120"/>
    <x v="0"/>
    <x v="0"/>
    <x v="0"/>
    <x v="14"/>
    <x v="21"/>
    <x v="212"/>
    <x v="911"/>
    <x v="0"/>
    <s v="NEGOCIOS"/>
    <x v="1"/>
  </r>
  <r>
    <x v="55"/>
    <x v="53"/>
    <x v="0"/>
    <x v="0"/>
    <x v="0"/>
    <x v="14"/>
    <x v="21"/>
    <x v="144"/>
    <x v="1107"/>
    <x v="0"/>
    <s v="NEGOCIOS"/>
    <x v="1"/>
  </r>
  <r>
    <x v="55"/>
    <x v="46"/>
    <x v="0"/>
    <x v="0"/>
    <x v="0"/>
    <x v="14"/>
    <x v="21"/>
    <x v="155"/>
    <x v="1108"/>
    <x v="0"/>
    <s v="NEGOCIOS"/>
    <x v="1"/>
  </r>
  <r>
    <x v="55"/>
    <x v="92"/>
    <x v="0"/>
    <x v="0"/>
    <x v="0"/>
    <x v="14"/>
    <x v="21"/>
    <x v="109"/>
    <x v="790"/>
    <x v="0"/>
    <s v="NEGOCIOS"/>
    <x v="1"/>
  </r>
  <r>
    <x v="55"/>
    <x v="117"/>
    <x v="0"/>
    <x v="0"/>
    <x v="0"/>
    <x v="14"/>
    <x v="21"/>
    <x v="65"/>
    <x v="1109"/>
    <x v="0"/>
    <s v="NEGOCIOS"/>
    <x v="1"/>
  </r>
  <r>
    <x v="55"/>
    <x v="142"/>
    <x v="0"/>
    <x v="0"/>
    <x v="0"/>
    <x v="14"/>
    <x v="21"/>
    <x v="119"/>
    <x v="110"/>
    <x v="0"/>
    <s v="NEGOCIOS"/>
    <x v="1"/>
  </r>
  <r>
    <x v="55"/>
    <x v="32"/>
    <x v="5"/>
    <x v="5"/>
    <x v="0"/>
    <x v="14"/>
    <x v="21"/>
    <x v="81"/>
    <x v="1110"/>
    <x v="0"/>
    <s v="NEGOCIOS"/>
    <x v="1"/>
  </r>
  <r>
    <x v="55"/>
    <x v="76"/>
    <x v="5"/>
    <x v="5"/>
    <x v="0"/>
    <x v="14"/>
    <x v="21"/>
    <x v="182"/>
    <x v="1111"/>
    <x v="0"/>
    <s v="NEGOCIOS"/>
    <x v="1"/>
  </r>
  <r>
    <x v="55"/>
    <x v="76"/>
    <x v="5"/>
    <x v="5"/>
    <x v="0"/>
    <x v="14"/>
    <x v="25"/>
    <x v="182"/>
    <x v="1112"/>
    <x v="0"/>
    <s v="NEGOCIOS"/>
    <x v="1"/>
  </r>
  <r>
    <x v="55"/>
    <x v="115"/>
    <x v="5"/>
    <x v="5"/>
    <x v="0"/>
    <x v="14"/>
    <x v="21"/>
    <x v="213"/>
    <x v="826"/>
    <x v="0"/>
    <s v="NEGOCIOS"/>
    <x v="1"/>
  </r>
  <r>
    <x v="55"/>
    <x v="97"/>
    <x v="5"/>
    <x v="5"/>
    <x v="0"/>
    <x v="14"/>
    <x v="21"/>
    <x v="183"/>
    <x v="1113"/>
    <x v="0"/>
    <s v="NEGOCIOS"/>
    <x v="1"/>
  </r>
  <r>
    <x v="55"/>
    <x v="13"/>
    <x v="5"/>
    <x v="5"/>
    <x v="0"/>
    <x v="14"/>
    <x v="21"/>
    <x v="120"/>
    <x v="1114"/>
    <x v="0"/>
    <s v="NEGOCIOS"/>
    <x v="1"/>
  </r>
  <r>
    <x v="55"/>
    <x v="77"/>
    <x v="5"/>
    <x v="5"/>
    <x v="0"/>
    <x v="14"/>
    <x v="21"/>
    <x v="156"/>
    <x v="701"/>
    <x v="0"/>
    <s v="NEGOCIOS"/>
    <x v="1"/>
  </r>
  <r>
    <x v="55"/>
    <x v="141"/>
    <x v="5"/>
    <x v="5"/>
    <x v="0"/>
    <x v="14"/>
    <x v="21"/>
    <x v="185"/>
    <x v="952"/>
    <x v="0"/>
    <s v="NEGOCIOS"/>
    <x v="1"/>
  </r>
  <r>
    <x v="55"/>
    <x v="6"/>
    <x v="5"/>
    <x v="5"/>
    <x v="0"/>
    <x v="14"/>
    <x v="21"/>
    <x v="193"/>
    <x v="1115"/>
    <x v="0"/>
    <s v="NEGOCIOS"/>
    <x v="1"/>
  </r>
  <r>
    <x v="55"/>
    <x v="150"/>
    <x v="5"/>
    <x v="5"/>
    <x v="0"/>
    <x v="14"/>
    <x v="21"/>
    <x v="214"/>
    <x v="1116"/>
    <x v="0"/>
    <s v="NEGOCIOS"/>
    <x v="1"/>
  </r>
  <r>
    <x v="55"/>
    <x v="83"/>
    <x v="1"/>
    <x v="1"/>
    <x v="0"/>
    <x v="14"/>
    <x v="21"/>
    <x v="215"/>
    <x v="1117"/>
    <x v="0"/>
    <s v="NEGOCIOS"/>
    <x v="1"/>
  </r>
  <r>
    <x v="55"/>
    <x v="40"/>
    <x v="1"/>
    <x v="1"/>
    <x v="0"/>
    <x v="14"/>
    <x v="25"/>
    <x v="125"/>
    <x v="1104"/>
    <x v="0"/>
    <s v="NEGOCIOS"/>
    <x v="1"/>
  </r>
  <r>
    <x v="55"/>
    <x v="161"/>
    <x v="1"/>
    <x v="1"/>
    <x v="0"/>
    <x v="14"/>
    <x v="21"/>
    <x v="186"/>
    <x v="1118"/>
    <x v="0"/>
    <s v="NEGOCIOS"/>
    <x v="1"/>
  </r>
  <r>
    <x v="55"/>
    <x v="95"/>
    <x v="1"/>
    <x v="1"/>
    <x v="0"/>
    <x v="14"/>
    <x v="21"/>
    <x v="97"/>
    <x v="1119"/>
    <x v="0"/>
    <s v="NEGOCIOS"/>
    <x v="1"/>
  </r>
  <r>
    <x v="55"/>
    <x v="14"/>
    <x v="1"/>
    <x v="1"/>
    <x v="0"/>
    <x v="14"/>
    <x v="25"/>
    <x v="112"/>
    <x v="1120"/>
    <x v="0"/>
    <s v="NEGOCIOS"/>
    <x v="1"/>
  </r>
  <r>
    <x v="55"/>
    <x v="127"/>
    <x v="1"/>
    <x v="1"/>
    <x v="0"/>
    <x v="14"/>
    <x v="21"/>
    <x v="85"/>
    <x v="1121"/>
    <x v="0"/>
    <s v="NEGOCIOS"/>
    <x v="1"/>
  </r>
  <r>
    <x v="55"/>
    <x v="22"/>
    <x v="1"/>
    <x v="1"/>
    <x v="0"/>
    <x v="14"/>
    <x v="21"/>
    <x v="211"/>
    <x v="835"/>
    <x v="0"/>
    <s v="NEGOCIOS"/>
    <x v="1"/>
  </r>
  <r>
    <x v="55"/>
    <x v="42"/>
    <x v="1"/>
    <x v="1"/>
    <x v="0"/>
    <x v="14"/>
    <x v="21"/>
    <x v="167"/>
    <x v="1122"/>
    <x v="0"/>
    <s v="NEGOCIOS"/>
    <x v="1"/>
  </r>
  <r>
    <x v="55"/>
    <x v="8"/>
    <x v="1"/>
    <x v="1"/>
    <x v="0"/>
    <x v="14"/>
    <x v="21"/>
    <x v="187"/>
    <x v="1123"/>
    <x v="0"/>
    <s v="NEGOCIOS"/>
    <x v="1"/>
  </r>
  <r>
    <x v="55"/>
    <x v="101"/>
    <x v="1"/>
    <x v="1"/>
    <x v="0"/>
    <x v="14"/>
    <x v="21"/>
    <x v="207"/>
    <x v="1124"/>
    <x v="0"/>
    <s v="NEGOCIOS"/>
    <x v="1"/>
  </r>
  <r>
    <x v="55"/>
    <x v="152"/>
    <x v="1"/>
    <x v="1"/>
    <x v="0"/>
    <x v="14"/>
    <x v="21"/>
    <x v="194"/>
    <x v="1125"/>
    <x v="0"/>
    <s v="NEGOCIOS"/>
    <x v="1"/>
  </r>
  <r>
    <x v="55"/>
    <x v="1"/>
    <x v="1"/>
    <x v="1"/>
    <x v="0"/>
    <x v="14"/>
    <x v="1"/>
    <x v="1"/>
    <x v="1"/>
    <x v="288"/>
    <s v="NEGOCIOS"/>
    <x v="1"/>
  </r>
  <r>
    <x v="55"/>
    <x v="158"/>
    <x v="2"/>
    <x v="2"/>
    <x v="0"/>
    <x v="15"/>
    <x v="25"/>
    <x v="168"/>
    <x v="1126"/>
    <x v="0"/>
    <s v="NEGOCIOS"/>
    <x v="1"/>
  </r>
  <r>
    <x v="55"/>
    <x v="24"/>
    <x v="2"/>
    <x v="2"/>
    <x v="0"/>
    <x v="15"/>
    <x v="21"/>
    <x v="202"/>
    <x v="1127"/>
    <x v="0"/>
    <s v="NEGOCIOS"/>
    <x v="1"/>
  </r>
  <r>
    <x v="55"/>
    <x v="35"/>
    <x v="2"/>
    <x v="2"/>
    <x v="0"/>
    <x v="15"/>
    <x v="21"/>
    <x v="170"/>
    <x v="874"/>
    <x v="0"/>
    <s v="NEGOCIOS"/>
    <x v="1"/>
  </r>
  <r>
    <x v="55"/>
    <x v="146"/>
    <x v="6"/>
    <x v="6"/>
    <x v="0"/>
    <x v="15"/>
    <x v="25"/>
    <x v="172"/>
    <x v="1126"/>
    <x v="0"/>
    <s v="NEGOCIOS"/>
    <x v="1"/>
  </r>
  <r>
    <x v="55"/>
    <x v="87"/>
    <x v="6"/>
    <x v="6"/>
    <x v="0"/>
    <x v="15"/>
    <x v="26"/>
    <x v="189"/>
    <x v="959"/>
    <x v="0"/>
    <s v="NEGOCIOS"/>
    <x v="1"/>
  </r>
  <r>
    <x v="55"/>
    <x v="149"/>
    <x v="6"/>
    <x v="6"/>
    <x v="0"/>
    <x v="15"/>
    <x v="21"/>
    <x v="148"/>
    <x v="1128"/>
    <x v="0"/>
    <s v="NEGOCIOS"/>
    <x v="1"/>
  </r>
  <r>
    <x v="55"/>
    <x v="137"/>
    <x v="6"/>
    <x v="6"/>
    <x v="0"/>
    <x v="15"/>
    <x v="21"/>
    <x v="102"/>
    <x v="1129"/>
    <x v="0"/>
    <s v="NEGOCIOS"/>
    <x v="1"/>
  </r>
  <r>
    <x v="55"/>
    <x v="26"/>
    <x v="3"/>
    <x v="3"/>
    <x v="0"/>
    <x v="15"/>
    <x v="25"/>
    <x v="115"/>
    <x v="1126"/>
    <x v="0"/>
    <s v="NEGOCIOS"/>
    <x v="1"/>
  </r>
  <r>
    <x v="55"/>
    <x v="26"/>
    <x v="3"/>
    <x v="3"/>
    <x v="0"/>
    <x v="15"/>
    <x v="26"/>
    <x v="115"/>
    <x v="1"/>
    <x v="289"/>
    <s v="NEGOCIOS"/>
    <x v="1"/>
  </r>
  <r>
    <x v="55"/>
    <x v="60"/>
    <x v="3"/>
    <x v="3"/>
    <x v="0"/>
    <x v="15"/>
    <x v="21"/>
    <x v="57"/>
    <x v="1130"/>
    <x v="0"/>
    <s v="NEGOCIOS"/>
    <x v="1"/>
  </r>
  <r>
    <x v="55"/>
    <x v="69"/>
    <x v="3"/>
    <x v="3"/>
    <x v="0"/>
    <x v="15"/>
    <x v="21"/>
    <x v="152"/>
    <x v="1131"/>
    <x v="0"/>
    <s v="NEGOCIOS"/>
    <x v="1"/>
  </r>
  <r>
    <x v="55"/>
    <x v="27"/>
    <x v="3"/>
    <x v="3"/>
    <x v="0"/>
    <x v="15"/>
    <x v="21"/>
    <x v="43"/>
    <x v="1132"/>
    <x v="0"/>
    <s v="NEGOCIOS"/>
    <x v="1"/>
  </r>
  <r>
    <x v="55"/>
    <x v="135"/>
    <x v="3"/>
    <x v="3"/>
    <x v="0"/>
    <x v="15"/>
    <x v="25"/>
    <x v="149"/>
    <x v="1133"/>
    <x v="0"/>
    <s v="NEGOCIOS"/>
    <x v="1"/>
  </r>
  <r>
    <x v="55"/>
    <x v="140"/>
    <x v="4"/>
    <x v="4"/>
    <x v="0"/>
    <x v="15"/>
    <x v="25"/>
    <x v="117"/>
    <x v="1126"/>
    <x v="0"/>
    <s v="NEGOCIOS"/>
    <x v="1"/>
  </r>
  <r>
    <x v="55"/>
    <x v="159"/>
    <x v="0"/>
    <x v="0"/>
    <x v="0"/>
    <x v="15"/>
    <x v="25"/>
    <x v="177"/>
    <x v="1126"/>
    <x v="0"/>
    <s v="NEGOCIOS"/>
    <x v="1"/>
  </r>
  <r>
    <x v="55"/>
    <x v="116"/>
    <x v="0"/>
    <x v="0"/>
    <x v="0"/>
    <x v="15"/>
    <x v="21"/>
    <x v="64"/>
    <x v="1134"/>
    <x v="0"/>
    <s v="NEGOCIOS"/>
    <x v="1"/>
  </r>
  <r>
    <x v="55"/>
    <x v="76"/>
    <x v="5"/>
    <x v="5"/>
    <x v="0"/>
    <x v="15"/>
    <x v="25"/>
    <x v="182"/>
    <x v="1126"/>
    <x v="0"/>
    <s v="NEGOCIOS"/>
    <x v="1"/>
  </r>
  <r>
    <x v="55"/>
    <x v="115"/>
    <x v="5"/>
    <x v="5"/>
    <x v="0"/>
    <x v="15"/>
    <x v="26"/>
    <x v="213"/>
    <x v="1"/>
    <x v="289"/>
    <s v="NEGOCIOS"/>
    <x v="1"/>
  </r>
  <r>
    <x v="55"/>
    <x v="13"/>
    <x v="5"/>
    <x v="5"/>
    <x v="0"/>
    <x v="15"/>
    <x v="25"/>
    <x v="120"/>
    <x v="1135"/>
    <x v="0"/>
    <s v="NEGOCIOS"/>
    <x v="1"/>
  </r>
  <r>
    <x v="55"/>
    <x v="72"/>
    <x v="5"/>
    <x v="5"/>
    <x v="0"/>
    <x v="15"/>
    <x v="21"/>
    <x v="38"/>
    <x v="1136"/>
    <x v="0"/>
    <s v="NEGOCIOS"/>
    <x v="1"/>
  </r>
  <r>
    <x v="55"/>
    <x v="40"/>
    <x v="1"/>
    <x v="1"/>
    <x v="0"/>
    <x v="15"/>
    <x v="25"/>
    <x v="125"/>
    <x v="925"/>
    <x v="0"/>
    <s v="NEGOCIOS"/>
    <x v="1"/>
  </r>
  <r>
    <x v="55"/>
    <x v="1"/>
    <x v="1"/>
    <x v="1"/>
    <x v="0"/>
    <x v="15"/>
    <x v="1"/>
    <x v="1"/>
    <x v="1"/>
    <x v="290"/>
    <s v="NEGOCIOS"/>
    <x v="1"/>
  </r>
  <r>
    <x v="55"/>
    <x v="77"/>
    <x v="5"/>
    <x v="5"/>
    <x v="0"/>
    <x v="27"/>
    <x v="25"/>
    <x v="156"/>
    <x v="1137"/>
    <x v="0"/>
    <s v="NEGOCIOS"/>
    <x v="1"/>
  </r>
  <r>
    <x v="55"/>
    <x v="77"/>
    <x v="5"/>
    <x v="5"/>
    <x v="0"/>
    <x v="27"/>
    <x v="21"/>
    <x v="156"/>
    <x v="1138"/>
    <x v="0"/>
    <s v="NEGOCIOS"/>
    <x v="1"/>
  </r>
  <r>
    <x v="55"/>
    <x v="40"/>
    <x v="1"/>
    <x v="1"/>
    <x v="0"/>
    <x v="27"/>
    <x v="21"/>
    <x v="125"/>
    <x v="798"/>
    <x v="0"/>
    <s v="NEGOCIOS"/>
    <x v="1"/>
  </r>
  <r>
    <x v="55"/>
    <x v="1"/>
    <x v="1"/>
    <x v="1"/>
    <x v="0"/>
    <x v="27"/>
    <x v="1"/>
    <x v="1"/>
    <x v="1"/>
    <x v="291"/>
    <s v="NEGOCIOS"/>
    <x v="1"/>
  </r>
  <r>
    <x v="55"/>
    <x v="24"/>
    <x v="2"/>
    <x v="2"/>
    <x v="0"/>
    <x v="28"/>
    <x v="21"/>
    <x v="202"/>
    <x v="1139"/>
    <x v="0"/>
    <s v="NEGOCIOS"/>
    <x v="1"/>
  </r>
  <r>
    <x v="55"/>
    <x v="15"/>
    <x v="6"/>
    <x v="6"/>
    <x v="0"/>
    <x v="28"/>
    <x v="21"/>
    <x v="216"/>
    <x v="120"/>
    <x v="0"/>
    <s v="NEGOCIOS"/>
    <x v="1"/>
  </r>
  <r>
    <x v="55"/>
    <x v="10"/>
    <x v="3"/>
    <x v="3"/>
    <x v="0"/>
    <x v="28"/>
    <x v="21"/>
    <x v="123"/>
    <x v="1140"/>
    <x v="0"/>
    <s v="NEGOCIOS"/>
    <x v="1"/>
  </r>
  <r>
    <x v="55"/>
    <x v="44"/>
    <x v="3"/>
    <x v="3"/>
    <x v="0"/>
    <x v="28"/>
    <x v="21"/>
    <x v="191"/>
    <x v="240"/>
    <x v="0"/>
    <s v="NEGOCIOS"/>
    <x v="1"/>
  </r>
  <r>
    <x v="55"/>
    <x v="51"/>
    <x v="4"/>
    <x v="4"/>
    <x v="0"/>
    <x v="28"/>
    <x v="21"/>
    <x v="34"/>
    <x v="1141"/>
    <x v="0"/>
    <s v="NEGOCIOS"/>
    <x v="1"/>
  </r>
  <r>
    <x v="55"/>
    <x v="39"/>
    <x v="4"/>
    <x v="4"/>
    <x v="0"/>
    <x v="28"/>
    <x v="26"/>
    <x v="210"/>
    <x v="1142"/>
    <x v="0"/>
    <s v="NEGOCIOS"/>
    <x v="1"/>
  </r>
  <r>
    <x v="55"/>
    <x v="90"/>
    <x v="0"/>
    <x v="0"/>
    <x v="0"/>
    <x v="28"/>
    <x v="21"/>
    <x v="79"/>
    <x v="1143"/>
    <x v="0"/>
    <s v="NEGOCIOS"/>
    <x v="1"/>
  </r>
  <r>
    <x v="55"/>
    <x v="52"/>
    <x v="0"/>
    <x v="0"/>
    <x v="0"/>
    <x v="28"/>
    <x v="21"/>
    <x v="107"/>
    <x v="1144"/>
    <x v="0"/>
    <s v="NEGOCIOS"/>
    <x v="1"/>
  </r>
  <r>
    <x v="55"/>
    <x v="121"/>
    <x v="0"/>
    <x v="0"/>
    <x v="0"/>
    <x v="28"/>
    <x v="21"/>
    <x v="80"/>
    <x v="240"/>
    <x v="0"/>
    <s v="NEGOCIOS"/>
    <x v="1"/>
  </r>
  <r>
    <x v="55"/>
    <x v="45"/>
    <x v="0"/>
    <x v="0"/>
    <x v="0"/>
    <x v="28"/>
    <x v="21"/>
    <x v="180"/>
    <x v="1145"/>
    <x v="0"/>
    <s v="NEGOCIOS"/>
    <x v="1"/>
  </r>
  <r>
    <x v="55"/>
    <x v="166"/>
    <x v="0"/>
    <x v="0"/>
    <x v="0"/>
    <x v="28"/>
    <x v="21"/>
    <x v="217"/>
    <x v="909"/>
    <x v="0"/>
    <s v="NEGOCIOS"/>
    <x v="1"/>
  </r>
  <r>
    <x v="55"/>
    <x v="77"/>
    <x v="5"/>
    <x v="5"/>
    <x v="0"/>
    <x v="28"/>
    <x v="21"/>
    <x v="156"/>
    <x v="1146"/>
    <x v="0"/>
    <s v="NEGOCIOS"/>
    <x v="1"/>
  </r>
  <r>
    <x v="55"/>
    <x v="101"/>
    <x v="1"/>
    <x v="1"/>
    <x v="0"/>
    <x v="28"/>
    <x v="26"/>
    <x v="207"/>
    <x v="1147"/>
    <x v="0"/>
    <s v="NEGOCIOS"/>
    <x v="1"/>
  </r>
  <r>
    <x v="55"/>
    <x v="1"/>
    <x v="1"/>
    <x v="1"/>
    <x v="0"/>
    <x v="28"/>
    <x v="1"/>
    <x v="1"/>
    <x v="1"/>
    <x v="292"/>
    <s v="NEGOCIOS"/>
    <x v="1"/>
  </r>
  <r>
    <x v="55"/>
    <x v="157"/>
    <x v="2"/>
    <x v="2"/>
    <x v="0"/>
    <x v="29"/>
    <x v="26"/>
    <x v="147"/>
    <x v="1148"/>
    <x v="0"/>
    <s v="NEGOCIOS"/>
    <x v="1"/>
  </r>
  <r>
    <x v="55"/>
    <x v="112"/>
    <x v="2"/>
    <x v="2"/>
    <x v="0"/>
    <x v="29"/>
    <x v="21"/>
    <x v="209"/>
    <x v="1149"/>
    <x v="0"/>
    <s v="NEGOCIOS"/>
    <x v="1"/>
  </r>
  <r>
    <x v="55"/>
    <x v="84"/>
    <x v="2"/>
    <x v="2"/>
    <x v="0"/>
    <x v="29"/>
    <x v="21"/>
    <x v="203"/>
    <x v="1119"/>
    <x v="0"/>
    <s v="NEGOCIOS"/>
    <x v="1"/>
  </r>
  <r>
    <x v="55"/>
    <x v="110"/>
    <x v="2"/>
    <x v="2"/>
    <x v="0"/>
    <x v="29"/>
    <x v="21"/>
    <x v="171"/>
    <x v="1067"/>
    <x v="0"/>
    <s v="NEGOCIOS"/>
    <x v="1"/>
  </r>
  <r>
    <x v="55"/>
    <x v="129"/>
    <x v="2"/>
    <x v="2"/>
    <x v="0"/>
    <x v="29"/>
    <x v="21"/>
    <x v="204"/>
    <x v="1150"/>
    <x v="0"/>
    <s v="NEGOCIOS"/>
    <x v="1"/>
  </r>
  <r>
    <x v="55"/>
    <x v="146"/>
    <x v="6"/>
    <x v="6"/>
    <x v="0"/>
    <x v="29"/>
    <x v="21"/>
    <x v="172"/>
    <x v="1150"/>
    <x v="0"/>
    <s v="NEGOCIOS"/>
    <x v="1"/>
  </r>
  <r>
    <x v="55"/>
    <x v="167"/>
    <x v="6"/>
    <x v="6"/>
    <x v="0"/>
    <x v="29"/>
    <x v="25"/>
    <x v="218"/>
    <x v="1151"/>
    <x v="0"/>
    <s v="NEGOCIOS"/>
    <x v="1"/>
  </r>
  <r>
    <x v="55"/>
    <x v="36"/>
    <x v="6"/>
    <x v="6"/>
    <x v="0"/>
    <x v="29"/>
    <x v="21"/>
    <x v="94"/>
    <x v="1152"/>
    <x v="0"/>
    <s v="NEGOCIOS"/>
    <x v="1"/>
  </r>
  <r>
    <x v="55"/>
    <x v="87"/>
    <x v="6"/>
    <x v="6"/>
    <x v="0"/>
    <x v="29"/>
    <x v="21"/>
    <x v="189"/>
    <x v="1153"/>
    <x v="0"/>
    <s v="NEGOCIOS"/>
    <x v="1"/>
  </r>
  <r>
    <x v="55"/>
    <x v="71"/>
    <x v="6"/>
    <x v="6"/>
    <x v="0"/>
    <x v="29"/>
    <x v="21"/>
    <x v="37"/>
    <x v="1154"/>
    <x v="0"/>
    <s v="NEGOCIOS"/>
    <x v="1"/>
  </r>
  <r>
    <x v="55"/>
    <x v="149"/>
    <x v="6"/>
    <x v="6"/>
    <x v="0"/>
    <x v="29"/>
    <x v="26"/>
    <x v="148"/>
    <x v="1155"/>
    <x v="0"/>
    <s v="NEGOCIOS"/>
    <x v="1"/>
  </r>
  <r>
    <x v="55"/>
    <x v="164"/>
    <x v="6"/>
    <x v="6"/>
    <x v="0"/>
    <x v="29"/>
    <x v="21"/>
    <x v="200"/>
    <x v="1156"/>
    <x v="0"/>
    <s v="NEGOCIOS"/>
    <x v="1"/>
  </r>
  <r>
    <x v="55"/>
    <x v="21"/>
    <x v="6"/>
    <x v="6"/>
    <x v="0"/>
    <x v="29"/>
    <x v="21"/>
    <x v="70"/>
    <x v="1157"/>
    <x v="0"/>
    <s v="NEGOCIOS"/>
    <x v="1"/>
  </r>
  <r>
    <x v="55"/>
    <x v="26"/>
    <x v="3"/>
    <x v="3"/>
    <x v="0"/>
    <x v="29"/>
    <x v="21"/>
    <x v="115"/>
    <x v="816"/>
    <x v="0"/>
    <s v="NEGOCIOS"/>
    <x v="1"/>
  </r>
  <r>
    <x v="55"/>
    <x v="60"/>
    <x v="3"/>
    <x v="3"/>
    <x v="0"/>
    <x v="29"/>
    <x v="21"/>
    <x v="57"/>
    <x v="1158"/>
    <x v="0"/>
    <s v="NEGOCIOS"/>
    <x v="1"/>
  </r>
  <r>
    <x v="55"/>
    <x v="108"/>
    <x v="3"/>
    <x v="3"/>
    <x v="0"/>
    <x v="29"/>
    <x v="25"/>
    <x v="63"/>
    <x v="1159"/>
    <x v="0"/>
    <s v="NEGOCIOS"/>
    <x v="1"/>
  </r>
  <r>
    <x v="55"/>
    <x v="27"/>
    <x v="3"/>
    <x v="3"/>
    <x v="0"/>
    <x v="29"/>
    <x v="21"/>
    <x v="43"/>
    <x v="1160"/>
    <x v="0"/>
    <s v="NEGOCIOS"/>
    <x v="1"/>
  </r>
  <r>
    <x v="55"/>
    <x v="135"/>
    <x v="3"/>
    <x v="3"/>
    <x v="0"/>
    <x v="29"/>
    <x v="26"/>
    <x v="149"/>
    <x v="1161"/>
    <x v="0"/>
    <s v="NEGOCIOS"/>
    <x v="1"/>
  </r>
  <r>
    <x v="55"/>
    <x v="18"/>
    <x v="3"/>
    <x v="3"/>
    <x v="0"/>
    <x v="29"/>
    <x v="21"/>
    <x v="219"/>
    <x v="1162"/>
    <x v="0"/>
    <s v="NEGOCIOS"/>
    <x v="1"/>
  </r>
  <r>
    <x v="55"/>
    <x v="148"/>
    <x v="3"/>
    <x v="3"/>
    <x v="0"/>
    <x v="29"/>
    <x v="25"/>
    <x v="174"/>
    <x v="956"/>
    <x v="0"/>
    <s v="NEGOCIOS"/>
    <x v="1"/>
  </r>
  <r>
    <x v="55"/>
    <x v="80"/>
    <x v="4"/>
    <x v="4"/>
    <x v="0"/>
    <x v="29"/>
    <x v="25"/>
    <x v="90"/>
    <x v="1163"/>
    <x v="0"/>
    <s v="NEGOCIOS"/>
    <x v="1"/>
  </r>
  <r>
    <x v="55"/>
    <x v="154"/>
    <x v="4"/>
    <x v="4"/>
    <x v="0"/>
    <x v="29"/>
    <x v="26"/>
    <x v="143"/>
    <x v="1164"/>
    <x v="0"/>
    <s v="NEGOCIOS"/>
    <x v="1"/>
  </r>
  <r>
    <x v="55"/>
    <x v="62"/>
    <x v="4"/>
    <x v="4"/>
    <x v="0"/>
    <x v="29"/>
    <x v="21"/>
    <x v="176"/>
    <x v="911"/>
    <x v="0"/>
    <s v="NEGOCIOS"/>
    <x v="1"/>
  </r>
  <r>
    <x v="55"/>
    <x v="0"/>
    <x v="0"/>
    <x v="0"/>
    <x v="0"/>
    <x v="29"/>
    <x v="21"/>
    <x v="197"/>
    <x v="1165"/>
    <x v="0"/>
    <s v="NEGOCIOS"/>
    <x v="1"/>
  </r>
  <r>
    <x v="55"/>
    <x v="53"/>
    <x v="0"/>
    <x v="0"/>
    <x v="0"/>
    <x v="29"/>
    <x v="26"/>
    <x v="144"/>
    <x v="1166"/>
    <x v="0"/>
    <s v="NEGOCIOS"/>
    <x v="1"/>
  </r>
  <r>
    <x v="55"/>
    <x v="32"/>
    <x v="5"/>
    <x v="5"/>
    <x v="0"/>
    <x v="29"/>
    <x v="21"/>
    <x v="81"/>
    <x v="911"/>
    <x v="0"/>
    <s v="NEGOCIOS"/>
    <x v="1"/>
  </r>
  <r>
    <x v="55"/>
    <x v="72"/>
    <x v="5"/>
    <x v="5"/>
    <x v="0"/>
    <x v="29"/>
    <x v="21"/>
    <x v="38"/>
    <x v="1167"/>
    <x v="0"/>
    <s v="NEGOCIOS"/>
    <x v="1"/>
  </r>
  <r>
    <x v="55"/>
    <x v="63"/>
    <x v="5"/>
    <x v="5"/>
    <x v="0"/>
    <x v="29"/>
    <x v="26"/>
    <x v="111"/>
    <x v="1168"/>
    <x v="0"/>
    <s v="NEGOCIOS"/>
    <x v="1"/>
  </r>
  <r>
    <x v="55"/>
    <x v="153"/>
    <x v="5"/>
    <x v="5"/>
    <x v="0"/>
    <x v="29"/>
    <x v="21"/>
    <x v="157"/>
    <x v="1169"/>
    <x v="0"/>
    <s v="NEGOCIOS"/>
    <x v="1"/>
  </r>
  <r>
    <x v="55"/>
    <x v="20"/>
    <x v="5"/>
    <x v="5"/>
    <x v="0"/>
    <x v="29"/>
    <x v="21"/>
    <x v="45"/>
    <x v="1170"/>
    <x v="0"/>
    <s v="NEGOCIOS"/>
    <x v="1"/>
  </r>
  <r>
    <x v="55"/>
    <x v="155"/>
    <x v="1"/>
    <x v="1"/>
    <x v="0"/>
    <x v="29"/>
    <x v="26"/>
    <x v="145"/>
    <x v="1171"/>
    <x v="0"/>
    <s v="NEGOCIOS"/>
    <x v="1"/>
  </r>
  <r>
    <x v="55"/>
    <x v="101"/>
    <x v="1"/>
    <x v="1"/>
    <x v="0"/>
    <x v="29"/>
    <x v="21"/>
    <x v="207"/>
    <x v="1172"/>
    <x v="0"/>
    <s v="NEGOCIOS"/>
    <x v="1"/>
  </r>
  <r>
    <x v="55"/>
    <x v="98"/>
    <x v="1"/>
    <x v="1"/>
    <x v="0"/>
    <x v="29"/>
    <x v="26"/>
    <x v="198"/>
    <x v="1"/>
    <x v="293"/>
    <s v="NEGOCIOS"/>
    <x v="1"/>
  </r>
  <r>
    <x v="55"/>
    <x v="1"/>
    <x v="1"/>
    <x v="1"/>
    <x v="0"/>
    <x v="29"/>
    <x v="1"/>
    <x v="1"/>
    <x v="1"/>
    <x v="294"/>
    <s v="NEGOCIOS"/>
    <x v="1"/>
  </r>
  <r>
    <x v="55"/>
    <x v="35"/>
    <x v="2"/>
    <x v="2"/>
    <x v="0"/>
    <x v="30"/>
    <x v="21"/>
    <x v="170"/>
    <x v="1173"/>
    <x v="0"/>
    <s v="NEGOCIOS"/>
    <x v="1"/>
  </r>
  <r>
    <x v="55"/>
    <x v="110"/>
    <x v="2"/>
    <x v="2"/>
    <x v="0"/>
    <x v="30"/>
    <x v="25"/>
    <x v="171"/>
    <x v="1174"/>
    <x v="0"/>
    <s v="NEGOCIOS"/>
    <x v="1"/>
  </r>
  <r>
    <x v="55"/>
    <x v="167"/>
    <x v="6"/>
    <x v="6"/>
    <x v="0"/>
    <x v="30"/>
    <x v="25"/>
    <x v="218"/>
    <x v="1175"/>
    <x v="0"/>
    <s v="NEGOCIOS"/>
    <x v="1"/>
  </r>
  <r>
    <x v="55"/>
    <x v="87"/>
    <x v="6"/>
    <x v="6"/>
    <x v="0"/>
    <x v="30"/>
    <x v="21"/>
    <x v="189"/>
    <x v="1176"/>
    <x v="0"/>
    <s v="NEGOCIOS"/>
    <x v="1"/>
  </r>
  <r>
    <x v="55"/>
    <x v="164"/>
    <x v="6"/>
    <x v="6"/>
    <x v="0"/>
    <x v="30"/>
    <x v="25"/>
    <x v="200"/>
    <x v="1177"/>
    <x v="0"/>
    <s v="NEGOCIOS"/>
    <x v="1"/>
  </r>
  <r>
    <x v="55"/>
    <x v="164"/>
    <x v="6"/>
    <x v="6"/>
    <x v="0"/>
    <x v="30"/>
    <x v="21"/>
    <x v="200"/>
    <x v="1178"/>
    <x v="0"/>
    <s v="NEGOCIOS"/>
    <x v="1"/>
  </r>
  <r>
    <x v="55"/>
    <x v="11"/>
    <x v="6"/>
    <x v="6"/>
    <x v="0"/>
    <x v="30"/>
    <x v="21"/>
    <x v="91"/>
    <x v="1179"/>
    <x v="0"/>
    <s v="NEGOCIOS"/>
    <x v="1"/>
  </r>
  <r>
    <x v="55"/>
    <x v="96"/>
    <x v="6"/>
    <x v="6"/>
    <x v="0"/>
    <x v="30"/>
    <x v="21"/>
    <x v="165"/>
    <x v="1180"/>
    <x v="0"/>
    <s v="NEGOCIOS"/>
    <x v="1"/>
  </r>
  <r>
    <x v="55"/>
    <x v="108"/>
    <x v="3"/>
    <x v="3"/>
    <x v="0"/>
    <x v="30"/>
    <x v="25"/>
    <x v="63"/>
    <x v="1181"/>
    <x v="0"/>
    <s v="NEGOCIOS"/>
    <x v="1"/>
  </r>
  <r>
    <x v="55"/>
    <x v="75"/>
    <x v="3"/>
    <x v="3"/>
    <x v="0"/>
    <x v="30"/>
    <x v="21"/>
    <x v="220"/>
    <x v="1182"/>
    <x v="0"/>
    <s v="NEGOCIOS"/>
    <x v="1"/>
  </r>
  <r>
    <x v="55"/>
    <x v="148"/>
    <x v="3"/>
    <x v="3"/>
    <x v="0"/>
    <x v="30"/>
    <x v="25"/>
    <x v="174"/>
    <x v="956"/>
    <x v="0"/>
    <s v="NEGOCIOS"/>
    <x v="1"/>
  </r>
  <r>
    <x v="55"/>
    <x v="81"/>
    <x v="4"/>
    <x v="4"/>
    <x v="0"/>
    <x v="30"/>
    <x v="21"/>
    <x v="175"/>
    <x v="1183"/>
    <x v="0"/>
    <s v="NEGOCIOS"/>
    <x v="1"/>
  </r>
  <r>
    <x v="55"/>
    <x v="132"/>
    <x v="4"/>
    <x v="4"/>
    <x v="0"/>
    <x v="30"/>
    <x v="25"/>
    <x v="95"/>
    <x v="956"/>
    <x v="0"/>
    <s v="NEGOCIOS"/>
    <x v="1"/>
  </r>
  <r>
    <x v="55"/>
    <x v="50"/>
    <x v="4"/>
    <x v="4"/>
    <x v="0"/>
    <x v="30"/>
    <x v="25"/>
    <x v="77"/>
    <x v="1184"/>
    <x v="0"/>
    <s v="NEGOCIOS"/>
    <x v="1"/>
  </r>
  <r>
    <x v="55"/>
    <x v="89"/>
    <x v="4"/>
    <x v="4"/>
    <x v="0"/>
    <x v="30"/>
    <x v="21"/>
    <x v="154"/>
    <x v="1185"/>
    <x v="0"/>
    <s v="NEGOCIOS"/>
    <x v="1"/>
  </r>
  <r>
    <x v="55"/>
    <x v="30"/>
    <x v="4"/>
    <x v="4"/>
    <x v="0"/>
    <x v="30"/>
    <x v="21"/>
    <x v="159"/>
    <x v="1186"/>
    <x v="0"/>
    <s v="NEGOCIOS"/>
    <x v="1"/>
  </r>
  <r>
    <x v="55"/>
    <x v="159"/>
    <x v="0"/>
    <x v="0"/>
    <x v="0"/>
    <x v="30"/>
    <x v="25"/>
    <x v="177"/>
    <x v="1187"/>
    <x v="0"/>
    <s v="NEGOCIOS"/>
    <x v="1"/>
  </r>
  <r>
    <x v="55"/>
    <x v="57"/>
    <x v="0"/>
    <x v="0"/>
    <x v="0"/>
    <x v="30"/>
    <x v="25"/>
    <x v="44"/>
    <x v="1188"/>
    <x v="0"/>
    <s v="NEGOCIOS"/>
    <x v="1"/>
  </r>
  <r>
    <x v="55"/>
    <x v="57"/>
    <x v="0"/>
    <x v="0"/>
    <x v="0"/>
    <x v="30"/>
    <x v="21"/>
    <x v="44"/>
    <x v="1182"/>
    <x v="0"/>
    <s v="NEGOCIOS"/>
    <x v="1"/>
  </r>
  <r>
    <x v="55"/>
    <x v="100"/>
    <x v="0"/>
    <x v="0"/>
    <x v="0"/>
    <x v="30"/>
    <x v="21"/>
    <x v="73"/>
    <x v="1189"/>
    <x v="0"/>
    <s v="NEGOCIOS"/>
    <x v="1"/>
  </r>
  <r>
    <x v="55"/>
    <x v="136"/>
    <x v="0"/>
    <x v="0"/>
    <x v="0"/>
    <x v="30"/>
    <x v="21"/>
    <x v="100"/>
    <x v="1190"/>
    <x v="0"/>
    <s v="NEGOCIOS"/>
    <x v="1"/>
  </r>
  <r>
    <x v="55"/>
    <x v="32"/>
    <x v="5"/>
    <x v="5"/>
    <x v="0"/>
    <x v="30"/>
    <x v="21"/>
    <x v="81"/>
    <x v="1191"/>
    <x v="0"/>
    <s v="NEGOCIOS"/>
    <x v="1"/>
  </r>
  <r>
    <x v="55"/>
    <x v="76"/>
    <x v="5"/>
    <x v="5"/>
    <x v="0"/>
    <x v="30"/>
    <x v="25"/>
    <x v="182"/>
    <x v="1192"/>
    <x v="0"/>
    <s v="NEGOCIOS"/>
    <x v="1"/>
  </r>
  <r>
    <x v="55"/>
    <x v="72"/>
    <x v="5"/>
    <x v="5"/>
    <x v="0"/>
    <x v="30"/>
    <x v="21"/>
    <x v="38"/>
    <x v="1193"/>
    <x v="0"/>
    <s v="NEGOCIOS"/>
    <x v="1"/>
  </r>
  <r>
    <x v="55"/>
    <x v="34"/>
    <x v="5"/>
    <x v="5"/>
    <x v="0"/>
    <x v="30"/>
    <x v="25"/>
    <x v="184"/>
    <x v="960"/>
    <x v="0"/>
    <s v="NEGOCIOS"/>
    <x v="1"/>
  </r>
  <r>
    <x v="55"/>
    <x v="77"/>
    <x v="5"/>
    <x v="5"/>
    <x v="0"/>
    <x v="30"/>
    <x v="25"/>
    <x v="156"/>
    <x v="844"/>
    <x v="0"/>
    <s v="NEGOCIOS"/>
    <x v="1"/>
  </r>
  <r>
    <x v="55"/>
    <x v="77"/>
    <x v="5"/>
    <x v="5"/>
    <x v="0"/>
    <x v="30"/>
    <x v="21"/>
    <x v="156"/>
    <x v="1194"/>
    <x v="0"/>
    <s v="NEGOCIOS"/>
    <x v="1"/>
  </r>
  <r>
    <x v="55"/>
    <x v="40"/>
    <x v="1"/>
    <x v="1"/>
    <x v="0"/>
    <x v="30"/>
    <x v="21"/>
    <x v="125"/>
    <x v="907"/>
    <x v="0"/>
    <s v="NEGOCIOS"/>
    <x v="1"/>
  </r>
  <r>
    <x v="55"/>
    <x v="155"/>
    <x v="1"/>
    <x v="1"/>
    <x v="0"/>
    <x v="30"/>
    <x v="21"/>
    <x v="145"/>
    <x v="1195"/>
    <x v="0"/>
    <s v="NEGOCIOS"/>
    <x v="1"/>
  </r>
  <r>
    <x v="55"/>
    <x v="14"/>
    <x v="1"/>
    <x v="1"/>
    <x v="0"/>
    <x v="30"/>
    <x v="25"/>
    <x v="112"/>
    <x v="1196"/>
    <x v="0"/>
    <s v="NEGOCIOS"/>
    <x v="1"/>
  </r>
  <r>
    <x v="55"/>
    <x v="41"/>
    <x v="1"/>
    <x v="1"/>
    <x v="0"/>
    <x v="30"/>
    <x v="21"/>
    <x v="113"/>
    <x v="1197"/>
    <x v="0"/>
    <s v="NEGOCIOS"/>
    <x v="1"/>
  </r>
  <r>
    <x v="55"/>
    <x v="73"/>
    <x v="1"/>
    <x v="1"/>
    <x v="0"/>
    <x v="30"/>
    <x v="21"/>
    <x v="39"/>
    <x v="899"/>
    <x v="0"/>
    <s v="NEGOCIOS"/>
    <x v="1"/>
  </r>
  <r>
    <x v="55"/>
    <x v="1"/>
    <x v="1"/>
    <x v="1"/>
    <x v="0"/>
    <x v="30"/>
    <x v="1"/>
    <x v="1"/>
    <x v="1"/>
    <x v="295"/>
    <s v="NEGOCIOS"/>
    <x v="1"/>
  </r>
  <r>
    <x v="55"/>
    <x v="85"/>
    <x v="2"/>
    <x v="2"/>
    <x v="0"/>
    <x v="17"/>
    <x v="21"/>
    <x v="161"/>
    <x v="110"/>
    <x v="0"/>
    <s v="NEGOCIOS"/>
    <x v="1"/>
  </r>
  <r>
    <x v="55"/>
    <x v="24"/>
    <x v="2"/>
    <x v="2"/>
    <x v="0"/>
    <x v="17"/>
    <x v="21"/>
    <x v="202"/>
    <x v="1198"/>
    <x v="0"/>
    <s v="NEGOCIOS"/>
    <x v="1"/>
  </r>
  <r>
    <x v="55"/>
    <x v="144"/>
    <x v="2"/>
    <x v="2"/>
    <x v="0"/>
    <x v="17"/>
    <x v="26"/>
    <x v="162"/>
    <x v="1199"/>
    <x v="0"/>
    <s v="NEGOCIOS"/>
    <x v="1"/>
  </r>
  <r>
    <x v="55"/>
    <x v="71"/>
    <x v="6"/>
    <x v="6"/>
    <x v="0"/>
    <x v="17"/>
    <x v="21"/>
    <x v="37"/>
    <x v="1200"/>
    <x v="0"/>
    <s v="NEGOCIOS"/>
    <x v="1"/>
  </r>
  <r>
    <x v="55"/>
    <x v="71"/>
    <x v="6"/>
    <x v="6"/>
    <x v="0"/>
    <x v="17"/>
    <x v="26"/>
    <x v="37"/>
    <x v="1201"/>
    <x v="0"/>
    <s v="NEGOCIOS"/>
    <x v="1"/>
  </r>
  <r>
    <x v="55"/>
    <x v="137"/>
    <x v="6"/>
    <x v="6"/>
    <x v="0"/>
    <x v="17"/>
    <x v="21"/>
    <x v="102"/>
    <x v="1202"/>
    <x v="0"/>
    <s v="NEGOCIOS"/>
    <x v="1"/>
  </r>
  <r>
    <x v="55"/>
    <x v="23"/>
    <x v="3"/>
    <x v="3"/>
    <x v="0"/>
    <x v="17"/>
    <x v="26"/>
    <x v="221"/>
    <x v="911"/>
    <x v="0"/>
    <s v="NEGOCIOS"/>
    <x v="1"/>
  </r>
  <r>
    <x v="55"/>
    <x v="60"/>
    <x v="3"/>
    <x v="3"/>
    <x v="0"/>
    <x v="17"/>
    <x v="21"/>
    <x v="57"/>
    <x v="1202"/>
    <x v="0"/>
    <s v="NEGOCIOS"/>
    <x v="1"/>
  </r>
  <r>
    <x v="55"/>
    <x v="148"/>
    <x v="3"/>
    <x v="3"/>
    <x v="0"/>
    <x v="17"/>
    <x v="25"/>
    <x v="174"/>
    <x v="907"/>
    <x v="0"/>
    <s v="NEGOCIOS"/>
    <x v="1"/>
  </r>
  <r>
    <x v="55"/>
    <x v="148"/>
    <x v="3"/>
    <x v="3"/>
    <x v="0"/>
    <x v="17"/>
    <x v="21"/>
    <x v="174"/>
    <x v="670"/>
    <x v="0"/>
    <s v="NEGOCIOS"/>
    <x v="1"/>
  </r>
  <r>
    <x v="55"/>
    <x v="79"/>
    <x v="3"/>
    <x v="3"/>
    <x v="0"/>
    <x v="17"/>
    <x v="21"/>
    <x v="142"/>
    <x v="1203"/>
    <x v="0"/>
    <s v="NEGOCIOS"/>
    <x v="1"/>
  </r>
  <r>
    <x v="55"/>
    <x v="68"/>
    <x v="4"/>
    <x v="4"/>
    <x v="0"/>
    <x v="17"/>
    <x v="26"/>
    <x v="222"/>
    <x v="1204"/>
    <x v="0"/>
    <s v="NEGOCIOS"/>
    <x v="1"/>
  </r>
  <r>
    <x v="55"/>
    <x v="81"/>
    <x v="4"/>
    <x v="4"/>
    <x v="0"/>
    <x v="17"/>
    <x v="21"/>
    <x v="175"/>
    <x v="911"/>
    <x v="0"/>
    <s v="NEGOCIOS"/>
    <x v="1"/>
  </r>
  <r>
    <x v="55"/>
    <x v="162"/>
    <x v="4"/>
    <x v="4"/>
    <x v="0"/>
    <x v="17"/>
    <x v="21"/>
    <x v="192"/>
    <x v="1205"/>
    <x v="0"/>
    <s v="NEGOCIOS"/>
    <x v="1"/>
  </r>
  <r>
    <x v="55"/>
    <x v="50"/>
    <x v="4"/>
    <x v="4"/>
    <x v="0"/>
    <x v="17"/>
    <x v="26"/>
    <x v="77"/>
    <x v="1206"/>
    <x v="0"/>
    <s v="NEGOCIOS"/>
    <x v="1"/>
  </r>
  <r>
    <x v="55"/>
    <x v="89"/>
    <x v="4"/>
    <x v="4"/>
    <x v="0"/>
    <x v="17"/>
    <x v="26"/>
    <x v="154"/>
    <x v="899"/>
    <x v="0"/>
    <s v="NEGOCIOS"/>
    <x v="1"/>
  </r>
  <r>
    <x v="55"/>
    <x v="90"/>
    <x v="0"/>
    <x v="0"/>
    <x v="0"/>
    <x v="17"/>
    <x v="21"/>
    <x v="79"/>
    <x v="1207"/>
    <x v="0"/>
    <s v="NEGOCIOS"/>
    <x v="1"/>
  </r>
  <r>
    <x v="55"/>
    <x v="159"/>
    <x v="0"/>
    <x v="0"/>
    <x v="0"/>
    <x v="17"/>
    <x v="21"/>
    <x v="177"/>
    <x v="881"/>
    <x v="0"/>
    <s v="NEGOCIOS"/>
    <x v="1"/>
  </r>
  <r>
    <x v="55"/>
    <x v="159"/>
    <x v="0"/>
    <x v="0"/>
    <x v="0"/>
    <x v="17"/>
    <x v="26"/>
    <x v="177"/>
    <x v="1208"/>
    <x v="0"/>
    <s v="NEGOCIOS"/>
    <x v="1"/>
  </r>
  <r>
    <x v="55"/>
    <x v="0"/>
    <x v="0"/>
    <x v="0"/>
    <x v="0"/>
    <x v="17"/>
    <x v="26"/>
    <x v="197"/>
    <x v="862"/>
    <x v="0"/>
    <s v="NEGOCIOS"/>
    <x v="1"/>
  </r>
  <r>
    <x v="55"/>
    <x v="53"/>
    <x v="0"/>
    <x v="0"/>
    <x v="0"/>
    <x v="17"/>
    <x v="21"/>
    <x v="144"/>
    <x v="1209"/>
    <x v="0"/>
    <s v="NEGOCIOS"/>
    <x v="1"/>
  </r>
  <r>
    <x v="55"/>
    <x v="46"/>
    <x v="0"/>
    <x v="0"/>
    <x v="0"/>
    <x v="17"/>
    <x v="26"/>
    <x v="155"/>
    <x v="1210"/>
    <x v="0"/>
    <s v="NEGOCIOS"/>
    <x v="1"/>
  </r>
  <r>
    <x v="55"/>
    <x v="32"/>
    <x v="5"/>
    <x v="5"/>
    <x v="0"/>
    <x v="17"/>
    <x v="21"/>
    <x v="81"/>
    <x v="862"/>
    <x v="0"/>
    <s v="NEGOCIOS"/>
    <x v="1"/>
  </r>
  <r>
    <x v="55"/>
    <x v="13"/>
    <x v="5"/>
    <x v="5"/>
    <x v="0"/>
    <x v="17"/>
    <x v="26"/>
    <x v="120"/>
    <x v="1211"/>
    <x v="0"/>
    <s v="NEGOCIOS"/>
    <x v="1"/>
  </r>
  <r>
    <x v="55"/>
    <x v="72"/>
    <x v="5"/>
    <x v="5"/>
    <x v="0"/>
    <x v="17"/>
    <x v="21"/>
    <x v="38"/>
    <x v="53"/>
    <x v="0"/>
    <s v="NEGOCIOS"/>
    <x v="1"/>
  </r>
  <r>
    <x v="55"/>
    <x v="141"/>
    <x v="5"/>
    <x v="5"/>
    <x v="0"/>
    <x v="17"/>
    <x v="21"/>
    <x v="185"/>
    <x v="797"/>
    <x v="0"/>
    <s v="NEGOCIOS"/>
    <x v="1"/>
  </r>
  <r>
    <x v="55"/>
    <x v="141"/>
    <x v="5"/>
    <x v="5"/>
    <x v="0"/>
    <x v="17"/>
    <x v="26"/>
    <x v="185"/>
    <x v="1212"/>
    <x v="0"/>
    <s v="NEGOCIOS"/>
    <x v="1"/>
  </r>
  <r>
    <x v="55"/>
    <x v="40"/>
    <x v="1"/>
    <x v="1"/>
    <x v="0"/>
    <x v="17"/>
    <x v="21"/>
    <x v="125"/>
    <x v="835"/>
    <x v="0"/>
    <s v="NEGOCIOS"/>
    <x v="1"/>
  </r>
  <r>
    <x v="55"/>
    <x v="161"/>
    <x v="1"/>
    <x v="1"/>
    <x v="0"/>
    <x v="17"/>
    <x v="21"/>
    <x v="186"/>
    <x v="1213"/>
    <x v="0"/>
    <s v="NEGOCIOS"/>
    <x v="1"/>
  </r>
  <r>
    <x v="55"/>
    <x v="95"/>
    <x v="1"/>
    <x v="1"/>
    <x v="0"/>
    <x v="17"/>
    <x v="25"/>
    <x v="97"/>
    <x v="1214"/>
    <x v="0"/>
    <s v="NEGOCIOS"/>
    <x v="1"/>
  </r>
  <r>
    <x v="55"/>
    <x v="155"/>
    <x v="1"/>
    <x v="1"/>
    <x v="0"/>
    <x v="17"/>
    <x v="26"/>
    <x v="145"/>
    <x v="852"/>
    <x v="0"/>
    <s v="NEGOCIOS"/>
    <x v="1"/>
  </r>
  <r>
    <x v="55"/>
    <x v="55"/>
    <x v="1"/>
    <x v="1"/>
    <x v="0"/>
    <x v="17"/>
    <x v="26"/>
    <x v="188"/>
    <x v="1212"/>
    <x v="0"/>
    <s v="NEGOCIOS"/>
    <x v="1"/>
  </r>
  <r>
    <x v="55"/>
    <x v="1"/>
    <x v="1"/>
    <x v="1"/>
    <x v="0"/>
    <x v="17"/>
    <x v="1"/>
    <x v="1"/>
    <x v="1"/>
    <x v="296"/>
    <s v="NEGOCIOS"/>
    <x v="1"/>
  </r>
  <r>
    <x v="55"/>
    <x v="158"/>
    <x v="2"/>
    <x v="2"/>
    <x v="0"/>
    <x v="31"/>
    <x v="21"/>
    <x v="168"/>
    <x v="1215"/>
    <x v="0"/>
    <s v="NEGOCIOS"/>
    <x v="1"/>
  </r>
  <r>
    <x v="55"/>
    <x v="107"/>
    <x v="2"/>
    <x v="2"/>
    <x v="0"/>
    <x v="31"/>
    <x v="21"/>
    <x v="158"/>
    <x v="1216"/>
    <x v="0"/>
    <s v="NEGOCIOS"/>
    <x v="1"/>
  </r>
  <r>
    <x v="55"/>
    <x v="84"/>
    <x v="2"/>
    <x v="2"/>
    <x v="0"/>
    <x v="31"/>
    <x v="21"/>
    <x v="203"/>
    <x v="1217"/>
    <x v="0"/>
    <s v="NEGOCIOS"/>
    <x v="1"/>
  </r>
  <r>
    <x v="55"/>
    <x v="129"/>
    <x v="2"/>
    <x v="2"/>
    <x v="0"/>
    <x v="31"/>
    <x v="21"/>
    <x v="204"/>
    <x v="1218"/>
    <x v="0"/>
    <s v="NEGOCIOS"/>
    <x v="1"/>
  </r>
  <r>
    <x v="55"/>
    <x v="111"/>
    <x v="2"/>
    <x v="2"/>
    <x v="0"/>
    <x v="31"/>
    <x v="21"/>
    <x v="75"/>
    <x v="1219"/>
    <x v="0"/>
    <s v="NEGOCIOS"/>
    <x v="1"/>
  </r>
  <r>
    <x v="55"/>
    <x v="146"/>
    <x v="6"/>
    <x v="6"/>
    <x v="0"/>
    <x v="31"/>
    <x v="21"/>
    <x v="172"/>
    <x v="1220"/>
    <x v="0"/>
    <s v="NEGOCIOS"/>
    <x v="1"/>
  </r>
  <r>
    <x v="55"/>
    <x v="87"/>
    <x v="6"/>
    <x v="6"/>
    <x v="0"/>
    <x v="31"/>
    <x v="21"/>
    <x v="189"/>
    <x v="1221"/>
    <x v="0"/>
    <s v="NEGOCIOS"/>
    <x v="1"/>
  </r>
  <r>
    <x v="55"/>
    <x v="163"/>
    <x v="6"/>
    <x v="6"/>
    <x v="0"/>
    <x v="31"/>
    <x v="21"/>
    <x v="195"/>
    <x v="1222"/>
    <x v="0"/>
    <s v="NEGOCIOS"/>
    <x v="1"/>
  </r>
  <r>
    <x v="55"/>
    <x v="15"/>
    <x v="6"/>
    <x v="6"/>
    <x v="0"/>
    <x v="31"/>
    <x v="21"/>
    <x v="216"/>
    <x v="1223"/>
    <x v="0"/>
    <s v="NEGOCIOS"/>
    <x v="1"/>
  </r>
  <r>
    <x v="55"/>
    <x v="60"/>
    <x v="3"/>
    <x v="3"/>
    <x v="0"/>
    <x v="31"/>
    <x v="21"/>
    <x v="57"/>
    <x v="1224"/>
    <x v="0"/>
    <s v="NEGOCIOS"/>
    <x v="1"/>
  </r>
  <r>
    <x v="55"/>
    <x v="10"/>
    <x v="3"/>
    <x v="3"/>
    <x v="0"/>
    <x v="31"/>
    <x v="21"/>
    <x v="123"/>
    <x v="1225"/>
    <x v="0"/>
    <s v="NEGOCIOS"/>
    <x v="1"/>
  </r>
  <r>
    <x v="55"/>
    <x v="27"/>
    <x v="3"/>
    <x v="3"/>
    <x v="0"/>
    <x v="31"/>
    <x v="21"/>
    <x v="43"/>
    <x v="1226"/>
    <x v="0"/>
    <s v="NEGOCIOS"/>
    <x v="1"/>
  </r>
  <r>
    <x v="55"/>
    <x v="43"/>
    <x v="3"/>
    <x v="3"/>
    <x v="0"/>
    <x v="31"/>
    <x v="21"/>
    <x v="71"/>
    <x v="1183"/>
    <x v="0"/>
    <s v="NEGOCIOS"/>
    <x v="1"/>
  </r>
  <r>
    <x v="55"/>
    <x v="131"/>
    <x v="3"/>
    <x v="3"/>
    <x v="0"/>
    <x v="31"/>
    <x v="21"/>
    <x v="163"/>
    <x v="1227"/>
    <x v="0"/>
    <s v="NEGOCIOS"/>
    <x v="1"/>
  </r>
  <r>
    <x v="55"/>
    <x v="68"/>
    <x v="4"/>
    <x v="4"/>
    <x v="0"/>
    <x v="31"/>
    <x v="21"/>
    <x v="222"/>
    <x v="1228"/>
    <x v="0"/>
    <s v="NEGOCIOS"/>
    <x v="1"/>
  </r>
  <r>
    <x v="55"/>
    <x v="81"/>
    <x v="4"/>
    <x v="4"/>
    <x v="0"/>
    <x v="31"/>
    <x v="21"/>
    <x v="175"/>
    <x v="1229"/>
    <x v="0"/>
    <s v="NEGOCIOS"/>
    <x v="1"/>
  </r>
  <r>
    <x v="55"/>
    <x v="30"/>
    <x v="4"/>
    <x v="4"/>
    <x v="0"/>
    <x v="31"/>
    <x v="21"/>
    <x v="159"/>
    <x v="1230"/>
    <x v="0"/>
    <s v="NEGOCIOS"/>
    <x v="1"/>
  </r>
  <r>
    <x v="55"/>
    <x v="52"/>
    <x v="0"/>
    <x v="0"/>
    <x v="0"/>
    <x v="31"/>
    <x v="21"/>
    <x v="107"/>
    <x v="1231"/>
    <x v="0"/>
    <s v="NEGOCIOS"/>
    <x v="1"/>
  </r>
  <r>
    <x v="55"/>
    <x v="119"/>
    <x v="0"/>
    <x v="0"/>
    <x v="0"/>
    <x v="31"/>
    <x v="21"/>
    <x v="96"/>
    <x v="1232"/>
    <x v="0"/>
    <s v="NEGOCIOS"/>
    <x v="1"/>
  </r>
  <r>
    <x v="55"/>
    <x v="136"/>
    <x v="0"/>
    <x v="0"/>
    <x v="0"/>
    <x v="31"/>
    <x v="21"/>
    <x v="100"/>
    <x v="1194"/>
    <x v="0"/>
    <s v="NEGOCIOS"/>
    <x v="1"/>
  </r>
  <r>
    <x v="55"/>
    <x v="166"/>
    <x v="0"/>
    <x v="0"/>
    <x v="0"/>
    <x v="31"/>
    <x v="21"/>
    <x v="217"/>
    <x v="951"/>
    <x v="0"/>
    <s v="NEGOCIOS"/>
    <x v="1"/>
  </r>
  <r>
    <x v="55"/>
    <x v="72"/>
    <x v="5"/>
    <x v="5"/>
    <x v="0"/>
    <x v="31"/>
    <x v="21"/>
    <x v="38"/>
    <x v="1233"/>
    <x v="0"/>
    <s v="NEGOCIOS"/>
    <x v="1"/>
  </r>
  <r>
    <x v="55"/>
    <x v="125"/>
    <x v="5"/>
    <x v="5"/>
    <x v="0"/>
    <x v="31"/>
    <x v="21"/>
    <x v="82"/>
    <x v="1234"/>
    <x v="0"/>
    <s v="NEGOCIOS"/>
    <x v="1"/>
  </r>
  <r>
    <x v="55"/>
    <x v="77"/>
    <x v="5"/>
    <x v="5"/>
    <x v="0"/>
    <x v="31"/>
    <x v="21"/>
    <x v="156"/>
    <x v="1235"/>
    <x v="0"/>
    <s v="NEGOCIOS"/>
    <x v="1"/>
  </r>
  <r>
    <x v="55"/>
    <x v="139"/>
    <x v="5"/>
    <x v="5"/>
    <x v="0"/>
    <x v="31"/>
    <x v="21"/>
    <x v="110"/>
    <x v="835"/>
    <x v="0"/>
    <s v="NEGOCIOS"/>
    <x v="1"/>
  </r>
  <r>
    <x v="55"/>
    <x v="151"/>
    <x v="1"/>
    <x v="1"/>
    <x v="0"/>
    <x v="31"/>
    <x v="21"/>
    <x v="166"/>
    <x v="896"/>
    <x v="0"/>
    <s v="NEGOCIOS"/>
    <x v="1"/>
  </r>
  <r>
    <x v="55"/>
    <x v="42"/>
    <x v="1"/>
    <x v="1"/>
    <x v="0"/>
    <x v="31"/>
    <x v="21"/>
    <x v="167"/>
    <x v="905"/>
    <x v="0"/>
    <s v="NEGOCIOS"/>
    <x v="1"/>
  </r>
  <r>
    <x v="55"/>
    <x v="152"/>
    <x v="1"/>
    <x v="1"/>
    <x v="0"/>
    <x v="31"/>
    <x v="21"/>
    <x v="194"/>
    <x v="1236"/>
    <x v="0"/>
    <s v="NEGOCIOS"/>
    <x v="1"/>
  </r>
  <r>
    <x v="55"/>
    <x v="98"/>
    <x v="1"/>
    <x v="1"/>
    <x v="0"/>
    <x v="31"/>
    <x v="21"/>
    <x v="198"/>
    <x v="1237"/>
    <x v="0"/>
    <s v="NEGOCIOS"/>
    <x v="1"/>
  </r>
  <r>
    <x v="55"/>
    <x v="128"/>
    <x v="1"/>
    <x v="1"/>
    <x v="0"/>
    <x v="31"/>
    <x v="21"/>
    <x v="164"/>
    <x v="1238"/>
    <x v="0"/>
    <s v="NEGOCIOS"/>
    <x v="1"/>
  </r>
  <r>
    <x v="55"/>
    <x v="1"/>
    <x v="1"/>
    <x v="1"/>
    <x v="0"/>
    <x v="31"/>
    <x v="1"/>
    <x v="1"/>
    <x v="1"/>
    <x v="297"/>
    <s v="NEGOCIOS"/>
    <x v="1"/>
  </r>
  <r>
    <x v="55"/>
    <x v="70"/>
    <x v="2"/>
    <x v="2"/>
    <x v="0"/>
    <x v="32"/>
    <x v="21"/>
    <x v="36"/>
    <x v="1239"/>
    <x v="0"/>
    <s v="NEGOCIOS"/>
    <x v="1"/>
  </r>
  <r>
    <x v="55"/>
    <x v="16"/>
    <x v="2"/>
    <x v="2"/>
    <x v="0"/>
    <x v="32"/>
    <x v="21"/>
    <x v="93"/>
    <x v="1240"/>
    <x v="0"/>
    <s v="NEGOCIOS"/>
    <x v="1"/>
  </r>
  <r>
    <x v="55"/>
    <x v="106"/>
    <x v="2"/>
    <x v="2"/>
    <x v="0"/>
    <x v="32"/>
    <x v="21"/>
    <x v="223"/>
    <x v="1241"/>
    <x v="0"/>
    <s v="NEGOCIOS"/>
    <x v="1"/>
  </r>
  <r>
    <x v="55"/>
    <x v="47"/>
    <x v="2"/>
    <x v="2"/>
    <x v="0"/>
    <x v="32"/>
    <x v="21"/>
    <x v="68"/>
    <x v="1242"/>
    <x v="0"/>
    <s v="NEGOCIOS"/>
    <x v="1"/>
  </r>
  <r>
    <x v="55"/>
    <x v="85"/>
    <x v="2"/>
    <x v="2"/>
    <x v="0"/>
    <x v="32"/>
    <x v="21"/>
    <x v="161"/>
    <x v="1243"/>
    <x v="0"/>
    <s v="NEGOCIOS"/>
    <x v="1"/>
  </r>
  <r>
    <x v="55"/>
    <x v="84"/>
    <x v="2"/>
    <x v="2"/>
    <x v="0"/>
    <x v="32"/>
    <x v="21"/>
    <x v="203"/>
    <x v="1244"/>
    <x v="0"/>
    <s v="NEGOCIOS"/>
    <x v="1"/>
  </r>
  <r>
    <x v="55"/>
    <x v="35"/>
    <x v="2"/>
    <x v="2"/>
    <x v="0"/>
    <x v="32"/>
    <x v="21"/>
    <x v="170"/>
    <x v="1245"/>
    <x v="0"/>
    <s v="NEGOCIOS"/>
    <x v="1"/>
  </r>
  <r>
    <x v="55"/>
    <x v="110"/>
    <x v="2"/>
    <x v="2"/>
    <x v="0"/>
    <x v="32"/>
    <x v="21"/>
    <x v="171"/>
    <x v="1246"/>
    <x v="0"/>
    <s v="NEGOCIOS"/>
    <x v="1"/>
  </r>
  <r>
    <x v="55"/>
    <x v="111"/>
    <x v="2"/>
    <x v="2"/>
    <x v="0"/>
    <x v="32"/>
    <x v="21"/>
    <x v="75"/>
    <x v="1247"/>
    <x v="0"/>
    <s v="NEGOCIOS"/>
    <x v="1"/>
  </r>
  <r>
    <x v="55"/>
    <x v="86"/>
    <x v="6"/>
    <x v="6"/>
    <x v="0"/>
    <x v="32"/>
    <x v="21"/>
    <x v="224"/>
    <x v="1248"/>
    <x v="0"/>
    <s v="NEGOCIOS"/>
    <x v="1"/>
  </r>
  <r>
    <x v="55"/>
    <x v="36"/>
    <x v="6"/>
    <x v="6"/>
    <x v="0"/>
    <x v="32"/>
    <x v="21"/>
    <x v="94"/>
    <x v="1249"/>
    <x v="0"/>
    <s v="NEGOCIOS"/>
    <x v="1"/>
  </r>
  <r>
    <x v="55"/>
    <x v="147"/>
    <x v="6"/>
    <x v="6"/>
    <x v="0"/>
    <x v="32"/>
    <x v="21"/>
    <x v="132"/>
    <x v="1250"/>
    <x v="0"/>
    <s v="NEGOCIOS"/>
    <x v="1"/>
  </r>
  <r>
    <x v="55"/>
    <x v="137"/>
    <x v="6"/>
    <x v="6"/>
    <x v="0"/>
    <x v="32"/>
    <x v="21"/>
    <x v="102"/>
    <x v="1220"/>
    <x v="0"/>
    <s v="NEGOCIOS"/>
    <x v="1"/>
  </r>
  <r>
    <x v="55"/>
    <x v="74"/>
    <x v="3"/>
    <x v="3"/>
    <x v="0"/>
    <x v="32"/>
    <x v="21"/>
    <x v="151"/>
    <x v="1251"/>
    <x v="0"/>
    <s v="NEGOCIOS"/>
    <x v="1"/>
  </r>
  <r>
    <x v="55"/>
    <x v="26"/>
    <x v="3"/>
    <x v="3"/>
    <x v="0"/>
    <x v="32"/>
    <x v="21"/>
    <x v="115"/>
    <x v="1252"/>
    <x v="0"/>
    <s v="NEGOCIOS"/>
    <x v="1"/>
  </r>
  <r>
    <x v="55"/>
    <x v="60"/>
    <x v="3"/>
    <x v="3"/>
    <x v="0"/>
    <x v="32"/>
    <x v="21"/>
    <x v="57"/>
    <x v="456"/>
    <x v="0"/>
    <s v="NEGOCIOS"/>
    <x v="1"/>
  </r>
  <r>
    <x v="55"/>
    <x v="108"/>
    <x v="3"/>
    <x v="3"/>
    <x v="0"/>
    <x v="32"/>
    <x v="25"/>
    <x v="63"/>
    <x v="1253"/>
    <x v="0"/>
    <s v="NEGOCIOS"/>
    <x v="1"/>
  </r>
  <r>
    <x v="55"/>
    <x v="108"/>
    <x v="3"/>
    <x v="3"/>
    <x v="0"/>
    <x v="32"/>
    <x v="21"/>
    <x v="63"/>
    <x v="1254"/>
    <x v="0"/>
    <s v="NEGOCIOS"/>
    <x v="1"/>
  </r>
  <r>
    <x v="55"/>
    <x v="135"/>
    <x v="3"/>
    <x v="3"/>
    <x v="0"/>
    <x v="32"/>
    <x v="21"/>
    <x v="149"/>
    <x v="882"/>
    <x v="0"/>
    <s v="NEGOCIOS"/>
    <x v="1"/>
  </r>
  <r>
    <x v="55"/>
    <x v="114"/>
    <x v="3"/>
    <x v="3"/>
    <x v="0"/>
    <x v="32"/>
    <x v="21"/>
    <x v="76"/>
    <x v="1255"/>
    <x v="0"/>
    <s v="NEGOCIOS"/>
    <x v="1"/>
  </r>
  <r>
    <x v="55"/>
    <x v="56"/>
    <x v="3"/>
    <x v="3"/>
    <x v="0"/>
    <x v="32"/>
    <x v="21"/>
    <x v="153"/>
    <x v="1256"/>
    <x v="0"/>
    <s v="NEGOCIOS"/>
    <x v="1"/>
  </r>
  <r>
    <x v="55"/>
    <x v="99"/>
    <x v="3"/>
    <x v="3"/>
    <x v="0"/>
    <x v="32"/>
    <x v="21"/>
    <x v="116"/>
    <x v="1257"/>
    <x v="0"/>
    <s v="NEGOCIOS"/>
    <x v="1"/>
  </r>
  <r>
    <x v="55"/>
    <x v="68"/>
    <x v="4"/>
    <x v="4"/>
    <x v="0"/>
    <x v="32"/>
    <x v="21"/>
    <x v="222"/>
    <x v="1258"/>
    <x v="0"/>
    <s v="NEGOCIOS"/>
    <x v="1"/>
  </r>
  <r>
    <x v="55"/>
    <x v="68"/>
    <x v="4"/>
    <x v="4"/>
    <x v="0"/>
    <x v="32"/>
    <x v="26"/>
    <x v="222"/>
    <x v="1259"/>
    <x v="0"/>
    <s v="NEGOCIOS"/>
    <x v="1"/>
  </r>
  <r>
    <x v="55"/>
    <x v="81"/>
    <x v="4"/>
    <x v="4"/>
    <x v="0"/>
    <x v="32"/>
    <x v="21"/>
    <x v="175"/>
    <x v="896"/>
    <x v="0"/>
    <s v="NEGOCIOS"/>
    <x v="1"/>
  </r>
  <r>
    <x v="55"/>
    <x v="126"/>
    <x v="4"/>
    <x v="4"/>
    <x v="0"/>
    <x v="32"/>
    <x v="21"/>
    <x v="83"/>
    <x v="1260"/>
    <x v="0"/>
    <s v="NEGOCIOS"/>
    <x v="1"/>
  </r>
  <r>
    <x v="55"/>
    <x v="78"/>
    <x v="4"/>
    <x v="4"/>
    <x v="0"/>
    <x v="32"/>
    <x v="21"/>
    <x v="160"/>
    <x v="1261"/>
    <x v="0"/>
    <s v="NEGOCIOS"/>
    <x v="1"/>
  </r>
  <r>
    <x v="55"/>
    <x v="90"/>
    <x v="0"/>
    <x v="0"/>
    <x v="0"/>
    <x v="32"/>
    <x v="21"/>
    <x v="79"/>
    <x v="1262"/>
    <x v="0"/>
    <s v="NEGOCIOS"/>
    <x v="1"/>
  </r>
  <r>
    <x v="55"/>
    <x v="159"/>
    <x v="0"/>
    <x v="0"/>
    <x v="0"/>
    <x v="32"/>
    <x v="21"/>
    <x v="177"/>
    <x v="1263"/>
    <x v="0"/>
    <s v="NEGOCIOS"/>
    <x v="1"/>
  </r>
  <r>
    <x v="55"/>
    <x v="120"/>
    <x v="0"/>
    <x v="0"/>
    <x v="0"/>
    <x v="32"/>
    <x v="21"/>
    <x v="212"/>
    <x v="1264"/>
    <x v="0"/>
    <s v="NEGOCIOS"/>
    <x v="1"/>
  </r>
  <r>
    <x v="55"/>
    <x v="100"/>
    <x v="0"/>
    <x v="0"/>
    <x v="0"/>
    <x v="32"/>
    <x v="21"/>
    <x v="73"/>
    <x v="1265"/>
    <x v="0"/>
    <s v="NEGOCIOS"/>
    <x v="1"/>
  </r>
  <r>
    <x v="55"/>
    <x v="92"/>
    <x v="0"/>
    <x v="0"/>
    <x v="0"/>
    <x v="32"/>
    <x v="21"/>
    <x v="109"/>
    <x v="1266"/>
    <x v="0"/>
    <s v="NEGOCIOS"/>
    <x v="1"/>
  </r>
  <r>
    <x v="55"/>
    <x v="136"/>
    <x v="0"/>
    <x v="0"/>
    <x v="0"/>
    <x v="32"/>
    <x v="21"/>
    <x v="100"/>
    <x v="1267"/>
    <x v="0"/>
    <s v="NEGOCIOS"/>
    <x v="1"/>
  </r>
  <r>
    <x v="55"/>
    <x v="32"/>
    <x v="5"/>
    <x v="5"/>
    <x v="0"/>
    <x v="32"/>
    <x v="21"/>
    <x v="81"/>
    <x v="1268"/>
    <x v="0"/>
    <s v="NEGOCIOS"/>
    <x v="1"/>
  </r>
  <r>
    <x v="55"/>
    <x v="76"/>
    <x v="5"/>
    <x v="5"/>
    <x v="0"/>
    <x v="32"/>
    <x v="21"/>
    <x v="182"/>
    <x v="1269"/>
    <x v="0"/>
    <s v="NEGOCIOS"/>
    <x v="1"/>
  </r>
  <r>
    <x v="55"/>
    <x v="72"/>
    <x v="5"/>
    <x v="5"/>
    <x v="0"/>
    <x v="32"/>
    <x v="21"/>
    <x v="38"/>
    <x v="758"/>
    <x v="0"/>
    <s v="NEGOCIOS"/>
    <x v="1"/>
  </r>
  <r>
    <x v="55"/>
    <x v="168"/>
    <x v="5"/>
    <x v="5"/>
    <x v="0"/>
    <x v="32"/>
    <x v="21"/>
    <x v="225"/>
    <x v="1157"/>
    <x v="0"/>
    <s v="NEGOCIOS"/>
    <x v="1"/>
  </r>
  <r>
    <x v="55"/>
    <x v="153"/>
    <x v="5"/>
    <x v="5"/>
    <x v="0"/>
    <x v="32"/>
    <x v="21"/>
    <x v="157"/>
    <x v="1270"/>
    <x v="0"/>
    <s v="NEGOCIOS"/>
    <x v="1"/>
  </r>
  <r>
    <x v="55"/>
    <x v="124"/>
    <x v="5"/>
    <x v="5"/>
    <x v="0"/>
    <x v="32"/>
    <x v="21"/>
    <x v="206"/>
    <x v="1271"/>
    <x v="0"/>
    <s v="NEGOCIOS"/>
    <x v="1"/>
  </r>
  <r>
    <x v="55"/>
    <x v="95"/>
    <x v="1"/>
    <x v="1"/>
    <x v="0"/>
    <x v="32"/>
    <x v="21"/>
    <x v="97"/>
    <x v="1272"/>
    <x v="0"/>
    <s v="NEGOCIOS"/>
    <x v="1"/>
  </r>
  <r>
    <x v="55"/>
    <x v="42"/>
    <x v="1"/>
    <x v="1"/>
    <x v="0"/>
    <x v="32"/>
    <x v="21"/>
    <x v="167"/>
    <x v="865"/>
    <x v="0"/>
    <s v="NEGOCIOS"/>
    <x v="1"/>
  </r>
  <r>
    <x v="55"/>
    <x v="73"/>
    <x v="1"/>
    <x v="1"/>
    <x v="0"/>
    <x v="32"/>
    <x v="21"/>
    <x v="39"/>
    <x v="1273"/>
    <x v="0"/>
    <s v="NEGOCIOS"/>
    <x v="1"/>
  </r>
  <r>
    <x v="55"/>
    <x v="128"/>
    <x v="1"/>
    <x v="1"/>
    <x v="0"/>
    <x v="32"/>
    <x v="21"/>
    <x v="164"/>
    <x v="765"/>
    <x v="0"/>
    <s v="NEGOCIOS"/>
    <x v="1"/>
  </r>
  <r>
    <x v="55"/>
    <x v="1"/>
    <x v="1"/>
    <x v="1"/>
    <x v="0"/>
    <x v="32"/>
    <x v="1"/>
    <x v="1"/>
    <x v="1"/>
    <x v="298"/>
    <s v="NEGOCIOS"/>
    <x v="1"/>
  </r>
  <r>
    <x v="55"/>
    <x v="62"/>
    <x v="4"/>
    <x v="4"/>
    <x v="0"/>
    <x v="33"/>
    <x v="21"/>
    <x v="176"/>
    <x v="1274"/>
    <x v="0"/>
    <s v="NEGOCIOS"/>
    <x v="1"/>
  </r>
  <r>
    <x v="55"/>
    <x v="14"/>
    <x v="1"/>
    <x v="1"/>
    <x v="0"/>
    <x v="33"/>
    <x v="25"/>
    <x v="112"/>
    <x v="1275"/>
    <x v="0"/>
    <s v="NEGOCIOS"/>
    <x v="1"/>
  </r>
  <r>
    <x v="55"/>
    <x v="1"/>
    <x v="1"/>
    <x v="1"/>
    <x v="0"/>
    <x v="33"/>
    <x v="1"/>
    <x v="1"/>
    <x v="1"/>
    <x v="299"/>
    <s v="NEGOCIOS"/>
    <x v="1"/>
  </r>
  <r>
    <x v="55"/>
    <x v="134"/>
    <x v="6"/>
    <x v="6"/>
    <x v="0"/>
    <x v="34"/>
    <x v="21"/>
    <x v="226"/>
    <x v="1276"/>
    <x v="0"/>
    <s v="NEGOCIOS"/>
    <x v="1"/>
  </r>
  <r>
    <x v="55"/>
    <x v="147"/>
    <x v="6"/>
    <x v="6"/>
    <x v="0"/>
    <x v="34"/>
    <x v="21"/>
    <x v="132"/>
    <x v="1277"/>
    <x v="0"/>
    <s v="NEGOCIOS"/>
    <x v="1"/>
  </r>
  <r>
    <x v="55"/>
    <x v="104"/>
    <x v="3"/>
    <x v="3"/>
    <x v="0"/>
    <x v="34"/>
    <x v="21"/>
    <x v="196"/>
    <x v="1278"/>
    <x v="0"/>
    <s v="NEGOCIOS"/>
    <x v="1"/>
  </r>
  <r>
    <x v="55"/>
    <x v="81"/>
    <x v="4"/>
    <x v="4"/>
    <x v="0"/>
    <x v="34"/>
    <x v="21"/>
    <x v="175"/>
    <x v="1279"/>
    <x v="0"/>
    <s v="NEGOCIOS"/>
    <x v="1"/>
  </r>
  <r>
    <x v="55"/>
    <x v="159"/>
    <x v="0"/>
    <x v="0"/>
    <x v="0"/>
    <x v="34"/>
    <x v="21"/>
    <x v="177"/>
    <x v="1280"/>
    <x v="0"/>
    <s v="NEGOCIOS"/>
    <x v="1"/>
  </r>
  <r>
    <x v="55"/>
    <x v="72"/>
    <x v="5"/>
    <x v="5"/>
    <x v="0"/>
    <x v="34"/>
    <x v="21"/>
    <x v="38"/>
    <x v="1281"/>
    <x v="0"/>
    <s v="NEGOCIOS"/>
    <x v="1"/>
  </r>
  <r>
    <x v="55"/>
    <x v="42"/>
    <x v="1"/>
    <x v="1"/>
    <x v="0"/>
    <x v="34"/>
    <x v="21"/>
    <x v="167"/>
    <x v="1282"/>
    <x v="0"/>
    <s v="NEGOCIOS"/>
    <x v="1"/>
  </r>
  <r>
    <x v="55"/>
    <x v="1"/>
    <x v="1"/>
    <x v="1"/>
    <x v="0"/>
    <x v="34"/>
    <x v="1"/>
    <x v="1"/>
    <x v="1"/>
    <x v="300"/>
    <s v="NEGOCIOS"/>
    <x v="1"/>
  </r>
  <r>
    <x v="55"/>
    <x v="70"/>
    <x v="2"/>
    <x v="2"/>
    <x v="0"/>
    <x v="18"/>
    <x v="21"/>
    <x v="36"/>
    <x v="1283"/>
    <x v="0"/>
    <s v="NEGOCIOS"/>
    <x v="1"/>
  </r>
  <r>
    <x v="55"/>
    <x v="64"/>
    <x v="2"/>
    <x v="2"/>
    <x v="0"/>
    <x v="18"/>
    <x v="25"/>
    <x v="139"/>
    <x v="1284"/>
    <x v="0"/>
    <s v="NEGOCIOS"/>
    <x v="1"/>
  </r>
  <r>
    <x v="55"/>
    <x v="25"/>
    <x v="2"/>
    <x v="2"/>
    <x v="0"/>
    <x v="18"/>
    <x v="21"/>
    <x v="169"/>
    <x v="899"/>
    <x v="0"/>
    <s v="NEGOCIOS"/>
    <x v="1"/>
  </r>
  <r>
    <x v="55"/>
    <x v="35"/>
    <x v="2"/>
    <x v="2"/>
    <x v="0"/>
    <x v="18"/>
    <x v="21"/>
    <x v="170"/>
    <x v="1285"/>
    <x v="0"/>
    <s v="NEGOCIOS"/>
    <x v="1"/>
  </r>
  <r>
    <x v="55"/>
    <x v="110"/>
    <x v="2"/>
    <x v="2"/>
    <x v="0"/>
    <x v="18"/>
    <x v="25"/>
    <x v="171"/>
    <x v="907"/>
    <x v="0"/>
    <s v="NEGOCIOS"/>
    <x v="1"/>
  </r>
  <r>
    <x v="55"/>
    <x v="110"/>
    <x v="2"/>
    <x v="2"/>
    <x v="0"/>
    <x v="18"/>
    <x v="21"/>
    <x v="171"/>
    <x v="1286"/>
    <x v="0"/>
    <s v="NEGOCIOS"/>
    <x v="1"/>
  </r>
  <r>
    <x v="55"/>
    <x v="111"/>
    <x v="2"/>
    <x v="2"/>
    <x v="0"/>
    <x v="18"/>
    <x v="21"/>
    <x v="75"/>
    <x v="736"/>
    <x v="0"/>
    <s v="NEGOCIOS"/>
    <x v="1"/>
  </r>
  <r>
    <x v="55"/>
    <x v="36"/>
    <x v="6"/>
    <x v="6"/>
    <x v="0"/>
    <x v="18"/>
    <x v="25"/>
    <x v="94"/>
    <x v="1287"/>
    <x v="0"/>
    <s v="NEGOCIOS"/>
    <x v="1"/>
  </r>
  <r>
    <x v="55"/>
    <x v="164"/>
    <x v="6"/>
    <x v="6"/>
    <x v="0"/>
    <x v="18"/>
    <x v="25"/>
    <x v="200"/>
    <x v="1288"/>
    <x v="0"/>
    <s v="NEGOCIOS"/>
    <x v="1"/>
  </r>
  <r>
    <x v="55"/>
    <x v="137"/>
    <x v="6"/>
    <x v="6"/>
    <x v="0"/>
    <x v="18"/>
    <x v="21"/>
    <x v="102"/>
    <x v="736"/>
    <x v="0"/>
    <s v="NEGOCIOS"/>
    <x v="1"/>
  </r>
  <r>
    <x v="55"/>
    <x v="60"/>
    <x v="3"/>
    <x v="3"/>
    <x v="0"/>
    <x v="18"/>
    <x v="21"/>
    <x v="57"/>
    <x v="782"/>
    <x v="0"/>
    <s v="NEGOCIOS"/>
    <x v="1"/>
  </r>
  <r>
    <x v="55"/>
    <x v="79"/>
    <x v="3"/>
    <x v="3"/>
    <x v="0"/>
    <x v="18"/>
    <x v="21"/>
    <x v="142"/>
    <x v="1289"/>
    <x v="0"/>
    <s v="NEGOCIOS"/>
    <x v="1"/>
  </r>
  <r>
    <x v="55"/>
    <x v="89"/>
    <x v="4"/>
    <x v="4"/>
    <x v="0"/>
    <x v="18"/>
    <x v="21"/>
    <x v="154"/>
    <x v="736"/>
    <x v="0"/>
    <s v="NEGOCIOS"/>
    <x v="1"/>
  </r>
  <r>
    <x v="55"/>
    <x v="51"/>
    <x v="4"/>
    <x v="4"/>
    <x v="0"/>
    <x v="18"/>
    <x v="21"/>
    <x v="34"/>
    <x v="815"/>
    <x v="0"/>
    <s v="NEGOCIOS"/>
    <x v="1"/>
  </r>
  <r>
    <x v="55"/>
    <x v="90"/>
    <x v="0"/>
    <x v="0"/>
    <x v="0"/>
    <x v="18"/>
    <x v="21"/>
    <x v="79"/>
    <x v="1290"/>
    <x v="0"/>
    <s v="NEGOCIOS"/>
    <x v="1"/>
  </r>
  <r>
    <x v="55"/>
    <x v="168"/>
    <x v="5"/>
    <x v="5"/>
    <x v="0"/>
    <x v="18"/>
    <x v="21"/>
    <x v="225"/>
    <x v="736"/>
    <x v="0"/>
    <s v="NEGOCIOS"/>
    <x v="1"/>
  </r>
  <r>
    <x v="55"/>
    <x v="139"/>
    <x v="5"/>
    <x v="5"/>
    <x v="0"/>
    <x v="18"/>
    <x v="21"/>
    <x v="110"/>
    <x v="735"/>
    <x v="0"/>
    <s v="NEGOCIOS"/>
    <x v="1"/>
  </r>
  <r>
    <x v="55"/>
    <x v="161"/>
    <x v="1"/>
    <x v="1"/>
    <x v="0"/>
    <x v="18"/>
    <x v="21"/>
    <x v="186"/>
    <x v="736"/>
    <x v="0"/>
    <s v="NEGOCIOS"/>
    <x v="1"/>
  </r>
  <r>
    <x v="55"/>
    <x v="95"/>
    <x v="1"/>
    <x v="1"/>
    <x v="0"/>
    <x v="18"/>
    <x v="21"/>
    <x v="97"/>
    <x v="736"/>
    <x v="0"/>
    <s v="NEGOCIOS"/>
    <x v="1"/>
  </r>
  <r>
    <x v="55"/>
    <x v="155"/>
    <x v="1"/>
    <x v="1"/>
    <x v="0"/>
    <x v="18"/>
    <x v="21"/>
    <x v="145"/>
    <x v="1291"/>
    <x v="0"/>
    <s v="NEGOCIOS"/>
    <x v="1"/>
  </r>
  <r>
    <x v="55"/>
    <x v="1"/>
    <x v="1"/>
    <x v="1"/>
    <x v="0"/>
    <x v="18"/>
    <x v="1"/>
    <x v="1"/>
    <x v="1"/>
    <x v="301"/>
    <s v="NEGOCIOS"/>
    <x v="1"/>
  </r>
  <r>
    <x v="56"/>
    <x v="117"/>
    <x v="0"/>
    <x v="0"/>
    <x v="0"/>
    <x v="2"/>
    <x v="20"/>
    <x v="227"/>
    <x v="750"/>
    <x v="0"/>
    <s v="BOULEVARD EL DORADO"/>
    <x v="1"/>
  </r>
  <r>
    <x v="56"/>
    <x v="42"/>
    <x v="1"/>
    <x v="1"/>
    <x v="0"/>
    <x v="2"/>
    <x v="20"/>
    <x v="227"/>
    <x v="747"/>
    <x v="0"/>
    <s v="BOULEVARD EL DORADO"/>
    <x v="1"/>
  </r>
  <r>
    <x v="56"/>
    <x v="1"/>
    <x v="1"/>
    <x v="1"/>
    <x v="0"/>
    <x v="2"/>
    <x v="1"/>
    <x v="1"/>
    <x v="1"/>
    <x v="302"/>
    <s v="BOULEVARD EL DORADO"/>
    <x v="1"/>
  </r>
  <r>
    <x v="56"/>
    <x v="1"/>
    <x v="1"/>
    <x v="1"/>
    <x v="0"/>
    <x v="0"/>
    <x v="1"/>
    <x v="1"/>
    <x v="1"/>
    <x v="303"/>
    <s v="BOULEVARD EL DORADO"/>
    <x v="1"/>
  </r>
  <r>
    <x v="57"/>
    <x v="88"/>
    <x v="6"/>
    <x v="6"/>
    <x v="0"/>
    <x v="2"/>
    <x v="20"/>
    <x v="228"/>
    <x v="1292"/>
    <x v="0"/>
    <s v="SAN SEBASTIAN"/>
    <x v="1"/>
  </r>
  <r>
    <x v="57"/>
    <x v="38"/>
    <x v="4"/>
    <x v="4"/>
    <x v="0"/>
    <x v="2"/>
    <x v="20"/>
    <x v="228"/>
    <x v="742"/>
    <x v="0"/>
    <s v="SAN SEBASTIAN"/>
    <x v="1"/>
  </r>
  <r>
    <x v="57"/>
    <x v="31"/>
    <x v="4"/>
    <x v="4"/>
    <x v="0"/>
    <x v="2"/>
    <x v="20"/>
    <x v="228"/>
    <x v="742"/>
    <x v="0"/>
    <s v="SAN SEBASTIAN"/>
    <x v="1"/>
  </r>
  <r>
    <x v="57"/>
    <x v="159"/>
    <x v="0"/>
    <x v="0"/>
    <x v="0"/>
    <x v="2"/>
    <x v="20"/>
    <x v="228"/>
    <x v="737"/>
    <x v="0"/>
    <s v="SAN SEBASTIAN"/>
    <x v="1"/>
  </r>
  <r>
    <x v="57"/>
    <x v="91"/>
    <x v="0"/>
    <x v="0"/>
    <x v="0"/>
    <x v="2"/>
    <x v="20"/>
    <x v="228"/>
    <x v="747"/>
    <x v="0"/>
    <s v="SAN SEBASTIAN"/>
    <x v="1"/>
  </r>
  <r>
    <x v="57"/>
    <x v="121"/>
    <x v="0"/>
    <x v="0"/>
    <x v="0"/>
    <x v="2"/>
    <x v="20"/>
    <x v="228"/>
    <x v="744"/>
    <x v="0"/>
    <s v="SAN SEBASTIAN"/>
    <x v="1"/>
  </r>
  <r>
    <x v="57"/>
    <x v="46"/>
    <x v="0"/>
    <x v="0"/>
    <x v="0"/>
    <x v="2"/>
    <x v="20"/>
    <x v="228"/>
    <x v="744"/>
    <x v="0"/>
    <s v="SAN SEBASTIAN"/>
    <x v="1"/>
  </r>
  <r>
    <x v="57"/>
    <x v="41"/>
    <x v="1"/>
    <x v="1"/>
    <x v="0"/>
    <x v="2"/>
    <x v="20"/>
    <x v="228"/>
    <x v="1293"/>
    <x v="0"/>
    <s v="SAN SEBASTIAN"/>
    <x v="1"/>
  </r>
  <r>
    <x v="57"/>
    <x v="73"/>
    <x v="1"/>
    <x v="1"/>
    <x v="0"/>
    <x v="2"/>
    <x v="20"/>
    <x v="228"/>
    <x v="744"/>
    <x v="0"/>
    <s v="SAN SEBASTIAN"/>
    <x v="1"/>
  </r>
  <r>
    <x v="57"/>
    <x v="1"/>
    <x v="1"/>
    <x v="1"/>
    <x v="0"/>
    <x v="2"/>
    <x v="1"/>
    <x v="1"/>
    <x v="1"/>
    <x v="304"/>
    <s v="SAN SEBASTIAN"/>
    <x v="1"/>
  </r>
  <r>
    <x v="58"/>
    <x v="70"/>
    <x v="2"/>
    <x v="2"/>
    <x v="0"/>
    <x v="2"/>
    <x v="26"/>
    <x v="36"/>
    <x v="865"/>
    <x v="0"/>
    <s v="SANTIAGO INTERAMERICANA"/>
    <x v="1"/>
  </r>
  <r>
    <x v="58"/>
    <x v="106"/>
    <x v="2"/>
    <x v="2"/>
    <x v="0"/>
    <x v="2"/>
    <x v="21"/>
    <x v="223"/>
    <x v="782"/>
    <x v="0"/>
    <s v="SANTIAGO INTERAMERICANA"/>
    <x v="1"/>
  </r>
  <r>
    <x v="58"/>
    <x v="164"/>
    <x v="6"/>
    <x v="6"/>
    <x v="0"/>
    <x v="2"/>
    <x v="21"/>
    <x v="200"/>
    <x v="761"/>
    <x v="0"/>
    <s v="SANTIAGO INTERAMERICANA"/>
    <x v="1"/>
  </r>
  <r>
    <x v="58"/>
    <x v="78"/>
    <x v="4"/>
    <x v="4"/>
    <x v="0"/>
    <x v="2"/>
    <x v="21"/>
    <x v="160"/>
    <x v="782"/>
    <x v="0"/>
    <s v="SANTIAGO INTERAMERICANA"/>
    <x v="1"/>
  </r>
  <r>
    <x v="58"/>
    <x v="160"/>
    <x v="0"/>
    <x v="0"/>
    <x v="0"/>
    <x v="2"/>
    <x v="26"/>
    <x v="179"/>
    <x v="1294"/>
    <x v="0"/>
    <s v="SANTIAGO INTERAMERICANA"/>
    <x v="1"/>
  </r>
  <r>
    <x v="58"/>
    <x v="58"/>
    <x v="1"/>
    <x v="1"/>
    <x v="0"/>
    <x v="2"/>
    <x v="21"/>
    <x v="84"/>
    <x v="1295"/>
    <x v="0"/>
    <s v="SANTIAGO INTERAMERICANA"/>
    <x v="1"/>
  </r>
  <r>
    <x v="58"/>
    <x v="40"/>
    <x v="1"/>
    <x v="1"/>
    <x v="0"/>
    <x v="2"/>
    <x v="26"/>
    <x v="125"/>
    <x v="1296"/>
    <x v="0"/>
    <s v="SANTIAGO INTERAMERICANA"/>
    <x v="1"/>
  </r>
  <r>
    <x v="58"/>
    <x v="127"/>
    <x v="1"/>
    <x v="1"/>
    <x v="0"/>
    <x v="2"/>
    <x v="21"/>
    <x v="85"/>
    <x v="1295"/>
    <x v="0"/>
    <s v="SANTIAGO INTERAMERICANA"/>
    <x v="1"/>
  </r>
  <r>
    <x v="58"/>
    <x v="1"/>
    <x v="1"/>
    <x v="1"/>
    <x v="0"/>
    <x v="2"/>
    <x v="1"/>
    <x v="1"/>
    <x v="1"/>
    <x v="305"/>
    <s v="SANTIAGO INTERAMERICANA"/>
    <x v="1"/>
  </r>
  <r>
    <x v="59"/>
    <x v="56"/>
    <x v="3"/>
    <x v="3"/>
    <x v="0"/>
    <x v="2"/>
    <x v="21"/>
    <x v="153"/>
    <x v="814"/>
    <x v="0"/>
    <s v="CIUDAD DEL SABER"/>
    <x v="1"/>
  </r>
  <r>
    <x v="59"/>
    <x v="120"/>
    <x v="0"/>
    <x v="0"/>
    <x v="0"/>
    <x v="2"/>
    <x v="20"/>
    <x v="229"/>
    <x v="814"/>
    <x v="0"/>
    <s v="CIUDAD DEL SABER"/>
    <x v="1"/>
  </r>
  <r>
    <x v="59"/>
    <x v="83"/>
    <x v="1"/>
    <x v="1"/>
    <x v="0"/>
    <x v="2"/>
    <x v="26"/>
    <x v="215"/>
    <x v="1"/>
    <x v="306"/>
    <s v="CIUDAD DEL SABER"/>
    <x v="1"/>
  </r>
  <r>
    <x v="59"/>
    <x v="1"/>
    <x v="1"/>
    <x v="1"/>
    <x v="0"/>
    <x v="2"/>
    <x v="1"/>
    <x v="1"/>
    <x v="1"/>
    <x v="307"/>
    <s v="CIUDAD DEL SABER"/>
    <x v="1"/>
  </r>
  <r>
    <x v="60"/>
    <x v="143"/>
    <x v="2"/>
    <x v="2"/>
    <x v="0"/>
    <x v="2"/>
    <x v="20"/>
    <x v="230"/>
    <x v="1297"/>
    <x v="0"/>
    <s v="VILLA ZAITA"/>
    <x v="1"/>
  </r>
  <r>
    <x v="60"/>
    <x v="157"/>
    <x v="2"/>
    <x v="2"/>
    <x v="0"/>
    <x v="2"/>
    <x v="20"/>
    <x v="230"/>
    <x v="1298"/>
    <x v="0"/>
    <s v="VILLA ZAITA"/>
    <x v="1"/>
  </r>
  <r>
    <x v="60"/>
    <x v="36"/>
    <x v="6"/>
    <x v="6"/>
    <x v="0"/>
    <x v="2"/>
    <x v="20"/>
    <x v="230"/>
    <x v="1299"/>
    <x v="0"/>
    <s v="VILLA ZAITA"/>
    <x v="1"/>
  </r>
  <r>
    <x v="60"/>
    <x v="147"/>
    <x v="6"/>
    <x v="6"/>
    <x v="0"/>
    <x v="2"/>
    <x v="20"/>
    <x v="230"/>
    <x v="768"/>
    <x v="0"/>
    <s v="VILLA ZAITA"/>
    <x v="1"/>
  </r>
  <r>
    <x v="60"/>
    <x v="108"/>
    <x v="3"/>
    <x v="3"/>
    <x v="0"/>
    <x v="2"/>
    <x v="20"/>
    <x v="230"/>
    <x v="814"/>
    <x v="0"/>
    <s v="VILLA ZAITA"/>
    <x v="1"/>
  </r>
  <r>
    <x v="60"/>
    <x v="1"/>
    <x v="1"/>
    <x v="1"/>
    <x v="0"/>
    <x v="2"/>
    <x v="1"/>
    <x v="1"/>
    <x v="1"/>
    <x v="308"/>
    <s v="VILLA ZAITA"/>
    <x v="1"/>
  </r>
  <r>
    <x v="61"/>
    <x v="61"/>
    <x v="3"/>
    <x v="3"/>
    <x v="0"/>
    <x v="2"/>
    <x v="20"/>
    <x v="231"/>
    <x v="780"/>
    <x v="0"/>
    <s v="AZUERO TERMINAL PLAZA"/>
    <x v="1"/>
  </r>
  <r>
    <x v="61"/>
    <x v="56"/>
    <x v="3"/>
    <x v="3"/>
    <x v="0"/>
    <x v="2"/>
    <x v="29"/>
    <x v="51"/>
    <x v="1"/>
    <x v="188"/>
    <s v="AZUERO TERMINAL PLAZA"/>
    <x v="1"/>
  </r>
  <r>
    <x v="61"/>
    <x v="90"/>
    <x v="0"/>
    <x v="0"/>
    <x v="0"/>
    <x v="2"/>
    <x v="21"/>
    <x v="79"/>
    <x v="974"/>
    <x v="0"/>
    <s v="AZUERO TERMINAL PLAZA"/>
    <x v="1"/>
  </r>
  <r>
    <x v="61"/>
    <x v="91"/>
    <x v="0"/>
    <x v="0"/>
    <x v="0"/>
    <x v="2"/>
    <x v="21"/>
    <x v="118"/>
    <x v="974"/>
    <x v="0"/>
    <s v="AZUERO TERMINAL PLAZA"/>
    <x v="1"/>
  </r>
  <r>
    <x v="61"/>
    <x v="1"/>
    <x v="1"/>
    <x v="1"/>
    <x v="0"/>
    <x v="2"/>
    <x v="1"/>
    <x v="1"/>
    <x v="1"/>
    <x v="309"/>
    <s v="AZUERO TERMINAL PLAZA"/>
    <x v="1"/>
  </r>
  <r>
    <x v="61"/>
    <x v="11"/>
    <x v="6"/>
    <x v="6"/>
    <x v="0"/>
    <x v="1"/>
    <x v="21"/>
    <x v="91"/>
    <x v="839"/>
    <x v="0"/>
    <s v="AZUERO TERMINAL PLAZA"/>
    <x v="1"/>
  </r>
  <r>
    <x v="61"/>
    <x v="1"/>
    <x v="1"/>
    <x v="1"/>
    <x v="0"/>
    <x v="1"/>
    <x v="1"/>
    <x v="1"/>
    <x v="1"/>
    <x v="310"/>
    <s v="AZUERO TERMINAL PLAZA"/>
    <x v="1"/>
  </r>
  <r>
    <x v="62"/>
    <x v="71"/>
    <x v="6"/>
    <x v="6"/>
    <x v="0"/>
    <x v="2"/>
    <x v="20"/>
    <x v="232"/>
    <x v="742"/>
    <x v="0"/>
    <s v="TOWN CENTER COSTA DEL ESTE"/>
    <x v="1"/>
  </r>
  <r>
    <x v="62"/>
    <x v="22"/>
    <x v="1"/>
    <x v="1"/>
    <x v="0"/>
    <x v="2"/>
    <x v="20"/>
    <x v="232"/>
    <x v="751"/>
    <x v="0"/>
    <s v="TOWN CENTER COSTA DEL ESTE"/>
    <x v="1"/>
  </r>
  <r>
    <x v="62"/>
    <x v="1"/>
    <x v="1"/>
    <x v="1"/>
    <x v="0"/>
    <x v="2"/>
    <x v="1"/>
    <x v="1"/>
    <x v="1"/>
    <x v="311"/>
    <s v="TOWN CENTER COSTA DEL ESTE"/>
    <x v="1"/>
  </r>
  <r>
    <x v="63"/>
    <x v="135"/>
    <x v="3"/>
    <x v="3"/>
    <x v="0"/>
    <x v="2"/>
    <x v="21"/>
    <x v="149"/>
    <x v="1046"/>
    <x v="0"/>
    <s v="COSTA VERDE"/>
    <x v="1"/>
  </r>
  <r>
    <x v="63"/>
    <x v="114"/>
    <x v="3"/>
    <x v="3"/>
    <x v="0"/>
    <x v="2"/>
    <x v="20"/>
    <x v="233"/>
    <x v="771"/>
    <x v="0"/>
    <s v="COSTA VERDE"/>
    <x v="1"/>
  </r>
  <r>
    <x v="63"/>
    <x v="68"/>
    <x v="4"/>
    <x v="4"/>
    <x v="0"/>
    <x v="2"/>
    <x v="20"/>
    <x v="233"/>
    <x v="816"/>
    <x v="0"/>
    <s v="COSTA VERDE"/>
    <x v="1"/>
  </r>
  <r>
    <x v="63"/>
    <x v="132"/>
    <x v="4"/>
    <x v="4"/>
    <x v="0"/>
    <x v="2"/>
    <x v="20"/>
    <x v="233"/>
    <x v="771"/>
    <x v="0"/>
    <s v="COSTA VERDE"/>
    <x v="1"/>
  </r>
  <r>
    <x v="63"/>
    <x v="89"/>
    <x v="4"/>
    <x v="4"/>
    <x v="0"/>
    <x v="2"/>
    <x v="20"/>
    <x v="233"/>
    <x v="1300"/>
    <x v="0"/>
    <s v="COSTA VERDE"/>
    <x v="1"/>
  </r>
  <r>
    <x v="63"/>
    <x v="52"/>
    <x v="0"/>
    <x v="0"/>
    <x v="0"/>
    <x v="2"/>
    <x v="20"/>
    <x v="233"/>
    <x v="771"/>
    <x v="0"/>
    <s v="COSTA VERDE"/>
    <x v="1"/>
  </r>
  <r>
    <x v="63"/>
    <x v="120"/>
    <x v="0"/>
    <x v="0"/>
    <x v="0"/>
    <x v="2"/>
    <x v="20"/>
    <x v="233"/>
    <x v="1300"/>
    <x v="0"/>
    <s v="COSTA VERDE"/>
    <x v="1"/>
  </r>
  <r>
    <x v="63"/>
    <x v="77"/>
    <x v="5"/>
    <x v="5"/>
    <x v="0"/>
    <x v="2"/>
    <x v="20"/>
    <x v="233"/>
    <x v="771"/>
    <x v="0"/>
    <s v="COSTA VERDE"/>
    <x v="1"/>
  </r>
  <r>
    <x v="63"/>
    <x v="155"/>
    <x v="1"/>
    <x v="1"/>
    <x v="0"/>
    <x v="2"/>
    <x v="21"/>
    <x v="145"/>
    <x v="769"/>
    <x v="0"/>
    <s v="COSTA VERDE"/>
    <x v="1"/>
  </r>
  <r>
    <x v="63"/>
    <x v="1"/>
    <x v="1"/>
    <x v="1"/>
    <x v="0"/>
    <x v="2"/>
    <x v="1"/>
    <x v="1"/>
    <x v="1"/>
    <x v="312"/>
    <s v="COSTA VERDE"/>
    <x v="1"/>
  </r>
  <r>
    <x v="64"/>
    <x v="35"/>
    <x v="2"/>
    <x v="2"/>
    <x v="0"/>
    <x v="2"/>
    <x v="20"/>
    <x v="234"/>
    <x v="747"/>
    <x v="0"/>
    <s v="PLAZA LOS ANGELES"/>
    <x v="1"/>
  </r>
  <r>
    <x v="64"/>
    <x v="79"/>
    <x v="3"/>
    <x v="3"/>
    <x v="0"/>
    <x v="2"/>
    <x v="20"/>
    <x v="234"/>
    <x v="744"/>
    <x v="0"/>
    <s v="PLAZA LOS ANGELES"/>
    <x v="1"/>
  </r>
  <r>
    <x v="64"/>
    <x v="4"/>
    <x v="4"/>
    <x v="4"/>
    <x v="0"/>
    <x v="2"/>
    <x v="20"/>
    <x v="234"/>
    <x v="768"/>
    <x v="0"/>
    <s v="PLAZA LOS ANGELES"/>
    <x v="1"/>
  </r>
  <r>
    <x v="64"/>
    <x v="51"/>
    <x v="4"/>
    <x v="4"/>
    <x v="0"/>
    <x v="2"/>
    <x v="20"/>
    <x v="234"/>
    <x v="776"/>
    <x v="0"/>
    <s v="PLAZA LOS ANGELES"/>
    <x v="1"/>
  </r>
  <r>
    <x v="64"/>
    <x v="98"/>
    <x v="1"/>
    <x v="1"/>
    <x v="0"/>
    <x v="2"/>
    <x v="20"/>
    <x v="234"/>
    <x v="1301"/>
    <x v="0"/>
    <s v="PLAZA LOS ANGELES"/>
    <x v="1"/>
  </r>
  <r>
    <x v="64"/>
    <x v="128"/>
    <x v="1"/>
    <x v="1"/>
    <x v="0"/>
    <x v="2"/>
    <x v="20"/>
    <x v="234"/>
    <x v="747"/>
    <x v="0"/>
    <s v="PLAZA LOS ANGELES"/>
    <x v="1"/>
  </r>
  <r>
    <x v="64"/>
    <x v="1"/>
    <x v="1"/>
    <x v="1"/>
    <x v="0"/>
    <x v="2"/>
    <x v="1"/>
    <x v="1"/>
    <x v="1"/>
    <x v="313"/>
    <s v="PLAZA LOS ANGELES"/>
    <x v="1"/>
  </r>
  <r>
    <x v="64"/>
    <x v="28"/>
    <x v="3"/>
    <x v="3"/>
    <x v="0"/>
    <x v="0"/>
    <x v="23"/>
    <x v="235"/>
    <x v="1"/>
    <x v="314"/>
    <s v="PLAZA LOS ANGELES"/>
    <x v="1"/>
  </r>
  <r>
    <x v="64"/>
    <x v="44"/>
    <x v="3"/>
    <x v="3"/>
    <x v="0"/>
    <x v="0"/>
    <x v="30"/>
    <x v="236"/>
    <x v="776"/>
    <x v="0"/>
    <s v="PLAZA LOS ANGELES"/>
    <x v="1"/>
  </r>
  <r>
    <x v="64"/>
    <x v="44"/>
    <x v="3"/>
    <x v="3"/>
    <x v="0"/>
    <x v="0"/>
    <x v="31"/>
    <x v="236"/>
    <x v="776"/>
    <x v="0"/>
    <s v="PLAZA LOS ANGELES"/>
    <x v="1"/>
  </r>
  <r>
    <x v="64"/>
    <x v="1"/>
    <x v="1"/>
    <x v="1"/>
    <x v="0"/>
    <x v="0"/>
    <x v="1"/>
    <x v="1"/>
    <x v="1"/>
    <x v="314"/>
    <s v="PLAZA LOS ANGELES"/>
    <x v="1"/>
  </r>
  <r>
    <x v="65"/>
    <x v="10"/>
    <x v="3"/>
    <x v="3"/>
    <x v="0"/>
    <x v="2"/>
    <x v="21"/>
    <x v="123"/>
    <x v="909"/>
    <x v="0"/>
    <s v="SAN MATEO"/>
    <x v="1"/>
  </r>
  <r>
    <x v="65"/>
    <x v="1"/>
    <x v="1"/>
    <x v="1"/>
    <x v="0"/>
    <x v="2"/>
    <x v="1"/>
    <x v="1"/>
    <x v="1"/>
    <x v="315"/>
    <s v="SAN MATEO"/>
    <x v="1"/>
  </r>
  <r>
    <x v="66"/>
    <x v="70"/>
    <x v="2"/>
    <x v="2"/>
    <x v="0"/>
    <x v="2"/>
    <x v="21"/>
    <x v="36"/>
    <x v="769"/>
    <x v="0"/>
    <s v="BRISAS DEL GOLF ARRAIJAN"/>
    <x v="1"/>
  </r>
  <r>
    <x v="66"/>
    <x v="85"/>
    <x v="2"/>
    <x v="2"/>
    <x v="0"/>
    <x v="2"/>
    <x v="20"/>
    <x v="237"/>
    <x v="771"/>
    <x v="0"/>
    <s v="BRISAS DEL GOLF ARRAIJAN"/>
    <x v="1"/>
  </r>
  <r>
    <x v="66"/>
    <x v="129"/>
    <x v="2"/>
    <x v="2"/>
    <x v="0"/>
    <x v="2"/>
    <x v="20"/>
    <x v="237"/>
    <x v="771"/>
    <x v="0"/>
    <s v="BRISAS DEL GOLF ARRAIJAN"/>
    <x v="1"/>
  </r>
  <r>
    <x v="66"/>
    <x v="167"/>
    <x v="6"/>
    <x v="6"/>
    <x v="0"/>
    <x v="2"/>
    <x v="20"/>
    <x v="237"/>
    <x v="771"/>
    <x v="0"/>
    <s v="BRISAS DEL GOLF ARRAIJAN"/>
    <x v="1"/>
  </r>
  <r>
    <x v="66"/>
    <x v="36"/>
    <x v="6"/>
    <x v="6"/>
    <x v="0"/>
    <x v="2"/>
    <x v="20"/>
    <x v="237"/>
    <x v="771"/>
    <x v="0"/>
    <s v="BRISAS DEL GOLF ARRAIJAN"/>
    <x v="1"/>
  </r>
  <r>
    <x v="66"/>
    <x v="11"/>
    <x v="6"/>
    <x v="6"/>
    <x v="0"/>
    <x v="2"/>
    <x v="20"/>
    <x v="237"/>
    <x v="1302"/>
    <x v="0"/>
    <s v="BRISAS DEL GOLF ARRAIJAN"/>
    <x v="1"/>
  </r>
  <r>
    <x v="66"/>
    <x v="74"/>
    <x v="3"/>
    <x v="3"/>
    <x v="0"/>
    <x v="2"/>
    <x v="20"/>
    <x v="237"/>
    <x v="771"/>
    <x v="0"/>
    <s v="BRISAS DEL GOLF ARRAIJAN"/>
    <x v="1"/>
  </r>
  <r>
    <x v="66"/>
    <x v="131"/>
    <x v="3"/>
    <x v="3"/>
    <x v="0"/>
    <x v="2"/>
    <x v="20"/>
    <x v="237"/>
    <x v="771"/>
    <x v="0"/>
    <s v="BRISAS DEL GOLF ARRAIJAN"/>
    <x v="1"/>
  </r>
  <r>
    <x v="66"/>
    <x v="31"/>
    <x v="4"/>
    <x v="4"/>
    <x v="0"/>
    <x v="2"/>
    <x v="20"/>
    <x v="237"/>
    <x v="873"/>
    <x v="0"/>
    <s v="BRISAS DEL GOLF ARRAIJAN"/>
    <x v="1"/>
  </r>
  <r>
    <x v="66"/>
    <x v="90"/>
    <x v="0"/>
    <x v="0"/>
    <x v="0"/>
    <x v="2"/>
    <x v="20"/>
    <x v="237"/>
    <x v="771"/>
    <x v="0"/>
    <s v="BRISAS DEL GOLF ARRAIJAN"/>
    <x v="1"/>
  </r>
  <r>
    <x v="66"/>
    <x v="57"/>
    <x v="0"/>
    <x v="0"/>
    <x v="0"/>
    <x v="2"/>
    <x v="20"/>
    <x v="237"/>
    <x v="771"/>
    <x v="0"/>
    <s v="BRISAS DEL GOLF ARRAIJAN"/>
    <x v="1"/>
  </r>
  <r>
    <x v="66"/>
    <x v="100"/>
    <x v="0"/>
    <x v="0"/>
    <x v="0"/>
    <x v="2"/>
    <x v="20"/>
    <x v="237"/>
    <x v="873"/>
    <x v="0"/>
    <s v="BRISAS DEL GOLF ARRAIJAN"/>
    <x v="1"/>
  </r>
  <r>
    <x v="66"/>
    <x v="46"/>
    <x v="0"/>
    <x v="0"/>
    <x v="0"/>
    <x v="2"/>
    <x v="20"/>
    <x v="237"/>
    <x v="873"/>
    <x v="0"/>
    <s v="BRISAS DEL GOLF ARRAIJAN"/>
    <x v="1"/>
  </r>
  <r>
    <x v="66"/>
    <x v="93"/>
    <x v="0"/>
    <x v="0"/>
    <x v="0"/>
    <x v="2"/>
    <x v="20"/>
    <x v="237"/>
    <x v="873"/>
    <x v="0"/>
    <s v="BRISAS DEL GOLF ARRAIJAN"/>
    <x v="1"/>
  </r>
  <r>
    <x v="66"/>
    <x v="63"/>
    <x v="5"/>
    <x v="5"/>
    <x v="0"/>
    <x v="2"/>
    <x v="20"/>
    <x v="237"/>
    <x v="769"/>
    <x v="0"/>
    <s v="BRISAS DEL GOLF ARRAIJAN"/>
    <x v="1"/>
  </r>
  <r>
    <x v="66"/>
    <x v="20"/>
    <x v="5"/>
    <x v="5"/>
    <x v="0"/>
    <x v="2"/>
    <x v="21"/>
    <x v="45"/>
    <x v="769"/>
    <x v="0"/>
    <s v="BRISAS DEL GOLF ARRAIJAN"/>
    <x v="1"/>
  </r>
  <r>
    <x v="66"/>
    <x v="1"/>
    <x v="1"/>
    <x v="1"/>
    <x v="0"/>
    <x v="2"/>
    <x v="1"/>
    <x v="1"/>
    <x v="1"/>
    <x v="316"/>
    <s v="BRISAS DEL GOLF ARRAIJAN"/>
    <x v="1"/>
  </r>
  <r>
    <x v="66"/>
    <x v="11"/>
    <x v="6"/>
    <x v="6"/>
    <x v="0"/>
    <x v="0"/>
    <x v="21"/>
    <x v="91"/>
    <x v="819"/>
    <x v="0"/>
    <s v="BRISAS DEL GOLF ARRAIJAN"/>
    <x v="1"/>
  </r>
  <r>
    <x v="66"/>
    <x v="121"/>
    <x v="0"/>
    <x v="0"/>
    <x v="0"/>
    <x v="0"/>
    <x v="21"/>
    <x v="80"/>
    <x v="769"/>
    <x v="0"/>
    <s v="BRISAS DEL GOLF ARRAIJAN"/>
    <x v="1"/>
  </r>
  <r>
    <x v="66"/>
    <x v="1"/>
    <x v="1"/>
    <x v="1"/>
    <x v="0"/>
    <x v="0"/>
    <x v="1"/>
    <x v="1"/>
    <x v="1"/>
    <x v="317"/>
    <s v="BRISAS DEL GOLF ARRAIJAN"/>
    <x v="1"/>
  </r>
  <r>
    <x v="67"/>
    <x v="64"/>
    <x v="2"/>
    <x v="2"/>
    <x v="0"/>
    <x v="2"/>
    <x v="20"/>
    <x v="238"/>
    <x v="771"/>
    <x v="0"/>
    <s v="PASEO ARRAIJAN"/>
    <x v="1"/>
  </r>
  <r>
    <x v="67"/>
    <x v="107"/>
    <x v="2"/>
    <x v="2"/>
    <x v="0"/>
    <x v="2"/>
    <x v="20"/>
    <x v="238"/>
    <x v="1303"/>
    <x v="0"/>
    <s v="PASEO ARRAIJAN"/>
    <x v="1"/>
  </r>
  <r>
    <x v="67"/>
    <x v="146"/>
    <x v="6"/>
    <x v="6"/>
    <x v="0"/>
    <x v="2"/>
    <x v="20"/>
    <x v="238"/>
    <x v="769"/>
    <x v="0"/>
    <s v="PASEO ARRAIJAN"/>
    <x v="1"/>
  </r>
  <r>
    <x v="67"/>
    <x v="11"/>
    <x v="6"/>
    <x v="6"/>
    <x v="0"/>
    <x v="2"/>
    <x v="21"/>
    <x v="91"/>
    <x v="803"/>
    <x v="0"/>
    <s v="PASEO ARRAIJAN"/>
    <x v="1"/>
  </r>
  <r>
    <x v="67"/>
    <x v="49"/>
    <x v="3"/>
    <x v="3"/>
    <x v="0"/>
    <x v="2"/>
    <x v="20"/>
    <x v="238"/>
    <x v="805"/>
    <x v="0"/>
    <s v="PASEO ARRAIJAN"/>
    <x v="1"/>
  </r>
  <r>
    <x v="67"/>
    <x v="120"/>
    <x v="0"/>
    <x v="0"/>
    <x v="0"/>
    <x v="2"/>
    <x v="20"/>
    <x v="238"/>
    <x v="1304"/>
    <x v="0"/>
    <s v="PASEO ARRAIJAN"/>
    <x v="1"/>
  </r>
  <r>
    <x v="67"/>
    <x v="20"/>
    <x v="5"/>
    <x v="5"/>
    <x v="0"/>
    <x v="2"/>
    <x v="20"/>
    <x v="238"/>
    <x v="1304"/>
    <x v="0"/>
    <s v="PASEO ARRAIJAN"/>
    <x v="1"/>
  </r>
  <r>
    <x v="67"/>
    <x v="127"/>
    <x v="1"/>
    <x v="1"/>
    <x v="0"/>
    <x v="2"/>
    <x v="20"/>
    <x v="238"/>
    <x v="814"/>
    <x v="0"/>
    <s v="PASEO ARRAIJAN"/>
    <x v="1"/>
  </r>
  <r>
    <x v="67"/>
    <x v="1"/>
    <x v="1"/>
    <x v="1"/>
    <x v="0"/>
    <x v="2"/>
    <x v="1"/>
    <x v="1"/>
    <x v="1"/>
    <x v="318"/>
    <s v="PASEO ARRAIJAN"/>
    <x v="1"/>
  </r>
  <r>
    <x v="68"/>
    <x v="91"/>
    <x v="0"/>
    <x v="0"/>
    <x v="0"/>
    <x v="2"/>
    <x v="20"/>
    <x v="239"/>
    <x v="841"/>
    <x v="0"/>
    <s v="PLAZA NUEVO TOCUMEN"/>
    <x v="1"/>
  </r>
  <r>
    <x v="68"/>
    <x v="1"/>
    <x v="1"/>
    <x v="1"/>
    <x v="0"/>
    <x v="2"/>
    <x v="1"/>
    <x v="1"/>
    <x v="1"/>
    <x v="319"/>
    <s v="PLAZA NUEVO TOCUMEN"/>
    <x v="1"/>
  </r>
  <r>
    <x v="69"/>
    <x v="111"/>
    <x v="2"/>
    <x v="2"/>
    <x v="0"/>
    <x v="2"/>
    <x v="20"/>
    <x v="240"/>
    <x v="778"/>
    <x v="0"/>
    <s v="SANTA MARIA"/>
    <x v="1"/>
  </r>
  <r>
    <x v="69"/>
    <x v="65"/>
    <x v="6"/>
    <x v="6"/>
    <x v="0"/>
    <x v="2"/>
    <x v="20"/>
    <x v="240"/>
    <x v="778"/>
    <x v="0"/>
    <s v="SANTA MARIA"/>
    <x v="1"/>
  </r>
  <r>
    <x v="69"/>
    <x v="113"/>
    <x v="6"/>
    <x v="6"/>
    <x v="0"/>
    <x v="2"/>
    <x v="20"/>
    <x v="240"/>
    <x v="842"/>
    <x v="0"/>
    <s v="SANTA MARIA"/>
    <x v="1"/>
  </r>
  <r>
    <x v="69"/>
    <x v="96"/>
    <x v="6"/>
    <x v="6"/>
    <x v="0"/>
    <x v="2"/>
    <x v="20"/>
    <x v="240"/>
    <x v="744"/>
    <x v="0"/>
    <s v="SANTA MARIA"/>
    <x v="1"/>
  </r>
  <r>
    <x v="69"/>
    <x v="26"/>
    <x v="3"/>
    <x v="3"/>
    <x v="0"/>
    <x v="2"/>
    <x v="20"/>
    <x v="240"/>
    <x v="747"/>
    <x v="0"/>
    <s v="SANTA MARIA"/>
    <x v="1"/>
  </r>
  <r>
    <x v="69"/>
    <x v="148"/>
    <x v="3"/>
    <x v="3"/>
    <x v="0"/>
    <x v="2"/>
    <x v="20"/>
    <x v="240"/>
    <x v="747"/>
    <x v="0"/>
    <s v="SANTA MARIA"/>
    <x v="1"/>
  </r>
  <r>
    <x v="69"/>
    <x v="78"/>
    <x v="4"/>
    <x v="4"/>
    <x v="0"/>
    <x v="2"/>
    <x v="20"/>
    <x v="240"/>
    <x v="747"/>
    <x v="0"/>
    <s v="SANTA MARIA"/>
    <x v="1"/>
  </r>
  <r>
    <x v="69"/>
    <x v="5"/>
    <x v="0"/>
    <x v="0"/>
    <x v="0"/>
    <x v="2"/>
    <x v="20"/>
    <x v="240"/>
    <x v="842"/>
    <x v="0"/>
    <s v="SANTA MARIA"/>
    <x v="1"/>
  </r>
  <r>
    <x v="69"/>
    <x v="73"/>
    <x v="1"/>
    <x v="1"/>
    <x v="0"/>
    <x v="2"/>
    <x v="20"/>
    <x v="240"/>
    <x v="751"/>
    <x v="0"/>
    <s v="SANTA MARIA"/>
    <x v="1"/>
  </r>
  <r>
    <x v="69"/>
    <x v="1"/>
    <x v="1"/>
    <x v="1"/>
    <x v="0"/>
    <x v="2"/>
    <x v="1"/>
    <x v="1"/>
    <x v="1"/>
    <x v="320"/>
    <s v="SANTA MARIA"/>
    <x v="1"/>
  </r>
  <r>
    <x v="0"/>
    <x v="79"/>
    <x v="3"/>
    <x v="3"/>
    <x v="0"/>
    <x v="2"/>
    <x v="32"/>
    <x v="142"/>
    <x v="1305"/>
    <x v="0"/>
    <s v="CASA MATRIZ"/>
    <x v="2"/>
  </r>
  <r>
    <x v="0"/>
    <x v="160"/>
    <x v="0"/>
    <x v="0"/>
    <x v="0"/>
    <x v="2"/>
    <x v="32"/>
    <x v="179"/>
    <x v="1306"/>
    <x v="0"/>
    <s v="CASA MATRIZ"/>
    <x v="2"/>
  </r>
  <r>
    <x v="0"/>
    <x v="1"/>
    <x v="1"/>
    <x v="1"/>
    <x v="0"/>
    <x v="2"/>
    <x v="1"/>
    <x v="1"/>
    <x v="1"/>
    <x v="321"/>
    <s v="CASA MATRIZ"/>
    <x v="2"/>
  </r>
  <r>
    <x v="0"/>
    <x v="148"/>
    <x v="3"/>
    <x v="3"/>
    <x v="0"/>
    <x v="0"/>
    <x v="33"/>
    <x v="174"/>
    <x v="1182"/>
    <x v="0"/>
    <s v="CASA MATRIZ"/>
    <x v="2"/>
  </r>
  <r>
    <x v="0"/>
    <x v="117"/>
    <x v="0"/>
    <x v="0"/>
    <x v="0"/>
    <x v="0"/>
    <x v="33"/>
    <x v="65"/>
    <x v="759"/>
    <x v="0"/>
    <s v="CASA MATRIZ"/>
    <x v="2"/>
  </r>
  <r>
    <x v="0"/>
    <x v="1"/>
    <x v="1"/>
    <x v="1"/>
    <x v="0"/>
    <x v="0"/>
    <x v="1"/>
    <x v="1"/>
    <x v="1"/>
    <x v="322"/>
    <s v="CASA MATRIZ"/>
    <x v="2"/>
  </r>
  <r>
    <x v="1"/>
    <x v="10"/>
    <x v="3"/>
    <x v="3"/>
    <x v="0"/>
    <x v="2"/>
    <x v="33"/>
    <x v="123"/>
    <x v="874"/>
    <x v="0"/>
    <s v="PAITILLA"/>
    <x v="2"/>
  </r>
  <r>
    <x v="1"/>
    <x v="52"/>
    <x v="0"/>
    <x v="0"/>
    <x v="0"/>
    <x v="2"/>
    <x v="33"/>
    <x v="107"/>
    <x v="874"/>
    <x v="0"/>
    <s v="PAITILLA"/>
    <x v="2"/>
  </r>
  <r>
    <x v="1"/>
    <x v="153"/>
    <x v="5"/>
    <x v="5"/>
    <x v="0"/>
    <x v="2"/>
    <x v="33"/>
    <x v="157"/>
    <x v="874"/>
    <x v="0"/>
    <s v="PAITILLA"/>
    <x v="2"/>
  </r>
  <r>
    <x v="1"/>
    <x v="20"/>
    <x v="5"/>
    <x v="5"/>
    <x v="0"/>
    <x v="2"/>
    <x v="33"/>
    <x v="45"/>
    <x v="759"/>
    <x v="0"/>
    <s v="PAITILLA"/>
    <x v="2"/>
  </r>
  <r>
    <x v="1"/>
    <x v="1"/>
    <x v="1"/>
    <x v="1"/>
    <x v="0"/>
    <x v="2"/>
    <x v="1"/>
    <x v="1"/>
    <x v="1"/>
    <x v="237"/>
    <s v="PAITILLA"/>
    <x v="2"/>
  </r>
  <r>
    <x v="1"/>
    <x v="102"/>
    <x v="6"/>
    <x v="6"/>
    <x v="0"/>
    <x v="0"/>
    <x v="33"/>
    <x v="141"/>
    <x v="874"/>
    <x v="0"/>
    <s v="PAITILLA"/>
    <x v="2"/>
  </r>
  <r>
    <x v="1"/>
    <x v="19"/>
    <x v="3"/>
    <x v="3"/>
    <x v="0"/>
    <x v="0"/>
    <x v="33"/>
    <x v="62"/>
    <x v="874"/>
    <x v="0"/>
    <s v="PAITILLA"/>
    <x v="2"/>
  </r>
  <r>
    <x v="1"/>
    <x v="1"/>
    <x v="1"/>
    <x v="1"/>
    <x v="0"/>
    <x v="0"/>
    <x v="1"/>
    <x v="1"/>
    <x v="1"/>
    <x v="203"/>
    <s v="PAITILLA"/>
    <x v="2"/>
  </r>
  <r>
    <x v="2"/>
    <x v="118"/>
    <x v="2"/>
    <x v="2"/>
    <x v="0"/>
    <x v="0"/>
    <x v="33"/>
    <x v="69"/>
    <x v="874"/>
    <x v="0"/>
    <s v="EL DORADO"/>
    <x v="2"/>
  </r>
  <r>
    <x v="2"/>
    <x v="1"/>
    <x v="1"/>
    <x v="1"/>
    <x v="0"/>
    <x v="0"/>
    <x v="1"/>
    <x v="1"/>
    <x v="1"/>
    <x v="216"/>
    <s v="EL DORADO"/>
    <x v="2"/>
  </r>
  <r>
    <x v="2"/>
    <x v="1"/>
    <x v="1"/>
    <x v="1"/>
    <x v="0"/>
    <x v="1"/>
    <x v="1"/>
    <x v="1"/>
    <x v="1"/>
    <x v="216"/>
    <s v="EL DORADO"/>
    <x v="2"/>
  </r>
  <r>
    <x v="3"/>
    <x v="1"/>
    <x v="1"/>
    <x v="1"/>
    <x v="0"/>
    <x v="2"/>
    <x v="1"/>
    <x v="1"/>
    <x v="1"/>
    <x v="323"/>
    <s v="VIA ARGENTINA"/>
    <x v="2"/>
  </r>
  <r>
    <x v="3"/>
    <x v="1"/>
    <x v="1"/>
    <x v="1"/>
    <x v="0"/>
    <x v="1"/>
    <x v="1"/>
    <x v="1"/>
    <x v="1"/>
    <x v="216"/>
    <s v="VIA ARGENTINA"/>
    <x v="2"/>
  </r>
  <r>
    <x v="4"/>
    <x v="70"/>
    <x v="2"/>
    <x v="2"/>
    <x v="0"/>
    <x v="2"/>
    <x v="33"/>
    <x v="36"/>
    <x v="874"/>
    <x v="0"/>
    <s v="VIA PORRAS"/>
    <x v="2"/>
  </r>
  <r>
    <x v="4"/>
    <x v="144"/>
    <x v="2"/>
    <x v="2"/>
    <x v="0"/>
    <x v="2"/>
    <x v="32"/>
    <x v="162"/>
    <x v="1307"/>
    <x v="0"/>
    <s v="VIA PORRAS"/>
    <x v="2"/>
  </r>
  <r>
    <x v="4"/>
    <x v="79"/>
    <x v="3"/>
    <x v="3"/>
    <x v="0"/>
    <x v="2"/>
    <x v="32"/>
    <x v="142"/>
    <x v="1308"/>
    <x v="0"/>
    <s v="VIA PORRAS"/>
    <x v="2"/>
  </r>
  <r>
    <x v="4"/>
    <x v="79"/>
    <x v="3"/>
    <x v="3"/>
    <x v="0"/>
    <x v="2"/>
    <x v="33"/>
    <x v="142"/>
    <x v="759"/>
    <x v="0"/>
    <s v="VIA PORRAS"/>
    <x v="2"/>
  </r>
  <r>
    <x v="4"/>
    <x v="13"/>
    <x v="5"/>
    <x v="5"/>
    <x v="0"/>
    <x v="2"/>
    <x v="32"/>
    <x v="120"/>
    <x v="1309"/>
    <x v="0"/>
    <s v="VIA PORRAS"/>
    <x v="2"/>
  </r>
  <r>
    <x v="4"/>
    <x v="33"/>
    <x v="1"/>
    <x v="1"/>
    <x v="0"/>
    <x v="2"/>
    <x v="32"/>
    <x v="241"/>
    <x v="1310"/>
    <x v="0"/>
    <s v="VIA PORRAS"/>
    <x v="2"/>
  </r>
  <r>
    <x v="4"/>
    <x v="1"/>
    <x v="1"/>
    <x v="1"/>
    <x v="0"/>
    <x v="2"/>
    <x v="1"/>
    <x v="1"/>
    <x v="1"/>
    <x v="324"/>
    <s v="VIA PORRAS"/>
    <x v="2"/>
  </r>
  <r>
    <x v="4"/>
    <x v="47"/>
    <x v="2"/>
    <x v="2"/>
    <x v="0"/>
    <x v="0"/>
    <x v="33"/>
    <x v="68"/>
    <x v="874"/>
    <x v="0"/>
    <s v="VIA PORRAS"/>
    <x v="2"/>
  </r>
  <r>
    <x v="4"/>
    <x v="24"/>
    <x v="2"/>
    <x v="2"/>
    <x v="0"/>
    <x v="0"/>
    <x v="33"/>
    <x v="202"/>
    <x v="759"/>
    <x v="0"/>
    <s v="VIA PORRAS"/>
    <x v="2"/>
  </r>
  <r>
    <x v="4"/>
    <x v="129"/>
    <x v="2"/>
    <x v="2"/>
    <x v="0"/>
    <x v="0"/>
    <x v="33"/>
    <x v="204"/>
    <x v="146"/>
    <x v="0"/>
    <s v="VIA PORRAS"/>
    <x v="2"/>
  </r>
  <r>
    <x v="4"/>
    <x v="146"/>
    <x v="6"/>
    <x v="6"/>
    <x v="0"/>
    <x v="0"/>
    <x v="33"/>
    <x v="172"/>
    <x v="874"/>
    <x v="0"/>
    <s v="VIA PORRAS"/>
    <x v="2"/>
  </r>
  <r>
    <x v="4"/>
    <x v="36"/>
    <x v="6"/>
    <x v="6"/>
    <x v="0"/>
    <x v="0"/>
    <x v="33"/>
    <x v="94"/>
    <x v="874"/>
    <x v="0"/>
    <s v="VIA PORRAS"/>
    <x v="2"/>
  </r>
  <r>
    <x v="4"/>
    <x v="88"/>
    <x v="6"/>
    <x v="6"/>
    <x v="0"/>
    <x v="0"/>
    <x v="33"/>
    <x v="242"/>
    <x v="874"/>
    <x v="0"/>
    <s v="VIA PORRAS"/>
    <x v="2"/>
  </r>
  <r>
    <x v="4"/>
    <x v="134"/>
    <x v="6"/>
    <x v="6"/>
    <x v="0"/>
    <x v="0"/>
    <x v="33"/>
    <x v="226"/>
    <x v="899"/>
    <x v="0"/>
    <s v="VIA PORRAS"/>
    <x v="2"/>
  </r>
  <r>
    <x v="4"/>
    <x v="11"/>
    <x v="6"/>
    <x v="6"/>
    <x v="0"/>
    <x v="0"/>
    <x v="33"/>
    <x v="91"/>
    <x v="759"/>
    <x v="0"/>
    <s v="VIA PORRAS"/>
    <x v="2"/>
  </r>
  <r>
    <x v="4"/>
    <x v="19"/>
    <x v="3"/>
    <x v="3"/>
    <x v="0"/>
    <x v="0"/>
    <x v="33"/>
    <x v="62"/>
    <x v="874"/>
    <x v="0"/>
    <s v="VIA PORRAS"/>
    <x v="2"/>
  </r>
  <r>
    <x v="4"/>
    <x v="148"/>
    <x v="3"/>
    <x v="3"/>
    <x v="0"/>
    <x v="0"/>
    <x v="33"/>
    <x v="174"/>
    <x v="899"/>
    <x v="0"/>
    <s v="VIA PORRAS"/>
    <x v="2"/>
  </r>
  <r>
    <x v="4"/>
    <x v="132"/>
    <x v="4"/>
    <x v="4"/>
    <x v="0"/>
    <x v="0"/>
    <x v="33"/>
    <x v="95"/>
    <x v="1182"/>
    <x v="0"/>
    <s v="VIA PORRAS"/>
    <x v="2"/>
  </r>
  <r>
    <x v="4"/>
    <x v="89"/>
    <x v="4"/>
    <x v="4"/>
    <x v="0"/>
    <x v="0"/>
    <x v="33"/>
    <x v="154"/>
    <x v="874"/>
    <x v="0"/>
    <s v="VIA PORRAS"/>
    <x v="2"/>
  </r>
  <r>
    <x v="4"/>
    <x v="31"/>
    <x v="4"/>
    <x v="4"/>
    <x v="0"/>
    <x v="0"/>
    <x v="33"/>
    <x v="72"/>
    <x v="146"/>
    <x v="0"/>
    <s v="VIA PORRAS"/>
    <x v="2"/>
  </r>
  <r>
    <x v="4"/>
    <x v="119"/>
    <x v="0"/>
    <x v="0"/>
    <x v="0"/>
    <x v="0"/>
    <x v="33"/>
    <x v="96"/>
    <x v="759"/>
    <x v="0"/>
    <s v="VIA PORRAS"/>
    <x v="2"/>
  </r>
  <r>
    <x v="4"/>
    <x v="40"/>
    <x v="1"/>
    <x v="1"/>
    <x v="0"/>
    <x v="0"/>
    <x v="33"/>
    <x v="125"/>
    <x v="759"/>
    <x v="0"/>
    <s v="VIA PORRAS"/>
    <x v="2"/>
  </r>
  <r>
    <x v="4"/>
    <x v="95"/>
    <x v="1"/>
    <x v="1"/>
    <x v="0"/>
    <x v="0"/>
    <x v="33"/>
    <x v="97"/>
    <x v="874"/>
    <x v="0"/>
    <s v="VIA PORRAS"/>
    <x v="2"/>
  </r>
  <r>
    <x v="4"/>
    <x v="127"/>
    <x v="1"/>
    <x v="1"/>
    <x v="0"/>
    <x v="0"/>
    <x v="33"/>
    <x v="85"/>
    <x v="146"/>
    <x v="0"/>
    <s v="VIA PORRAS"/>
    <x v="2"/>
  </r>
  <r>
    <x v="4"/>
    <x v="8"/>
    <x v="1"/>
    <x v="1"/>
    <x v="0"/>
    <x v="0"/>
    <x v="33"/>
    <x v="187"/>
    <x v="759"/>
    <x v="0"/>
    <s v="VIA PORRAS"/>
    <x v="2"/>
  </r>
  <r>
    <x v="4"/>
    <x v="98"/>
    <x v="1"/>
    <x v="1"/>
    <x v="0"/>
    <x v="0"/>
    <x v="33"/>
    <x v="198"/>
    <x v="146"/>
    <x v="0"/>
    <s v="VIA PORRAS"/>
    <x v="2"/>
  </r>
  <r>
    <x v="4"/>
    <x v="1"/>
    <x v="1"/>
    <x v="1"/>
    <x v="0"/>
    <x v="0"/>
    <x v="1"/>
    <x v="1"/>
    <x v="1"/>
    <x v="325"/>
    <s v="VIA PORRAS"/>
    <x v="2"/>
  </r>
  <r>
    <x v="4"/>
    <x v="129"/>
    <x v="2"/>
    <x v="2"/>
    <x v="0"/>
    <x v="1"/>
    <x v="33"/>
    <x v="204"/>
    <x v="874"/>
    <x v="0"/>
    <s v="VIA PORRAS"/>
    <x v="2"/>
  </r>
  <r>
    <x v="4"/>
    <x v="114"/>
    <x v="3"/>
    <x v="3"/>
    <x v="0"/>
    <x v="1"/>
    <x v="33"/>
    <x v="76"/>
    <x v="874"/>
    <x v="0"/>
    <s v="VIA PORRAS"/>
    <x v="2"/>
  </r>
  <r>
    <x v="4"/>
    <x v="1"/>
    <x v="1"/>
    <x v="1"/>
    <x v="0"/>
    <x v="1"/>
    <x v="1"/>
    <x v="1"/>
    <x v="1"/>
    <x v="261"/>
    <s v="VIA PORRAS"/>
    <x v="2"/>
  </r>
  <r>
    <x v="5"/>
    <x v="19"/>
    <x v="3"/>
    <x v="3"/>
    <x v="0"/>
    <x v="0"/>
    <x v="33"/>
    <x v="62"/>
    <x v="874"/>
    <x v="0"/>
    <s v="EL INGENIO"/>
    <x v="2"/>
  </r>
  <r>
    <x v="5"/>
    <x v="1"/>
    <x v="1"/>
    <x v="1"/>
    <x v="0"/>
    <x v="0"/>
    <x v="1"/>
    <x v="1"/>
    <x v="1"/>
    <x v="216"/>
    <s v="EL INGENIO"/>
    <x v="2"/>
  </r>
  <r>
    <x v="6"/>
    <x v="0"/>
    <x v="0"/>
    <x v="0"/>
    <x v="0"/>
    <x v="2"/>
    <x v="32"/>
    <x v="197"/>
    <x v="1311"/>
    <x v="0"/>
    <s v="CHANIS"/>
    <x v="2"/>
  </r>
  <r>
    <x v="6"/>
    <x v="1"/>
    <x v="1"/>
    <x v="1"/>
    <x v="0"/>
    <x v="2"/>
    <x v="1"/>
    <x v="1"/>
    <x v="1"/>
    <x v="326"/>
    <s v="CHANIS"/>
    <x v="2"/>
  </r>
  <r>
    <x v="6"/>
    <x v="1"/>
    <x v="1"/>
    <x v="1"/>
    <x v="0"/>
    <x v="0"/>
    <x v="1"/>
    <x v="1"/>
    <x v="1"/>
    <x v="216"/>
    <s v="CHANIS"/>
    <x v="2"/>
  </r>
  <r>
    <x v="7"/>
    <x v="64"/>
    <x v="2"/>
    <x v="2"/>
    <x v="0"/>
    <x v="2"/>
    <x v="32"/>
    <x v="139"/>
    <x v="1312"/>
    <x v="0"/>
    <s v="PLAZA TOCUMEN"/>
    <x v="2"/>
  </r>
  <r>
    <x v="7"/>
    <x v="107"/>
    <x v="2"/>
    <x v="2"/>
    <x v="0"/>
    <x v="2"/>
    <x v="32"/>
    <x v="158"/>
    <x v="1215"/>
    <x v="0"/>
    <s v="PLAZA TOCUMEN"/>
    <x v="2"/>
  </r>
  <r>
    <x v="7"/>
    <x v="102"/>
    <x v="6"/>
    <x v="6"/>
    <x v="0"/>
    <x v="2"/>
    <x v="32"/>
    <x v="141"/>
    <x v="982"/>
    <x v="0"/>
    <s v="PLAZA TOCUMEN"/>
    <x v="2"/>
  </r>
  <r>
    <x v="7"/>
    <x v="21"/>
    <x v="6"/>
    <x v="6"/>
    <x v="0"/>
    <x v="2"/>
    <x v="32"/>
    <x v="70"/>
    <x v="1291"/>
    <x v="0"/>
    <s v="PLAZA TOCUMEN"/>
    <x v="2"/>
  </r>
  <r>
    <x v="7"/>
    <x v="3"/>
    <x v="3"/>
    <x v="3"/>
    <x v="0"/>
    <x v="2"/>
    <x v="32"/>
    <x v="243"/>
    <x v="801"/>
    <x v="0"/>
    <s v="PLAZA TOCUMEN"/>
    <x v="2"/>
  </r>
  <r>
    <x v="7"/>
    <x v="160"/>
    <x v="0"/>
    <x v="0"/>
    <x v="0"/>
    <x v="2"/>
    <x v="32"/>
    <x v="179"/>
    <x v="1313"/>
    <x v="0"/>
    <s v="PLAZA TOCUMEN"/>
    <x v="2"/>
  </r>
  <r>
    <x v="7"/>
    <x v="122"/>
    <x v="0"/>
    <x v="0"/>
    <x v="0"/>
    <x v="2"/>
    <x v="33"/>
    <x v="181"/>
    <x v="874"/>
    <x v="0"/>
    <s v="PLAZA TOCUMEN"/>
    <x v="2"/>
  </r>
  <r>
    <x v="7"/>
    <x v="145"/>
    <x v="5"/>
    <x v="5"/>
    <x v="0"/>
    <x v="2"/>
    <x v="32"/>
    <x v="124"/>
    <x v="1314"/>
    <x v="0"/>
    <s v="PLAZA TOCUMEN"/>
    <x v="2"/>
  </r>
  <r>
    <x v="7"/>
    <x v="83"/>
    <x v="1"/>
    <x v="1"/>
    <x v="0"/>
    <x v="2"/>
    <x v="32"/>
    <x v="215"/>
    <x v="1315"/>
    <x v="0"/>
    <s v="PLAZA TOCUMEN"/>
    <x v="2"/>
  </r>
  <r>
    <x v="7"/>
    <x v="1"/>
    <x v="1"/>
    <x v="1"/>
    <x v="0"/>
    <x v="2"/>
    <x v="1"/>
    <x v="1"/>
    <x v="1"/>
    <x v="327"/>
    <s v="PLAZA TOCUMEN"/>
    <x v="2"/>
  </r>
  <r>
    <x v="8"/>
    <x v="1"/>
    <x v="1"/>
    <x v="1"/>
    <x v="0"/>
    <x v="2"/>
    <x v="1"/>
    <x v="1"/>
    <x v="1"/>
    <x v="328"/>
    <s v="SANTIAGO"/>
    <x v="2"/>
  </r>
  <r>
    <x v="9"/>
    <x v="107"/>
    <x v="2"/>
    <x v="2"/>
    <x v="0"/>
    <x v="2"/>
    <x v="32"/>
    <x v="158"/>
    <x v="1316"/>
    <x v="0"/>
    <s v="OBARRIO"/>
    <x v="2"/>
  </r>
  <r>
    <x v="9"/>
    <x v="125"/>
    <x v="5"/>
    <x v="5"/>
    <x v="0"/>
    <x v="2"/>
    <x v="32"/>
    <x v="82"/>
    <x v="1317"/>
    <x v="0"/>
    <s v="OBARRIO"/>
    <x v="2"/>
  </r>
  <r>
    <x v="9"/>
    <x v="1"/>
    <x v="1"/>
    <x v="1"/>
    <x v="0"/>
    <x v="2"/>
    <x v="1"/>
    <x v="1"/>
    <x v="1"/>
    <x v="329"/>
    <s v="OBARRIO"/>
    <x v="2"/>
  </r>
  <r>
    <x v="9"/>
    <x v="71"/>
    <x v="6"/>
    <x v="6"/>
    <x v="0"/>
    <x v="0"/>
    <x v="33"/>
    <x v="37"/>
    <x v="874"/>
    <x v="0"/>
    <s v="OBARRIO"/>
    <x v="2"/>
  </r>
  <r>
    <x v="9"/>
    <x v="61"/>
    <x v="3"/>
    <x v="3"/>
    <x v="0"/>
    <x v="0"/>
    <x v="33"/>
    <x v="126"/>
    <x v="874"/>
    <x v="0"/>
    <s v="OBARRIO"/>
    <x v="2"/>
  </r>
  <r>
    <x v="9"/>
    <x v="132"/>
    <x v="4"/>
    <x v="4"/>
    <x v="0"/>
    <x v="0"/>
    <x v="33"/>
    <x v="95"/>
    <x v="146"/>
    <x v="0"/>
    <s v="OBARRIO"/>
    <x v="2"/>
  </r>
  <r>
    <x v="9"/>
    <x v="31"/>
    <x v="4"/>
    <x v="4"/>
    <x v="0"/>
    <x v="0"/>
    <x v="33"/>
    <x v="72"/>
    <x v="874"/>
    <x v="0"/>
    <s v="OBARRIO"/>
    <x v="2"/>
  </r>
  <r>
    <x v="9"/>
    <x v="90"/>
    <x v="0"/>
    <x v="0"/>
    <x v="0"/>
    <x v="0"/>
    <x v="33"/>
    <x v="79"/>
    <x v="874"/>
    <x v="0"/>
    <s v="OBARRIO"/>
    <x v="2"/>
  </r>
  <r>
    <x v="9"/>
    <x v="52"/>
    <x v="0"/>
    <x v="0"/>
    <x v="0"/>
    <x v="0"/>
    <x v="33"/>
    <x v="107"/>
    <x v="759"/>
    <x v="0"/>
    <s v="OBARRIO"/>
    <x v="2"/>
  </r>
  <r>
    <x v="9"/>
    <x v="53"/>
    <x v="0"/>
    <x v="0"/>
    <x v="0"/>
    <x v="0"/>
    <x v="33"/>
    <x v="144"/>
    <x v="759"/>
    <x v="0"/>
    <s v="OBARRIO"/>
    <x v="2"/>
  </r>
  <r>
    <x v="9"/>
    <x v="13"/>
    <x v="5"/>
    <x v="5"/>
    <x v="0"/>
    <x v="0"/>
    <x v="33"/>
    <x v="120"/>
    <x v="874"/>
    <x v="0"/>
    <s v="OBARRIO"/>
    <x v="2"/>
  </r>
  <r>
    <x v="9"/>
    <x v="40"/>
    <x v="1"/>
    <x v="1"/>
    <x v="0"/>
    <x v="0"/>
    <x v="33"/>
    <x v="125"/>
    <x v="146"/>
    <x v="0"/>
    <s v="OBARRIO"/>
    <x v="2"/>
  </r>
  <r>
    <x v="9"/>
    <x v="33"/>
    <x v="1"/>
    <x v="1"/>
    <x v="0"/>
    <x v="0"/>
    <x v="33"/>
    <x v="241"/>
    <x v="759"/>
    <x v="0"/>
    <s v="OBARRIO"/>
    <x v="2"/>
  </r>
  <r>
    <x v="9"/>
    <x v="1"/>
    <x v="1"/>
    <x v="1"/>
    <x v="0"/>
    <x v="0"/>
    <x v="1"/>
    <x v="1"/>
    <x v="1"/>
    <x v="330"/>
    <s v="OBARRIO"/>
    <x v="2"/>
  </r>
  <r>
    <x v="9"/>
    <x v="49"/>
    <x v="3"/>
    <x v="3"/>
    <x v="0"/>
    <x v="1"/>
    <x v="33"/>
    <x v="244"/>
    <x v="874"/>
    <x v="0"/>
    <s v="OBARRIO"/>
    <x v="2"/>
  </r>
  <r>
    <x v="9"/>
    <x v="75"/>
    <x v="3"/>
    <x v="3"/>
    <x v="0"/>
    <x v="1"/>
    <x v="33"/>
    <x v="220"/>
    <x v="146"/>
    <x v="0"/>
    <s v="OBARRIO"/>
    <x v="2"/>
  </r>
  <r>
    <x v="9"/>
    <x v="1"/>
    <x v="1"/>
    <x v="1"/>
    <x v="0"/>
    <x v="1"/>
    <x v="1"/>
    <x v="1"/>
    <x v="1"/>
    <x v="220"/>
    <s v="OBARRIO"/>
    <x v="2"/>
  </r>
  <r>
    <x v="70"/>
    <x v="70"/>
    <x v="2"/>
    <x v="2"/>
    <x v="0"/>
    <x v="2"/>
    <x v="32"/>
    <x v="36"/>
    <x v="1318"/>
    <x v="0"/>
    <s v="COLON"/>
    <x v="2"/>
  </r>
  <r>
    <x v="70"/>
    <x v="1"/>
    <x v="1"/>
    <x v="1"/>
    <x v="0"/>
    <x v="2"/>
    <x v="1"/>
    <x v="1"/>
    <x v="1"/>
    <x v="331"/>
    <s v="COLON"/>
    <x v="2"/>
  </r>
  <r>
    <x v="10"/>
    <x v="70"/>
    <x v="2"/>
    <x v="2"/>
    <x v="0"/>
    <x v="2"/>
    <x v="32"/>
    <x v="36"/>
    <x v="1319"/>
    <x v="0"/>
    <s v="HATO PINTADO"/>
    <x v="2"/>
  </r>
  <r>
    <x v="10"/>
    <x v="117"/>
    <x v="0"/>
    <x v="0"/>
    <x v="0"/>
    <x v="2"/>
    <x v="32"/>
    <x v="65"/>
    <x v="1320"/>
    <x v="0"/>
    <s v="HATO PINTADO"/>
    <x v="2"/>
  </r>
  <r>
    <x v="10"/>
    <x v="1"/>
    <x v="1"/>
    <x v="1"/>
    <x v="0"/>
    <x v="2"/>
    <x v="1"/>
    <x v="1"/>
    <x v="1"/>
    <x v="332"/>
    <s v="HATO PINTADO"/>
    <x v="2"/>
  </r>
  <r>
    <x v="10"/>
    <x v="16"/>
    <x v="2"/>
    <x v="2"/>
    <x v="0"/>
    <x v="0"/>
    <x v="33"/>
    <x v="93"/>
    <x v="765"/>
    <x v="0"/>
    <s v="HATO PINTADO"/>
    <x v="2"/>
  </r>
  <r>
    <x v="10"/>
    <x v="106"/>
    <x v="2"/>
    <x v="2"/>
    <x v="0"/>
    <x v="0"/>
    <x v="33"/>
    <x v="223"/>
    <x v="934"/>
    <x v="0"/>
    <s v="HATO PINTADO"/>
    <x v="2"/>
  </r>
  <r>
    <x v="10"/>
    <x v="47"/>
    <x v="2"/>
    <x v="2"/>
    <x v="0"/>
    <x v="0"/>
    <x v="33"/>
    <x v="68"/>
    <x v="765"/>
    <x v="0"/>
    <s v="HATO PINTADO"/>
    <x v="2"/>
  </r>
  <r>
    <x v="10"/>
    <x v="118"/>
    <x v="2"/>
    <x v="2"/>
    <x v="0"/>
    <x v="0"/>
    <x v="33"/>
    <x v="69"/>
    <x v="759"/>
    <x v="0"/>
    <s v="HATO PINTADO"/>
    <x v="2"/>
  </r>
  <r>
    <x v="10"/>
    <x v="24"/>
    <x v="2"/>
    <x v="2"/>
    <x v="0"/>
    <x v="0"/>
    <x v="33"/>
    <x v="202"/>
    <x v="759"/>
    <x v="0"/>
    <s v="HATO PINTADO"/>
    <x v="2"/>
  </r>
  <r>
    <x v="10"/>
    <x v="144"/>
    <x v="2"/>
    <x v="2"/>
    <x v="0"/>
    <x v="0"/>
    <x v="33"/>
    <x v="162"/>
    <x v="1182"/>
    <x v="0"/>
    <s v="HATO PINTADO"/>
    <x v="2"/>
  </r>
  <r>
    <x v="10"/>
    <x v="84"/>
    <x v="2"/>
    <x v="2"/>
    <x v="0"/>
    <x v="0"/>
    <x v="33"/>
    <x v="203"/>
    <x v="759"/>
    <x v="0"/>
    <s v="HATO PINTADO"/>
    <x v="2"/>
  </r>
  <r>
    <x v="10"/>
    <x v="111"/>
    <x v="2"/>
    <x v="2"/>
    <x v="0"/>
    <x v="0"/>
    <x v="33"/>
    <x v="75"/>
    <x v="759"/>
    <x v="0"/>
    <s v="HATO PINTADO"/>
    <x v="2"/>
  </r>
  <r>
    <x v="10"/>
    <x v="65"/>
    <x v="6"/>
    <x v="6"/>
    <x v="0"/>
    <x v="0"/>
    <x v="33"/>
    <x v="190"/>
    <x v="934"/>
    <x v="0"/>
    <s v="HATO PINTADO"/>
    <x v="2"/>
  </r>
  <r>
    <x v="10"/>
    <x v="36"/>
    <x v="6"/>
    <x v="6"/>
    <x v="0"/>
    <x v="0"/>
    <x v="33"/>
    <x v="94"/>
    <x v="759"/>
    <x v="0"/>
    <s v="HATO PINTADO"/>
    <x v="2"/>
  </r>
  <r>
    <x v="10"/>
    <x v="71"/>
    <x v="6"/>
    <x v="6"/>
    <x v="0"/>
    <x v="0"/>
    <x v="33"/>
    <x v="37"/>
    <x v="759"/>
    <x v="0"/>
    <s v="HATO PINTADO"/>
    <x v="2"/>
  </r>
  <r>
    <x v="10"/>
    <x v="163"/>
    <x v="6"/>
    <x v="6"/>
    <x v="0"/>
    <x v="0"/>
    <x v="33"/>
    <x v="195"/>
    <x v="759"/>
    <x v="0"/>
    <s v="HATO PINTADO"/>
    <x v="2"/>
  </r>
  <r>
    <x v="10"/>
    <x v="134"/>
    <x v="6"/>
    <x v="6"/>
    <x v="0"/>
    <x v="0"/>
    <x v="33"/>
    <x v="226"/>
    <x v="759"/>
    <x v="0"/>
    <s v="HATO PINTADO"/>
    <x v="2"/>
  </r>
  <r>
    <x v="10"/>
    <x v="164"/>
    <x v="6"/>
    <x v="6"/>
    <x v="0"/>
    <x v="0"/>
    <x v="33"/>
    <x v="200"/>
    <x v="765"/>
    <x v="0"/>
    <s v="HATO PINTADO"/>
    <x v="2"/>
  </r>
  <r>
    <x v="10"/>
    <x v="21"/>
    <x v="6"/>
    <x v="6"/>
    <x v="0"/>
    <x v="0"/>
    <x v="33"/>
    <x v="70"/>
    <x v="765"/>
    <x v="0"/>
    <s v="HATO PINTADO"/>
    <x v="2"/>
  </r>
  <r>
    <x v="10"/>
    <x v="26"/>
    <x v="3"/>
    <x v="3"/>
    <x v="0"/>
    <x v="0"/>
    <x v="33"/>
    <x v="115"/>
    <x v="759"/>
    <x v="0"/>
    <s v="HATO PINTADO"/>
    <x v="2"/>
  </r>
  <r>
    <x v="10"/>
    <x v="49"/>
    <x v="3"/>
    <x v="3"/>
    <x v="0"/>
    <x v="0"/>
    <x v="33"/>
    <x v="244"/>
    <x v="759"/>
    <x v="0"/>
    <s v="HATO PINTADO"/>
    <x v="2"/>
  </r>
  <r>
    <x v="10"/>
    <x v="108"/>
    <x v="3"/>
    <x v="3"/>
    <x v="0"/>
    <x v="0"/>
    <x v="33"/>
    <x v="63"/>
    <x v="1215"/>
    <x v="0"/>
    <s v="HATO PINTADO"/>
    <x v="2"/>
  </r>
  <r>
    <x v="10"/>
    <x v="27"/>
    <x v="3"/>
    <x v="3"/>
    <x v="0"/>
    <x v="0"/>
    <x v="33"/>
    <x v="43"/>
    <x v="759"/>
    <x v="0"/>
    <s v="HATO PINTADO"/>
    <x v="2"/>
  </r>
  <r>
    <x v="10"/>
    <x v="43"/>
    <x v="3"/>
    <x v="3"/>
    <x v="0"/>
    <x v="0"/>
    <x v="33"/>
    <x v="71"/>
    <x v="146"/>
    <x v="0"/>
    <s v="HATO PINTADO"/>
    <x v="2"/>
  </r>
  <r>
    <x v="10"/>
    <x v="75"/>
    <x v="3"/>
    <x v="3"/>
    <x v="0"/>
    <x v="0"/>
    <x v="33"/>
    <x v="220"/>
    <x v="759"/>
    <x v="0"/>
    <s v="HATO PINTADO"/>
    <x v="2"/>
  </r>
  <r>
    <x v="10"/>
    <x v="148"/>
    <x v="3"/>
    <x v="3"/>
    <x v="0"/>
    <x v="0"/>
    <x v="33"/>
    <x v="174"/>
    <x v="859"/>
    <x v="0"/>
    <s v="HATO PINTADO"/>
    <x v="2"/>
  </r>
  <r>
    <x v="10"/>
    <x v="79"/>
    <x v="3"/>
    <x v="3"/>
    <x v="0"/>
    <x v="0"/>
    <x v="33"/>
    <x v="142"/>
    <x v="1182"/>
    <x v="0"/>
    <s v="HATO PINTADO"/>
    <x v="2"/>
  </r>
  <r>
    <x v="10"/>
    <x v="56"/>
    <x v="3"/>
    <x v="3"/>
    <x v="0"/>
    <x v="0"/>
    <x v="33"/>
    <x v="153"/>
    <x v="765"/>
    <x v="0"/>
    <s v="HATO PINTADO"/>
    <x v="2"/>
  </r>
  <r>
    <x v="10"/>
    <x v="28"/>
    <x v="3"/>
    <x v="3"/>
    <x v="0"/>
    <x v="0"/>
    <x v="33"/>
    <x v="245"/>
    <x v="874"/>
    <x v="0"/>
    <s v="HATO PINTADO"/>
    <x v="2"/>
  </r>
  <r>
    <x v="10"/>
    <x v="99"/>
    <x v="3"/>
    <x v="3"/>
    <x v="0"/>
    <x v="0"/>
    <x v="33"/>
    <x v="116"/>
    <x v="765"/>
    <x v="0"/>
    <s v="HATO PINTADO"/>
    <x v="2"/>
  </r>
  <r>
    <x v="10"/>
    <x v="68"/>
    <x v="4"/>
    <x v="4"/>
    <x v="0"/>
    <x v="0"/>
    <x v="33"/>
    <x v="222"/>
    <x v="146"/>
    <x v="0"/>
    <s v="HATO PINTADO"/>
    <x v="2"/>
  </r>
  <r>
    <x v="10"/>
    <x v="81"/>
    <x v="4"/>
    <x v="4"/>
    <x v="0"/>
    <x v="0"/>
    <x v="33"/>
    <x v="175"/>
    <x v="899"/>
    <x v="0"/>
    <s v="HATO PINTADO"/>
    <x v="2"/>
  </r>
  <r>
    <x v="10"/>
    <x v="156"/>
    <x v="4"/>
    <x v="4"/>
    <x v="0"/>
    <x v="0"/>
    <x v="33"/>
    <x v="146"/>
    <x v="899"/>
    <x v="0"/>
    <s v="HATO PINTADO"/>
    <x v="2"/>
  </r>
  <r>
    <x v="10"/>
    <x v="132"/>
    <x v="4"/>
    <x v="4"/>
    <x v="0"/>
    <x v="0"/>
    <x v="33"/>
    <x v="95"/>
    <x v="759"/>
    <x v="0"/>
    <s v="HATO PINTADO"/>
    <x v="2"/>
  </r>
  <r>
    <x v="10"/>
    <x v="30"/>
    <x v="4"/>
    <x v="4"/>
    <x v="0"/>
    <x v="0"/>
    <x v="33"/>
    <x v="159"/>
    <x v="146"/>
    <x v="0"/>
    <s v="HATO PINTADO"/>
    <x v="2"/>
  </r>
  <r>
    <x v="10"/>
    <x v="165"/>
    <x v="4"/>
    <x v="4"/>
    <x v="0"/>
    <x v="0"/>
    <x v="33"/>
    <x v="205"/>
    <x v="146"/>
    <x v="0"/>
    <s v="HATO PINTADO"/>
    <x v="2"/>
  </r>
  <r>
    <x v="10"/>
    <x v="38"/>
    <x v="4"/>
    <x v="4"/>
    <x v="0"/>
    <x v="0"/>
    <x v="33"/>
    <x v="106"/>
    <x v="765"/>
    <x v="0"/>
    <s v="HATO PINTADO"/>
    <x v="2"/>
  </r>
  <r>
    <x v="10"/>
    <x v="51"/>
    <x v="4"/>
    <x v="4"/>
    <x v="0"/>
    <x v="0"/>
    <x v="33"/>
    <x v="34"/>
    <x v="146"/>
    <x v="0"/>
    <s v="HATO PINTADO"/>
    <x v="2"/>
  </r>
  <r>
    <x v="10"/>
    <x v="90"/>
    <x v="0"/>
    <x v="0"/>
    <x v="0"/>
    <x v="0"/>
    <x v="33"/>
    <x v="79"/>
    <x v="759"/>
    <x v="0"/>
    <s v="HATO PINTADO"/>
    <x v="2"/>
  </r>
  <r>
    <x v="10"/>
    <x v="57"/>
    <x v="0"/>
    <x v="0"/>
    <x v="0"/>
    <x v="0"/>
    <x v="33"/>
    <x v="44"/>
    <x v="934"/>
    <x v="0"/>
    <s v="HATO PINTADO"/>
    <x v="2"/>
  </r>
  <r>
    <x v="10"/>
    <x v="0"/>
    <x v="0"/>
    <x v="0"/>
    <x v="0"/>
    <x v="0"/>
    <x v="33"/>
    <x v="197"/>
    <x v="759"/>
    <x v="0"/>
    <s v="HATO PINTADO"/>
    <x v="2"/>
  </r>
  <r>
    <x v="10"/>
    <x v="91"/>
    <x v="0"/>
    <x v="0"/>
    <x v="0"/>
    <x v="0"/>
    <x v="33"/>
    <x v="118"/>
    <x v="146"/>
    <x v="0"/>
    <s v="HATO PINTADO"/>
    <x v="2"/>
  </r>
  <r>
    <x v="10"/>
    <x v="53"/>
    <x v="0"/>
    <x v="0"/>
    <x v="0"/>
    <x v="0"/>
    <x v="33"/>
    <x v="144"/>
    <x v="899"/>
    <x v="0"/>
    <s v="HATO PINTADO"/>
    <x v="2"/>
  </r>
  <r>
    <x v="10"/>
    <x v="45"/>
    <x v="0"/>
    <x v="0"/>
    <x v="0"/>
    <x v="0"/>
    <x v="33"/>
    <x v="180"/>
    <x v="1182"/>
    <x v="0"/>
    <s v="HATO PINTADO"/>
    <x v="2"/>
  </r>
  <r>
    <x v="10"/>
    <x v="92"/>
    <x v="0"/>
    <x v="0"/>
    <x v="0"/>
    <x v="0"/>
    <x v="33"/>
    <x v="109"/>
    <x v="874"/>
    <x v="0"/>
    <s v="HATO PINTADO"/>
    <x v="2"/>
  </r>
  <r>
    <x v="10"/>
    <x v="136"/>
    <x v="0"/>
    <x v="0"/>
    <x v="0"/>
    <x v="0"/>
    <x v="33"/>
    <x v="100"/>
    <x v="874"/>
    <x v="0"/>
    <s v="HATO PINTADO"/>
    <x v="2"/>
  </r>
  <r>
    <x v="10"/>
    <x v="122"/>
    <x v="0"/>
    <x v="0"/>
    <x v="0"/>
    <x v="0"/>
    <x v="33"/>
    <x v="181"/>
    <x v="759"/>
    <x v="0"/>
    <s v="HATO PINTADO"/>
    <x v="2"/>
  </r>
  <r>
    <x v="10"/>
    <x v="145"/>
    <x v="5"/>
    <x v="5"/>
    <x v="0"/>
    <x v="0"/>
    <x v="33"/>
    <x v="124"/>
    <x v="848"/>
    <x v="0"/>
    <s v="HATO PINTADO"/>
    <x v="2"/>
  </r>
  <r>
    <x v="10"/>
    <x v="72"/>
    <x v="5"/>
    <x v="5"/>
    <x v="0"/>
    <x v="0"/>
    <x v="33"/>
    <x v="38"/>
    <x v="934"/>
    <x v="0"/>
    <s v="HATO PINTADO"/>
    <x v="2"/>
  </r>
  <r>
    <x v="10"/>
    <x v="77"/>
    <x v="5"/>
    <x v="5"/>
    <x v="0"/>
    <x v="0"/>
    <x v="33"/>
    <x v="156"/>
    <x v="874"/>
    <x v="0"/>
    <s v="HATO PINTADO"/>
    <x v="2"/>
  </r>
  <r>
    <x v="10"/>
    <x v="139"/>
    <x v="5"/>
    <x v="5"/>
    <x v="0"/>
    <x v="0"/>
    <x v="33"/>
    <x v="110"/>
    <x v="899"/>
    <x v="0"/>
    <s v="HATO PINTADO"/>
    <x v="2"/>
  </r>
  <r>
    <x v="10"/>
    <x v="63"/>
    <x v="5"/>
    <x v="5"/>
    <x v="0"/>
    <x v="0"/>
    <x v="33"/>
    <x v="111"/>
    <x v="899"/>
    <x v="0"/>
    <s v="HATO PINTADO"/>
    <x v="2"/>
  </r>
  <r>
    <x v="10"/>
    <x v="123"/>
    <x v="5"/>
    <x v="5"/>
    <x v="0"/>
    <x v="0"/>
    <x v="33"/>
    <x v="74"/>
    <x v="765"/>
    <x v="0"/>
    <s v="HATO PINTADO"/>
    <x v="2"/>
  </r>
  <r>
    <x v="10"/>
    <x v="54"/>
    <x v="5"/>
    <x v="5"/>
    <x v="0"/>
    <x v="0"/>
    <x v="33"/>
    <x v="246"/>
    <x v="759"/>
    <x v="0"/>
    <s v="HATO PINTADO"/>
    <x v="2"/>
  </r>
  <r>
    <x v="10"/>
    <x v="150"/>
    <x v="5"/>
    <x v="5"/>
    <x v="0"/>
    <x v="0"/>
    <x v="33"/>
    <x v="214"/>
    <x v="759"/>
    <x v="0"/>
    <s v="HATO PINTADO"/>
    <x v="2"/>
  </r>
  <r>
    <x v="10"/>
    <x v="40"/>
    <x v="1"/>
    <x v="1"/>
    <x v="0"/>
    <x v="0"/>
    <x v="33"/>
    <x v="125"/>
    <x v="759"/>
    <x v="0"/>
    <s v="HATO PINTADO"/>
    <x v="2"/>
  </r>
  <r>
    <x v="10"/>
    <x v="95"/>
    <x v="1"/>
    <x v="1"/>
    <x v="0"/>
    <x v="0"/>
    <x v="33"/>
    <x v="97"/>
    <x v="859"/>
    <x v="0"/>
    <s v="HATO PINTADO"/>
    <x v="2"/>
  </r>
  <r>
    <x v="10"/>
    <x v="151"/>
    <x v="1"/>
    <x v="1"/>
    <x v="0"/>
    <x v="0"/>
    <x v="33"/>
    <x v="166"/>
    <x v="765"/>
    <x v="0"/>
    <s v="HATO PINTADO"/>
    <x v="2"/>
  </r>
  <r>
    <x v="10"/>
    <x v="42"/>
    <x v="1"/>
    <x v="1"/>
    <x v="0"/>
    <x v="0"/>
    <x v="33"/>
    <x v="167"/>
    <x v="934"/>
    <x v="0"/>
    <s v="HATO PINTADO"/>
    <x v="2"/>
  </r>
  <r>
    <x v="10"/>
    <x v="101"/>
    <x v="1"/>
    <x v="1"/>
    <x v="0"/>
    <x v="0"/>
    <x v="33"/>
    <x v="207"/>
    <x v="1132"/>
    <x v="0"/>
    <s v="HATO PINTADO"/>
    <x v="2"/>
  </r>
  <r>
    <x v="10"/>
    <x v="128"/>
    <x v="1"/>
    <x v="1"/>
    <x v="0"/>
    <x v="0"/>
    <x v="33"/>
    <x v="164"/>
    <x v="765"/>
    <x v="0"/>
    <s v="HATO PINTADO"/>
    <x v="2"/>
  </r>
  <r>
    <x v="10"/>
    <x v="1"/>
    <x v="1"/>
    <x v="1"/>
    <x v="0"/>
    <x v="0"/>
    <x v="1"/>
    <x v="1"/>
    <x v="1"/>
    <x v="333"/>
    <s v="HATO PINTADO"/>
    <x v="2"/>
  </r>
  <r>
    <x v="10"/>
    <x v="144"/>
    <x v="2"/>
    <x v="2"/>
    <x v="0"/>
    <x v="1"/>
    <x v="33"/>
    <x v="162"/>
    <x v="759"/>
    <x v="0"/>
    <s v="HATO PINTADO"/>
    <x v="2"/>
  </r>
  <r>
    <x v="10"/>
    <x v="87"/>
    <x v="6"/>
    <x v="6"/>
    <x v="0"/>
    <x v="1"/>
    <x v="33"/>
    <x v="189"/>
    <x v="146"/>
    <x v="0"/>
    <s v="HATO PINTADO"/>
    <x v="2"/>
  </r>
  <r>
    <x v="10"/>
    <x v="71"/>
    <x v="6"/>
    <x v="6"/>
    <x v="0"/>
    <x v="1"/>
    <x v="33"/>
    <x v="37"/>
    <x v="146"/>
    <x v="0"/>
    <s v="HATO PINTADO"/>
    <x v="2"/>
  </r>
  <r>
    <x v="10"/>
    <x v="113"/>
    <x v="6"/>
    <x v="6"/>
    <x v="0"/>
    <x v="1"/>
    <x v="33"/>
    <x v="89"/>
    <x v="874"/>
    <x v="0"/>
    <s v="HATO PINTADO"/>
    <x v="2"/>
  </r>
  <r>
    <x v="10"/>
    <x v="21"/>
    <x v="6"/>
    <x v="6"/>
    <x v="0"/>
    <x v="1"/>
    <x v="33"/>
    <x v="70"/>
    <x v="874"/>
    <x v="0"/>
    <s v="HATO PINTADO"/>
    <x v="2"/>
  </r>
  <r>
    <x v="10"/>
    <x v="108"/>
    <x v="3"/>
    <x v="3"/>
    <x v="0"/>
    <x v="1"/>
    <x v="33"/>
    <x v="63"/>
    <x v="759"/>
    <x v="0"/>
    <s v="HATO PINTADO"/>
    <x v="2"/>
  </r>
  <r>
    <x v="10"/>
    <x v="30"/>
    <x v="4"/>
    <x v="4"/>
    <x v="0"/>
    <x v="1"/>
    <x v="33"/>
    <x v="159"/>
    <x v="874"/>
    <x v="0"/>
    <s v="HATO PINTADO"/>
    <x v="2"/>
  </r>
  <r>
    <x v="10"/>
    <x v="51"/>
    <x v="4"/>
    <x v="4"/>
    <x v="0"/>
    <x v="1"/>
    <x v="33"/>
    <x v="34"/>
    <x v="874"/>
    <x v="0"/>
    <s v="HATO PINTADO"/>
    <x v="2"/>
  </r>
  <r>
    <x v="10"/>
    <x v="57"/>
    <x v="0"/>
    <x v="0"/>
    <x v="0"/>
    <x v="1"/>
    <x v="33"/>
    <x v="44"/>
    <x v="874"/>
    <x v="0"/>
    <s v="HATO PINTADO"/>
    <x v="2"/>
  </r>
  <r>
    <x v="10"/>
    <x v="91"/>
    <x v="0"/>
    <x v="0"/>
    <x v="0"/>
    <x v="1"/>
    <x v="33"/>
    <x v="118"/>
    <x v="874"/>
    <x v="0"/>
    <s v="HATO PINTADO"/>
    <x v="2"/>
  </r>
  <r>
    <x v="10"/>
    <x v="122"/>
    <x v="0"/>
    <x v="0"/>
    <x v="0"/>
    <x v="1"/>
    <x v="33"/>
    <x v="181"/>
    <x v="874"/>
    <x v="0"/>
    <s v="HATO PINTADO"/>
    <x v="2"/>
  </r>
  <r>
    <x v="10"/>
    <x v="95"/>
    <x v="1"/>
    <x v="1"/>
    <x v="0"/>
    <x v="1"/>
    <x v="33"/>
    <x v="97"/>
    <x v="874"/>
    <x v="0"/>
    <s v="HATO PINTADO"/>
    <x v="2"/>
  </r>
  <r>
    <x v="10"/>
    <x v="151"/>
    <x v="1"/>
    <x v="1"/>
    <x v="0"/>
    <x v="1"/>
    <x v="33"/>
    <x v="166"/>
    <x v="874"/>
    <x v="0"/>
    <s v="HATO PINTADO"/>
    <x v="2"/>
  </r>
  <r>
    <x v="10"/>
    <x v="1"/>
    <x v="1"/>
    <x v="1"/>
    <x v="0"/>
    <x v="1"/>
    <x v="1"/>
    <x v="1"/>
    <x v="1"/>
    <x v="322"/>
    <s v="HATO PINTADO"/>
    <x v="2"/>
  </r>
  <r>
    <x v="11"/>
    <x v="119"/>
    <x v="0"/>
    <x v="0"/>
    <x v="0"/>
    <x v="1"/>
    <x v="33"/>
    <x v="96"/>
    <x v="874"/>
    <x v="0"/>
    <s v="RIO ABAJO"/>
    <x v="2"/>
  </r>
  <r>
    <x v="11"/>
    <x v="1"/>
    <x v="1"/>
    <x v="1"/>
    <x v="0"/>
    <x v="1"/>
    <x v="1"/>
    <x v="1"/>
    <x v="1"/>
    <x v="216"/>
    <s v="RIO ABAJO"/>
    <x v="2"/>
  </r>
  <r>
    <x v="12"/>
    <x v="70"/>
    <x v="2"/>
    <x v="2"/>
    <x v="0"/>
    <x v="2"/>
    <x v="32"/>
    <x v="36"/>
    <x v="537"/>
    <x v="0"/>
    <s v="LA CHORRERA"/>
    <x v="2"/>
  </r>
  <r>
    <x v="12"/>
    <x v="43"/>
    <x v="3"/>
    <x v="3"/>
    <x v="0"/>
    <x v="2"/>
    <x v="32"/>
    <x v="71"/>
    <x v="1321"/>
    <x v="0"/>
    <s v="LA CHORRERA"/>
    <x v="2"/>
  </r>
  <r>
    <x v="12"/>
    <x v="160"/>
    <x v="0"/>
    <x v="0"/>
    <x v="0"/>
    <x v="2"/>
    <x v="32"/>
    <x v="179"/>
    <x v="1322"/>
    <x v="0"/>
    <s v="LA CHORRERA"/>
    <x v="2"/>
  </r>
  <r>
    <x v="12"/>
    <x v="40"/>
    <x v="1"/>
    <x v="1"/>
    <x v="0"/>
    <x v="2"/>
    <x v="32"/>
    <x v="125"/>
    <x v="1157"/>
    <x v="0"/>
    <s v="LA CHORRERA"/>
    <x v="2"/>
  </r>
  <r>
    <x v="12"/>
    <x v="1"/>
    <x v="1"/>
    <x v="1"/>
    <x v="0"/>
    <x v="2"/>
    <x v="1"/>
    <x v="1"/>
    <x v="1"/>
    <x v="334"/>
    <s v="LA CHORRERA"/>
    <x v="2"/>
  </r>
  <r>
    <x v="15"/>
    <x v="64"/>
    <x v="2"/>
    <x v="2"/>
    <x v="0"/>
    <x v="2"/>
    <x v="32"/>
    <x v="139"/>
    <x v="1323"/>
    <x v="0"/>
    <s v="VILLA LUCRE"/>
    <x v="2"/>
  </r>
  <r>
    <x v="15"/>
    <x v="135"/>
    <x v="3"/>
    <x v="3"/>
    <x v="0"/>
    <x v="2"/>
    <x v="32"/>
    <x v="149"/>
    <x v="1324"/>
    <x v="0"/>
    <s v="VILLA LUCRE"/>
    <x v="2"/>
  </r>
  <r>
    <x v="15"/>
    <x v="159"/>
    <x v="0"/>
    <x v="0"/>
    <x v="0"/>
    <x v="2"/>
    <x v="32"/>
    <x v="177"/>
    <x v="1325"/>
    <x v="0"/>
    <s v="VILLA LUCRE"/>
    <x v="2"/>
  </r>
  <r>
    <x v="15"/>
    <x v="160"/>
    <x v="0"/>
    <x v="0"/>
    <x v="0"/>
    <x v="2"/>
    <x v="32"/>
    <x v="179"/>
    <x v="1326"/>
    <x v="0"/>
    <s v="VILLA LUCRE"/>
    <x v="2"/>
  </r>
  <r>
    <x v="15"/>
    <x v="145"/>
    <x v="5"/>
    <x v="5"/>
    <x v="0"/>
    <x v="2"/>
    <x v="32"/>
    <x v="124"/>
    <x v="1327"/>
    <x v="0"/>
    <s v="VILLA LUCRE"/>
    <x v="2"/>
  </r>
  <r>
    <x v="15"/>
    <x v="40"/>
    <x v="1"/>
    <x v="1"/>
    <x v="0"/>
    <x v="2"/>
    <x v="32"/>
    <x v="125"/>
    <x v="1328"/>
    <x v="0"/>
    <s v="VILLA LUCRE"/>
    <x v="2"/>
  </r>
  <r>
    <x v="15"/>
    <x v="101"/>
    <x v="1"/>
    <x v="1"/>
    <x v="0"/>
    <x v="2"/>
    <x v="32"/>
    <x v="207"/>
    <x v="1329"/>
    <x v="0"/>
    <s v="VILLA LUCRE"/>
    <x v="2"/>
  </r>
  <r>
    <x v="15"/>
    <x v="1"/>
    <x v="1"/>
    <x v="1"/>
    <x v="0"/>
    <x v="2"/>
    <x v="1"/>
    <x v="1"/>
    <x v="1"/>
    <x v="335"/>
    <s v="VILLA LUCRE"/>
    <x v="2"/>
  </r>
  <r>
    <x v="15"/>
    <x v="16"/>
    <x v="2"/>
    <x v="2"/>
    <x v="0"/>
    <x v="0"/>
    <x v="33"/>
    <x v="93"/>
    <x v="899"/>
    <x v="0"/>
    <s v="VILLA LUCRE"/>
    <x v="2"/>
  </r>
  <r>
    <x v="15"/>
    <x v="118"/>
    <x v="2"/>
    <x v="2"/>
    <x v="0"/>
    <x v="0"/>
    <x v="33"/>
    <x v="69"/>
    <x v="759"/>
    <x v="0"/>
    <s v="VILLA LUCRE"/>
    <x v="2"/>
  </r>
  <r>
    <x v="15"/>
    <x v="144"/>
    <x v="2"/>
    <x v="2"/>
    <x v="0"/>
    <x v="0"/>
    <x v="33"/>
    <x v="162"/>
    <x v="934"/>
    <x v="0"/>
    <s v="VILLA LUCRE"/>
    <x v="2"/>
  </r>
  <r>
    <x v="15"/>
    <x v="65"/>
    <x v="6"/>
    <x v="6"/>
    <x v="0"/>
    <x v="0"/>
    <x v="33"/>
    <x v="190"/>
    <x v="146"/>
    <x v="0"/>
    <s v="VILLA LUCRE"/>
    <x v="2"/>
  </r>
  <r>
    <x v="15"/>
    <x v="36"/>
    <x v="6"/>
    <x v="6"/>
    <x v="0"/>
    <x v="0"/>
    <x v="33"/>
    <x v="94"/>
    <x v="874"/>
    <x v="0"/>
    <s v="VILLA LUCRE"/>
    <x v="2"/>
  </r>
  <r>
    <x v="15"/>
    <x v="88"/>
    <x v="6"/>
    <x v="6"/>
    <x v="0"/>
    <x v="0"/>
    <x v="33"/>
    <x v="242"/>
    <x v="146"/>
    <x v="0"/>
    <s v="VILLA LUCRE"/>
    <x v="2"/>
  </r>
  <r>
    <x v="15"/>
    <x v="113"/>
    <x v="6"/>
    <x v="6"/>
    <x v="0"/>
    <x v="0"/>
    <x v="33"/>
    <x v="89"/>
    <x v="874"/>
    <x v="0"/>
    <s v="VILLA LUCRE"/>
    <x v="2"/>
  </r>
  <r>
    <x v="15"/>
    <x v="21"/>
    <x v="6"/>
    <x v="6"/>
    <x v="0"/>
    <x v="0"/>
    <x v="33"/>
    <x v="70"/>
    <x v="146"/>
    <x v="0"/>
    <s v="VILLA LUCRE"/>
    <x v="2"/>
  </r>
  <r>
    <x v="15"/>
    <x v="23"/>
    <x v="3"/>
    <x v="3"/>
    <x v="0"/>
    <x v="0"/>
    <x v="33"/>
    <x v="221"/>
    <x v="765"/>
    <x v="0"/>
    <s v="VILLA LUCRE"/>
    <x v="2"/>
  </r>
  <r>
    <x v="15"/>
    <x v="49"/>
    <x v="3"/>
    <x v="3"/>
    <x v="0"/>
    <x v="0"/>
    <x v="33"/>
    <x v="244"/>
    <x v="874"/>
    <x v="0"/>
    <s v="VILLA LUCRE"/>
    <x v="2"/>
  </r>
  <r>
    <x v="15"/>
    <x v="43"/>
    <x v="3"/>
    <x v="3"/>
    <x v="0"/>
    <x v="0"/>
    <x v="33"/>
    <x v="71"/>
    <x v="759"/>
    <x v="0"/>
    <s v="VILLA LUCRE"/>
    <x v="2"/>
  </r>
  <r>
    <x v="15"/>
    <x v="75"/>
    <x v="3"/>
    <x v="3"/>
    <x v="0"/>
    <x v="0"/>
    <x v="33"/>
    <x v="220"/>
    <x v="1182"/>
    <x v="0"/>
    <s v="VILLA LUCRE"/>
    <x v="2"/>
  </r>
  <r>
    <x v="15"/>
    <x v="30"/>
    <x v="4"/>
    <x v="4"/>
    <x v="0"/>
    <x v="0"/>
    <x v="33"/>
    <x v="159"/>
    <x v="765"/>
    <x v="0"/>
    <s v="VILLA LUCRE"/>
    <x v="2"/>
  </r>
  <r>
    <x v="15"/>
    <x v="116"/>
    <x v="0"/>
    <x v="0"/>
    <x v="0"/>
    <x v="0"/>
    <x v="33"/>
    <x v="64"/>
    <x v="759"/>
    <x v="0"/>
    <s v="VILLA LUCRE"/>
    <x v="2"/>
  </r>
  <r>
    <x v="15"/>
    <x v="53"/>
    <x v="0"/>
    <x v="0"/>
    <x v="0"/>
    <x v="0"/>
    <x v="33"/>
    <x v="144"/>
    <x v="146"/>
    <x v="0"/>
    <s v="VILLA LUCRE"/>
    <x v="2"/>
  </r>
  <r>
    <x v="15"/>
    <x v="76"/>
    <x v="5"/>
    <x v="5"/>
    <x v="0"/>
    <x v="0"/>
    <x v="33"/>
    <x v="182"/>
    <x v="765"/>
    <x v="0"/>
    <s v="VILLA LUCRE"/>
    <x v="2"/>
  </r>
  <r>
    <x v="15"/>
    <x v="145"/>
    <x v="5"/>
    <x v="5"/>
    <x v="0"/>
    <x v="0"/>
    <x v="33"/>
    <x v="124"/>
    <x v="765"/>
    <x v="0"/>
    <s v="VILLA LUCRE"/>
    <x v="2"/>
  </r>
  <r>
    <x v="15"/>
    <x v="77"/>
    <x v="5"/>
    <x v="5"/>
    <x v="0"/>
    <x v="0"/>
    <x v="33"/>
    <x v="156"/>
    <x v="759"/>
    <x v="0"/>
    <s v="VILLA LUCRE"/>
    <x v="2"/>
  </r>
  <r>
    <x v="15"/>
    <x v="139"/>
    <x v="5"/>
    <x v="5"/>
    <x v="0"/>
    <x v="0"/>
    <x v="33"/>
    <x v="110"/>
    <x v="146"/>
    <x v="0"/>
    <s v="VILLA LUCRE"/>
    <x v="2"/>
  </r>
  <r>
    <x v="15"/>
    <x v="40"/>
    <x v="1"/>
    <x v="1"/>
    <x v="0"/>
    <x v="0"/>
    <x v="33"/>
    <x v="125"/>
    <x v="146"/>
    <x v="0"/>
    <s v="VILLA LUCRE"/>
    <x v="2"/>
  </r>
  <r>
    <x v="15"/>
    <x v="42"/>
    <x v="1"/>
    <x v="1"/>
    <x v="0"/>
    <x v="0"/>
    <x v="33"/>
    <x v="167"/>
    <x v="899"/>
    <x v="0"/>
    <s v="VILLA LUCRE"/>
    <x v="2"/>
  </r>
  <r>
    <x v="15"/>
    <x v="1"/>
    <x v="1"/>
    <x v="1"/>
    <x v="0"/>
    <x v="0"/>
    <x v="1"/>
    <x v="1"/>
    <x v="1"/>
    <x v="336"/>
    <s v="VILLA LUCRE"/>
    <x v="2"/>
  </r>
  <r>
    <x v="15"/>
    <x v="120"/>
    <x v="0"/>
    <x v="0"/>
    <x v="0"/>
    <x v="1"/>
    <x v="33"/>
    <x v="212"/>
    <x v="874"/>
    <x v="0"/>
    <s v="VILLA LUCRE"/>
    <x v="2"/>
  </r>
  <r>
    <x v="15"/>
    <x v="100"/>
    <x v="0"/>
    <x v="0"/>
    <x v="0"/>
    <x v="1"/>
    <x v="33"/>
    <x v="73"/>
    <x v="874"/>
    <x v="0"/>
    <s v="VILLA LUCRE"/>
    <x v="2"/>
  </r>
  <r>
    <x v="15"/>
    <x v="1"/>
    <x v="1"/>
    <x v="1"/>
    <x v="0"/>
    <x v="1"/>
    <x v="1"/>
    <x v="1"/>
    <x v="1"/>
    <x v="261"/>
    <s v="VILLA LUCRE"/>
    <x v="2"/>
  </r>
  <r>
    <x v="16"/>
    <x v="31"/>
    <x v="4"/>
    <x v="4"/>
    <x v="0"/>
    <x v="2"/>
    <x v="33"/>
    <x v="72"/>
    <x v="874"/>
    <x v="0"/>
    <s v="LOS ANDES"/>
    <x v="2"/>
  </r>
  <r>
    <x v="16"/>
    <x v="1"/>
    <x v="1"/>
    <x v="1"/>
    <x v="0"/>
    <x v="2"/>
    <x v="1"/>
    <x v="1"/>
    <x v="1"/>
    <x v="216"/>
    <s v="LOS ANDES"/>
    <x v="2"/>
  </r>
  <r>
    <x v="16"/>
    <x v="16"/>
    <x v="2"/>
    <x v="2"/>
    <x v="0"/>
    <x v="0"/>
    <x v="33"/>
    <x v="93"/>
    <x v="1215"/>
    <x v="0"/>
    <s v="LOS ANDES"/>
    <x v="2"/>
  </r>
  <r>
    <x v="16"/>
    <x v="106"/>
    <x v="2"/>
    <x v="2"/>
    <x v="0"/>
    <x v="0"/>
    <x v="33"/>
    <x v="223"/>
    <x v="1182"/>
    <x v="0"/>
    <s v="LOS ANDES"/>
    <x v="2"/>
  </r>
  <r>
    <x v="16"/>
    <x v="47"/>
    <x v="2"/>
    <x v="2"/>
    <x v="0"/>
    <x v="0"/>
    <x v="33"/>
    <x v="68"/>
    <x v="1182"/>
    <x v="0"/>
    <s v="LOS ANDES"/>
    <x v="2"/>
  </r>
  <r>
    <x v="16"/>
    <x v="85"/>
    <x v="2"/>
    <x v="2"/>
    <x v="0"/>
    <x v="0"/>
    <x v="33"/>
    <x v="161"/>
    <x v="1132"/>
    <x v="0"/>
    <s v="LOS ANDES"/>
    <x v="2"/>
  </r>
  <r>
    <x v="16"/>
    <x v="24"/>
    <x v="2"/>
    <x v="2"/>
    <x v="0"/>
    <x v="0"/>
    <x v="33"/>
    <x v="202"/>
    <x v="759"/>
    <x v="0"/>
    <s v="LOS ANDES"/>
    <x v="2"/>
  </r>
  <r>
    <x v="16"/>
    <x v="107"/>
    <x v="2"/>
    <x v="2"/>
    <x v="0"/>
    <x v="0"/>
    <x v="33"/>
    <x v="158"/>
    <x v="765"/>
    <x v="0"/>
    <s v="LOS ANDES"/>
    <x v="2"/>
  </r>
  <r>
    <x v="16"/>
    <x v="144"/>
    <x v="2"/>
    <x v="2"/>
    <x v="0"/>
    <x v="0"/>
    <x v="33"/>
    <x v="162"/>
    <x v="765"/>
    <x v="0"/>
    <s v="LOS ANDES"/>
    <x v="2"/>
  </r>
  <r>
    <x v="16"/>
    <x v="84"/>
    <x v="2"/>
    <x v="2"/>
    <x v="0"/>
    <x v="0"/>
    <x v="33"/>
    <x v="203"/>
    <x v="982"/>
    <x v="0"/>
    <s v="LOS ANDES"/>
    <x v="2"/>
  </r>
  <r>
    <x v="16"/>
    <x v="110"/>
    <x v="2"/>
    <x v="2"/>
    <x v="0"/>
    <x v="0"/>
    <x v="33"/>
    <x v="171"/>
    <x v="765"/>
    <x v="0"/>
    <s v="LOS ANDES"/>
    <x v="2"/>
  </r>
  <r>
    <x v="16"/>
    <x v="17"/>
    <x v="2"/>
    <x v="2"/>
    <x v="0"/>
    <x v="0"/>
    <x v="33"/>
    <x v="150"/>
    <x v="765"/>
    <x v="0"/>
    <s v="LOS ANDES"/>
    <x v="2"/>
  </r>
  <r>
    <x v="16"/>
    <x v="111"/>
    <x v="2"/>
    <x v="2"/>
    <x v="0"/>
    <x v="0"/>
    <x v="33"/>
    <x v="75"/>
    <x v="1182"/>
    <x v="0"/>
    <s v="LOS ANDES"/>
    <x v="2"/>
  </r>
  <r>
    <x v="16"/>
    <x v="86"/>
    <x v="6"/>
    <x v="6"/>
    <x v="0"/>
    <x v="0"/>
    <x v="33"/>
    <x v="224"/>
    <x v="759"/>
    <x v="0"/>
    <s v="LOS ANDES"/>
    <x v="2"/>
  </r>
  <r>
    <x v="16"/>
    <x v="65"/>
    <x v="6"/>
    <x v="6"/>
    <x v="0"/>
    <x v="0"/>
    <x v="33"/>
    <x v="190"/>
    <x v="934"/>
    <x v="0"/>
    <s v="LOS ANDES"/>
    <x v="2"/>
  </r>
  <r>
    <x v="16"/>
    <x v="36"/>
    <x v="6"/>
    <x v="6"/>
    <x v="0"/>
    <x v="0"/>
    <x v="33"/>
    <x v="94"/>
    <x v="1182"/>
    <x v="0"/>
    <s v="LOS ANDES"/>
    <x v="2"/>
  </r>
  <r>
    <x v="16"/>
    <x v="87"/>
    <x v="6"/>
    <x v="6"/>
    <x v="0"/>
    <x v="0"/>
    <x v="33"/>
    <x v="189"/>
    <x v="759"/>
    <x v="0"/>
    <s v="LOS ANDES"/>
    <x v="2"/>
  </r>
  <r>
    <x v="16"/>
    <x v="71"/>
    <x v="6"/>
    <x v="6"/>
    <x v="0"/>
    <x v="0"/>
    <x v="33"/>
    <x v="37"/>
    <x v="859"/>
    <x v="0"/>
    <s v="LOS ANDES"/>
    <x v="2"/>
  </r>
  <r>
    <x v="16"/>
    <x v="102"/>
    <x v="6"/>
    <x v="6"/>
    <x v="0"/>
    <x v="0"/>
    <x v="33"/>
    <x v="141"/>
    <x v="1132"/>
    <x v="0"/>
    <s v="LOS ANDES"/>
    <x v="2"/>
  </r>
  <r>
    <x v="16"/>
    <x v="134"/>
    <x v="6"/>
    <x v="6"/>
    <x v="0"/>
    <x v="0"/>
    <x v="33"/>
    <x v="226"/>
    <x v="765"/>
    <x v="0"/>
    <s v="LOS ANDES"/>
    <x v="2"/>
  </r>
  <r>
    <x v="16"/>
    <x v="147"/>
    <x v="6"/>
    <x v="6"/>
    <x v="0"/>
    <x v="0"/>
    <x v="33"/>
    <x v="132"/>
    <x v="759"/>
    <x v="0"/>
    <s v="LOS ANDES"/>
    <x v="2"/>
  </r>
  <r>
    <x v="16"/>
    <x v="11"/>
    <x v="6"/>
    <x v="6"/>
    <x v="0"/>
    <x v="0"/>
    <x v="33"/>
    <x v="91"/>
    <x v="859"/>
    <x v="0"/>
    <s v="LOS ANDES"/>
    <x v="2"/>
  </r>
  <r>
    <x v="16"/>
    <x v="21"/>
    <x v="6"/>
    <x v="6"/>
    <x v="0"/>
    <x v="0"/>
    <x v="33"/>
    <x v="70"/>
    <x v="874"/>
    <x v="0"/>
    <s v="LOS ANDES"/>
    <x v="2"/>
  </r>
  <r>
    <x v="16"/>
    <x v="137"/>
    <x v="6"/>
    <x v="6"/>
    <x v="0"/>
    <x v="0"/>
    <x v="33"/>
    <x v="102"/>
    <x v="146"/>
    <x v="0"/>
    <s v="LOS ANDES"/>
    <x v="2"/>
  </r>
  <r>
    <x v="16"/>
    <x v="26"/>
    <x v="3"/>
    <x v="3"/>
    <x v="0"/>
    <x v="0"/>
    <x v="33"/>
    <x v="115"/>
    <x v="146"/>
    <x v="0"/>
    <s v="LOS ANDES"/>
    <x v="2"/>
  </r>
  <r>
    <x v="16"/>
    <x v="23"/>
    <x v="3"/>
    <x v="3"/>
    <x v="0"/>
    <x v="0"/>
    <x v="33"/>
    <x v="221"/>
    <x v="859"/>
    <x v="0"/>
    <s v="LOS ANDES"/>
    <x v="2"/>
  </r>
  <r>
    <x v="16"/>
    <x v="19"/>
    <x v="3"/>
    <x v="3"/>
    <x v="0"/>
    <x v="0"/>
    <x v="33"/>
    <x v="62"/>
    <x v="765"/>
    <x v="0"/>
    <s v="LOS ANDES"/>
    <x v="2"/>
  </r>
  <r>
    <x v="16"/>
    <x v="108"/>
    <x v="3"/>
    <x v="3"/>
    <x v="0"/>
    <x v="0"/>
    <x v="33"/>
    <x v="63"/>
    <x v="952"/>
    <x v="0"/>
    <s v="LOS ANDES"/>
    <x v="2"/>
  </r>
  <r>
    <x v="16"/>
    <x v="27"/>
    <x v="3"/>
    <x v="3"/>
    <x v="0"/>
    <x v="0"/>
    <x v="33"/>
    <x v="43"/>
    <x v="765"/>
    <x v="0"/>
    <s v="LOS ANDES"/>
    <x v="2"/>
  </r>
  <r>
    <x v="16"/>
    <x v="114"/>
    <x v="3"/>
    <x v="3"/>
    <x v="0"/>
    <x v="0"/>
    <x v="33"/>
    <x v="76"/>
    <x v="1132"/>
    <x v="0"/>
    <s v="LOS ANDES"/>
    <x v="2"/>
  </r>
  <r>
    <x v="16"/>
    <x v="43"/>
    <x v="3"/>
    <x v="3"/>
    <x v="0"/>
    <x v="0"/>
    <x v="33"/>
    <x v="71"/>
    <x v="952"/>
    <x v="0"/>
    <s v="LOS ANDES"/>
    <x v="2"/>
  </r>
  <r>
    <x v="16"/>
    <x v="61"/>
    <x v="3"/>
    <x v="3"/>
    <x v="0"/>
    <x v="0"/>
    <x v="33"/>
    <x v="126"/>
    <x v="899"/>
    <x v="0"/>
    <s v="LOS ANDES"/>
    <x v="2"/>
  </r>
  <r>
    <x v="16"/>
    <x v="148"/>
    <x v="3"/>
    <x v="3"/>
    <x v="0"/>
    <x v="0"/>
    <x v="33"/>
    <x v="174"/>
    <x v="874"/>
    <x v="0"/>
    <s v="LOS ANDES"/>
    <x v="2"/>
  </r>
  <r>
    <x v="16"/>
    <x v="79"/>
    <x v="3"/>
    <x v="3"/>
    <x v="0"/>
    <x v="0"/>
    <x v="33"/>
    <x v="142"/>
    <x v="1182"/>
    <x v="0"/>
    <s v="LOS ANDES"/>
    <x v="2"/>
  </r>
  <r>
    <x v="16"/>
    <x v="56"/>
    <x v="3"/>
    <x v="3"/>
    <x v="0"/>
    <x v="0"/>
    <x v="33"/>
    <x v="153"/>
    <x v="759"/>
    <x v="0"/>
    <s v="LOS ANDES"/>
    <x v="2"/>
  </r>
  <r>
    <x v="16"/>
    <x v="28"/>
    <x v="3"/>
    <x v="3"/>
    <x v="0"/>
    <x v="0"/>
    <x v="33"/>
    <x v="245"/>
    <x v="874"/>
    <x v="0"/>
    <s v="LOS ANDES"/>
    <x v="2"/>
  </r>
  <r>
    <x v="16"/>
    <x v="131"/>
    <x v="3"/>
    <x v="3"/>
    <x v="0"/>
    <x v="0"/>
    <x v="33"/>
    <x v="163"/>
    <x v="759"/>
    <x v="0"/>
    <s v="LOS ANDES"/>
    <x v="2"/>
  </r>
  <r>
    <x v="16"/>
    <x v="81"/>
    <x v="4"/>
    <x v="4"/>
    <x v="0"/>
    <x v="0"/>
    <x v="33"/>
    <x v="175"/>
    <x v="934"/>
    <x v="0"/>
    <s v="LOS ANDES"/>
    <x v="2"/>
  </r>
  <r>
    <x v="16"/>
    <x v="132"/>
    <x v="4"/>
    <x v="4"/>
    <x v="0"/>
    <x v="0"/>
    <x v="33"/>
    <x v="95"/>
    <x v="874"/>
    <x v="0"/>
    <s v="LOS ANDES"/>
    <x v="2"/>
  </r>
  <r>
    <x v="16"/>
    <x v="12"/>
    <x v="4"/>
    <x v="4"/>
    <x v="0"/>
    <x v="0"/>
    <x v="33"/>
    <x v="247"/>
    <x v="874"/>
    <x v="0"/>
    <s v="LOS ANDES"/>
    <x v="2"/>
  </r>
  <r>
    <x v="16"/>
    <x v="29"/>
    <x v="4"/>
    <x v="4"/>
    <x v="0"/>
    <x v="0"/>
    <x v="33"/>
    <x v="248"/>
    <x v="899"/>
    <x v="0"/>
    <s v="LOS ANDES"/>
    <x v="2"/>
  </r>
  <r>
    <x v="16"/>
    <x v="30"/>
    <x v="4"/>
    <x v="4"/>
    <x v="0"/>
    <x v="0"/>
    <x v="33"/>
    <x v="159"/>
    <x v="934"/>
    <x v="0"/>
    <s v="LOS ANDES"/>
    <x v="2"/>
  </r>
  <r>
    <x v="16"/>
    <x v="165"/>
    <x v="4"/>
    <x v="4"/>
    <x v="0"/>
    <x v="0"/>
    <x v="33"/>
    <x v="205"/>
    <x v="765"/>
    <x v="0"/>
    <s v="LOS ANDES"/>
    <x v="2"/>
  </r>
  <r>
    <x v="16"/>
    <x v="4"/>
    <x v="4"/>
    <x v="4"/>
    <x v="0"/>
    <x v="0"/>
    <x v="33"/>
    <x v="199"/>
    <x v="874"/>
    <x v="0"/>
    <s v="LOS ANDES"/>
    <x v="2"/>
  </r>
  <r>
    <x v="16"/>
    <x v="159"/>
    <x v="0"/>
    <x v="0"/>
    <x v="0"/>
    <x v="0"/>
    <x v="33"/>
    <x v="177"/>
    <x v="146"/>
    <x v="0"/>
    <s v="LOS ANDES"/>
    <x v="2"/>
  </r>
  <r>
    <x v="16"/>
    <x v="120"/>
    <x v="0"/>
    <x v="0"/>
    <x v="0"/>
    <x v="0"/>
    <x v="33"/>
    <x v="212"/>
    <x v="934"/>
    <x v="0"/>
    <s v="LOS ANDES"/>
    <x v="2"/>
  </r>
  <r>
    <x v="16"/>
    <x v="53"/>
    <x v="0"/>
    <x v="0"/>
    <x v="0"/>
    <x v="0"/>
    <x v="33"/>
    <x v="144"/>
    <x v="146"/>
    <x v="0"/>
    <s v="LOS ANDES"/>
    <x v="2"/>
  </r>
  <r>
    <x v="16"/>
    <x v="45"/>
    <x v="0"/>
    <x v="0"/>
    <x v="0"/>
    <x v="0"/>
    <x v="33"/>
    <x v="180"/>
    <x v="1132"/>
    <x v="0"/>
    <s v="LOS ANDES"/>
    <x v="2"/>
  </r>
  <r>
    <x v="16"/>
    <x v="46"/>
    <x v="0"/>
    <x v="0"/>
    <x v="0"/>
    <x v="0"/>
    <x v="33"/>
    <x v="155"/>
    <x v="759"/>
    <x v="0"/>
    <s v="LOS ANDES"/>
    <x v="2"/>
  </r>
  <r>
    <x v="16"/>
    <x v="92"/>
    <x v="0"/>
    <x v="0"/>
    <x v="0"/>
    <x v="0"/>
    <x v="33"/>
    <x v="109"/>
    <x v="1182"/>
    <x v="0"/>
    <s v="LOS ANDES"/>
    <x v="2"/>
  </r>
  <r>
    <x v="16"/>
    <x v="136"/>
    <x v="0"/>
    <x v="0"/>
    <x v="0"/>
    <x v="0"/>
    <x v="33"/>
    <x v="100"/>
    <x v="759"/>
    <x v="0"/>
    <s v="LOS ANDES"/>
    <x v="2"/>
  </r>
  <r>
    <x v="16"/>
    <x v="122"/>
    <x v="0"/>
    <x v="0"/>
    <x v="0"/>
    <x v="0"/>
    <x v="33"/>
    <x v="181"/>
    <x v="874"/>
    <x v="0"/>
    <s v="LOS ANDES"/>
    <x v="2"/>
  </r>
  <r>
    <x v="16"/>
    <x v="32"/>
    <x v="5"/>
    <x v="5"/>
    <x v="0"/>
    <x v="0"/>
    <x v="33"/>
    <x v="81"/>
    <x v="874"/>
    <x v="0"/>
    <s v="LOS ANDES"/>
    <x v="2"/>
  </r>
  <r>
    <x v="16"/>
    <x v="115"/>
    <x v="5"/>
    <x v="5"/>
    <x v="0"/>
    <x v="0"/>
    <x v="33"/>
    <x v="213"/>
    <x v="848"/>
    <x v="0"/>
    <s v="LOS ANDES"/>
    <x v="2"/>
  </r>
  <r>
    <x v="16"/>
    <x v="97"/>
    <x v="5"/>
    <x v="5"/>
    <x v="0"/>
    <x v="0"/>
    <x v="33"/>
    <x v="183"/>
    <x v="899"/>
    <x v="0"/>
    <s v="LOS ANDES"/>
    <x v="2"/>
  </r>
  <r>
    <x v="16"/>
    <x v="13"/>
    <x v="5"/>
    <x v="5"/>
    <x v="0"/>
    <x v="0"/>
    <x v="33"/>
    <x v="120"/>
    <x v="859"/>
    <x v="0"/>
    <s v="LOS ANDES"/>
    <x v="2"/>
  </r>
  <r>
    <x v="16"/>
    <x v="72"/>
    <x v="5"/>
    <x v="5"/>
    <x v="0"/>
    <x v="0"/>
    <x v="33"/>
    <x v="38"/>
    <x v="759"/>
    <x v="0"/>
    <s v="LOS ANDES"/>
    <x v="2"/>
  </r>
  <r>
    <x v="16"/>
    <x v="125"/>
    <x v="5"/>
    <x v="5"/>
    <x v="0"/>
    <x v="0"/>
    <x v="33"/>
    <x v="82"/>
    <x v="934"/>
    <x v="0"/>
    <s v="LOS ANDES"/>
    <x v="2"/>
  </r>
  <r>
    <x v="16"/>
    <x v="34"/>
    <x v="5"/>
    <x v="5"/>
    <x v="0"/>
    <x v="0"/>
    <x v="33"/>
    <x v="184"/>
    <x v="759"/>
    <x v="0"/>
    <s v="LOS ANDES"/>
    <x v="2"/>
  </r>
  <r>
    <x v="16"/>
    <x v="77"/>
    <x v="5"/>
    <x v="5"/>
    <x v="0"/>
    <x v="0"/>
    <x v="33"/>
    <x v="156"/>
    <x v="146"/>
    <x v="0"/>
    <s v="LOS ANDES"/>
    <x v="2"/>
  </r>
  <r>
    <x v="16"/>
    <x v="139"/>
    <x v="5"/>
    <x v="5"/>
    <x v="0"/>
    <x v="0"/>
    <x v="33"/>
    <x v="110"/>
    <x v="1215"/>
    <x v="0"/>
    <s v="LOS ANDES"/>
    <x v="2"/>
  </r>
  <r>
    <x v="16"/>
    <x v="63"/>
    <x v="5"/>
    <x v="5"/>
    <x v="0"/>
    <x v="0"/>
    <x v="33"/>
    <x v="111"/>
    <x v="146"/>
    <x v="0"/>
    <s v="LOS ANDES"/>
    <x v="2"/>
  </r>
  <r>
    <x v="16"/>
    <x v="54"/>
    <x v="5"/>
    <x v="5"/>
    <x v="0"/>
    <x v="0"/>
    <x v="33"/>
    <x v="246"/>
    <x v="1182"/>
    <x v="0"/>
    <s v="LOS ANDES"/>
    <x v="2"/>
  </r>
  <r>
    <x v="16"/>
    <x v="150"/>
    <x v="5"/>
    <x v="5"/>
    <x v="0"/>
    <x v="0"/>
    <x v="33"/>
    <x v="214"/>
    <x v="874"/>
    <x v="0"/>
    <s v="LOS ANDES"/>
    <x v="2"/>
  </r>
  <r>
    <x v="16"/>
    <x v="20"/>
    <x v="5"/>
    <x v="5"/>
    <x v="0"/>
    <x v="0"/>
    <x v="33"/>
    <x v="45"/>
    <x v="765"/>
    <x v="0"/>
    <s v="LOS ANDES"/>
    <x v="2"/>
  </r>
  <r>
    <x v="16"/>
    <x v="40"/>
    <x v="1"/>
    <x v="1"/>
    <x v="0"/>
    <x v="0"/>
    <x v="33"/>
    <x v="125"/>
    <x v="899"/>
    <x v="0"/>
    <s v="LOS ANDES"/>
    <x v="2"/>
  </r>
  <r>
    <x v="16"/>
    <x v="161"/>
    <x v="1"/>
    <x v="1"/>
    <x v="0"/>
    <x v="0"/>
    <x v="33"/>
    <x v="186"/>
    <x v="899"/>
    <x v="0"/>
    <s v="LOS ANDES"/>
    <x v="2"/>
  </r>
  <r>
    <x v="16"/>
    <x v="95"/>
    <x v="1"/>
    <x v="1"/>
    <x v="0"/>
    <x v="0"/>
    <x v="33"/>
    <x v="97"/>
    <x v="1132"/>
    <x v="0"/>
    <s v="LOS ANDES"/>
    <x v="2"/>
  </r>
  <r>
    <x v="16"/>
    <x v="151"/>
    <x v="1"/>
    <x v="1"/>
    <x v="0"/>
    <x v="0"/>
    <x v="33"/>
    <x v="166"/>
    <x v="899"/>
    <x v="0"/>
    <s v="LOS ANDES"/>
    <x v="2"/>
  </r>
  <r>
    <x v="16"/>
    <x v="41"/>
    <x v="1"/>
    <x v="1"/>
    <x v="0"/>
    <x v="0"/>
    <x v="33"/>
    <x v="113"/>
    <x v="899"/>
    <x v="0"/>
    <s v="LOS ANDES"/>
    <x v="2"/>
  </r>
  <r>
    <x v="16"/>
    <x v="127"/>
    <x v="1"/>
    <x v="1"/>
    <x v="0"/>
    <x v="0"/>
    <x v="33"/>
    <x v="85"/>
    <x v="765"/>
    <x v="0"/>
    <s v="LOS ANDES"/>
    <x v="2"/>
  </r>
  <r>
    <x v="16"/>
    <x v="22"/>
    <x v="1"/>
    <x v="1"/>
    <x v="0"/>
    <x v="0"/>
    <x v="33"/>
    <x v="211"/>
    <x v="146"/>
    <x v="0"/>
    <s v="LOS ANDES"/>
    <x v="2"/>
  </r>
  <r>
    <x v="16"/>
    <x v="8"/>
    <x v="1"/>
    <x v="1"/>
    <x v="0"/>
    <x v="0"/>
    <x v="33"/>
    <x v="187"/>
    <x v="859"/>
    <x v="0"/>
    <s v="LOS ANDES"/>
    <x v="2"/>
  </r>
  <r>
    <x v="16"/>
    <x v="33"/>
    <x v="1"/>
    <x v="1"/>
    <x v="0"/>
    <x v="0"/>
    <x v="33"/>
    <x v="241"/>
    <x v="934"/>
    <x v="0"/>
    <s v="LOS ANDES"/>
    <x v="2"/>
  </r>
  <r>
    <x v="16"/>
    <x v="152"/>
    <x v="1"/>
    <x v="1"/>
    <x v="0"/>
    <x v="0"/>
    <x v="33"/>
    <x v="194"/>
    <x v="759"/>
    <x v="0"/>
    <s v="LOS ANDES"/>
    <x v="2"/>
  </r>
  <r>
    <x v="16"/>
    <x v="98"/>
    <x v="1"/>
    <x v="1"/>
    <x v="0"/>
    <x v="0"/>
    <x v="33"/>
    <x v="198"/>
    <x v="899"/>
    <x v="0"/>
    <s v="LOS ANDES"/>
    <x v="2"/>
  </r>
  <r>
    <x v="16"/>
    <x v="128"/>
    <x v="1"/>
    <x v="1"/>
    <x v="0"/>
    <x v="0"/>
    <x v="33"/>
    <x v="164"/>
    <x v="859"/>
    <x v="0"/>
    <s v="LOS ANDES"/>
    <x v="2"/>
  </r>
  <r>
    <x v="16"/>
    <x v="1"/>
    <x v="1"/>
    <x v="1"/>
    <x v="0"/>
    <x v="0"/>
    <x v="1"/>
    <x v="1"/>
    <x v="1"/>
    <x v="337"/>
    <s v="LOS ANDES"/>
    <x v="2"/>
  </r>
  <r>
    <x v="16"/>
    <x v="70"/>
    <x v="2"/>
    <x v="2"/>
    <x v="0"/>
    <x v="1"/>
    <x v="33"/>
    <x v="36"/>
    <x v="759"/>
    <x v="0"/>
    <s v="LOS ANDES"/>
    <x v="2"/>
  </r>
  <r>
    <x v="16"/>
    <x v="24"/>
    <x v="2"/>
    <x v="2"/>
    <x v="0"/>
    <x v="1"/>
    <x v="33"/>
    <x v="202"/>
    <x v="759"/>
    <x v="0"/>
    <s v="LOS ANDES"/>
    <x v="2"/>
  </r>
  <r>
    <x v="16"/>
    <x v="107"/>
    <x v="2"/>
    <x v="2"/>
    <x v="0"/>
    <x v="1"/>
    <x v="33"/>
    <x v="158"/>
    <x v="759"/>
    <x v="0"/>
    <s v="LOS ANDES"/>
    <x v="2"/>
  </r>
  <r>
    <x v="16"/>
    <x v="84"/>
    <x v="2"/>
    <x v="2"/>
    <x v="0"/>
    <x v="1"/>
    <x v="33"/>
    <x v="203"/>
    <x v="759"/>
    <x v="0"/>
    <s v="LOS ANDES"/>
    <x v="2"/>
  </r>
  <r>
    <x v="16"/>
    <x v="4"/>
    <x v="4"/>
    <x v="4"/>
    <x v="0"/>
    <x v="1"/>
    <x v="33"/>
    <x v="199"/>
    <x v="874"/>
    <x v="0"/>
    <s v="LOS ANDES"/>
    <x v="2"/>
  </r>
  <r>
    <x v="16"/>
    <x v="115"/>
    <x v="5"/>
    <x v="5"/>
    <x v="0"/>
    <x v="1"/>
    <x v="33"/>
    <x v="213"/>
    <x v="874"/>
    <x v="0"/>
    <s v="LOS ANDES"/>
    <x v="2"/>
  </r>
  <r>
    <x v="16"/>
    <x v="8"/>
    <x v="1"/>
    <x v="1"/>
    <x v="0"/>
    <x v="1"/>
    <x v="33"/>
    <x v="187"/>
    <x v="874"/>
    <x v="0"/>
    <s v="LOS ANDES"/>
    <x v="2"/>
  </r>
  <r>
    <x v="16"/>
    <x v="33"/>
    <x v="1"/>
    <x v="1"/>
    <x v="0"/>
    <x v="1"/>
    <x v="33"/>
    <x v="241"/>
    <x v="874"/>
    <x v="0"/>
    <s v="LOS ANDES"/>
    <x v="2"/>
  </r>
  <r>
    <x v="16"/>
    <x v="152"/>
    <x v="1"/>
    <x v="1"/>
    <x v="0"/>
    <x v="1"/>
    <x v="33"/>
    <x v="194"/>
    <x v="874"/>
    <x v="0"/>
    <s v="LOS ANDES"/>
    <x v="2"/>
  </r>
  <r>
    <x v="16"/>
    <x v="98"/>
    <x v="1"/>
    <x v="1"/>
    <x v="0"/>
    <x v="1"/>
    <x v="33"/>
    <x v="198"/>
    <x v="874"/>
    <x v="0"/>
    <s v="LOS ANDES"/>
    <x v="2"/>
  </r>
  <r>
    <x v="16"/>
    <x v="1"/>
    <x v="1"/>
    <x v="1"/>
    <x v="0"/>
    <x v="1"/>
    <x v="1"/>
    <x v="1"/>
    <x v="1"/>
    <x v="338"/>
    <s v="LOS ANDES"/>
    <x v="2"/>
  </r>
  <r>
    <x v="18"/>
    <x v="119"/>
    <x v="0"/>
    <x v="0"/>
    <x v="0"/>
    <x v="2"/>
    <x v="33"/>
    <x v="96"/>
    <x v="1330"/>
    <x v="0"/>
    <s v="AVENIDA CUBA"/>
    <x v="2"/>
  </r>
  <r>
    <x v="18"/>
    <x v="1"/>
    <x v="1"/>
    <x v="1"/>
    <x v="0"/>
    <x v="2"/>
    <x v="1"/>
    <x v="1"/>
    <x v="1"/>
    <x v="339"/>
    <s v="AVENIDA CUBA"/>
    <x v="2"/>
  </r>
  <r>
    <x v="18"/>
    <x v="62"/>
    <x v="4"/>
    <x v="4"/>
    <x v="0"/>
    <x v="1"/>
    <x v="33"/>
    <x v="176"/>
    <x v="874"/>
    <x v="0"/>
    <s v="AVENIDA CUBA"/>
    <x v="2"/>
  </r>
  <r>
    <x v="18"/>
    <x v="1"/>
    <x v="1"/>
    <x v="1"/>
    <x v="0"/>
    <x v="1"/>
    <x v="1"/>
    <x v="1"/>
    <x v="1"/>
    <x v="216"/>
    <s v="AVENIDA CUBA"/>
    <x v="2"/>
  </r>
  <r>
    <x v="19"/>
    <x v="164"/>
    <x v="6"/>
    <x v="6"/>
    <x v="0"/>
    <x v="2"/>
    <x v="33"/>
    <x v="200"/>
    <x v="874"/>
    <x v="0"/>
    <s v="CHITRE"/>
    <x v="2"/>
  </r>
  <r>
    <x v="19"/>
    <x v="46"/>
    <x v="0"/>
    <x v="0"/>
    <x v="0"/>
    <x v="2"/>
    <x v="33"/>
    <x v="155"/>
    <x v="874"/>
    <x v="0"/>
    <s v="CHITRE"/>
    <x v="2"/>
  </r>
  <r>
    <x v="19"/>
    <x v="58"/>
    <x v="1"/>
    <x v="1"/>
    <x v="0"/>
    <x v="2"/>
    <x v="32"/>
    <x v="84"/>
    <x v="1331"/>
    <x v="0"/>
    <s v="CHITRE"/>
    <x v="2"/>
  </r>
  <r>
    <x v="19"/>
    <x v="1"/>
    <x v="1"/>
    <x v="1"/>
    <x v="0"/>
    <x v="2"/>
    <x v="1"/>
    <x v="1"/>
    <x v="1"/>
    <x v="340"/>
    <s v="CHITRE"/>
    <x v="2"/>
  </r>
  <r>
    <x v="19"/>
    <x v="164"/>
    <x v="6"/>
    <x v="6"/>
    <x v="0"/>
    <x v="0"/>
    <x v="33"/>
    <x v="200"/>
    <x v="874"/>
    <x v="0"/>
    <s v="CHITRE"/>
    <x v="2"/>
  </r>
  <r>
    <x v="19"/>
    <x v="132"/>
    <x v="4"/>
    <x v="4"/>
    <x v="0"/>
    <x v="0"/>
    <x v="33"/>
    <x v="95"/>
    <x v="874"/>
    <x v="0"/>
    <s v="CHITRE"/>
    <x v="2"/>
  </r>
  <r>
    <x v="19"/>
    <x v="46"/>
    <x v="0"/>
    <x v="0"/>
    <x v="0"/>
    <x v="0"/>
    <x v="33"/>
    <x v="155"/>
    <x v="765"/>
    <x v="0"/>
    <s v="CHITRE"/>
    <x v="2"/>
  </r>
  <r>
    <x v="19"/>
    <x v="1"/>
    <x v="1"/>
    <x v="1"/>
    <x v="0"/>
    <x v="0"/>
    <x v="1"/>
    <x v="1"/>
    <x v="1"/>
    <x v="220"/>
    <s v="CHITRE"/>
    <x v="2"/>
  </r>
  <r>
    <x v="20"/>
    <x v="42"/>
    <x v="1"/>
    <x v="1"/>
    <x v="0"/>
    <x v="2"/>
    <x v="33"/>
    <x v="167"/>
    <x v="874"/>
    <x v="0"/>
    <s v="LOS PUEBLOS"/>
    <x v="2"/>
  </r>
  <r>
    <x v="20"/>
    <x v="1"/>
    <x v="1"/>
    <x v="1"/>
    <x v="0"/>
    <x v="2"/>
    <x v="1"/>
    <x v="1"/>
    <x v="1"/>
    <x v="216"/>
    <s v="LOS PUEBLOS"/>
    <x v="2"/>
  </r>
  <r>
    <x v="20"/>
    <x v="106"/>
    <x v="2"/>
    <x v="2"/>
    <x v="0"/>
    <x v="0"/>
    <x v="33"/>
    <x v="223"/>
    <x v="146"/>
    <x v="0"/>
    <s v="LOS PUEBLOS"/>
    <x v="2"/>
  </r>
  <r>
    <x v="20"/>
    <x v="107"/>
    <x v="2"/>
    <x v="2"/>
    <x v="0"/>
    <x v="0"/>
    <x v="33"/>
    <x v="158"/>
    <x v="874"/>
    <x v="0"/>
    <s v="LOS PUEBLOS"/>
    <x v="2"/>
  </r>
  <r>
    <x v="20"/>
    <x v="84"/>
    <x v="2"/>
    <x v="2"/>
    <x v="0"/>
    <x v="0"/>
    <x v="33"/>
    <x v="203"/>
    <x v="759"/>
    <x v="0"/>
    <s v="LOS PUEBLOS"/>
    <x v="2"/>
  </r>
  <r>
    <x v="20"/>
    <x v="36"/>
    <x v="6"/>
    <x v="6"/>
    <x v="0"/>
    <x v="0"/>
    <x v="33"/>
    <x v="94"/>
    <x v="759"/>
    <x v="0"/>
    <s v="LOS PUEBLOS"/>
    <x v="2"/>
  </r>
  <r>
    <x v="20"/>
    <x v="19"/>
    <x v="3"/>
    <x v="3"/>
    <x v="0"/>
    <x v="0"/>
    <x v="33"/>
    <x v="62"/>
    <x v="759"/>
    <x v="0"/>
    <s v="LOS PUEBLOS"/>
    <x v="2"/>
  </r>
  <r>
    <x v="20"/>
    <x v="56"/>
    <x v="3"/>
    <x v="3"/>
    <x v="0"/>
    <x v="0"/>
    <x v="33"/>
    <x v="153"/>
    <x v="1132"/>
    <x v="0"/>
    <s v="LOS PUEBLOS"/>
    <x v="2"/>
  </r>
  <r>
    <x v="20"/>
    <x v="156"/>
    <x v="4"/>
    <x v="4"/>
    <x v="0"/>
    <x v="0"/>
    <x v="33"/>
    <x v="146"/>
    <x v="1132"/>
    <x v="0"/>
    <s v="LOS PUEBLOS"/>
    <x v="2"/>
  </r>
  <r>
    <x v="20"/>
    <x v="50"/>
    <x v="4"/>
    <x v="4"/>
    <x v="0"/>
    <x v="0"/>
    <x v="33"/>
    <x v="77"/>
    <x v="146"/>
    <x v="0"/>
    <s v="LOS PUEBLOS"/>
    <x v="2"/>
  </r>
  <r>
    <x v="20"/>
    <x v="38"/>
    <x v="4"/>
    <x v="4"/>
    <x v="0"/>
    <x v="0"/>
    <x v="33"/>
    <x v="106"/>
    <x v="759"/>
    <x v="0"/>
    <s v="LOS PUEBLOS"/>
    <x v="2"/>
  </r>
  <r>
    <x v="20"/>
    <x v="57"/>
    <x v="0"/>
    <x v="0"/>
    <x v="0"/>
    <x v="0"/>
    <x v="33"/>
    <x v="44"/>
    <x v="146"/>
    <x v="0"/>
    <s v="LOS PUEBLOS"/>
    <x v="2"/>
  </r>
  <r>
    <x v="20"/>
    <x v="45"/>
    <x v="0"/>
    <x v="0"/>
    <x v="0"/>
    <x v="0"/>
    <x v="33"/>
    <x v="180"/>
    <x v="765"/>
    <x v="0"/>
    <s v="LOS PUEBLOS"/>
    <x v="2"/>
  </r>
  <r>
    <x v="20"/>
    <x v="115"/>
    <x v="5"/>
    <x v="5"/>
    <x v="0"/>
    <x v="0"/>
    <x v="33"/>
    <x v="213"/>
    <x v="759"/>
    <x v="0"/>
    <s v="LOS PUEBLOS"/>
    <x v="2"/>
  </r>
  <r>
    <x v="20"/>
    <x v="13"/>
    <x v="5"/>
    <x v="5"/>
    <x v="0"/>
    <x v="0"/>
    <x v="33"/>
    <x v="120"/>
    <x v="1182"/>
    <x v="0"/>
    <s v="LOS PUEBLOS"/>
    <x v="2"/>
  </r>
  <r>
    <x v="20"/>
    <x v="125"/>
    <x v="5"/>
    <x v="5"/>
    <x v="0"/>
    <x v="0"/>
    <x v="33"/>
    <x v="82"/>
    <x v="874"/>
    <x v="0"/>
    <s v="LOS PUEBLOS"/>
    <x v="2"/>
  </r>
  <r>
    <x v="20"/>
    <x v="168"/>
    <x v="5"/>
    <x v="5"/>
    <x v="0"/>
    <x v="0"/>
    <x v="33"/>
    <x v="225"/>
    <x v="759"/>
    <x v="0"/>
    <s v="LOS PUEBLOS"/>
    <x v="2"/>
  </r>
  <r>
    <x v="20"/>
    <x v="63"/>
    <x v="5"/>
    <x v="5"/>
    <x v="0"/>
    <x v="0"/>
    <x v="33"/>
    <x v="111"/>
    <x v="874"/>
    <x v="0"/>
    <s v="LOS PUEBLOS"/>
    <x v="2"/>
  </r>
  <r>
    <x v="20"/>
    <x v="124"/>
    <x v="5"/>
    <x v="5"/>
    <x v="0"/>
    <x v="0"/>
    <x v="33"/>
    <x v="206"/>
    <x v="874"/>
    <x v="0"/>
    <s v="LOS PUEBLOS"/>
    <x v="2"/>
  </r>
  <r>
    <x v="20"/>
    <x v="161"/>
    <x v="1"/>
    <x v="1"/>
    <x v="0"/>
    <x v="0"/>
    <x v="33"/>
    <x v="186"/>
    <x v="759"/>
    <x v="0"/>
    <s v="LOS PUEBLOS"/>
    <x v="2"/>
  </r>
  <r>
    <x v="20"/>
    <x v="95"/>
    <x v="1"/>
    <x v="1"/>
    <x v="0"/>
    <x v="0"/>
    <x v="33"/>
    <x v="97"/>
    <x v="146"/>
    <x v="0"/>
    <s v="LOS PUEBLOS"/>
    <x v="2"/>
  </r>
  <r>
    <x v="20"/>
    <x v="42"/>
    <x v="1"/>
    <x v="1"/>
    <x v="0"/>
    <x v="0"/>
    <x v="33"/>
    <x v="167"/>
    <x v="874"/>
    <x v="0"/>
    <s v="LOS PUEBLOS"/>
    <x v="2"/>
  </r>
  <r>
    <x v="20"/>
    <x v="8"/>
    <x v="1"/>
    <x v="1"/>
    <x v="0"/>
    <x v="0"/>
    <x v="33"/>
    <x v="187"/>
    <x v="759"/>
    <x v="0"/>
    <s v="LOS PUEBLOS"/>
    <x v="2"/>
  </r>
  <r>
    <x v="20"/>
    <x v="1"/>
    <x v="1"/>
    <x v="1"/>
    <x v="0"/>
    <x v="0"/>
    <x v="1"/>
    <x v="1"/>
    <x v="1"/>
    <x v="341"/>
    <s v="LOS PUEBLOS"/>
    <x v="2"/>
  </r>
  <r>
    <x v="20"/>
    <x v="30"/>
    <x v="4"/>
    <x v="4"/>
    <x v="0"/>
    <x v="1"/>
    <x v="33"/>
    <x v="159"/>
    <x v="874"/>
    <x v="0"/>
    <s v="LOS PUEBLOS"/>
    <x v="2"/>
  </r>
  <r>
    <x v="20"/>
    <x v="159"/>
    <x v="0"/>
    <x v="0"/>
    <x v="0"/>
    <x v="1"/>
    <x v="33"/>
    <x v="177"/>
    <x v="899"/>
    <x v="0"/>
    <s v="LOS PUEBLOS"/>
    <x v="2"/>
  </r>
  <r>
    <x v="20"/>
    <x v="42"/>
    <x v="1"/>
    <x v="1"/>
    <x v="0"/>
    <x v="1"/>
    <x v="33"/>
    <x v="167"/>
    <x v="874"/>
    <x v="0"/>
    <s v="LOS PUEBLOS"/>
    <x v="2"/>
  </r>
  <r>
    <x v="20"/>
    <x v="1"/>
    <x v="1"/>
    <x v="1"/>
    <x v="0"/>
    <x v="1"/>
    <x v="1"/>
    <x v="1"/>
    <x v="1"/>
    <x v="342"/>
    <s v="LOS PUEBLOS"/>
    <x v="2"/>
  </r>
  <r>
    <x v="21"/>
    <x v="159"/>
    <x v="0"/>
    <x v="0"/>
    <x v="0"/>
    <x v="2"/>
    <x v="33"/>
    <x v="177"/>
    <x v="874"/>
    <x v="0"/>
    <s v="TRANSISTMICA"/>
    <x v="2"/>
  </r>
  <r>
    <x v="21"/>
    <x v="1"/>
    <x v="1"/>
    <x v="1"/>
    <x v="0"/>
    <x v="2"/>
    <x v="1"/>
    <x v="1"/>
    <x v="1"/>
    <x v="216"/>
    <s v="TRANSISTMICA"/>
    <x v="2"/>
  </r>
  <r>
    <x v="21"/>
    <x v="118"/>
    <x v="2"/>
    <x v="2"/>
    <x v="0"/>
    <x v="0"/>
    <x v="33"/>
    <x v="69"/>
    <x v="1132"/>
    <x v="0"/>
    <s v="TRANSISTMICA"/>
    <x v="2"/>
  </r>
  <r>
    <x v="21"/>
    <x v="17"/>
    <x v="2"/>
    <x v="2"/>
    <x v="0"/>
    <x v="0"/>
    <x v="33"/>
    <x v="150"/>
    <x v="1215"/>
    <x v="0"/>
    <s v="TRANSISTMICA"/>
    <x v="2"/>
  </r>
  <r>
    <x v="21"/>
    <x v="87"/>
    <x v="6"/>
    <x v="6"/>
    <x v="0"/>
    <x v="0"/>
    <x v="33"/>
    <x v="189"/>
    <x v="859"/>
    <x v="0"/>
    <s v="TRANSISTMICA"/>
    <x v="2"/>
  </r>
  <r>
    <x v="21"/>
    <x v="15"/>
    <x v="6"/>
    <x v="6"/>
    <x v="0"/>
    <x v="0"/>
    <x v="33"/>
    <x v="216"/>
    <x v="859"/>
    <x v="0"/>
    <s v="TRANSISTMICA"/>
    <x v="2"/>
  </r>
  <r>
    <x v="21"/>
    <x v="23"/>
    <x v="3"/>
    <x v="3"/>
    <x v="0"/>
    <x v="0"/>
    <x v="33"/>
    <x v="221"/>
    <x v="952"/>
    <x v="0"/>
    <s v="TRANSISTMICA"/>
    <x v="2"/>
  </r>
  <r>
    <x v="21"/>
    <x v="56"/>
    <x v="3"/>
    <x v="3"/>
    <x v="0"/>
    <x v="0"/>
    <x v="33"/>
    <x v="153"/>
    <x v="1215"/>
    <x v="0"/>
    <s v="TRANSISTMICA"/>
    <x v="2"/>
  </r>
  <r>
    <x v="21"/>
    <x v="156"/>
    <x v="4"/>
    <x v="4"/>
    <x v="0"/>
    <x v="0"/>
    <x v="33"/>
    <x v="146"/>
    <x v="848"/>
    <x v="0"/>
    <s v="TRANSISTMICA"/>
    <x v="2"/>
  </r>
  <r>
    <x v="21"/>
    <x v="165"/>
    <x v="4"/>
    <x v="4"/>
    <x v="0"/>
    <x v="0"/>
    <x v="33"/>
    <x v="205"/>
    <x v="934"/>
    <x v="0"/>
    <s v="TRANSISTMICA"/>
    <x v="2"/>
  </r>
  <r>
    <x v="21"/>
    <x v="57"/>
    <x v="0"/>
    <x v="0"/>
    <x v="0"/>
    <x v="0"/>
    <x v="33"/>
    <x v="44"/>
    <x v="1182"/>
    <x v="0"/>
    <s v="TRANSISTMICA"/>
    <x v="2"/>
  </r>
  <r>
    <x v="21"/>
    <x v="45"/>
    <x v="0"/>
    <x v="0"/>
    <x v="0"/>
    <x v="0"/>
    <x v="33"/>
    <x v="180"/>
    <x v="859"/>
    <x v="0"/>
    <s v="TRANSISTMICA"/>
    <x v="2"/>
  </r>
  <r>
    <x v="21"/>
    <x v="97"/>
    <x v="5"/>
    <x v="5"/>
    <x v="0"/>
    <x v="0"/>
    <x v="33"/>
    <x v="183"/>
    <x v="982"/>
    <x v="0"/>
    <s v="TRANSISTMICA"/>
    <x v="2"/>
  </r>
  <r>
    <x v="21"/>
    <x v="13"/>
    <x v="5"/>
    <x v="5"/>
    <x v="0"/>
    <x v="0"/>
    <x v="33"/>
    <x v="120"/>
    <x v="874"/>
    <x v="0"/>
    <s v="TRANSISTMICA"/>
    <x v="2"/>
  </r>
  <r>
    <x v="21"/>
    <x v="141"/>
    <x v="5"/>
    <x v="5"/>
    <x v="0"/>
    <x v="0"/>
    <x v="33"/>
    <x v="185"/>
    <x v="982"/>
    <x v="0"/>
    <s v="TRANSISTMICA"/>
    <x v="2"/>
  </r>
  <r>
    <x v="21"/>
    <x v="40"/>
    <x v="1"/>
    <x v="1"/>
    <x v="0"/>
    <x v="0"/>
    <x v="33"/>
    <x v="125"/>
    <x v="1132"/>
    <x v="0"/>
    <s v="TRANSISTMICA"/>
    <x v="2"/>
  </r>
  <r>
    <x v="21"/>
    <x v="95"/>
    <x v="1"/>
    <x v="1"/>
    <x v="0"/>
    <x v="0"/>
    <x v="33"/>
    <x v="97"/>
    <x v="759"/>
    <x v="0"/>
    <s v="TRANSISTMICA"/>
    <x v="2"/>
  </r>
  <r>
    <x v="21"/>
    <x v="109"/>
    <x v="1"/>
    <x v="1"/>
    <x v="0"/>
    <x v="0"/>
    <x v="33"/>
    <x v="208"/>
    <x v="899"/>
    <x v="0"/>
    <s v="TRANSISTMICA"/>
    <x v="2"/>
  </r>
  <r>
    <x v="21"/>
    <x v="98"/>
    <x v="1"/>
    <x v="1"/>
    <x v="0"/>
    <x v="0"/>
    <x v="33"/>
    <x v="198"/>
    <x v="146"/>
    <x v="0"/>
    <s v="TRANSISTMICA"/>
    <x v="2"/>
  </r>
  <r>
    <x v="21"/>
    <x v="1"/>
    <x v="1"/>
    <x v="1"/>
    <x v="0"/>
    <x v="0"/>
    <x v="1"/>
    <x v="1"/>
    <x v="1"/>
    <x v="343"/>
    <s v="TRANSISTMICA"/>
    <x v="2"/>
  </r>
  <r>
    <x v="21"/>
    <x v="118"/>
    <x v="2"/>
    <x v="2"/>
    <x v="0"/>
    <x v="1"/>
    <x v="33"/>
    <x v="69"/>
    <x v="874"/>
    <x v="0"/>
    <s v="TRANSISTMICA"/>
    <x v="2"/>
  </r>
  <r>
    <x v="21"/>
    <x v="15"/>
    <x v="6"/>
    <x v="6"/>
    <x v="0"/>
    <x v="1"/>
    <x v="33"/>
    <x v="216"/>
    <x v="934"/>
    <x v="0"/>
    <s v="TRANSISTMICA"/>
    <x v="2"/>
  </r>
  <r>
    <x v="21"/>
    <x v="23"/>
    <x v="3"/>
    <x v="3"/>
    <x v="0"/>
    <x v="1"/>
    <x v="33"/>
    <x v="221"/>
    <x v="146"/>
    <x v="0"/>
    <s v="TRANSISTMICA"/>
    <x v="2"/>
  </r>
  <r>
    <x v="21"/>
    <x v="56"/>
    <x v="3"/>
    <x v="3"/>
    <x v="0"/>
    <x v="1"/>
    <x v="33"/>
    <x v="153"/>
    <x v="874"/>
    <x v="0"/>
    <s v="TRANSISTMICA"/>
    <x v="2"/>
  </r>
  <r>
    <x v="21"/>
    <x v="165"/>
    <x v="4"/>
    <x v="4"/>
    <x v="0"/>
    <x v="1"/>
    <x v="33"/>
    <x v="205"/>
    <x v="765"/>
    <x v="0"/>
    <s v="TRANSISTMICA"/>
    <x v="2"/>
  </r>
  <r>
    <x v="21"/>
    <x v="159"/>
    <x v="0"/>
    <x v="0"/>
    <x v="0"/>
    <x v="1"/>
    <x v="33"/>
    <x v="177"/>
    <x v="759"/>
    <x v="0"/>
    <s v="TRANSISTMICA"/>
    <x v="2"/>
  </r>
  <r>
    <x v="21"/>
    <x v="45"/>
    <x v="0"/>
    <x v="0"/>
    <x v="0"/>
    <x v="1"/>
    <x v="33"/>
    <x v="180"/>
    <x v="759"/>
    <x v="0"/>
    <s v="TRANSISTMICA"/>
    <x v="2"/>
  </r>
  <r>
    <x v="21"/>
    <x v="13"/>
    <x v="5"/>
    <x v="5"/>
    <x v="0"/>
    <x v="1"/>
    <x v="33"/>
    <x v="120"/>
    <x v="874"/>
    <x v="0"/>
    <s v="TRANSISTMICA"/>
    <x v="2"/>
  </r>
  <r>
    <x v="21"/>
    <x v="40"/>
    <x v="1"/>
    <x v="1"/>
    <x v="0"/>
    <x v="1"/>
    <x v="33"/>
    <x v="125"/>
    <x v="759"/>
    <x v="0"/>
    <s v="TRANSISTMICA"/>
    <x v="2"/>
  </r>
  <r>
    <x v="21"/>
    <x v="1"/>
    <x v="1"/>
    <x v="1"/>
    <x v="0"/>
    <x v="1"/>
    <x v="1"/>
    <x v="1"/>
    <x v="1"/>
    <x v="344"/>
    <s v="TRANSISTMICA"/>
    <x v="2"/>
  </r>
  <r>
    <x v="72"/>
    <x v="102"/>
    <x v="6"/>
    <x v="6"/>
    <x v="0"/>
    <x v="2"/>
    <x v="32"/>
    <x v="141"/>
    <x v="1332"/>
    <x v="0"/>
    <s v="ZONA LIBRE"/>
    <x v="2"/>
  </r>
  <r>
    <x v="72"/>
    <x v="1"/>
    <x v="1"/>
    <x v="1"/>
    <x v="0"/>
    <x v="2"/>
    <x v="1"/>
    <x v="1"/>
    <x v="1"/>
    <x v="345"/>
    <s v="ZONA LIBRE"/>
    <x v="2"/>
  </r>
  <r>
    <x v="23"/>
    <x v="64"/>
    <x v="2"/>
    <x v="2"/>
    <x v="0"/>
    <x v="2"/>
    <x v="32"/>
    <x v="139"/>
    <x v="1105"/>
    <x v="0"/>
    <s v="PARQUE LEFEVRE"/>
    <x v="2"/>
  </r>
  <r>
    <x v="23"/>
    <x v="160"/>
    <x v="0"/>
    <x v="0"/>
    <x v="0"/>
    <x v="2"/>
    <x v="32"/>
    <x v="179"/>
    <x v="1331"/>
    <x v="0"/>
    <s v="PARQUE LEFEVRE"/>
    <x v="2"/>
  </r>
  <r>
    <x v="23"/>
    <x v="1"/>
    <x v="1"/>
    <x v="1"/>
    <x v="0"/>
    <x v="2"/>
    <x v="1"/>
    <x v="1"/>
    <x v="1"/>
    <x v="346"/>
    <s v="PARQUE LEFEVRE"/>
    <x v="2"/>
  </r>
  <r>
    <x v="24"/>
    <x v="84"/>
    <x v="2"/>
    <x v="2"/>
    <x v="0"/>
    <x v="2"/>
    <x v="33"/>
    <x v="203"/>
    <x v="815"/>
    <x v="0"/>
    <s v="DAVID"/>
    <x v="2"/>
  </r>
  <r>
    <x v="24"/>
    <x v="1"/>
    <x v="1"/>
    <x v="1"/>
    <x v="0"/>
    <x v="2"/>
    <x v="1"/>
    <x v="1"/>
    <x v="1"/>
    <x v="347"/>
    <s v="DAVID"/>
    <x v="2"/>
  </r>
  <r>
    <x v="24"/>
    <x v="106"/>
    <x v="2"/>
    <x v="2"/>
    <x v="0"/>
    <x v="0"/>
    <x v="33"/>
    <x v="223"/>
    <x v="759"/>
    <x v="0"/>
    <s v="DAVID"/>
    <x v="2"/>
  </r>
  <r>
    <x v="24"/>
    <x v="47"/>
    <x v="2"/>
    <x v="2"/>
    <x v="0"/>
    <x v="0"/>
    <x v="33"/>
    <x v="68"/>
    <x v="759"/>
    <x v="0"/>
    <s v="DAVID"/>
    <x v="2"/>
  </r>
  <r>
    <x v="24"/>
    <x v="144"/>
    <x v="2"/>
    <x v="2"/>
    <x v="0"/>
    <x v="0"/>
    <x v="33"/>
    <x v="162"/>
    <x v="146"/>
    <x v="0"/>
    <s v="DAVID"/>
    <x v="2"/>
  </r>
  <r>
    <x v="24"/>
    <x v="35"/>
    <x v="2"/>
    <x v="2"/>
    <x v="0"/>
    <x v="0"/>
    <x v="33"/>
    <x v="170"/>
    <x v="874"/>
    <x v="0"/>
    <s v="DAVID"/>
    <x v="2"/>
  </r>
  <r>
    <x v="24"/>
    <x v="36"/>
    <x v="6"/>
    <x v="6"/>
    <x v="0"/>
    <x v="0"/>
    <x v="33"/>
    <x v="94"/>
    <x v="874"/>
    <x v="0"/>
    <s v="DAVID"/>
    <x v="2"/>
  </r>
  <r>
    <x v="24"/>
    <x v="164"/>
    <x v="6"/>
    <x v="6"/>
    <x v="0"/>
    <x v="0"/>
    <x v="33"/>
    <x v="200"/>
    <x v="146"/>
    <x v="0"/>
    <s v="DAVID"/>
    <x v="2"/>
  </r>
  <r>
    <x v="24"/>
    <x v="49"/>
    <x v="3"/>
    <x v="3"/>
    <x v="0"/>
    <x v="0"/>
    <x v="33"/>
    <x v="244"/>
    <x v="146"/>
    <x v="0"/>
    <s v="DAVID"/>
    <x v="2"/>
  </r>
  <r>
    <x v="24"/>
    <x v="60"/>
    <x v="3"/>
    <x v="3"/>
    <x v="0"/>
    <x v="0"/>
    <x v="33"/>
    <x v="57"/>
    <x v="874"/>
    <x v="0"/>
    <s v="DAVID"/>
    <x v="2"/>
  </r>
  <r>
    <x v="24"/>
    <x v="132"/>
    <x v="4"/>
    <x v="4"/>
    <x v="0"/>
    <x v="0"/>
    <x v="33"/>
    <x v="95"/>
    <x v="934"/>
    <x v="0"/>
    <s v="DAVID"/>
    <x v="2"/>
  </r>
  <r>
    <x v="24"/>
    <x v="162"/>
    <x v="4"/>
    <x v="4"/>
    <x v="0"/>
    <x v="0"/>
    <x v="33"/>
    <x v="192"/>
    <x v="874"/>
    <x v="0"/>
    <s v="DAVID"/>
    <x v="2"/>
  </r>
  <r>
    <x v="24"/>
    <x v="154"/>
    <x v="4"/>
    <x v="4"/>
    <x v="0"/>
    <x v="0"/>
    <x v="33"/>
    <x v="143"/>
    <x v="1182"/>
    <x v="0"/>
    <s v="DAVID"/>
    <x v="2"/>
  </r>
  <r>
    <x v="24"/>
    <x v="90"/>
    <x v="0"/>
    <x v="0"/>
    <x v="0"/>
    <x v="0"/>
    <x v="33"/>
    <x v="79"/>
    <x v="874"/>
    <x v="0"/>
    <s v="DAVID"/>
    <x v="2"/>
  </r>
  <r>
    <x v="24"/>
    <x v="159"/>
    <x v="0"/>
    <x v="0"/>
    <x v="0"/>
    <x v="0"/>
    <x v="33"/>
    <x v="177"/>
    <x v="759"/>
    <x v="0"/>
    <s v="DAVID"/>
    <x v="2"/>
  </r>
  <r>
    <x v="24"/>
    <x v="57"/>
    <x v="0"/>
    <x v="0"/>
    <x v="0"/>
    <x v="0"/>
    <x v="33"/>
    <x v="44"/>
    <x v="759"/>
    <x v="0"/>
    <s v="DAVID"/>
    <x v="2"/>
  </r>
  <r>
    <x v="24"/>
    <x v="121"/>
    <x v="0"/>
    <x v="0"/>
    <x v="0"/>
    <x v="0"/>
    <x v="33"/>
    <x v="80"/>
    <x v="874"/>
    <x v="0"/>
    <s v="DAVID"/>
    <x v="2"/>
  </r>
  <r>
    <x v="24"/>
    <x v="53"/>
    <x v="0"/>
    <x v="0"/>
    <x v="0"/>
    <x v="0"/>
    <x v="33"/>
    <x v="144"/>
    <x v="874"/>
    <x v="0"/>
    <s v="DAVID"/>
    <x v="2"/>
  </r>
  <r>
    <x v="24"/>
    <x v="46"/>
    <x v="0"/>
    <x v="0"/>
    <x v="0"/>
    <x v="0"/>
    <x v="33"/>
    <x v="155"/>
    <x v="759"/>
    <x v="0"/>
    <s v="DAVID"/>
    <x v="2"/>
  </r>
  <r>
    <x v="24"/>
    <x v="32"/>
    <x v="5"/>
    <x v="5"/>
    <x v="0"/>
    <x v="0"/>
    <x v="33"/>
    <x v="81"/>
    <x v="874"/>
    <x v="0"/>
    <s v="DAVID"/>
    <x v="2"/>
  </r>
  <r>
    <x v="24"/>
    <x v="76"/>
    <x v="5"/>
    <x v="5"/>
    <x v="0"/>
    <x v="0"/>
    <x v="33"/>
    <x v="182"/>
    <x v="874"/>
    <x v="0"/>
    <s v="DAVID"/>
    <x v="2"/>
  </r>
  <r>
    <x v="24"/>
    <x v="97"/>
    <x v="5"/>
    <x v="5"/>
    <x v="0"/>
    <x v="0"/>
    <x v="33"/>
    <x v="183"/>
    <x v="146"/>
    <x v="0"/>
    <s v="DAVID"/>
    <x v="2"/>
  </r>
  <r>
    <x v="24"/>
    <x v="13"/>
    <x v="5"/>
    <x v="5"/>
    <x v="0"/>
    <x v="0"/>
    <x v="33"/>
    <x v="120"/>
    <x v="759"/>
    <x v="0"/>
    <s v="DAVID"/>
    <x v="2"/>
  </r>
  <r>
    <x v="24"/>
    <x v="34"/>
    <x v="5"/>
    <x v="5"/>
    <x v="0"/>
    <x v="0"/>
    <x v="33"/>
    <x v="184"/>
    <x v="759"/>
    <x v="0"/>
    <s v="DAVID"/>
    <x v="2"/>
  </r>
  <r>
    <x v="24"/>
    <x v="63"/>
    <x v="5"/>
    <x v="5"/>
    <x v="0"/>
    <x v="0"/>
    <x v="33"/>
    <x v="111"/>
    <x v="1182"/>
    <x v="0"/>
    <s v="DAVID"/>
    <x v="2"/>
  </r>
  <r>
    <x v="24"/>
    <x v="123"/>
    <x v="5"/>
    <x v="5"/>
    <x v="0"/>
    <x v="0"/>
    <x v="33"/>
    <x v="74"/>
    <x v="759"/>
    <x v="0"/>
    <s v="DAVID"/>
    <x v="2"/>
  </r>
  <r>
    <x v="24"/>
    <x v="95"/>
    <x v="1"/>
    <x v="1"/>
    <x v="0"/>
    <x v="0"/>
    <x v="33"/>
    <x v="97"/>
    <x v="899"/>
    <x v="0"/>
    <s v="DAVID"/>
    <x v="2"/>
  </r>
  <r>
    <x v="24"/>
    <x v="22"/>
    <x v="1"/>
    <x v="1"/>
    <x v="0"/>
    <x v="0"/>
    <x v="33"/>
    <x v="211"/>
    <x v="759"/>
    <x v="0"/>
    <s v="DAVID"/>
    <x v="2"/>
  </r>
  <r>
    <x v="24"/>
    <x v="152"/>
    <x v="1"/>
    <x v="1"/>
    <x v="0"/>
    <x v="0"/>
    <x v="33"/>
    <x v="194"/>
    <x v="899"/>
    <x v="0"/>
    <s v="DAVID"/>
    <x v="2"/>
  </r>
  <r>
    <x v="24"/>
    <x v="1"/>
    <x v="1"/>
    <x v="1"/>
    <x v="0"/>
    <x v="0"/>
    <x v="1"/>
    <x v="1"/>
    <x v="1"/>
    <x v="348"/>
    <s v="DAVID"/>
    <x v="2"/>
  </r>
  <r>
    <x v="24"/>
    <x v="95"/>
    <x v="1"/>
    <x v="1"/>
    <x v="0"/>
    <x v="1"/>
    <x v="33"/>
    <x v="97"/>
    <x v="874"/>
    <x v="0"/>
    <s v="DAVID"/>
    <x v="2"/>
  </r>
  <r>
    <x v="24"/>
    <x v="14"/>
    <x v="1"/>
    <x v="1"/>
    <x v="0"/>
    <x v="1"/>
    <x v="33"/>
    <x v="112"/>
    <x v="874"/>
    <x v="0"/>
    <s v="DAVID"/>
    <x v="2"/>
  </r>
  <r>
    <x v="24"/>
    <x v="1"/>
    <x v="1"/>
    <x v="1"/>
    <x v="0"/>
    <x v="1"/>
    <x v="1"/>
    <x v="1"/>
    <x v="1"/>
    <x v="349"/>
    <s v="DAVID"/>
    <x v="2"/>
  </r>
  <r>
    <x v="25"/>
    <x v="64"/>
    <x v="2"/>
    <x v="2"/>
    <x v="0"/>
    <x v="2"/>
    <x v="32"/>
    <x v="139"/>
    <x v="1333"/>
    <x v="0"/>
    <s v="PLAZA LAS AMERICAS"/>
    <x v="2"/>
  </r>
  <r>
    <x v="25"/>
    <x v="68"/>
    <x v="4"/>
    <x v="4"/>
    <x v="0"/>
    <x v="2"/>
    <x v="32"/>
    <x v="222"/>
    <x v="280"/>
    <x v="0"/>
    <s v="PLAZA LAS AMERICAS"/>
    <x v="2"/>
  </r>
  <r>
    <x v="25"/>
    <x v="160"/>
    <x v="0"/>
    <x v="0"/>
    <x v="0"/>
    <x v="2"/>
    <x v="32"/>
    <x v="179"/>
    <x v="1334"/>
    <x v="0"/>
    <s v="PLAZA LAS AMERICAS"/>
    <x v="2"/>
  </r>
  <r>
    <x v="25"/>
    <x v="145"/>
    <x v="5"/>
    <x v="5"/>
    <x v="0"/>
    <x v="2"/>
    <x v="32"/>
    <x v="124"/>
    <x v="1335"/>
    <x v="0"/>
    <s v="PLAZA LAS AMERICAS"/>
    <x v="2"/>
  </r>
  <r>
    <x v="25"/>
    <x v="124"/>
    <x v="5"/>
    <x v="5"/>
    <x v="0"/>
    <x v="2"/>
    <x v="33"/>
    <x v="206"/>
    <x v="1336"/>
    <x v="0"/>
    <s v="PLAZA LAS AMERICAS"/>
    <x v="2"/>
  </r>
  <r>
    <x v="25"/>
    <x v="1"/>
    <x v="1"/>
    <x v="1"/>
    <x v="0"/>
    <x v="2"/>
    <x v="1"/>
    <x v="1"/>
    <x v="1"/>
    <x v="350"/>
    <s v="PLAZA LAS AMERICAS"/>
    <x v="2"/>
  </r>
  <r>
    <x v="26"/>
    <x v="65"/>
    <x v="6"/>
    <x v="6"/>
    <x v="0"/>
    <x v="2"/>
    <x v="33"/>
    <x v="190"/>
    <x v="1331"/>
    <x v="0"/>
    <s v="CORONADO"/>
    <x v="2"/>
  </r>
  <r>
    <x v="26"/>
    <x v="50"/>
    <x v="4"/>
    <x v="4"/>
    <x v="0"/>
    <x v="2"/>
    <x v="32"/>
    <x v="77"/>
    <x v="1337"/>
    <x v="0"/>
    <s v="CORONADO"/>
    <x v="2"/>
  </r>
  <r>
    <x v="26"/>
    <x v="13"/>
    <x v="5"/>
    <x v="5"/>
    <x v="0"/>
    <x v="2"/>
    <x v="32"/>
    <x v="120"/>
    <x v="1338"/>
    <x v="0"/>
    <s v="CORONADO"/>
    <x v="2"/>
  </r>
  <r>
    <x v="26"/>
    <x v="41"/>
    <x v="1"/>
    <x v="1"/>
    <x v="0"/>
    <x v="2"/>
    <x v="32"/>
    <x v="113"/>
    <x v="1339"/>
    <x v="0"/>
    <s v="CORONADO"/>
    <x v="2"/>
  </r>
  <r>
    <x v="26"/>
    <x v="1"/>
    <x v="1"/>
    <x v="1"/>
    <x v="0"/>
    <x v="2"/>
    <x v="1"/>
    <x v="1"/>
    <x v="1"/>
    <x v="351"/>
    <s v="CORONADO"/>
    <x v="2"/>
  </r>
  <r>
    <x v="27"/>
    <x v="77"/>
    <x v="5"/>
    <x v="5"/>
    <x v="0"/>
    <x v="2"/>
    <x v="32"/>
    <x v="156"/>
    <x v="1340"/>
    <x v="0"/>
    <s v="ALBROOK MALL"/>
    <x v="2"/>
  </r>
  <r>
    <x v="27"/>
    <x v="40"/>
    <x v="1"/>
    <x v="1"/>
    <x v="0"/>
    <x v="2"/>
    <x v="32"/>
    <x v="125"/>
    <x v="1341"/>
    <x v="0"/>
    <s v="ALBROOK MALL"/>
    <x v="2"/>
  </r>
  <r>
    <x v="27"/>
    <x v="14"/>
    <x v="1"/>
    <x v="1"/>
    <x v="0"/>
    <x v="2"/>
    <x v="32"/>
    <x v="112"/>
    <x v="1342"/>
    <x v="0"/>
    <s v="ALBROOK MALL"/>
    <x v="2"/>
  </r>
  <r>
    <x v="27"/>
    <x v="1"/>
    <x v="1"/>
    <x v="1"/>
    <x v="0"/>
    <x v="2"/>
    <x v="1"/>
    <x v="1"/>
    <x v="1"/>
    <x v="352"/>
    <s v="ALBROOK MALL"/>
    <x v="2"/>
  </r>
  <r>
    <x v="27"/>
    <x v="1"/>
    <x v="1"/>
    <x v="1"/>
    <x v="0"/>
    <x v="1"/>
    <x v="1"/>
    <x v="1"/>
    <x v="1"/>
    <x v="349"/>
    <s v="ALBROOK MALL"/>
    <x v="2"/>
  </r>
  <r>
    <x v="28"/>
    <x v="70"/>
    <x v="2"/>
    <x v="2"/>
    <x v="0"/>
    <x v="2"/>
    <x v="32"/>
    <x v="36"/>
    <x v="1343"/>
    <x v="0"/>
    <s v="PANAMA PACIFICO"/>
    <x v="2"/>
  </r>
  <r>
    <x v="28"/>
    <x v="1"/>
    <x v="1"/>
    <x v="1"/>
    <x v="0"/>
    <x v="2"/>
    <x v="1"/>
    <x v="1"/>
    <x v="1"/>
    <x v="353"/>
    <s v="PANAMA PACIFICO"/>
    <x v="2"/>
  </r>
  <r>
    <x v="76"/>
    <x v="1"/>
    <x v="1"/>
    <x v="1"/>
    <x v="0"/>
    <x v="0"/>
    <x v="1"/>
    <x v="1"/>
    <x v="1"/>
    <x v="216"/>
    <s v="AUTOBANCO VIA PORRAS 2"/>
    <x v="2"/>
  </r>
  <r>
    <x v="73"/>
    <x v="70"/>
    <x v="2"/>
    <x v="2"/>
    <x v="0"/>
    <x v="2"/>
    <x v="32"/>
    <x v="36"/>
    <x v="873"/>
    <x v="0"/>
    <s v="PENONOME"/>
    <x v="2"/>
  </r>
  <r>
    <x v="73"/>
    <x v="86"/>
    <x v="6"/>
    <x v="6"/>
    <x v="0"/>
    <x v="2"/>
    <x v="32"/>
    <x v="224"/>
    <x v="1344"/>
    <x v="0"/>
    <s v="PENONOME"/>
    <x v="2"/>
  </r>
  <r>
    <x v="73"/>
    <x v="65"/>
    <x v="6"/>
    <x v="6"/>
    <x v="0"/>
    <x v="2"/>
    <x v="32"/>
    <x v="190"/>
    <x v="1046"/>
    <x v="0"/>
    <s v="PENONOME"/>
    <x v="2"/>
  </r>
  <r>
    <x v="73"/>
    <x v="71"/>
    <x v="6"/>
    <x v="6"/>
    <x v="0"/>
    <x v="2"/>
    <x v="32"/>
    <x v="37"/>
    <x v="1344"/>
    <x v="0"/>
    <s v="PENONOME"/>
    <x v="2"/>
  </r>
  <r>
    <x v="73"/>
    <x v="102"/>
    <x v="6"/>
    <x v="6"/>
    <x v="0"/>
    <x v="2"/>
    <x v="32"/>
    <x v="141"/>
    <x v="1345"/>
    <x v="0"/>
    <s v="PENONOME"/>
    <x v="2"/>
  </r>
  <r>
    <x v="73"/>
    <x v="108"/>
    <x v="3"/>
    <x v="3"/>
    <x v="0"/>
    <x v="2"/>
    <x v="32"/>
    <x v="63"/>
    <x v="1346"/>
    <x v="0"/>
    <s v="PENONOME"/>
    <x v="2"/>
  </r>
  <r>
    <x v="73"/>
    <x v="79"/>
    <x v="3"/>
    <x v="3"/>
    <x v="0"/>
    <x v="2"/>
    <x v="32"/>
    <x v="142"/>
    <x v="1344"/>
    <x v="0"/>
    <s v="PENONOME"/>
    <x v="2"/>
  </r>
  <r>
    <x v="73"/>
    <x v="159"/>
    <x v="0"/>
    <x v="0"/>
    <x v="0"/>
    <x v="2"/>
    <x v="32"/>
    <x v="177"/>
    <x v="1347"/>
    <x v="0"/>
    <s v="PENONOME"/>
    <x v="2"/>
  </r>
  <r>
    <x v="73"/>
    <x v="160"/>
    <x v="0"/>
    <x v="0"/>
    <x v="0"/>
    <x v="2"/>
    <x v="32"/>
    <x v="179"/>
    <x v="15"/>
    <x v="0"/>
    <s v="PENONOME"/>
    <x v="2"/>
  </r>
  <r>
    <x v="73"/>
    <x v="1"/>
    <x v="1"/>
    <x v="1"/>
    <x v="0"/>
    <x v="2"/>
    <x v="1"/>
    <x v="1"/>
    <x v="1"/>
    <x v="354"/>
    <s v="PENONOME"/>
    <x v="2"/>
  </r>
  <r>
    <x v="29"/>
    <x v="110"/>
    <x v="2"/>
    <x v="2"/>
    <x v="0"/>
    <x v="0"/>
    <x v="33"/>
    <x v="171"/>
    <x v="874"/>
    <x v="0"/>
    <s v="ALBROOK"/>
    <x v="2"/>
  </r>
  <r>
    <x v="29"/>
    <x v="19"/>
    <x v="3"/>
    <x v="3"/>
    <x v="0"/>
    <x v="0"/>
    <x v="33"/>
    <x v="62"/>
    <x v="874"/>
    <x v="0"/>
    <s v="ALBROOK"/>
    <x v="2"/>
  </r>
  <r>
    <x v="29"/>
    <x v="27"/>
    <x v="3"/>
    <x v="3"/>
    <x v="0"/>
    <x v="0"/>
    <x v="33"/>
    <x v="43"/>
    <x v="874"/>
    <x v="0"/>
    <s v="ALBROOK"/>
    <x v="2"/>
  </r>
  <r>
    <x v="29"/>
    <x v="135"/>
    <x v="3"/>
    <x v="3"/>
    <x v="0"/>
    <x v="0"/>
    <x v="33"/>
    <x v="149"/>
    <x v="874"/>
    <x v="0"/>
    <s v="ALBROOK"/>
    <x v="2"/>
  </r>
  <r>
    <x v="29"/>
    <x v="56"/>
    <x v="3"/>
    <x v="3"/>
    <x v="0"/>
    <x v="0"/>
    <x v="33"/>
    <x v="153"/>
    <x v="874"/>
    <x v="0"/>
    <s v="ALBROOK"/>
    <x v="2"/>
  </r>
  <r>
    <x v="29"/>
    <x v="120"/>
    <x v="0"/>
    <x v="0"/>
    <x v="0"/>
    <x v="0"/>
    <x v="33"/>
    <x v="212"/>
    <x v="874"/>
    <x v="0"/>
    <s v="ALBROOK"/>
    <x v="2"/>
  </r>
  <r>
    <x v="29"/>
    <x v="92"/>
    <x v="0"/>
    <x v="0"/>
    <x v="0"/>
    <x v="0"/>
    <x v="33"/>
    <x v="109"/>
    <x v="759"/>
    <x v="0"/>
    <s v="ALBROOK"/>
    <x v="2"/>
  </r>
  <r>
    <x v="29"/>
    <x v="142"/>
    <x v="0"/>
    <x v="0"/>
    <x v="0"/>
    <x v="0"/>
    <x v="33"/>
    <x v="119"/>
    <x v="765"/>
    <x v="0"/>
    <s v="ALBROOK"/>
    <x v="2"/>
  </r>
  <r>
    <x v="29"/>
    <x v="97"/>
    <x v="5"/>
    <x v="5"/>
    <x v="0"/>
    <x v="0"/>
    <x v="33"/>
    <x v="183"/>
    <x v="759"/>
    <x v="0"/>
    <s v="ALBROOK"/>
    <x v="2"/>
  </r>
  <r>
    <x v="29"/>
    <x v="161"/>
    <x v="1"/>
    <x v="1"/>
    <x v="0"/>
    <x v="0"/>
    <x v="33"/>
    <x v="186"/>
    <x v="874"/>
    <x v="0"/>
    <s v="ALBROOK"/>
    <x v="2"/>
  </r>
  <r>
    <x v="29"/>
    <x v="95"/>
    <x v="1"/>
    <x v="1"/>
    <x v="0"/>
    <x v="0"/>
    <x v="33"/>
    <x v="97"/>
    <x v="874"/>
    <x v="0"/>
    <s v="ALBROOK"/>
    <x v="2"/>
  </r>
  <r>
    <x v="29"/>
    <x v="128"/>
    <x v="1"/>
    <x v="1"/>
    <x v="0"/>
    <x v="0"/>
    <x v="33"/>
    <x v="164"/>
    <x v="874"/>
    <x v="0"/>
    <s v="ALBROOK"/>
    <x v="2"/>
  </r>
  <r>
    <x v="29"/>
    <x v="1"/>
    <x v="1"/>
    <x v="1"/>
    <x v="0"/>
    <x v="0"/>
    <x v="1"/>
    <x v="1"/>
    <x v="1"/>
    <x v="344"/>
    <s v="ALBROOK"/>
    <x v="2"/>
  </r>
  <r>
    <x v="29"/>
    <x v="85"/>
    <x v="2"/>
    <x v="2"/>
    <x v="0"/>
    <x v="1"/>
    <x v="33"/>
    <x v="161"/>
    <x v="874"/>
    <x v="0"/>
    <s v="ALBROOK"/>
    <x v="2"/>
  </r>
  <r>
    <x v="29"/>
    <x v="146"/>
    <x v="6"/>
    <x v="6"/>
    <x v="0"/>
    <x v="1"/>
    <x v="33"/>
    <x v="172"/>
    <x v="759"/>
    <x v="0"/>
    <s v="ALBROOK"/>
    <x v="2"/>
  </r>
  <r>
    <x v="29"/>
    <x v="163"/>
    <x v="6"/>
    <x v="6"/>
    <x v="0"/>
    <x v="1"/>
    <x v="33"/>
    <x v="195"/>
    <x v="874"/>
    <x v="0"/>
    <s v="ALBROOK"/>
    <x v="2"/>
  </r>
  <r>
    <x v="29"/>
    <x v="1"/>
    <x v="1"/>
    <x v="1"/>
    <x v="0"/>
    <x v="1"/>
    <x v="1"/>
    <x v="1"/>
    <x v="1"/>
    <x v="355"/>
    <s v="ALBROOK"/>
    <x v="2"/>
  </r>
  <r>
    <x v="30"/>
    <x v="64"/>
    <x v="2"/>
    <x v="2"/>
    <x v="0"/>
    <x v="2"/>
    <x v="32"/>
    <x v="139"/>
    <x v="1348"/>
    <x v="0"/>
    <s v="SUCURSAL DE VISTA ALEGRE"/>
    <x v="2"/>
  </r>
  <r>
    <x v="30"/>
    <x v="84"/>
    <x v="2"/>
    <x v="2"/>
    <x v="0"/>
    <x v="2"/>
    <x v="33"/>
    <x v="203"/>
    <x v="775"/>
    <x v="0"/>
    <s v="SUCURSAL DE VISTA ALEGRE"/>
    <x v="2"/>
  </r>
  <r>
    <x v="30"/>
    <x v="36"/>
    <x v="6"/>
    <x v="6"/>
    <x v="0"/>
    <x v="2"/>
    <x v="33"/>
    <x v="94"/>
    <x v="874"/>
    <x v="0"/>
    <s v="SUCURSAL DE VISTA ALEGRE"/>
    <x v="2"/>
  </r>
  <r>
    <x v="30"/>
    <x v="169"/>
    <x v="6"/>
    <x v="6"/>
    <x v="0"/>
    <x v="2"/>
    <x v="33"/>
    <x v="249"/>
    <x v="874"/>
    <x v="0"/>
    <s v="SUCURSAL DE VISTA ALEGRE"/>
    <x v="2"/>
  </r>
  <r>
    <x v="30"/>
    <x v="50"/>
    <x v="4"/>
    <x v="4"/>
    <x v="0"/>
    <x v="2"/>
    <x v="32"/>
    <x v="77"/>
    <x v="1349"/>
    <x v="0"/>
    <s v="SUCURSAL DE VISTA ALEGRE"/>
    <x v="2"/>
  </r>
  <r>
    <x v="30"/>
    <x v="160"/>
    <x v="0"/>
    <x v="0"/>
    <x v="0"/>
    <x v="2"/>
    <x v="32"/>
    <x v="179"/>
    <x v="1350"/>
    <x v="0"/>
    <s v="SUCURSAL DE VISTA ALEGRE"/>
    <x v="2"/>
  </r>
  <r>
    <x v="30"/>
    <x v="1"/>
    <x v="1"/>
    <x v="1"/>
    <x v="0"/>
    <x v="2"/>
    <x v="1"/>
    <x v="1"/>
    <x v="1"/>
    <x v="356"/>
    <s v="SUCURSAL DE VISTA ALEGRE"/>
    <x v="2"/>
  </r>
  <r>
    <x v="30"/>
    <x v="16"/>
    <x v="2"/>
    <x v="2"/>
    <x v="0"/>
    <x v="0"/>
    <x v="33"/>
    <x v="93"/>
    <x v="759"/>
    <x v="0"/>
    <s v="SUCURSAL DE VISTA ALEGRE"/>
    <x v="2"/>
  </r>
  <r>
    <x v="30"/>
    <x v="144"/>
    <x v="2"/>
    <x v="2"/>
    <x v="0"/>
    <x v="0"/>
    <x v="33"/>
    <x v="162"/>
    <x v="874"/>
    <x v="0"/>
    <s v="SUCURSAL DE VISTA ALEGRE"/>
    <x v="2"/>
  </r>
  <r>
    <x v="30"/>
    <x v="129"/>
    <x v="2"/>
    <x v="2"/>
    <x v="0"/>
    <x v="0"/>
    <x v="33"/>
    <x v="204"/>
    <x v="759"/>
    <x v="0"/>
    <s v="SUCURSAL DE VISTA ALEGRE"/>
    <x v="2"/>
  </r>
  <r>
    <x v="30"/>
    <x v="146"/>
    <x v="6"/>
    <x v="6"/>
    <x v="0"/>
    <x v="0"/>
    <x v="33"/>
    <x v="172"/>
    <x v="874"/>
    <x v="0"/>
    <s v="SUCURSAL DE VISTA ALEGRE"/>
    <x v="2"/>
  </r>
  <r>
    <x v="30"/>
    <x v="36"/>
    <x v="6"/>
    <x v="6"/>
    <x v="0"/>
    <x v="0"/>
    <x v="33"/>
    <x v="94"/>
    <x v="874"/>
    <x v="0"/>
    <s v="SUCURSAL DE VISTA ALEGRE"/>
    <x v="2"/>
  </r>
  <r>
    <x v="30"/>
    <x v="87"/>
    <x v="6"/>
    <x v="6"/>
    <x v="0"/>
    <x v="0"/>
    <x v="33"/>
    <x v="189"/>
    <x v="874"/>
    <x v="0"/>
    <s v="SUCURSAL DE VISTA ALEGRE"/>
    <x v="2"/>
  </r>
  <r>
    <x v="30"/>
    <x v="102"/>
    <x v="6"/>
    <x v="6"/>
    <x v="0"/>
    <x v="0"/>
    <x v="33"/>
    <x v="141"/>
    <x v="874"/>
    <x v="0"/>
    <s v="SUCURSAL DE VISTA ALEGRE"/>
    <x v="2"/>
  </r>
  <r>
    <x v="30"/>
    <x v="134"/>
    <x v="6"/>
    <x v="6"/>
    <x v="0"/>
    <x v="0"/>
    <x v="33"/>
    <x v="226"/>
    <x v="874"/>
    <x v="0"/>
    <s v="SUCURSAL DE VISTA ALEGRE"/>
    <x v="2"/>
  </r>
  <r>
    <x v="30"/>
    <x v="11"/>
    <x v="6"/>
    <x v="6"/>
    <x v="0"/>
    <x v="0"/>
    <x v="33"/>
    <x v="91"/>
    <x v="759"/>
    <x v="0"/>
    <s v="SUCURSAL DE VISTA ALEGRE"/>
    <x v="2"/>
  </r>
  <r>
    <x v="30"/>
    <x v="67"/>
    <x v="6"/>
    <x v="6"/>
    <x v="0"/>
    <x v="0"/>
    <x v="33"/>
    <x v="32"/>
    <x v="759"/>
    <x v="0"/>
    <s v="SUCURSAL DE VISTA ALEGRE"/>
    <x v="2"/>
  </r>
  <r>
    <x v="30"/>
    <x v="26"/>
    <x v="3"/>
    <x v="3"/>
    <x v="0"/>
    <x v="0"/>
    <x v="33"/>
    <x v="115"/>
    <x v="146"/>
    <x v="0"/>
    <s v="SUCURSAL DE VISTA ALEGRE"/>
    <x v="2"/>
  </r>
  <r>
    <x v="30"/>
    <x v="49"/>
    <x v="3"/>
    <x v="3"/>
    <x v="0"/>
    <x v="0"/>
    <x v="33"/>
    <x v="244"/>
    <x v="765"/>
    <x v="0"/>
    <s v="SUCURSAL DE VISTA ALEGRE"/>
    <x v="2"/>
  </r>
  <r>
    <x v="30"/>
    <x v="19"/>
    <x v="3"/>
    <x v="3"/>
    <x v="0"/>
    <x v="0"/>
    <x v="33"/>
    <x v="62"/>
    <x v="874"/>
    <x v="0"/>
    <s v="SUCURSAL DE VISTA ALEGRE"/>
    <x v="2"/>
  </r>
  <r>
    <x v="30"/>
    <x v="18"/>
    <x v="3"/>
    <x v="3"/>
    <x v="0"/>
    <x v="0"/>
    <x v="33"/>
    <x v="219"/>
    <x v="759"/>
    <x v="0"/>
    <s v="SUCURSAL DE VISTA ALEGRE"/>
    <x v="2"/>
  </r>
  <r>
    <x v="30"/>
    <x v="114"/>
    <x v="3"/>
    <x v="3"/>
    <x v="0"/>
    <x v="0"/>
    <x v="33"/>
    <x v="76"/>
    <x v="874"/>
    <x v="0"/>
    <s v="SUCURSAL DE VISTA ALEGRE"/>
    <x v="2"/>
  </r>
  <r>
    <x v="30"/>
    <x v="61"/>
    <x v="3"/>
    <x v="3"/>
    <x v="0"/>
    <x v="0"/>
    <x v="33"/>
    <x v="126"/>
    <x v="874"/>
    <x v="0"/>
    <s v="SUCURSAL DE VISTA ALEGRE"/>
    <x v="2"/>
  </r>
  <r>
    <x v="30"/>
    <x v="148"/>
    <x v="3"/>
    <x v="3"/>
    <x v="0"/>
    <x v="0"/>
    <x v="33"/>
    <x v="174"/>
    <x v="759"/>
    <x v="0"/>
    <s v="SUCURSAL DE VISTA ALEGRE"/>
    <x v="2"/>
  </r>
  <r>
    <x v="30"/>
    <x v="79"/>
    <x v="3"/>
    <x v="3"/>
    <x v="0"/>
    <x v="0"/>
    <x v="33"/>
    <x v="142"/>
    <x v="759"/>
    <x v="0"/>
    <s v="SUCURSAL DE VISTA ALEGRE"/>
    <x v="2"/>
  </r>
  <r>
    <x v="30"/>
    <x v="56"/>
    <x v="3"/>
    <x v="3"/>
    <x v="0"/>
    <x v="0"/>
    <x v="33"/>
    <x v="153"/>
    <x v="146"/>
    <x v="0"/>
    <s v="SUCURSAL DE VISTA ALEGRE"/>
    <x v="2"/>
  </r>
  <r>
    <x v="30"/>
    <x v="81"/>
    <x v="4"/>
    <x v="4"/>
    <x v="0"/>
    <x v="0"/>
    <x v="33"/>
    <x v="175"/>
    <x v="765"/>
    <x v="0"/>
    <s v="SUCURSAL DE VISTA ALEGRE"/>
    <x v="2"/>
  </r>
  <r>
    <x v="30"/>
    <x v="156"/>
    <x v="4"/>
    <x v="4"/>
    <x v="0"/>
    <x v="0"/>
    <x v="33"/>
    <x v="146"/>
    <x v="765"/>
    <x v="0"/>
    <s v="SUCURSAL DE VISTA ALEGRE"/>
    <x v="2"/>
  </r>
  <r>
    <x v="30"/>
    <x v="29"/>
    <x v="4"/>
    <x v="4"/>
    <x v="0"/>
    <x v="0"/>
    <x v="33"/>
    <x v="248"/>
    <x v="874"/>
    <x v="0"/>
    <s v="SUCURSAL DE VISTA ALEGRE"/>
    <x v="2"/>
  </r>
  <r>
    <x v="30"/>
    <x v="165"/>
    <x v="4"/>
    <x v="4"/>
    <x v="0"/>
    <x v="0"/>
    <x v="33"/>
    <x v="205"/>
    <x v="146"/>
    <x v="0"/>
    <s v="SUCURSAL DE VISTA ALEGRE"/>
    <x v="2"/>
  </r>
  <r>
    <x v="30"/>
    <x v="38"/>
    <x v="4"/>
    <x v="4"/>
    <x v="0"/>
    <x v="0"/>
    <x v="33"/>
    <x v="106"/>
    <x v="874"/>
    <x v="0"/>
    <s v="SUCURSAL DE VISTA ALEGRE"/>
    <x v="2"/>
  </r>
  <r>
    <x v="30"/>
    <x v="159"/>
    <x v="0"/>
    <x v="0"/>
    <x v="0"/>
    <x v="0"/>
    <x v="33"/>
    <x v="177"/>
    <x v="759"/>
    <x v="0"/>
    <s v="SUCURSAL DE VISTA ALEGRE"/>
    <x v="2"/>
  </r>
  <r>
    <x v="30"/>
    <x v="116"/>
    <x v="0"/>
    <x v="0"/>
    <x v="0"/>
    <x v="0"/>
    <x v="33"/>
    <x v="64"/>
    <x v="146"/>
    <x v="0"/>
    <s v="SUCURSAL DE VISTA ALEGRE"/>
    <x v="2"/>
  </r>
  <r>
    <x v="30"/>
    <x v="57"/>
    <x v="0"/>
    <x v="0"/>
    <x v="0"/>
    <x v="0"/>
    <x v="33"/>
    <x v="44"/>
    <x v="759"/>
    <x v="0"/>
    <s v="SUCURSAL DE VISTA ALEGRE"/>
    <x v="2"/>
  </r>
  <r>
    <x v="30"/>
    <x v="119"/>
    <x v="0"/>
    <x v="0"/>
    <x v="0"/>
    <x v="0"/>
    <x v="33"/>
    <x v="96"/>
    <x v="759"/>
    <x v="0"/>
    <s v="SUCURSAL DE VISTA ALEGRE"/>
    <x v="2"/>
  </r>
  <r>
    <x v="30"/>
    <x v="0"/>
    <x v="0"/>
    <x v="0"/>
    <x v="0"/>
    <x v="0"/>
    <x v="33"/>
    <x v="197"/>
    <x v="759"/>
    <x v="0"/>
    <s v="SUCURSAL DE VISTA ALEGRE"/>
    <x v="2"/>
  </r>
  <r>
    <x v="30"/>
    <x v="121"/>
    <x v="0"/>
    <x v="0"/>
    <x v="0"/>
    <x v="0"/>
    <x v="33"/>
    <x v="80"/>
    <x v="759"/>
    <x v="0"/>
    <s v="SUCURSAL DE VISTA ALEGRE"/>
    <x v="2"/>
  </r>
  <r>
    <x v="30"/>
    <x v="53"/>
    <x v="0"/>
    <x v="0"/>
    <x v="0"/>
    <x v="0"/>
    <x v="33"/>
    <x v="144"/>
    <x v="759"/>
    <x v="0"/>
    <s v="SUCURSAL DE VISTA ALEGRE"/>
    <x v="2"/>
  </r>
  <r>
    <x v="30"/>
    <x v="115"/>
    <x v="5"/>
    <x v="5"/>
    <x v="0"/>
    <x v="0"/>
    <x v="33"/>
    <x v="213"/>
    <x v="899"/>
    <x v="0"/>
    <s v="SUCURSAL DE VISTA ALEGRE"/>
    <x v="2"/>
  </r>
  <r>
    <x v="30"/>
    <x v="13"/>
    <x v="5"/>
    <x v="5"/>
    <x v="0"/>
    <x v="0"/>
    <x v="33"/>
    <x v="120"/>
    <x v="759"/>
    <x v="0"/>
    <s v="SUCURSAL DE VISTA ALEGRE"/>
    <x v="2"/>
  </r>
  <r>
    <x v="30"/>
    <x v="72"/>
    <x v="5"/>
    <x v="5"/>
    <x v="0"/>
    <x v="0"/>
    <x v="33"/>
    <x v="38"/>
    <x v="759"/>
    <x v="0"/>
    <s v="SUCURSAL DE VISTA ALEGRE"/>
    <x v="2"/>
  </r>
  <r>
    <x v="30"/>
    <x v="139"/>
    <x v="5"/>
    <x v="5"/>
    <x v="0"/>
    <x v="0"/>
    <x v="33"/>
    <x v="110"/>
    <x v="759"/>
    <x v="0"/>
    <s v="SUCURSAL DE VISTA ALEGRE"/>
    <x v="2"/>
  </r>
  <r>
    <x v="30"/>
    <x v="63"/>
    <x v="5"/>
    <x v="5"/>
    <x v="0"/>
    <x v="0"/>
    <x v="33"/>
    <x v="111"/>
    <x v="759"/>
    <x v="0"/>
    <s v="SUCURSAL DE VISTA ALEGRE"/>
    <x v="2"/>
  </r>
  <r>
    <x v="30"/>
    <x v="123"/>
    <x v="5"/>
    <x v="5"/>
    <x v="0"/>
    <x v="0"/>
    <x v="33"/>
    <x v="74"/>
    <x v="874"/>
    <x v="0"/>
    <s v="SUCURSAL DE VISTA ALEGRE"/>
    <x v="2"/>
  </r>
  <r>
    <x v="30"/>
    <x v="40"/>
    <x v="1"/>
    <x v="1"/>
    <x v="0"/>
    <x v="0"/>
    <x v="33"/>
    <x v="125"/>
    <x v="1182"/>
    <x v="0"/>
    <s v="SUCURSAL DE VISTA ALEGRE"/>
    <x v="2"/>
  </r>
  <r>
    <x v="30"/>
    <x v="151"/>
    <x v="1"/>
    <x v="1"/>
    <x v="0"/>
    <x v="0"/>
    <x v="33"/>
    <x v="166"/>
    <x v="899"/>
    <x v="0"/>
    <s v="SUCURSAL DE VISTA ALEGRE"/>
    <x v="2"/>
  </r>
  <r>
    <x v="30"/>
    <x v="127"/>
    <x v="1"/>
    <x v="1"/>
    <x v="0"/>
    <x v="0"/>
    <x v="33"/>
    <x v="85"/>
    <x v="146"/>
    <x v="0"/>
    <s v="SUCURSAL DE VISTA ALEGRE"/>
    <x v="2"/>
  </r>
  <r>
    <x v="30"/>
    <x v="42"/>
    <x v="1"/>
    <x v="1"/>
    <x v="0"/>
    <x v="0"/>
    <x v="33"/>
    <x v="167"/>
    <x v="765"/>
    <x v="0"/>
    <s v="SUCURSAL DE VISTA ALEGRE"/>
    <x v="2"/>
  </r>
  <r>
    <x v="30"/>
    <x v="109"/>
    <x v="1"/>
    <x v="1"/>
    <x v="0"/>
    <x v="0"/>
    <x v="33"/>
    <x v="208"/>
    <x v="765"/>
    <x v="0"/>
    <s v="SUCURSAL DE VISTA ALEGRE"/>
    <x v="2"/>
  </r>
  <r>
    <x v="30"/>
    <x v="152"/>
    <x v="1"/>
    <x v="1"/>
    <x v="0"/>
    <x v="0"/>
    <x v="33"/>
    <x v="194"/>
    <x v="146"/>
    <x v="0"/>
    <s v="SUCURSAL DE VISTA ALEGRE"/>
    <x v="2"/>
  </r>
  <r>
    <x v="30"/>
    <x v="128"/>
    <x v="1"/>
    <x v="1"/>
    <x v="0"/>
    <x v="0"/>
    <x v="33"/>
    <x v="164"/>
    <x v="899"/>
    <x v="0"/>
    <s v="SUCURSAL DE VISTA ALEGRE"/>
    <x v="2"/>
  </r>
  <r>
    <x v="30"/>
    <x v="1"/>
    <x v="1"/>
    <x v="1"/>
    <x v="0"/>
    <x v="0"/>
    <x v="1"/>
    <x v="1"/>
    <x v="1"/>
    <x v="357"/>
    <s v="SUCURSAL DE VISTA ALEGRE"/>
    <x v="2"/>
  </r>
  <r>
    <x v="30"/>
    <x v="2"/>
    <x v="2"/>
    <x v="2"/>
    <x v="0"/>
    <x v="1"/>
    <x v="33"/>
    <x v="140"/>
    <x v="874"/>
    <x v="0"/>
    <s v="SUCURSAL DE VISTA ALEGRE"/>
    <x v="2"/>
  </r>
  <r>
    <x v="30"/>
    <x v="36"/>
    <x v="6"/>
    <x v="6"/>
    <x v="0"/>
    <x v="1"/>
    <x v="33"/>
    <x v="94"/>
    <x v="874"/>
    <x v="0"/>
    <s v="SUCURSAL DE VISTA ALEGRE"/>
    <x v="2"/>
  </r>
  <r>
    <x v="30"/>
    <x v="71"/>
    <x v="6"/>
    <x v="6"/>
    <x v="0"/>
    <x v="1"/>
    <x v="33"/>
    <x v="37"/>
    <x v="874"/>
    <x v="0"/>
    <s v="SUCURSAL DE VISTA ALEGRE"/>
    <x v="2"/>
  </r>
  <r>
    <x v="30"/>
    <x v="27"/>
    <x v="3"/>
    <x v="3"/>
    <x v="0"/>
    <x v="1"/>
    <x v="33"/>
    <x v="43"/>
    <x v="874"/>
    <x v="0"/>
    <s v="SUCURSAL DE VISTA ALEGRE"/>
    <x v="2"/>
  </r>
  <r>
    <x v="30"/>
    <x v="61"/>
    <x v="3"/>
    <x v="3"/>
    <x v="0"/>
    <x v="1"/>
    <x v="33"/>
    <x v="126"/>
    <x v="874"/>
    <x v="0"/>
    <s v="SUCURSAL DE VISTA ALEGRE"/>
    <x v="2"/>
  </r>
  <r>
    <x v="30"/>
    <x v="131"/>
    <x v="3"/>
    <x v="3"/>
    <x v="0"/>
    <x v="1"/>
    <x v="33"/>
    <x v="163"/>
    <x v="874"/>
    <x v="0"/>
    <s v="SUCURSAL DE VISTA ALEGRE"/>
    <x v="2"/>
  </r>
  <r>
    <x v="30"/>
    <x v="121"/>
    <x v="0"/>
    <x v="0"/>
    <x v="0"/>
    <x v="1"/>
    <x v="33"/>
    <x v="80"/>
    <x v="874"/>
    <x v="0"/>
    <s v="SUCURSAL DE VISTA ALEGRE"/>
    <x v="2"/>
  </r>
  <r>
    <x v="30"/>
    <x v="53"/>
    <x v="0"/>
    <x v="0"/>
    <x v="0"/>
    <x v="1"/>
    <x v="33"/>
    <x v="144"/>
    <x v="874"/>
    <x v="0"/>
    <s v="SUCURSAL DE VISTA ALEGRE"/>
    <x v="2"/>
  </r>
  <r>
    <x v="30"/>
    <x v="166"/>
    <x v="0"/>
    <x v="0"/>
    <x v="0"/>
    <x v="1"/>
    <x v="33"/>
    <x v="217"/>
    <x v="874"/>
    <x v="0"/>
    <s v="SUCURSAL DE VISTA ALEGRE"/>
    <x v="2"/>
  </r>
  <r>
    <x v="30"/>
    <x v="76"/>
    <x v="5"/>
    <x v="5"/>
    <x v="0"/>
    <x v="1"/>
    <x v="33"/>
    <x v="182"/>
    <x v="874"/>
    <x v="0"/>
    <s v="SUCURSAL DE VISTA ALEGRE"/>
    <x v="2"/>
  </r>
  <r>
    <x v="30"/>
    <x v="139"/>
    <x v="5"/>
    <x v="5"/>
    <x v="0"/>
    <x v="1"/>
    <x v="33"/>
    <x v="110"/>
    <x v="874"/>
    <x v="0"/>
    <s v="SUCURSAL DE VISTA ALEGRE"/>
    <x v="2"/>
  </r>
  <r>
    <x v="30"/>
    <x v="40"/>
    <x v="1"/>
    <x v="1"/>
    <x v="0"/>
    <x v="1"/>
    <x v="33"/>
    <x v="125"/>
    <x v="874"/>
    <x v="0"/>
    <s v="SUCURSAL DE VISTA ALEGRE"/>
    <x v="2"/>
  </r>
  <r>
    <x v="30"/>
    <x v="128"/>
    <x v="1"/>
    <x v="1"/>
    <x v="0"/>
    <x v="1"/>
    <x v="33"/>
    <x v="164"/>
    <x v="874"/>
    <x v="0"/>
    <s v="SUCURSAL DE VISTA ALEGRE"/>
    <x v="2"/>
  </r>
  <r>
    <x v="30"/>
    <x v="1"/>
    <x v="1"/>
    <x v="1"/>
    <x v="0"/>
    <x v="1"/>
    <x v="1"/>
    <x v="1"/>
    <x v="1"/>
    <x v="358"/>
    <s v="SUCURSAL DE VISTA ALEGRE"/>
    <x v="2"/>
  </r>
  <r>
    <x v="31"/>
    <x v="54"/>
    <x v="5"/>
    <x v="5"/>
    <x v="0"/>
    <x v="2"/>
    <x v="33"/>
    <x v="246"/>
    <x v="815"/>
    <x v="0"/>
    <s v="LAS TABLAS"/>
    <x v="2"/>
  </r>
  <r>
    <x v="31"/>
    <x v="1"/>
    <x v="1"/>
    <x v="1"/>
    <x v="0"/>
    <x v="2"/>
    <x v="1"/>
    <x v="1"/>
    <x v="1"/>
    <x v="359"/>
    <s v="LAS TABLAS"/>
    <x v="2"/>
  </r>
  <r>
    <x v="32"/>
    <x v="135"/>
    <x v="3"/>
    <x v="3"/>
    <x v="0"/>
    <x v="2"/>
    <x v="32"/>
    <x v="149"/>
    <x v="418"/>
    <x v="0"/>
    <s v="24 DE DICIEMBRE"/>
    <x v="2"/>
  </r>
  <r>
    <x v="32"/>
    <x v="1"/>
    <x v="1"/>
    <x v="1"/>
    <x v="0"/>
    <x v="2"/>
    <x v="1"/>
    <x v="1"/>
    <x v="1"/>
    <x v="360"/>
    <s v="24 DE DICIEMBRE"/>
    <x v="2"/>
  </r>
  <r>
    <x v="34"/>
    <x v="16"/>
    <x v="2"/>
    <x v="2"/>
    <x v="0"/>
    <x v="0"/>
    <x v="33"/>
    <x v="93"/>
    <x v="899"/>
    <x v="0"/>
    <s v="COSTA DEL ESTE"/>
    <x v="2"/>
  </r>
  <r>
    <x v="34"/>
    <x v="112"/>
    <x v="2"/>
    <x v="2"/>
    <x v="0"/>
    <x v="0"/>
    <x v="33"/>
    <x v="209"/>
    <x v="874"/>
    <x v="0"/>
    <s v="COSTA DEL ESTE"/>
    <x v="2"/>
  </r>
  <r>
    <x v="34"/>
    <x v="25"/>
    <x v="2"/>
    <x v="2"/>
    <x v="0"/>
    <x v="0"/>
    <x v="33"/>
    <x v="169"/>
    <x v="874"/>
    <x v="0"/>
    <s v="COSTA DEL ESTE"/>
    <x v="2"/>
  </r>
  <r>
    <x v="34"/>
    <x v="35"/>
    <x v="2"/>
    <x v="2"/>
    <x v="0"/>
    <x v="0"/>
    <x v="33"/>
    <x v="170"/>
    <x v="874"/>
    <x v="0"/>
    <s v="COSTA DEL ESTE"/>
    <x v="2"/>
  </r>
  <r>
    <x v="34"/>
    <x v="2"/>
    <x v="2"/>
    <x v="2"/>
    <x v="0"/>
    <x v="0"/>
    <x v="33"/>
    <x v="140"/>
    <x v="759"/>
    <x v="0"/>
    <s v="COSTA DEL ESTE"/>
    <x v="2"/>
  </r>
  <r>
    <x v="34"/>
    <x v="65"/>
    <x v="6"/>
    <x v="6"/>
    <x v="0"/>
    <x v="0"/>
    <x v="33"/>
    <x v="190"/>
    <x v="759"/>
    <x v="0"/>
    <s v="COSTA DEL ESTE"/>
    <x v="2"/>
  </r>
  <r>
    <x v="34"/>
    <x v="36"/>
    <x v="6"/>
    <x v="6"/>
    <x v="0"/>
    <x v="0"/>
    <x v="33"/>
    <x v="94"/>
    <x v="146"/>
    <x v="0"/>
    <s v="COSTA DEL ESTE"/>
    <x v="2"/>
  </r>
  <r>
    <x v="34"/>
    <x v="169"/>
    <x v="6"/>
    <x v="6"/>
    <x v="0"/>
    <x v="0"/>
    <x v="33"/>
    <x v="249"/>
    <x v="874"/>
    <x v="0"/>
    <s v="COSTA DEL ESTE"/>
    <x v="2"/>
  </r>
  <r>
    <x v="34"/>
    <x v="113"/>
    <x v="6"/>
    <x v="6"/>
    <x v="0"/>
    <x v="0"/>
    <x v="33"/>
    <x v="89"/>
    <x v="874"/>
    <x v="0"/>
    <s v="COSTA DEL ESTE"/>
    <x v="2"/>
  </r>
  <r>
    <x v="34"/>
    <x v="49"/>
    <x v="3"/>
    <x v="3"/>
    <x v="0"/>
    <x v="0"/>
    <x v="33"/>
    <x v="244"/>
    <x v="874"/>
    <x v="0"/>
    <s v="COSTA DEL ESTE"/>
    <x v="2"/>
  </r>
  <r>
    <x v="34"/>
    <x v="108"/>
    <x v="3"/>
    <x v="3"/>
    <x v="0"/>
    <x v="0"/>
    <x v="33"/>
    <x v="63"/>
    <x v="759"/>
    <x v="0"/>
    <s v="COSTA DEL ESTE"/>
    <x v="2"/>
  </r>
  <r>
    <x v="34"/>
    <x v="148"/>
    <x v="3"/>
    <x v="3"/>
    <x v="0"/>
    <x v="0"/>
    <x v="33"/>
    <x v="174"/>
    <x v="146"/>
    <x v="0"/>
    <s v="COSTA DEL ESTE"/>
    <x v="2"/>
  </r>
  <r>
    <x v="34"/>
    <x v="81"/>
    <x v="4"/>
    <x v="4"/>
    <x v="0"/>
    <x v="0"/>
    <x v="33"/>
    <x v="175"/>
    <x v="874"/>
    <x v="0"/>
    <s v="COSTA DEL ESTE"/>
    <x v="2"/>
  </r>
  <r>
    <x v="34"/>
    <x v="115"/>
    <x v="5"/>
    <x v="5"/>
    <x v="0"/>
    <x v="0"/>
    <x v="33"/>
    <x v="213"/>
    <x v="874"/>
    <x v="0"/>
    <s v="COSTA DEL ESTE"/>
    <x v="2"/>
  </r>
  <r>
    <x v="34"/>
    <x v="97"/>
    <x v="5"/>
    <x v="5"/>
    <x v="0"/>
    <x v="0"/>
    <x v="33"/>
    <x v="183"/>
    <x v="874"/>
    <x v="0"/>
    <s v="COSTA DEL ESTE"/>
    <x v="2"/>
  </r>
  <r>
    <x v="34"/>
    <x v="72"/>
    <x v="5"/>
    <x v="5"/>
    <x v="0"/>
    <x v="0"/>
    <x v="33"/>
    <x v="38"/>
    <x v="874"/>
    <x v="0"/>
    <s v="COSTA DEL ESTE"/>
    <x v="2"/>
  </r>
  <r>
    <x v="34"/>
    <x v="40"/>
    <x v="1"/>
    <x v="1"/>
    <x v="0"/>
    <x v="0"/>
    <x v="33"/>
    <x v="125"/>
    <x v="874"/>
    <x v="0"/>
    <s v="COSTA DEL ESTE"/>
    <x v="2"/>
  </r>
  <r>
    <x v="34"/>
    <x v="95"/>
    <x v="1"/>
    <x v="1"/>
    <x v="0"/>
    <x v="0"/>
    <x v="33"/>
    <x v="97"/>
    <x v="759"/>
    <x v="0"/>
    <s v="COSTA DEL ESTE"/>
    <x v="2"/>
  </r>
  <r>
    <x v="34"/>
    <x v="42"/>
    <x v="1"/>
    <x v="1"/>
    <x v="0"/>
    <x v="0"/>
    <x v="33"/>
    <x v="167"/>
    <x v="874"/>
    <x v="0"/>
    <s v="COSTA DEL ESTE"/>
    <x v="2"/>
  </r>
  <r>
    <x v="34"/>
    <x v="73"/>
    <x v="1"/>
    <x v="1"/>
    <x v="0"/>
    <x v="0"/>
    <x v="33"/>
    <x v="39"/>
    <x v="874"/>
    <x v="0"/>
    <s v="COSTA DEL ESTE"/>
    <x v="2"/>
  </r>
  <r>
    <x v="34"/>
    <x v="8"/>
    <x v="1"/>
    <x v="1"/>
    <x v="0"/>
    <x v="0"/>
    <x v="33"/>
    <x v="187"/>
    <x v="874"/>
    <x v="0"/>
    <s v="COSTA DEL ESTE"/>
    <x v="2"/>
  </r>
  <r>
    <x v="34"/>
    <x v="128"/>
    <x v="1"/>
    <x v="1"/>
    <x v="0"/>
    <x v="0"/>
    <x v="33"/>
    <x v="164"/>
    <x v="874"/>
    <x v="0"/>
    <s v="COSTA DEL ESTE"/>
    <x v="2"/>
  </r>
  <r>
    <x v="34"/>
    <x v="1"/>
    <x v="1"/>
    <x v="1"/>
    <x v="0"/>
    <x v="0"/>
    <x v="1"/>
    <x v="1"/>
    <x v="1"/>
    <x v="361"/>
    <s v="COSTA DEL ESTE"/>
    <x v="2"/>
  </r>
  <r>
    <x v="34"/>
    <x v="169"/>
    <x v="6"/>
    <x v="6"/>
    <x v="0"/>
    <x v="1"/>
    <x v="33"/>
    <x v="249"/>
    <x v="874"/>
    <x v="0"/>
    <s v="COSTA DEL ESTE"/>
    <x v="2"/>
  </r>
  <r>
    <x v="34"/>
    <x v="114"/>
    <x v="3"/>
    <x v="3"/>
    <x v="0"/>
    <x v="1"/>
    <x v="33"/>
    <x v="76"/>
    <x v="874"/>
    <x v="0"/>
    <s v="COSTA DEL ESTE"/>
    <x v="2"/>
  </r>
  <r>
    <x v="34"/>
    <x v="99"/>
    <x v="3"/>
    <x v="3"/>
    <x v="0"/>
    <x v="1"/>
    <x v="33"/>
    <x v="116"/>
    <x v="874"/>
    <x v="0"/>
    <s v="COSTA DEL ESTE"/>
    <x v="2"/>
  </r>
  <r>
    <x v="34"/>
    <x v="131"/>
    <x v="3"/>
    <x v="3"/>
    <x v="0"/>
    <x v="1"/>
    <x v="33"/>
    <x v="163"/>
    <x v="874"/>
    <x v="0"/>
    <s v="COSTA DEL ESTE"/>
    <x v="2"/>
  </r>
  <r>
    <x v="34"/>
    <x v="29"/>
    <x v="4"/>
    <x v="4"/>
    <x v="0"/>
    <x v="1"/>
    <x v="33"/>
    <x v="248"/>
    <x v="874"/>
    <x v="0"/>
    <s v="COSTA DEL ESTE"/>
    <x v="2"/>
  </r>
  <r>
    <x v="34"/>
    <x v="31"/>
    <x v="4"/>
    <x v="4"/>
    <x v="0"/>
    <x v="1"/>
    <x v="33"/>
    <x v="72"/>
    <x v="874"/>
    <x v="0"/>
    <s v="COSTA DEL ESTE"/>
    <x v="2"/>
  </r>
  <r>
    <x v="34"/>
    <x v="122"/>
    <x v="0"/>
    <x v="0"/>
    <x v="0"/>
    <x v="1"/>
    <x v="33"/>
    <x v="181"/>
    <x v="874"/>
    <x v="0"/>
    <s v="COSTA DEL ESTE"/>
    <x v="2"/>
  </r>
  <r>
    <x v="34"/>
    <x v="124"/>
    <x v="5"/>
    <x v="5"/>
    <x v="0"/>
    <x v="1"/>
    <x v="33"/>
    <x v="206"/>
    <x v="874"/>
    <x v="0"/>
    <s v="COSTA DEL ESTE"/>
    <x v="2"/>
  </r>
  <r>
    <x v="34"/>
    <x v="95"/>
    <x v="1"/>
    <x v="1"/>
    <x v="0"/>
    <x v="1"/>
    <x v="33"/>
    <x v="97"/>
    <x v="874"/>
    <x v="0"/>
    <s v="COSTA DEL ESTE"/>
    <x v="2"/>
  </r>
  <r>
    <x v="34"/>
    <x v="127"/>
    <x v="1"/>
    <x v="1"/>
    <x v="0"/>
    <x v="1"/>
    <x v="33"/>
    <x v="85"/>
    <x v="759"/>
    <x v="0"/>
    <s v="COSTA DEL ESTE"/>
    <x v="2"/>
  </r>
  <r>
    <x v="34"/>
    <x v="1"/>
    <x v="1"/>
    <x v="1"/>
    <x v="0"/>
    <x v="1"/>
    <x v="1"/>
    <x v="1"/>
    <x v="1"/>
    <x v="362"/>
    <s v="COSTA DEL ESTE"/>
    <x v="2"/>
  </r>
  <r>
    <x v="35"/>
    <x v="144"/>
    <x v="2"/>
    <x v="2"/>
    <x v="0"/>
    <x v="2"/>
    <x v="32"/>
    <x v="162"/>
    <x v="1351"/>
    <x v="0"/>
    <s v="MULTI PLAZA"/>
    <x v="2"/>
  </r>
  <r>
    <x v="35"/>
    <x v="144"/>
    <x v="2"/>
    <x v="2"/>
    <x v="0"/>
    <x v="2"/>
    <x v="33"/>
    <x v="162"/>
    <x v="874"/>
    <x v="0"/>
    <s v="MULTI PLAZA"/>
    <x v="2"/>
  </r>
  <r>
    <x v="35"/>
    <x v="102"/>
    <x v="6"/>
    <x v="6"/>
    <x v="0"/>
    <x v="2"/>
    <x v="33"/>
    <x v="141"/>
    <x v="874"/>
    <x v="0"/>
    <s v="MULTI PLAZA"/>
    <x v="2"/>
  </r>
  <r>
    <x v="35"/>
    <x v="37"/>
    <x v="6"/>
    <x v="6"/>
    <x v="0"/>
    <x v="2"/>
    <x v="33"/>
    <x v="250"/>
    <x v="874"/>
    <x v="0"/>
    <s v="MULTI PLAZA"/>
    <x v="2"/>
  </r>
  <r>
    <x v="35"/>
    <x v="114"/>
    <x v="3"/>
    <x v="3"/>
    <x v="0"/>
    <x v="2"/>
    <x v="33"/>
    <x v="76"/>
    <x v="874"/>
    <x v="0"/>
    <s v="MULTI PLAZA"/>
    <x v="2"/>
  </r>
  <r>
    <x v="35"/>
    <x v="100"/>
    <x v="0"/>
    <x v="0"/>
    <x v="0"/>
    <x v="2"/>
    <x v="33"/>
    <x v="73"/>
    <x v="874"/>
    <x v="0"/>
    <s v="MULTI PLAZA"/>
    <x v="2"/>
  </r>
  <r>
    <x v="35"/>
    <x v="145"/>
    <x v="5"/>
    <x v="5"/>
    <x v="0"/>
    <x v="2"/>
    <x v="32"/>
    <x v="124"/>
    <x v="1352"/>
    <x v="0"/>
    <s v="MULTI PLAZA"/>
    <x v="2"/>
  </r>
  <r>
    <x v="35"/>
    <x v="139"/>
    <x v="5"/>
    <x v="5"/>
    <x v="0"/>
    <x v="2"/>
    <x v="33"/>
    <x v="110"/>
    <x v="874"/>
    <x v="0"/>
    <s v="MULTI PLAZA"/>
    <x v="2"/>
  </r>
  <r>
    <x v="35"/>
    <x v="1"/>
    <x v="1"/>
    <x v="1"/>
    <x v="0"/>
    <x v="2"/>
    <x v="1"/>
    <x v="1"/>
    <x v="1"/>
    <x v="363"/>
    <s v="MULTI PLAZA"/>
    <x v="2"/>
  </r>
  <r>
    <x v="35"/>
    <x v="16"/>
    <x v="2"/>
    <x v="2"/>
    <x v="0"/>
    <x v="0"/>
    <x v="33"/>
    <x v="93"/>
    <x v="765"/>
    <x v="0"/>
    <s v="MULTI PLAZA"/>
    <x v="2"/>
  </r>
  <r>
    <x v="35"/>
    <x v="106"/>
    <x v="2"/>
    <x v="2"/>
    <x v="0"/>
    <x v="0"/>
    <x v="33"/>
    <x v="223"/>
    <x v="874"/>
    <x v="0"/>
    <s v="MULTI PLAZA"/>
    <x v="2"/>
  </r>
  <r>
    <x v="35"/>
    <x v="112"/>
    <x v="2"/>
    <x v="2"/>
    <x v="0"/>
    <x v="0"/>
    <x v="33"/>
    <x v="209"/>
    <x v="874"/>
    <x v="0"/>
    <s v="MULTI PLAZA"/>
    <x v="2"/>
  </r>
  <r>
    <x v="35"/>
    <x v="144"/>
    <x v="2"/>
    <x v="2"/>
    <x v="0"/>
    <x v="0"/>
    <x v="33"/>
    <x v="162"/>
    <x v="765"/>
    <x v="0"/>
    <s v="MULTI PLAZA"/>
    <x v="2"/>
  </r>
  <r>
    <x v="35"/>
    <x v="84"/>
    <x v="2"/>
    <x v="2"/>
    <x v="0"/>
    <x v="0"/>
    <x v="33"/>
    <x v="203"/>
    <x v="874"/>
    <x v="0"/>
    <s v="MULTI PLAZA"/>
    <x v="2"/>
  </r>
  <r>
    <x v="35"/>
    <x v="110"/>
    <x v="2"/>
    <x v="2"/>
    <x v="0"/>
    <x v="0"/>
    <x v="33"/>
    <x v="171"/>
    <x v="874"/>
    <x v="0"/>
    <s v="MULTI PLAZA"/>
    <x v="2"/>
  </r>
  <r>
    <x v="35"/>
    <x v="146"/>
    <x v="6"/>
    <x v="6"/>
    <x v="0"/>
    <x v="0"/>
    <x v="33"/>
    <x v="172"/>
    <x v="759"/>
    <x v="0"/>
    <s v="MULTI PLAZA"/>
    <x v="2"/>
  </r>
  <r>
    <x v="35"/>
    <x v="36"/>
    <x v="6"/>
    <x v="6"/>
    <x v="0"/>
    <x v="0"/>
    <x v="33"/>
    <x v="94"/>
    <x v="759"/>
    <x v="0"/>
    <s v="MULTI PLAZA"/>
    <x v="2"/>
  </r>
  <r>
    <x v="35"/>
    <x v="113"/>
    <x v="6"/>
    <x v="6"/>
    <x v="0"/>
    <x v="0"/>
    <x v="33"/>
    <x v="89"/>
    <x v="874"/>
    <x v="0"/>
    <s v="MULTI PLAZA"/>
    <x v="2"/>
  </r>
  <r>
    <x v="35"/>
    <x v="147"/>
    <x v="6"/>
    <x v="6"/>
    <x v="0"/>
    <x v="0"/>
    <x v="33"/>
    <x v="132"/>
    <x v="759"/>
    <x v="0"/>
    <s v="MULTI PLAZA"/>
    <x v="2"/>
  </r>
  <r>
    <x v="35"/>
    <x v="26"/>
    <x v="3"/>
    <x v="3"/>
    <x v="0"/>
    <x v="0"/>
    <x v="33"/>
    <x v="115"/>
    <x v="874"/>
    <x v="0"/>
    <s v="MULTI PLAZA"/>
    <x v="2"/>
  </r>
  <r>
    <x v="35"/>
    <x v="49"/>
    <x v="3"/>
    <x v="3"/>
    <x v="0"/>
    <x v="0"/>
    <x v="33"/>
    <x v="244"/>
    <x v="1182"/>
    <x v="0"/>
    <s v="MULTI PLAZA"/>
    <x v="2"/>
  </r>
  <r>
    <x v="35"/>
    <x v="43"/>
    <x v="3"/>
    <x v="3"/>
    <x v="0"/>
    <x v="0"/>
    <x v="33"/>
    <x v="71"/>
    <x v="759"/>
    <x v="0"/>
    <s v="MULTI PLAZA"/>
    <x v="2"/>
  </r>
  <r>
    <x v="35"/>
    <x v="148"/>
    <x v="3"/>
    <x v="3"/>
    <x v="0"/>
    <x v="0"/>
    <x v="33"/>
    <x v="174"/>
    <x v="759"/>
    <x v="0"/>
    <s v="MULTI PLAZA"/>
    <x v="2"/>
  </r>
  <r>
    <x v="35"/>
    <x v="99"/>
    <x v="3"/>
    <x v="3"/>
    <x v="0"/>
    <x v="0"/>
    <x v="33"/>
    <x v="116"/>
    <x v="874"/>
    <x v="0"/>
    <s v="MULTI PLAZA"/>
    <x v="2"/>
  </r>
  <r>
    <x v="35"/>
    <x v="132"/>
    <x v="4"/>
    <x v="4"/>
    <x v="0"/>
    <x v="0"/>
    <x v="33"/>
    <x v="95"/>
    <x v="765"/>
    <x v="0"/>
    <s v="MULTI PLAZA"/>
    <x v="2"/>
  </r>
  <r>
    <x v="35"/>
    <x v="29"/>
    <x v="4"/>
    <x v="4"/>
    <x v="0"/>
    <x v="0"/>
    <x v="33"/>
    <x v="248"/>
    <x v="874"/>
    <x v="0"/>
    <s v="MULTI PLAZA"/>
    <x v="2"/>
  </r>
  <r>
    <x v="35"/>
    <x v="154"/>
    <x v="4"/>
    <x v="4"/>
    <x v="0"/>
    <x v="0"/>
    <x v="33"/>
    <x v="143"/>
    <x v="759"/>
    <x v="0"/>
    <s v="MULTI PLAZA"/>
    <x v="2"/>
  </r>
  <r>
    <x v="35"/>
    <x v="31"/>
    <x v="4"/>
    <x v="4"/>
    <x v="0"/>
    <x v="0"/>
    <x v="33"/>
    <x v="72"/>
    <x v="759"/>
    <x v="0"/>
    <s v="MULTI PLAZA"/>
    <x v="2"/>
  </r>
  <r>
    <x v="35"/>
    <x v="4"/>
    <x v="4"/>
    <x v="4"/>
    <x v="0"/>
    <x v="0"/>
    <x v="33"/>
    <x v="199"/>
    <x v="874"/>
    <x v="0"/>
    <s v="MULTI PLAZA"/>
    <x v="2"/>
  </r>
  <r>
    <x v="35"/>
    <x v="159"/>
    <x v="0"/>
    <x v="0"/>
    <x v="0"/>
    <x v="0"/>
    <x v="33"/>
    <x v="177"/>
    <x v="765"/>
    <x v="0"/>
    <s v="MULTI PLAZA"/>
    <x v="2"/>
  </r>
  <r>
    <x v="35"/>
    <x v="116"/>
    <x v="0"/>
    <x v="0"/>
    <x v="0"/>
    <x v="0"/>
    <x v="33"/>
    <x v="64"/>
    <x v="759"/>
    <x v="0"/>
    <s v="MULTI PLAZA"/>
    <x v="2"/>
  </r>
  <r>
    <x v="35"/>
    <x v="119"/>
    <x v="0"/>
    <x v="0"/>
    <x v="0"/>
    <x v="0"/>
    <x v="33"/>
    <x v="96"/>
    <x v="759"/>
    <x v="0"/>
    <s v="MULTI PLAZA"/>
    <x v="2"/>
  </r>
  <r>
    <x v="35"/>
    <x v="120"/>
    <x v="0"/>
    <x v="0"/>
    <x v="0"/>
    <x v="0"/>
    <x v="33"/>
    <x v="212"/>
    <x v="874"/>
    <x v="0"/>
    <s v="MULTI PLAZA"/>
    <x v="2"/>
  </r>
  <r>
    <x v="35"/>
    <x v="100"/>
    <x v="0"/>
    <x v="0"/>
    <x v="0"/>
    <x v="0"/>
    <x v="33"/>
    <x v="73"/>
    <x v="759"/>
    <x v="0"/>
    <s v="MULTI PLAZA"/>
    <x v="2"/>
  </r>
  <r>
    <x v="35"/>
    <x v="46"/>
    <x v="0"/>
    <x v="0"/>
    <x v="0"/>
    <x v="0"/>
    <x v="33"/>
    <x v="155"/>
    <x v="874"/>
    <x v="0"/>
    <s v="MULTI PLAZA"/>
    <x v="2"/>
  </r>
  <r>
    <x v="35"/>
    <x v="92"/>
    <x v="0"/>
    <x v="0"/>
    <x v="0"/>
    <x v="0"/>
    <x v="33"/>
    <x v="109"/>
    <x v="759"/>
    <x v="0"/>
    <s v="MULTI PLAZA"/>
    <x v="2"/>
  </r>
  <r>
    <x v="35"/>
    <x v="142"/>
    <x v="0"/>
    <x v="0"/>
    <x v="0"/>
    <x v="0"/>
    <x v="33"/>
    <x v="119"/>
    <x v="874"/>
    <x v="0"/>
    <s v="MULTI PLAZA"/>
    <x v="2"/>
  </r>
  <r>
    <x v="35"/>
    <x v="136"/>
    <x v="0"/>
    <x v="0"/>
    <x v="0"/>
    <x v="0"/>
    <x v="33"/>
    <x v="100"/>
    <x v="874"/>
    <x v="0"/>
    <s v="MULTI PLAZA"/>
    <x v="2"/>
  </r>
  <r>
    <x v="35"/>
    <x v="145"/>
    <x v="5"/>
    <x v="5"/>
    <x v="0"/>
    <x v="0"/>
    <x v="33"/>
    <x v="124"/>
    <x v="146"/>
    <x v="0"/>
    <s v="MULTI PLAZA"/>
    <x v="2"/>
  </r>
  <r>
    <x v="35"/>
    <x v="168"/>
    <x v="5"/>
    <x v="5"/>
    <x v="0"/>
    <x v="0"/>
    <x v="33"/>
    <x v="225"/>
    <x v="765"/>
    <x v="0"/>
    <s v="MULTI PLAZA"/>
    <x v="2"/>
  </r>
  <r>
    <x v="35"/>
    <x v="34"/>
    <x v="5"/>
    <x v="5"/>
    <x v="0"/>
    <x v="0"/>
    <x v="33"/>
    <x v="184"/>
    <x v="146"/>
    <x v="0"/>
    <s v="MULTI PLAZA"/>
    <x v="2"/>
  </r>
  <r>
    <x v="35"/>
    <x v="139"/>
    <x v="5"/>
    <x v="5"/>
    <x v="0"/>
    <x v="0"/>
    <x v="33"/>
    <x v="110"/>
    <x v="759"/>
    <x v="0"/>
    <s v="MULTI PLAZA"/>
    <x v="2"/>
  </r>
  <r>
    <x v="35"/>
    <x v="63"/>
    <x v="5"/>
    <x v="5"/>
    <x v="0"/>
    <x v="0"/>
    <x v="33"/>
    <x v="111"/>
    <x v="759"/>
    <x v="0"/>
    <s v="MULTI PLAZA"/>
    <x v="2"/>
  </r>
  <r>
    <x v="35"/>
    <x v="150"/>
    <x v="5"/>
    <x v="5"/>
    <x v="0"/>
    <x v="0"/>
    <x v="33"/>
    <x v="214"/>
    <x v="874"/>
    <x v="0"/>
    <s v="MULTI PLAZA"/>
    <x v="2"/>
  </r>
  <r>
    <x v="35"/>
    <x v="161"/>
    <x v="1"/>
    <x v="1"/>
    <x v="0"/>
    <x v="0"/>
    <x v="33"/>
    <x v="186"/>
    <x v="146"/>
    <x v="0"/>
    <s v="MULTI PLAZA"/>
    <x v="2"/>
  </r>
  <r>
    <x v="35"/>
    <x v="95"/>
    <x v="1"/>
    <x v="1"/>
    <x v="0"/>
    <x v="0"/>
    <x v="33"/>
    <x v="97"/>
    <x v="874"/>
    <x v="0"/>
    <s v="MULTI PLAZA"/>
    <x v="2"/>
  </r>
  <r>
    <x v="35"/>
    <x v="151"/>
    <x v="1"/>
    <x v="1"/>
    <x v="0"/>
    <x v="0"/>
    <x v="33"/>
    <x v="166"/>
    <x v="146"/>
    <x v="0"/>
    <s v="MULTI PLAZA"/>
    <x v="2"/>
  </r>
  <r>
    <x v="35"/>
    <x v="127"/>
    <x v="1"/>
    <x v="1"/>
    <x v="0"/>
    <x v="0"/>
    <x v="33"/>
    <x v="85"/>
    <x v="759"/>
    <x v="0"/>
    <s v="MULTI PLAZA"/>
    <x v="2"/>
  </r>
  <r>
    <x v="35"/>
    <x v="22"/>
    <x v="1"/>
    <x v="1"/>
    <x v="0"/>
    <x v="0"/>
    <x v="33"/>
    <x v="211"/>
    <x v="759"/>
    <x v="0"/>
    <s v="MULTI PLAZA"/>
    <x v="2"/>
  </r>
  <r>
    <x v="35"/>
    <x v="42"/>
    <x v="1"/>
    <x v="1"/>
    <x v="0"/>
    <x v="0"/>
    <x v="33"/>
    <x v="167"/>
    <x v="874"/>
    <x v="0"/>
    <s v="MULTI PLAZA"/>
    <x v="2"/>
  </r>
  <r>
    <x v="35"/>
    <x v="101"/>
    <x v="1"/>
    <x v="1"/>
    <x v="0"/>
    <x v="0"/>
    <x v="33"/>
    <x v="207"/>
    <x v="859"/>
    <x v="0"/>
    <s v="MULTI PLAZA"/>
    <x v="2"/>
  </r>
  <r>
    <x v="35"/>
    <x v="109"/>
    <x v="1"/>
    <x v="1"/>
    <x v="0"/>
    <x v="0"/>
    <x v="33"/>
    <x v="208"/>
    <x v="759"/>
    <x v="0"/>
    <s v="MULTI PLAZA"/>
    <x v="2"/>
  </r>
  <r>
    <x v="35"/>
    <x v="152"/>
    <x v="1"/>
    <x v="1"/>
    <x v="0"/>
    <x v="0"/>
    <x v="33"/>
    <x v="194"/>
    <x v="759"/>
    <x v="0"/>
    <s v="MULTI PLAZA"/>
    <x v="2"/>
  </r>
  <r>
    <x v="35"/>
    <x v="128"/>
    <x v="1"/>
    <x v="1"/>
    <x v="0"/>
    <x v="0"/>
    <x v="33"/>
    <x v="164"/>
    <x v="759"/>
    <x v="0"/>
    <s v="MULTI PLAZA"/>
    <x v="2"/>
  </r>
  <r>
    <x v="35"/>
    <x v="1"/>
    <x v="1"/>
    <x v="1"/>
    <x v="0"/>
    <x v="0"/>
    <x v="1"/>
    <x v="1"/>
    <x v="1"/>
    <x v="364"/>
    <s v="MULTI PLAZA"/>
    <x v="2"/>
  </r>
  <r>
    <x v="35"/>
    <x v="129"/>
    <x v="2"/>
    <x v="2"/>
    <x v="0"/>
    <x v="1"/>
    <x v="33"/>
    <x v="204"/>
    <x v="874"/>
    <x v="0"/>
    <s v="MULTI PLAZA"/>
    <x v="2"/>
  </r>
  <r>
    <x v="35"/>
    <x v="102"/>
    <x v="6"/>
    <x v="6"/>
    <x v="0"/>
    <x v="1"/>
    <x v="33"/>
    <x v="141"/>
    <x v="874"/>
    <x v="0"/>
    <s v="MULTI PLAZA"/>
    <x v="2"/>
  </r>
  <r>
    <x v="35"/>
    <x v="120"/>
    <x v="0"/>
    <x v="0"/>
    <x v="0"/>
    <x v="1"/>
    <x v="33"/>
    <x v="212"/>
    <x v="874"/>
    <x v="0"/>
    <s v="MULTI PLAZA"/>
    <x v="2"/>
  </r>
  <r>
    <x v="35"/>
    <x v="100"/>
    <x v="0"/>
    <x v="0"/>
    <x v="0"/>
    <x v="1"/>
    <x v="33"/>
    <x v="73"/>
    <x v="874"/>
    <x v="0"/>
    <s v="MULTI PLAZA"/>
    <x v="2"/>
  </r>
  <r>
    <x v="35"/>
    <x v="124"/>
    <x v="5"/>
    <x v="5"/>
    <x v="0"/>
    <x v="1"/>
    <x v="33"/>
    <x v="206"/>
    <x v="874"/>
    <x v="0"/>
    <s v="MULTI PLAZA"/>
    <x v="2"/>
  </r>
  <r>
    <x v="35"/>
    <x v="1"/>
    <x v="1"/>
    <x v="1"/>
    <x v="0"/>
    <x v="1"/>
    <x v="1"/>
    <x v="1"/>
    <x v="1"/>
    <x v="365"/>
    <s v="MULTI PLAZA"/>
    <x v="2"/>
  </r>
  <r>
    <x v="36"/>
    <x v="43"/>
    <x v="3"/>
    <x v="3"/>
    <x v="0"/>
    <x v="2"/>
    <x v="32"/>
    <x v="71"/>
    <x v="1353"/>
    <x v="0"/>
    <s v="TERMINAL DE ALBROOK"/>
    <x v="2"/>
  </r>
  <r>
    <x v="36"/>
    <x v="159"/>
    <x v="0"/>
    <x v="0"/>
    <x v="0"/>
    <x v="2"/>
    <x v="33"/>
    <x v="177"/>
    <x v="874"/>
    <x v="0"/>
    <s v="TERMINAL DE ALBROOK"/>
    <x v="2"/>
  </r>
  <r>
    <x v="36"/>
    <x v="160"/>
    <x v="0"/>
    <x v="0"/>
    <x v="0"/>
    <x v="2"/>
    <x v="32"/>
    <x v="179"/>
    <x v="1354"/>
    <x v="0"/>
    <s v="TERMINAL DE ALBROOK"/>
    <x v="2"/>
  </r>
  <r>
    <x v="36"/>
    <x v="1"/>
    <x v="1"/>
    <x v="1"/>
    <x v="0"/>
    <x v="2"/>
    <x v="1"/>
    <x v="1"/>
    <x v="1"/>
    <x v="366"/>
    <s v="TERMINAL DE ALBROOK"/>
    <x v="2"/>
  </r>
  <r>
    <x v="36"/>
    <x v="70"/>
    <x v="2"/>
    <x v="2"/>
    <x v="0"/>
    <x v="0"/>
    <x v="33"/>
    <x v="36"/>
    <x v="146"/>
    <x v="0"/>
    <s v="TERMINAL DE ALBROOK"/>
    <x v="2"/>
  </r>
  <r>
    <x v="36"/>
    <x v="158"/>
    <x v="2"/>
    <x v="2"/>
    <x v="0"/>
    <x v="0"/>
    <x v="33"/>
    <x v="168"/>
    <x v="874"/>
    <x v="0"/>
    <s v="TERMINAL DE ALBROOK"/>
    <x v="2"/>
  </r>
  <r>
    <x v="36"/>
    <x v="106"/>
    <x v="2"/>
    <x v="2"/>
    <x v="0"/>
    <x v="0"/>
    <x v="33"/>
    <x v="223"/>
    <x v="874"/>
    <x v="0"/>
    <s v="TERMINAL DE ALBROOK"/>
    <x v="2"/>
  </r>
  <r>
    <x v="36"/>
    <x v="107"/>
    <x v="2"/>
    <x v="2"/>
    <x v="0"/>
    <x v="0"/>
    <x v="33"/>
    <x v="158"/>
    <x v="874"/>
    <x v="0"/>
    <s v="TERMINAL DE ALBROOK"/>
    <x v="2"/>
  </r>
  <r>
    <x v="36"/>
    <x v="112"/>
    <x v="2"/>
    <x v="2"/>
    <x v="0"/>
    <x v="0"/>
    <x v="33"/>
    <x v="209"/>
    <x v="146"/>
    <x v="0"/>
    <s v="TERMINAL DE ALBROOK"/>
    <x v="2"/>
  </r>
  <r>
    <x v="36"/>
    <x v="144"/>
    <x v="2"/>
    <x v="2"/>
    <x v="0"/>
    <x v="0"/>
    <x v="33"/>
    <x v="162"/>
    <x v="874"/>
    <x v="0"/>
    <s v="TERMINAL DE ALBROOK"/>
    <x v="2"/>
  </r>
  <r>
    <x v="36"/>
    <x v="146"/>
    <x v="6"/>
    <x v="6"/>
    <x v="0"/>
    <x v="0"/>
    <x v="33"/>
    <x v="172"/>
    <x v="765"/>
    <x v="0"/>
    <s v="TERMINAL DE ALBROOK"/>
    <x v="2"/>
  </r>
  <r>
    <x v="36"/>
    <x v="65"/>
    <x v="6"/>
    <x v="6"/>
    <x v="0"/>
    <x v="0"/>
    <x v="33"/>
    <x v="190"/>
    <x v="759"/>
    <x v="0"/>
    <s v="TERMINAL DE ALBROOK"/>
    <x v="2"/>
  </r>
  <r>
    <x v="36"/>
    <x v="169"/>
    <x v="6"/>
    <x v="6"/>
    <x v="0"/>
    <x v="0"/>
    <x v="33"/>
    <x v="249"/>
    <x v="759"/>
    <x v="0"/>
    <s v="TERMINAL DE ALBROOK"/>
    <x v="2"/>
  </r>
  <r>
    <x v="36"/>
    <x v="102"/>
    <x v="6"/>
    <x v="6"/>
    <x v="0"/>
    <x v="0"/>
    <x v="33"/>
    <x v="141"/>
    <x v="874"/>
    <x v="0"/>
    <s v="TERMINAL DE ALBROOK"/>
    <x v="2"/>
  </r>
  <r>
    <x v="36"/>
    <x v="113"/>
    <x v="6"/>
    <x v="6"/>
    <x v="0"/>
    <x v="0"/>
    <x v="33"/>
    <x v="89"/>
    <x v="759"/>
    <x v="0"/>
    <s v="TERMINAL DE ALBROOK"/>
    <x v="2"/>
  </r>
  <r>
    <x v="36"/>
    <x v="96"/>
    <x v="6"/>
    <x v="6"/>
    <x v="0"/>
    <x v="0"/>
    <x v="33"/>
    <x v="165"/>
    <x v="874"/>
    <x v="0"/>
    <s v="TERMINAL DE ALBROOK"/>
    <x v="2"/>
  </r>
  <r>
    <x v="36"/>
    <x v="67"/>
    <x v="6"/>
    <x v="6"/>
    <x v="0"/>
    <x v="0"/>
    <x v="33"/>
    <x v="32"/>
    <x v="874"/>
    <x v="0"/>
    <s v="TERMINAL DE ALBROOK"/>
    <x v="2"/>
  </r>
  <r>
    <x v="36"/>
    <x v="19"/>
    <x v="3"/>
    <x v="3"/>
    <x v="0"/>
    <x v="0"/>
    <x v="33"/>
    <x v="62"/>
    <x v="934"/>
    <x v="0"/>
    <s v="TERMINAL DE ALBROOK"/>
    <x v="2"/>
  </r>
  <r>
    <x v="36"/>
    <x v="108"/>
    <x v="3"/>
    <x v="3"/>
    <x v="0"/>
    <x v="0"/>
    <x v="33"/>
    <x v="63"/>
    <x v="759"/>
    <x v="0"/>
    <s v="TERMINAL DE ALBROOK"/>
    <x v="2"/>
  </r>
  <r>
    <x v="36"/>
    <x v="43"/>
    <x v="3"/>
    <x v="3"/>
    <x v="0"/>
    <x v="0"/>
    <x v="33"/>
    <x v="71"/>
    <x v="1182"/>
    <x v="0"/>
    <s v="TERMINAL DE ALBROOK"/>
    <x v="2"/>
  </r>
  <r>
    <x v="36"/>
    <x v="75"/>
    <x v="3"/>
    <x v="3"/>
    <x v="0"/>
    <x v="0"/>
    <x v="33"/>
    <x v="220"/>
    <x v="765"/>
    <x v="0"/>
    <s v="TERMINAL DE ALBROOK"/>
    <x v="2"/>
  </r>
  <r>
    <x v="36"/>
    <x v="61"/>
    <x v="3"/>
    <x v="3"/>
    <x v="0"/>
    <x v="0"/>
    <x v="33"/>
    <x v="126"/>
    <x v="874"/>
    <x v="0"/>
    <s v="TERMINAL DE ALBROOK"/>
    <x v="2"/>
  </r>
  <r>
    <x v="36"/>
    <x v="79"/>
    <x v="3"/>
    <x v="3"/>
    <x v="0"/>
    <x v="0"/>
    <x v="33"/>
    <x v="142"/>
    <x v="874"/>
    <x v="0"/>
    <s v="TERMINAL DE ALBROOK"/>
    <x v="2"/>
  </r>
  <r>
    <x v="36"/>
    <x v="56"/>
    <x v="3"/>
    <x v="3"/>
    <x v="0"/>
    <x v="0"/>
    <x v="33"/>
    <x v="153"/>
    <x v="759"/>
    <x v="0"/>
    <s v="TERMINAL DE ALBROOK"/>
    <x v="2"/>
  </r>
  <r>
    <x v="36"/>
    <x v="68"/>
    <x v="4"/>
    <x v="4"/>
    <x v="0"/>
    <x v="0"/>
    <x v="33"/>
    <x v="222"/>
    <x v="874"/>
    <x v="0"/>
    <s v="TERMINAL DE ALBROOK"/>
    <x v="2"/>
  </r>
  <r>
    <x v="36"/>
    <x v="81"/>
    <x v="4"/>
    <x v="4"/>
    <x v="0"/>
    <x v="0"/>
    <x v="33"/>
    <x v="175"/>
    <x v="146"/>
    <x v="0"/>
    <s v="TERMINAL DE ALBROOK"/>
    <x v="2"/>
  </r>
  <r>
    <x v="36"/>
    <x v="162"/>
    <x v="4"/>
    <x v="4"/>
    <x v="0"/>
    <x v="0"/>
    <x v="33"/>
    <x v="192"/>
    <x v="874"/>
    <x v="0"/>
    <s v="TERMINAL DE ALBROOK"/>
    <x v="2"/>
  </r>
  <r>
    <x v="36"/>
    <x v="12"/>
    <x v="4"/>
    <x v="4"/>
    <x v="0"/>
    <x v="0"/>
    <x v="33"/>
    <x v="247"/>
    <x v="874"/>
    <x v="0"/>
    <s v="TERMINAL DE ALBROOK"/>
    <x v="2"/>
  </r>
  <r>
    <x v="36"/>
    <x v="30"/>
    <x v="4"/>
    <x v="4"/>
    <x v="0"/>
    <x v="0"/>
    <x v="33"/>
    <x v="159"/>
    <x v="146"/>
    <x v="0"/>
    <s v="TERMINAL DE ALBROOK"/>
    <x v="2"/>
  </r>
  <r>
    <x v="36"/>
    <x v="62"/>
    <x v="4"/>
    <x v="4"/>
    <x v="0"/>
    <x v="0"/>
    <x v="33"/>
    <x v="176"/>
    <x v="759"/>
    <x v="0"/>
    <s v="TERMINAL DE ALBROOK"/>
    <x v="2"/>
  </r>
  <r>
    <x v="36"/>
    <x v="90"/>
    <x v="0"/>
    <x v="0"/>
    <x v="0"/>
    <x v="0"/>
    <x v="33"/>
    <x v="79"/>
    <x v="874"/>
    <x v="0"/>
    <s v="TERMINAL DE ALBROOK"/>
    <x v="2"/>
  </r>
  <r>
    <x v="36"/>
    <x v="159"/>
    <x v="0"/>
    <x v="0"/>
    <x v="0"/>
    <x v="0"/>
    <x v="33"/>
    <x v="177"/>
    <x v="146"/>
    <x v="0"/>
    <s v="TERMINAL DE ALBROOK"/>
    <x v="2"/>
  </r>
  <r>
    <x v="36"/>
    <x v="116"/>
    <x v="0"/>
    <x v="0"/>
    <x v="0"/>
    <x v="0"/>
    <x v="33"/>
    <x v="64"/>
    <x v="146"/>
    <x v="0"/>
    <s v="TERMINAL DE ALBROOK"/>
    <x v="2"/>
  </r>
  <r>
    <x v="36"/>
    <x v="100"/>
    <x v="0"/>
    <x v="0"/>
    <x v="0"/>
    <x v="0"/>
    <x v="33"/>
    <x v="73"/>
    <x v="899"/>
    <x v="0"/>
    <s v="TERMINAL DE ALBROOK"/>
    <x v="2"/>
  </r>
  <r>
    <x v="36"/>
    <x v="45"/>
    <x v="0"/>
    <x v="0"/>
    <x v="0"/>
    <x v="0"/>
    <x v="33"/>
    <x v="180"/>
    <x v="899"/>
    <x v="0"/>
    <s v="TERMINAL DE ALBROOK"/>
    <x v="2"/>
  </r>
  <r>
    <x v="36"/>
    <x v="166"/>
    <x v="0"/>
    <x v="0"/>
    <x v="0"/>
    <x v="0"/>
    <x v="33"/>
    <x v="217"/>
    <x v="874"/>
    <x v="0"/>
    <s v="TERMINAL DE ALBROOK"/>
    <x v="2"/>
  </r>
  <r>
    <x v="36"/>
    <x v="32"/>
    <x v="5"/>
    <x v="5"/>
    <x v="0"/>
    <x v="0"/>
    <x v="33"/>
    <x v="81"/>
    <x v="146"/>
    <x v="0"/>
    <s v="TERMINAL DE ALBROOK"/>
    <x v="2"/>
  </r>
  <r>
    <x v="36"/>
    <x v="76"/>
    <x v="5"/>
    <x v="5"/>
    <x v="0"/>
    <x v="0"/>
    <x v="33"/>
    <x v="182"/>
    <x v="899"/>
    <x v="0"/>
    <s v="TERMINAL DE ALBROOK"/>
    <x v="2"/>
  </r>
  <r>
    <x v="36"/>
    <x v="115"/>
    <x v="5"/>
    <x v="5"/>
    <x v="0"/>
    <x v="0"/>
    <x v="33"/>
    <x v="213"/>
    <x v="874"/>
    <x v="0"/>
    <s v="TERMINAL DE ALBROOK"/>
    <x v="2"/>
  </r>
  <r>
    <x v="36"/>
    <x v="97"/>
    <x v="5"/>
    <x v="5"/>
    <x v="0"/>
    <x v="0"/>
    <x v="33"/>
    <x v="183"/>
    <x v="759"/>
    <x v="0"/>
    <s v="TERMINAL DE ALBROOK"/>
    <x v="2"/>
  </r>
  <r>
    <x v="36"/>
    <x v="72"/>
    <x v="5"/>
    <x v="5"/>
    <x v="0"/>
    <x v="0"/>
    <x v="33"/>
    <x v="38"/>
    <x v="146"/>
    <x v="0"/>
    <s v="TERMINAL DE ALBROOK"/>
    <x v="2"/>
  </r>
  <r>
    <x v="36"/>
    <x v="125"/>
    <x v="5"/>
    <x v="5"/>
    <x v="0"/>
    <x v="0"/>
    <x v="33"/>
    <x v="82"/>
    <x v="146"/>
    <x v="0"/>
    <s v="TERMINAL DE ALBROOK"/>
    <x v="2"/>
  </r>
  <r>
    <x v="36"/>
    <x v="168"/>
    <x v="5"/>
    <x v="5"/>
    <x v="0"/>
    <x v="0"/>
    <x v="33"/>
    <x v="225"/>
    <x v="759"/>
    <x v="0"/>
    <s v="TERMINAL DE ALBROOK"/>
    <x v="2"/>
  </r>
  <r>
    <x v="36"/>
    <x v="77"/>
    <x v="5"/>
    <x v="5"/>
    <x v="0"/>
    <x v="0"/>
    <x v="33"/>
    <x v="156"/>
    <x v="899"/>
    <x v="0"/>
    <s v="TERMINAL DE ALBROOK"/>
    <x v="2"/>
  </r>
  <r>
    <x v="36"/>
    <x v="139"/>
    <x v="5"/>
    <x v="5"/>
    <x v="0"/>
    <x v="0"/>
    <x v="33"/>
    <x v="110"/>
    <x v="759"/>
    <x v="0"/>
    <s v="TERMINAL DE ALBROOK"/>
    <x v="2"/>
  </r>
  <r>
    <x v="36"/>
    <x v="124"/>
    <x v="5"/>
    <x v="5"/>
    <x v="0"/>
    <x v="0"/>
    <x v="33"/>
    <x v="206"/>
    <x v="146"/>
    <x v="0"/>
    <s v="TERMINAL DE ALBROOK"/>
    <x v="2"/>
  </r>
  <r>
    <x v="36"/>
    <x v="40"/>
    <x v="1"/>
    <x v="1"/>
    <x v="0"/>
    <x v="0"/>
    <x v="33"/>
    <x v="125"/>
    <x v="899"/>
    <x v="0"/>
    <s v="TERMINAL DE ALBROOK"/>
    <x v="2"/>
  </r>
  <r>
    <x v="36"/>
    <x v="41"/>
    <x v="1"/>
    <x v="1"/>
    <x v="0"/>
    <x v="0"/>
    <x v="33"/>
    <x v="113"/>
    <x v="146"/>
    <x v="0"/>
    <s v="TERMINAL DE ALBROOK"/>
    <x v="2"/>
  </r>
  <r>
    <x v="36"/>
    <x v="42"/>
    <x v="1"/>
    <x v="1"/>
    <x v="0"/>
    <x v="0"/>
    <x v="33"/>
    <x v="167"/>
    <x v="765"/>
    <x v="0"/>
    <s v="TERMINAL DE ALBROOK"/>
    <x v="2"/>
  </r>
  <r>
    <x v="36"/>
    <x v="101"/>
    <x v="1"/>
    <x v="1"/>
    <x v="0"/>
    <x v="0"/>
    <x v="33"/>
    <x v="207"/>
    <x v="874"/>
    <x v="0"/>
    <s v="TERMINAL DE ALBROOK"/>
    <x v="2"/>
  </r>
  <r>
    <x v="36"/>
    <x v="152"/>
    <x v="1"/>
    <x v="1"/>
    <x v="0"/>
    <x v="0"/>
    <x v="33"/>
    <x v="194"/>
    <x v="874"/>
    <x v="0"/>
    <s v="TERMINAL DE ALBROOK"/>
    <x v="2"/>
  </r>
  <r>
    <x v="36"/>
    <x v="1"/>
    <x v="1"/>
    <x v="1"/>
    <x v="0"/>
    <x v="0"/>
    <x v="1"/>
    <x v="1"/>
    <x v="1"/>
    <x v="251"/>
    <s v="TERMINAL DE ALBROOK"/>
    <x v="2"/>
  </r>
  <r>
    <x v="36"/>
    <x v="158"/>
    <x v="2"/>
    <x v="2"/>
    <x v="0"/>
    <x v="1"/>
    <x v="33"/>
    <x v="168"/>
    <x v="874"/>
    <x v="0"/>
    <s v="TERMINAL DE ALBROOK"/>
    <x v="2"/>
  </r>
  <r>
    <x v="36"/>
    <x v="106"/>
    <x v="2"/>
    <x v="2"/>
    <x v="0"/>
    <x v="1"/>
    <x v="33"/>
    <x v="223"/>
    <x v="874"/>
    <x v="0"/>
    <s v="TERMINAL DE ALBROOK"/>
    <x v="2"/>
  </r>
  <r>
    <x v="36"/>
    <x v="85"/>
    <x v="2"/>
    <x v="2"/>
    <x v="0"/>
    <x v="1"/>
    <x v="33"/>
    <x v="161"/>
    <x v="765"/>
    <x v="0"/>
    <s v="TERMINAL DE ALBROOK"/>
    <x v="2"/>
  </r>
  <r>
    <x v="36"/>
    <x v="107"/>
    <x v="2"/>
    <x v="2"/>
    <x v="0"/>
    <x v="1"/>
    <x v="33"/>
    <x v="158"/>
    <x v="874"/>
    <x v="0"/>
    <s v="TERMINAL DE ALBROOK"/>
    <x v="2"/>
  </r>
  <r>
    <x v="36"/>
    <x v="129"/>
    <x v="2"/>
    <x v="2"/>
    <x v="0"/>
    <x v="1"/>
    <x v="33"/>
    <x v="204"/>
    <x v="874"/>
    <x v="0"/>
    <s v="TERMINAL DE ALBROOK"/>
    <x v="2"/>
  </r>
  <r>
    <x v="36"/>
    <x v="108"/>
    <x v="3"/>
    <x v="3"/>
    <x v="0"/>
    <x v="1"/>
    <x v="33"/>
    <x v="63"/>
    <x v="874"/>
    <x v="0"/>
    <s v="TERMINAL DE ALBROOK"/>
    <x v="2"/>
  </r>
  <r>
    <x v="36"/>
    <x v="43"/>
    <x v="3"/>
    <x v="3"/>
    <x v="0"/>
    <x v="1"/>
    <x v="33"/>
    <x v="71"/>
    <x v="874"/>
    <x v="0"/>
    <s v="TERMINAL DE ALBROOK"/>
    <x v="2"/>
  </r>
  <r>
    <x v="36"/>
    <x v="44"/>
    <x v="3"/>
    <x v="3"/>
    <x v="0"/>
    <x v="1"/>
    <x v="33"/>
    <x v="191"/>
    <x v="874"/>
    <x v="0"/>
    <s v="TERMINAL DE ALBROOK"/>
    <x v="2"/>
  </r>
  <r>
    <x v="36"/>
    <x v="68"/>
    <x v="4"/>
    <x v="4"/>
    <x v="0"/>
    <x v="1"/>
    <x v="33"/>
    <x v="222"/>
    <x v="874"/>
    <x v="0"/>
    <s v="TERMINAL DE ALBROOK"/>
    <x v="2"/>
  </r>
  <r>
    <x v="36"/>
    <x v="89"/>
    <x v="4"/>
    <x v="4"/>
    <x v="0"/>
    <x v="1"/>
    <x v="33"/>
    <x v="154"/>
    <x v="874"/>
    <x v="0"/>
    <s v="TERMINAL DE ALBROOK"/>
    <x v="2"/>
  </r>
  <r>
    <x v="36"/>
    <x v="119"/>
    <x v="0"/>
    <x v="0"/>
    <x v="0"/>
    <x v="1"/>
    <x v="33"/>
    <x v="96"/>
    <x v="874"/>
    <x v="0"/>
    <s v="TERMINAL DE ALBROOK"/>
    <x v="2"/>
  </r>
  <r>
    <x v="36"/>
    <x v="45"/>
    <x v="0"/>
    <x v="0"/>
    <x v="0"/>
    <x v="1"/>
    <x v="33"/>
    <x v="180"/>
    <x v="874"/>
    <x v="0"/>
    <s v="TERMINAL DE ALBROOK"/>
    <x v="2"/>
  </r>
  <r>
    <x v="36"/>
    <x v="46"/>
    <x v="0"/>
    <x v="0"/>
    <x v="0"/>
    <x v="1"/>
    <x v="33"/>
    <x v="155"/>
    <x v="874"/>
    <x v="0"/>
    <s v="TERMINAL DE ALBROOK"/>
    <x v="2"/>
  </r>
  <r>
    <x v="36"/>
    <x v="125"/>
    <x v="5"/>
    <x v="5"/>
    <x v="0"/>
    <x v="1"/>
    <x v="33"/>
    <x v="82"/>
    <x v="874"/>
    <x v="0"/>
    <s v="TERMINAL DE ALBROOK"/>
    <x v="2"/>
  </r>
  <r>
    <x v="36"/>
    <x v="101"/>
    <x v="1"/>
    <x v="1"/>
    <x v="0"/>
    <x v="1"/>
    <x v="33"/>
    <x v="207"/>
    <x v="874"/>
    <x v="0"/>
    <s v="TERMINAL DE ALBROOK"/>
    <x v="2"/>
  </r>
  <r>
    <x v="36"/>
    <x v="1"/>
    <x v="1"/>
    <x v="1"/>
    <x v="0"/>
    <x v="1"/>
    <x v="1"/>
    <x v="1"/>
    <x v="1"/>
    <x v="367"/>
    <s v="TERMINAL DE ALBROOK"/>
    <x v="2"/>
  </r>
  <r>
    <x v="39"/>
    <x v="16"/>
    <x v="2"/>
    <x v="2"/>
    <x v="0"/>
    <x v="0"/>
    <x v="33"/>
    <x v="93"/>
    <x v="874"/>
    <x v="0"/>
    <s v="BRISAS DEL GOLF"/>
    <x v="2"/>
  </r>
  <r>
    <x v="39"/>
    <x v="118"/>
    <x v="2"/>
    <x v="2"/>
    <x v="0"/>
    <x v="0"/>
    <x v="33"/>
    <x v="69"/>
    <x v="874"/>
    <x v="0"/>
    <s v="BRISAS DEL GOLF"/>
    <x v="2"/>
  </r>
  <r>
    <x v="39"/>
    <x v="111"/>
    <x v="2"/>
    <x v="2"/>
    <x v="0"/>
    <x v="0"/>
    <x v="33"/>
    <x v="75"/>
    <x v="874"/>
    <x v="0"/>
    <s v="BRISAS DEL GOLF"/>
    <x v="2"/>
  </r>
  <r>
    <x v="39"/>
    <x v="65"/>
    <x v="6"/>
    <x v="6"/>
    <x v="0"/>
    <x v="0"/>
    <x v="33"/>
    <x v="190"/>
    <x v="874"/>
    <x v="0"/>
    <s v="BRISAS DEL GOLF"/>
    <x v="2"/>
  </r>
  <r>
    <x v="39"/>
    <x v="36"/>
    <x v="6"/>
    <x v="6"/>
    <x v="0"/>
    <x v="0"/>
    <x v="33"/>
    <x v="94"/>
    <x v="874"/>
    <x v="0"/>
    <s v="BRISAS DEL GOLF"/>
    <x v="2"/>
  </r>
  <r>
    <x v="39"/>
    <x v="87"/>
    <x v="6"/>
    <x v="6"/>
    <x v="0"/>
    <x v="0"/>
    <x v="33"/>
    <x v="189"/>
    <x v="874"/>
    <x v="0"/>
    <s v="BRISAS DEL GOLF"/>
    <x v="2"/>
  </r>
  <r>
    <x v="39"/>
    <x v="163"/>
    <x v="6"/>
    <x v="6"/>
    <x v="0"/>
    <x v="0"/>
    <x v="33"/>
    <x v="195"/>
    <x v="874"/>
    <x v="0"/>
    <s v="BRISAS DEL GOLF"/>
    <x v="2"/>
  </r>
  <r>
    <x v="39"/>
    <x v="113"/>
    <x v="6"/>
    <x v="6"/>
    <x v="0"/>
    <x v="0"/>
    <x v="33"/>
    <x v="89"/>
    <x v="874"/>
    <x v="0"/>
    <s v="BRISAS DEL GOLF"/>
    <x v="2"/>
  </r>
  <r>
    <x v="39"/>
    <x v="19"/>
    <x v="3"/>
    <x v="3"/>
    <x v="0"/>
    <x v="0"/>
    <x v="33"/>
    <x v="62"/>
    <x v="146"/>
    <x v="0"/>
    <s v="BRISAS DEL GOLF"/>
    <x v="2"/>
  </r>
  <r>
    <x v="39"/>
    <x v="27"/>
    <x v="3"/>
    <x v="3"/>
    <x v="0"/>
    <x v="0"/>
    <x v="33"/>
    <x v="43"/>
    <x v="874"/>
    <x v="0"/>
    <s v="BRISAS DEL GOLF"/>
    <x v="2"/>
  </r>
  <r>
    <x v="39"/>
    <x v="61"/>
    <x v="3"/>
    <x v="3"/>
    <x v="0"/>
    <x v="0"/>
    <x v="33"/>
    <x v="126"/>
    <x v="146"/>
    <x v="0"/>
    <s v="BRISAS DEL GOLF"/>
    <x v="2"/>
  </r>
  <r>
    <x v="39"/>
    <x v="56"/>
    <x v="3"/>
    <x v="3"/>
    <x v="0"/>
    <x v="0"/>
    <x v="33"/>
    <x v="153"/>
    <x v="146"/>
    <x v="0"/>
    <s v="BRISAS DEL GOLF"/>
    <x v="2"/>
  </r>
  <r>
    <x v="39"/>
    <x v="132"/>
    <x v="4"/>
    <x v="4"/>
    <x v="0"/>
    <x v="0"/>
    <x v="33"/>
    <x v="95"/>
    <x v="874"/>
    <x v="0"/>
    <s v="BRISAS DEL GOLF"/>
    <x v="2"/>
  </r>
  <r>
    <x v="39"/>
    <x v="162"/>
    <x v="4"/>
    <x v="4"/>
    <x v="0"/>
    <x v="0"/>
    <x v="33"/>
    <x v="192"/>
    <x v="759"/>
    <x v="0"/>
    <s v="BRISAS DEL GOLF"/>
    <x v="2"/>
  </r>
  <r>
    <x v="39"/>
    <x v="12"/>
    <x v="4"/>
    <x v="4"/>
    <x v="0"/>
    <x v="0"/>
    <x v="33"/>
    <x v="247"/>
    <x v="874"/>
    <x v="0"/>
    <s v="BRISAS DEL GOLF"/>
    <x v="2"/>
  </r>
  <r>
    <x v="39"/>
    <x v="29"/>
    <x v="4"/>
    <x v="4"/>
    <x v="0"/>
    <x v="0"/>
    <x v="33"/>
    <x v="248"/>
    <x v="874"/>
    <x v="0"/>
    <s v="BRISAS DEL GOLF"/>
    <x v="2"/>
  </r>
  <r>
    <x v="39"/>
    <x v="154"/>
    <x v="4"/>
    <x v="4"/>
    <x v="0"/>
    <x v="0"/>
    <x v="33"/>
    <x v="143"/>
    <x v="874"/>
    <x v="0"/>
    <s v="BRISAS DEL GOLF"/>
    <x v="2"/>
  </r>
  <r>
    <x v="39"/>
    <x v="78"/>
    <x v="4"/>
    <x v="4"/>
    <x v="0"/>
    <x v="0"/>
    <x v="33"/>
    <x v="160"/>
    <x v="874"/>
    <x v="0"/>
    <s v="BRISAS DEL GOLF"/>
    <x v="2"/>
  </r>
  <r>
    <x v="39"/>
    <x v="52"/>
    <x v="0"/>
    <x v="0"/>
    <x v="0"/>
    <x v="0"/>
    <x v="33"/>
    <x v="107"/>
    <x v="874"/>
    <x v="0"/>
    <s v="BRISAS DEL GOLF"/>
    <x v="2"/>
  </r>
  <r>
    <x v="39"/>
    <x v="121"/>
    <x v="0"/>
    <x v="0"/>
    <x v="0"/>
    <x v="0"/>
    <x v="33"/>
    <x v="80"/>
    <x v="874"/>
    <x v="0"/>
    <s v="BRISAS DEL GOLF"/>
    <x v="2"/>
  </r>
  <r>
    <x v="39"/>
    <x v="53"/>
    <x v="0"/>
    <x v="0"/>
    <x v="0"/>
    <x v="0"/>
    <x v="33"/>
    <x v="144"/>
    <x v="765"/>
    <x v="0"/>
    <s v="BRISAS DEL GOLF"/>
    <x v="2"/>
  </r>
  <r>
    <x v="39"/>
    <x v="92"/>
    <x v="0"/>
    <x v="0"/>
    <x v="0"/>
    <x v="0"/>
    <x v="33"/>
    <x v="109"/>
    <x v="874"/>
    <x v="0"/>
    <s v="BRISAS DEL GOLF"/>
    <x v="2"/>
  </r>
  <r>
    <x v="39"/>
    <x v="142"/>
    <x v="0"/>
    <x v="0"/>
    <x v="0"/>
    <x v="0"/>
    <x v="33"/>
    <x v="119"/>
    <x v="874"/>
    <x v="0"/>
    <s v="BRISAS DEL GOLF"/>
    <x v="2"/>
  </r>
  <r>
    <x v="39"/>
    <x v="76"/>
    <x v="5"/>
    <x v="5"/>
    <x v="0"/>
    <x v="0"/>
    <x v="33"/>
    <x v="182"/>
    <x v="146"/>
    <x v="0"/>
    <s v="BRISAS DEL GOLF"/>
    <x v="2"/>
  </r>
  <r>
    <x v="39"/>
    <x v="13"/>
    <x v="5"/>
    <x v="5"/>
    <x v="0"/>
    <x v="0"/>
    <x v="33"/>
    <x v="120"/>
    <x v="874"/>
    <x v="0"/>
    <s v="BRISAS DEL GOLF"/>
    <x v="2"/>
  </r>
  <r>
    <x v="39"/>
    <x v="72"/>
    <x v="5"/>
    <x v="5"/>
    <x v="0"/>
    <x v="0"/>
    <x v="33"/>
    <x v="38"/>
    <x v="759"/>
    <x v="0"/>
    <s v="BRISAS DEL GOLF"/>
    <x v="2"/>
  </r>
  <r>
    <x v="39"/>
    <x v="168"/>
    <x v="5"/>
    <x v="5"/>
    <x v="0"/>
    <x v="0"/>
    <x v="33"/>
    <x v="225"/>
    <x v="874"/>
    <x v="0"/>
    <s v="BRISAS DEL GOLF"/>
    <x v="2"/>
  </r>
  <r>
    <x v="39"/>
    <x v="77"/>
    <x v="5"/>
    <x v="5"/>
    <x v="0"/>
    <x v="0"/>
    <x v="33"/>
    <x v="156"/>
    <x v="874"/>
    <x v="0"/>
    <s v="BRISAS DEL GOLF"/>
    <x v="2"/>
  </r>
  <r>
    <x v="39"/>
    <x v="139"/>
    <x v="5"/>
    <x v="5"/>
    <x v="0"/>
    <x v="0"/>
    <x v="33"/>
    <x v="110"/>
    <x v="874"/>
    <x v="0"/>
    <s v="BRISAS DEL GOLF"/>
    <x v="2"/>
  </r>
  <r>
    <x v="39"/>
    <x v="63"/>
    <x v="5"/>
    <x v="5"/>
    <x v="0"/>
    <x v="0"/>
    <x v="33"/>
    <x v="111"/>
    <x v="874"/>
    <x v="0"/>
    <s v="BRISAS DEL GOLF"/>
    <x v="2"/>
  </r>
  <r>
    <x v="39"/>
    <x v="153"/>
    <x v="5"/>
    <x v="5"/>
    <x v="0"/>
    <x v="0"/>
    <x v="33"/>
    <x v="157"/>
    <x v="874"/>
    <x v="0"/>
    <s v="BRISAS DEL GOLF"/>
    <x v="2"/>
  </r>
  <r>
    <x v="39"/>
    <x v="150"/>
    <x v="5"/>
    <x v="5"/>
    <x v="0"/>
    <x v="0"/>
    <x v="33"/>
    <x v="214"/>
    <x v="874"/>
    <x v="0"/>
    <s v="BRISAS DEL GOLF"/>
    <x v="2"/>
  </r>
  <r>
    <x v="39"/>
    <x v="161"/>
    <x v="1"/>
    <x v="1"/>
    <x v="0"/>
    <x v="0"/>
    <x v="33"/>
    <x v="186"/>
    <x v="874"/>
    <x v="0"/>
    <s v="BRISAS DEL GOLF"/>
    <x v="2"/>
  </r>
  <r>
    <x v="39"/>
    <x v="151"/>
    <x v="1"/>
    <x v="1"/>
    <x v="0"/>
    <x v="0"/>
    <x v="33"/>
    <x v="166"/>
    <x v="146"/>
    <x v="0"/>
    <s v="BRISAS DEL GOLF"/>
    <x v="2"/>
  </r>
  <r>
    <x v="39"/>
    <x v="127"/>
    <x v="1"/>
    <x v="1"/>
    <x v="0"/>
    <x v="0"/>
    <x v="33"/>
    <x v="85"/>
    <x v="874"/>
    <x v="0"/>
    <s v="BRISAS DEL GOLF"/>
    <x v="2"/>
  </r>
  <r>
    <x v="39"/>
    <x v="42"/>
    <x v="1"/>
    <x v="1"/>
    <x v="0"/>
    <x v="0"/>
    <x v="33"/>
    <x v="167"/>
    <x v="765"/>
    <x v="0"/>
    <s v="BRISAS DEL GOLF"/>
    <x v="2"/>
  </r>
  <r>
    <x v="39"/>
    <x v="73"/>
    <x v="1"/>
    <x v="1"/>
    <x v="0"/>
    <x v="0"/>
    <x v="33"/>
    <x v="39"/>
    <x v="874"/>
    <x v="0"/>
    <s v="BRISAS DEL GOLF"/>
    <x v="2"/>
  </r>
  <r>
    <x v="39"/>
    <x v="98"/>
    <x v="1"/>
    <x v="1"/>
    <x v="0"/>
    <x v="0"/>
    <x v="33"/>
    <x v="198"/>
    <x v="874"/>
    <x v="0"/>
    <s v="BRISAS DEL GOLF"/>
    <x v="2"/>
  </r>
  <r>
    <x v="39"/>
    <x v="1"/>
    <x v="1"/>
    <x v="1"/>
    <x v="0"/>
    <x v="0"/>
    <x v="1"/>
    <x v="1"/>
    <x v="1"/>
    <x v="291"/>
    <s v="BRISAS DEL GOLF"/>
    <x v="2"/>
  </r>
  <r>
    <x v="39"/>
    <x v="87"/>
    <x v="6"/>
    <x v="6"/>
    <x v="0"/>
    <x v="1"/>
    <x v="33"/>
    <x v="189"/>
    <x v="146"/>
    <x v="0"/>
    <s v="BRISAS DEL GOLF"/>
    <x v="2"/>
  </r>
  <r>
    <x v="39"/>
    <x v="71"/>
    <x v="6"/>
    <x v="6"/>
    <x v="0"/>
    <x v="1"/>
    <x v="33"/>
    <x v="37"/>
    <x v="874"/>
    <x v="0"/>
    <s v="BRISAS DEL GOLF"/>
    <x v="2"/>
  </r>
  <r>
    <x v="39"/>
    <x v="1"/>
    <x v="1"/>
    <x v="1"/>
    <x v="0"/>
    <x v="1"/>
    <x v="1"/>
    <x v="1"/>
    <x v="1"/>
    <x v="220"/>
    <s v="BRISAS DEL GOLF"/>
    <x v="2"/>
  </r>
  <r>
    <x v="40"/>
    <x v="102"/>
    <x v="6"/>
    <x v="6"/>
    <x v="0"/>
    <x v="2"/>
    <x v="33"/>
    <x v="141"/>
    <x v="874"/>
    <x v="0"/>
    <s v="PUENTE CENTENARIO"/>
    <x v="2"/>
  </r>
  <r>
    <x v="40"/>
    <x v="128"/>
    <x v="1"/>
    <x v="1"/>
    <x v="0"/>
    <x v="2"/>
    <x v="33"/>
    <x v="164"/>
    <x v="874"/>
    <x v="0"/>
    <s v="PUENTE CENTENARIO"/>
    <x v="2"/>
  </r>
  <r>
    <x v="40"/>
    <x v="1"/>
    <x v="1"/>
    <x v="1"/>
    <x v="0"/>
    <x v="2"/>
    <x v="1"/>
    <x v="1"/>
    <x v="1"/>
    <x v="349"/>
    <s v="PUENTE CENTENARIO"/>
    <x v="2"/>
  </r>
  <r>
    <x v="40"/>
    <x v="16"/>
    <x v="2"/>
    <x v="2"/>
    <x v="0"/>
    <x v="0"/>
    <x v="33"/>
    <x v="93"/>
    <x v="899"/>
    <x v="0"/>
    <s v="PUENTE CENTENARIO"/>
    <x v="2"/>
  </r>
  <r>
    <x v="40"/>
    <x v="110"/>
    <x v="2"/>
    <x v="2"/>
    <x v="0"/>
    <x v="0"/>
    <x v="33"/>
    <x v="171"/>
    <x v="765"/>
    <x v="0"/>
    <s v="PUENTE CENTENARIO"/>
    <x v="2"/>
  </r>
  <r>
    <x v="40"/>
    <x v="36"/>
    <x v="6"/>
    <x v="6"/>
    <x v="0"/>
    <x v="0"/>
    <x v="33"/>
    <x v="94"/>
    <x v="874"/>
    <x v="0"/>
    <s v="PUENTE CENTENARIO"/>
    <x v="2"/>
  </r>
  <r>
    <x v="40"/>
    <x v="113"/>
    <x v="6"/>
    <x v="6"/>
    <x v="0"/>
    <x v="0"/>
    <x v="33"/>
    <x v="89"/>
    <x v="146"/>
    <x v="0"/>
    <s v="PUENTE CENTENARIO"/>
    <x v="2"/>
  </r>
  <r>
    <x v="40"/>
    <x v="148"/>
    <x v="3"/>
    <x v="3"/>
    <x v="0"/>
    <x v="0"/>
    <x v="33"/>
    <x v="174"/>
    <x v="848"/>
    <x v="0"/>
    <s v="PUENTE CENTENARIO"/>
    <x v="2"/>
  </r>
  <r>
    <x v="40"/>
    <x v="79"/>
    <x v="3"/>
    <x v="3"/>
    <x v="0"/>
    <x v="0"/>
    <x v="33"/>
    <x v="142"/>
    <x v="874"/>
    <x v="0"/>
    <s v="PUENTE CENTENARIO"/>
    <x v="2"/>
  </r>
  <r>
    <x v="40"/>
    <x v="156"/>
    <x v="4"/>
    <x v="4"/>
    <x v="0"/>
    <x v="0"/>
    <x v="33"/>
    <x v="146"/>
    <x v="146"/>
    <x v="0"/>
    <s v="PUENTE CENTENARIO"/>
    <x v="2"/>
  </r>
  <r>
    <x v="40"/>
    <x v="12"/>
    <x v="4"/>
    <x v="4"/>
    <x v="0"/>
    <x v="0"/>
    <x v="33"/>
    <x v="247"/>
    <x v="874"/>
    <x v="0"/>
    <s v="PUENTE CENTENARIO"/>
    <x v="2"/>
  </r>
  <r>
    <x v="40"/>
    <x v="62"/>
    <x v="4"/>
    <x v="4"/>
    <x v="0"/>
    <x v="0"/>
    <x v="33"/>
    <x v="176"/>
    <x v="874"/>
    <x v="0"/>
    <s v="PUENTE CENTENARIO"/>
    <x v="2"/>
  </r>
  <r>
    <x v="40"/>
    <x v="116"/>
    <x v="0"/>
    <x v="0"/>
    <x v="0"/>
    <x v="0"/>
    <x v="33"/>
    <x v="64"/>
    <x v="874"/>
    <x v="0"/>
    <s v="PUENTE CENTENARIO"/>
    <x v="2"/>
  </r>
  <r>
    <x v="40"/>
    <x v="119"/>
    <x v="0"/>
    <x v="0"/>
    <x v="0"/>
    <x v="0"/>
    <x v="33"/>
    <x v="96"/>
    <x v="874"/>
    <x v="0"/>
    <s v="PUENTE CENTENARIO"/>
    <x v="2"/>
  </r>
  <r>
    <x v="40"/>
    <x v="45"/>
    <x v="0"/>
    <x v="0"/>
    <x v="0"/>
    <x v="0"/>
    <x v="33"/>
    <x v="180"/>
    <x v="1182"/>
    <x v="0"/>
    <s v="PUENTE CENTENARIO"/>
    <x v="2"/>
  </r>
  <r>
    <x v="40"/>
    <x v="76"/>
    <x v="5"/>
    <x v="5"/>
    <x v="0"/>
    <x v="0"/>
    <x v="33"/>
    <x v="182"/>
    <x v="899"/>
    <x v="0"/>
    <s v="PUENTE CENTENARIO"/>
    <x v="2"/>
  </r>
  <r>
    <x v="40"/>
    <x v="125"/>
    <x v="5"/>
    <x v="5"/>
    <x v="0"/>
    <x v="0"/>
    <x v="33"/>
    <x v="82"/>
    <x v="146"/>
    <x v="0"/>
    <s v="PUENTE CENTENARIO"/>
    <x v="2"/>
  </r>
  <r>
    <x v="40"/>
    <x v="34"/>
    <x v="5"/>
    <x v="5"/>
    <x v="0"/>
    <x v="0"/>
    <x v="33"/>
    <x v="184"/>
    <x v="146"/>
    <x v="0"/>
    <s v="PUENTE CENTENARIO"/>
    <x v="2"/>
  </r>
  <r>
    <x v="40"/>
    <x v="63"/>
    <x v="5"/>
    <x v="5"/>
    <x v="0"/>
    <x v="0"/>
    <x v="33"/>
    <x v="111"/>
    <x v="765"/>
    <x v="0"/>
    <s v="PUENTE CENTENARIO"/>
    <x v="2"/>
  </r>
  <r>
    <x v="40"/>
    <x v="14"/>
    <x v="1"/>
    <x v="1"/>
    <x v="0"/>
    <x v="0"/>
    <x v="33"/>
    <x v="112"/>
    <x v="146"/>
    <x v="0"/>
    <s v="PUENTE CENTENARIO"/>
    <x v="2"/>
  </r>
  <r>
    <x v="40"/>
    <x v="151"/>
    <x v="1"/>
    <x v="1"/>
    <x v="0"/>
    <x v="0"/>
    <x v="33"/>
    <x v="166"/>
    <x v="1182"/>
    <x v="0"/>
    <s v="PUENTE CENTENARIO"/>
    <x v="2"/>
  </r>
  <r>
    <x v="40"/>
    <x v="33"/>
    <x v="1"/>
    <x v="1"/>
    <x v="0"/>
    <x v="0"/>
    <x v="33"/>
    <x v="241"/>
    <x v="146"/>
    <x v="0"/>
    <s v="PUENTE CENTENARIO"/>
    <x v="2"/>
  </r>
  <r>
    <x v="40"/>
    <x v="1"/>
    <x v="1"/>
    <x v="1"/>
    <x v="0"/>
    <x v="0"/>
    <x v="1"/>
    <x v="1"/>
    <x v="1"/>
    <x v="368"/>
    <s v="PUENTE CENTENARIO"/>
    <x v="2"/>
  </r>
  <r>
    <x v="40"/>
    <x v="112"/>
    <x v="2"/>
    <x v="2"/>
    <x v="0"/>
    <x v="1"/>
    <x v="33"/>
    <x v="209"/>
    <x v="759"/>
    <x v="0"/>
    <s v="PUENTE CENTENARIO"/>
    <x v="2"/>
  </r>
  <r>
    <x v="40"/>
    <x v="36"/>
    <x v="6"/>
    <x v="6"/>
    <x v="0"/>
    <x v="1"/>
    <x v="33"/>
    <x v="94"/>
    <x v="874"/>
    <x v="0"/>
    <s v="PUENTE CENTENARIO"/>
    <x v="2"/>
  </r>
  <r>
    <x v="40"/>
    <x v="71"/>
    <x v="6"/>
    <x v="6"/>
    <x v="0"/>
    <x v="1"/>
    <x v="33"/>
    <x v="37"/>
    <x v="146"/>
    <x v="0"/>
    <s v="PUENTE CENTENARIO"/>
    <x v="2"/>
  </r>
  <r>
    <x v="40"/>
    <x v="96"/>
    <x v="6"/>
    <x v="6"/>
    <x v="0"/>
    <x v="1"/>
    <x v="33"/>
    <x v="165"/>
    <x v="874"/>
    <x v="0"/>
    <s v="PUENTE CENTENARIO"/>
    <x v="2"/>
  </r>
  <r>
    <x v="40"/>
    <x v="136"/>
    <x v="0"/>
    <x v="0"/>
    <x v="0"/>
    <x v="1"/>
    <x v="33"/>
    <x v="100"/>
    <x v="146"/>
    <x v="0"/>
    <s v="PUENTE CENTENARIO"/>
    <x v="2"/>
  </r>
  <r>
    <x v="40"/>
    <x v="1"/>
    <x v="1"/>
    <x v="1"/>
    <x v="0"/>
    <x v="1"/>
    <x v="1"/>
    <x v="1"/>
    <x v="1"/>
    <x v="369"/>
    <s v="PUENTE CENTENARIO"/>
    <x v="2"/>
  </r>
  <r>
    <x v="74"/>
    <x v="169"/>
    <x v="6"/>
    <x v="6"/>
    <x v="0"/>
    <x v="2"/>
    <x v="34"/>
    <x v="251"/>
    <x v="1355"/>
    <x v="0"/>
    <s v="AGUADULCE"/>
    <x v="2"/>
  </r>
  <r>
    <x v="74"/>
    <x v="142"/>
    <x v="0"/>
    <x v="0"/>
    <x v="0"/>
    <x v="2"/>
    <x v="32"/>
    <x v="119"/>
    <x v="1356"/>
    <x v="0"/>
    <s v="AGUADULCE"/>
    <x v="2"/>
  </r>
  <r>
    <x v="74"/>
    <x v="1"/>
    <x v="1"/>
    <x v="1"/>
    <x v="0"/>
    <x v="2"/>
    <x v="1"/>
    <x v="1"/>
    <x v="1"/>
    <x v="370"/>
    <s v="AGUADULCE"/>
    <x v="2"/>
  </r>
  <r>
    <x v="75"/>
    <x v="79"/>
    <x v="3"/>
    <x v="3"/>
    <x v="0"/>
    <x v="2"/>
    <x v="32"/>
    <x v="142"/>
    <x v="1357"/>
    <x v="0"/>
    <s v="SABANITAS"/>
    <x v="2"/>
  </r>
  <r>
    <x v="75"/>
    <x v="1"/>
    <x v="1"/>
    <x v="1"/>
    <x v="0"/>
    <x v="2"/>
    <x v="1"/>
    <x v="1"/>
    <x v="1"/>
    <x v="371"/>
    <s v="SABANITAS"/>
    <x v="2"/>
  </r>
  <r>
    <x v="42"/>
    <x v="36"/>
    <x v="6"/>
    <x v="6"/>
    <x v="0"/>
    <x v="0"/>
    <x v="33"/>
    <x v="94"/>
    <x v="874"/>
    <x v="0"/>
    <s v="ALTOS DE PANAMA"/>
    <x v="2"/>
  </r>
  <r>
    <x v="42"/>
    <x v="71"/>
    <x v="6"/>
    <x v="6"/>
    <x v="0"/>
    <x v="0"/>
    <x v="33"/>
    <x v="37"/>
    <x v="874"/>
    <x v="0"/>
    <s v="ALTOS DE PANAMA"/>
    <x v="2"/>
  </r>
  <r>
    <x v="42"/>
    <x v="53"/>
    <x v="0"/>
    <x v="0"/>
    <x v="0"/>
    <x v="0"/>
    <x v="33"/>
    <x v="144"/>
    <x v="759"/>
    <x v="0"/>
    <s v="ALTOS DE PANAMA"/>
    <x v="2"/>
  </r>
  <r>
    <x v="42"/>
    <x v="136"/>
    <x v="0"/>
    <x v="0"/>
    <x v="0"/>
    <x v="0"/>
    <x v="33"/>
    <x v="100"/>
    <x v="759"/>
    <x v="0"/>
    <s v="ALTOS DE PANAMA"/>
    <x v="2"/>
  </r>
  <r>
    <x v="42"/>
    <x v="151"/>
    <x v="1"/>
    <x v="1"/>
    <x v="0"/>
    <x v="0"/>
    <x v="33"/>
    <x v="166"/>
    <x v="874"/>
    <x v="0"/>
    <s v="ALTOS DE PANAMA"/>
    <x v="2"/>
  </r>
  <r>
    <x v="42"/>
    <x v="127"/>
    <x v="1"/>
    <x v="1"/>
    <x v="0"/>
    <x v="0"/>
    <x v="33"/>
    <x v="85"/>
    <x v="874"/>
    <x v="0"/>
    <s v="ALTOS DE PANAMA"/>
    <x v="2"/>
  </r>
  <r>
    <x v="42"/>
    <x v="1"/>
    <x v="1"/>
    <x v="1"/>
    <x v="0"/>
    <x v="0"/>
    <x v="1"/>
    <x v="1"/>
    <x v="1"/>
    <x v="372"/>
    <s v="ALTOS DE PANAMA"/>
    <x v="2"/>
  </r>
  <r>
    <x v="42"/>
    <x v="21"/>
    <x v="6"/>
    <x v="6"/>
    <x v="0"/>
    <x v="1"/>
    <x v="33"/>
    <x v="70"/>
    <x v="874"/>
    <x v="0"/>
    <s v="ALTOS DE PANAMA"/>
    <x v="2"/>
  </r>
  <r>
    <x v="42"/>
    <x v="56"/>
    <x v="3"/>
    <x v="3"/>
    <x v="0"/>
    <x v="1"/>
    <x v="33"/>
    <x v="153"/>
    <x v="874"/>
    <x v="0"/>
    <s v="ALTOS DE PANAMA"/>
    <x v="2"/>
  </r>
  <r>
    <x v="42"/>
    <x v="29"/>
    <x v="4"/>
    <x v="4"/>
    <x v="0"/>
    <x v="1"/>
    <x v="33"/>
    <x v="248"/>
    <x v="874"/>
    <x v="0"/>
    <s v="ALTOS DE PANAMA"/>
    <x v="2"/>
  </r>
  <r>
    <x v="42"/>
    <x v="1"/>
    <x v="1"/>
    <x v="1"/>
    <x v="0"/>
    <x v="1"/>
    <x v="1"/>
    <x v="1"/>
    <x v="1"/>
    <x v="355"/>
    <s v="ALTOS DE PANAMA"/>
    <x v="2"/>
  </r>
  <r>
    <x v="43"/>
    <x v="170"/>
    <x v="2"/>
    <x v="2"/>
    <x v="0"/>
    <x v="2"/>
    <x v="32"/>
    <x v="252"/>
    <x v="982"/>
    <x v="0"/>
    <s v="VERSALLES"/>
    <x v="2"/>
  </r>
  <r>
    <x v="43"/>
    <x v="25"/>
    <x v="2"/>
    <x v="2"/>
    <x v="0"/>
    <x v="2"/>
    <x v="32"/>
    <x v="169"/>
    <x v="952"/>
    <x v="0"/>
    <s v="VERSALLES"/>
    <x v="2"/>
  </r>
  <r>
    <x v="43"/>
    <x v="86"/>
    <x v="6"/>
    <x v="6"/>
    <x v="0"/>
    <x v="2"/>
    <x v="32"/>
    <x v="224"/>
    <x v="982"/>
    <x v="0"/>
    <s v="VERSALLES"/>
    <x v="2"/>
  </r>
  <r>
    <x v="43"/>
    <x v="169"/>
    <x v="6"/>
    <x v="6"/>
    <x v="0"/>
    <x v="2"/>
    <x v="32"/>
    <x v="249"/>
    <x v="1215"/>
    <x v="0"/>
    <s v="VERSALLES"/>
    <x v="2"/>
  </r>
  <r>
    <x v="43"/>
    <x v="74"/>
    <x v="3"/>
    <x v="3"/>
    <x v="0"/>
    <x v="2"/>
    <x v="32"/>
    <x v="151"/>
    <x v="801"/>
    <x v="0"/>
    <s v="VERSALLES"/>
    <x v="2"/>
  </r>
  <r>
    <x v="43"/>
    <x v="114"/>
    <x v="3"/>
    <x v="3"/>
    <x v="0"/>
    <x v="2"/>
    <x v="32"/>
    <x v="76"/>
    <x v="1215"/>
    <x v="0"/>
    <s v="VERSALLES"/>
    <x v="2"/>
  </r>
  <r>
    <x v="43"/>
    <x v="80"/>
    <x v="4"/>
    <x v="4"/>
    <x v="0"/>
    <x v="2"/>
    <x v="32"/>
    <x v="90"/>
    <x v="801"/>
    <x v="0"/>
    <s v="VERSALLES"/>
    <x v="2"/>
  </r>
  <r>
    <x v="43"/>
    <x v="30"/>
    <x v="4"/>
    <x v="4"/>
    <x v="0"/>
    <x v="2"/>
    <x v="32"/>
    <x v="159"/>
    <x v="982"/>
    <x v="0"/>
    <s v="VERSALLES"/>
    <x v="2"/>
  </r>
  <r>
    <x v="43"/>
    <x v="90"/>
    <x v="0"/>
    <x v="0"/>
    <x v="0"/>
    <x v="2"/>
    <x v="32"/>
    <x v="79"/>
    <x v="801"/>
    <x v="0"/>
    <s v="VERSALLES"/>
    <x v="2"/>
  </r>
  <r>
    <x v="43"/>
    <x v="160"/>
    <x v="0"/>
    <x v="0"/>
    <x v="0"/>
    <x v="2"/>
    <x v="32"/>
    <x v="179"/>
    <x v="1215"/>
    <x v="0"/>
    <s v="VERSALLES"/>
    <x v="2"/>
  </r>
  <r>
    <x v="43"/>
    <x v="32"/>
    <x v="5"/>
    <x v="5"/>
    <x v="0"/>
    <x v="2"/>
    <x v="32"/>
    <x v="81"/>
    <x v="952"/>
    <x v="0"/>
    <s v="VERSALLES"/>
    <x v="2"/>
  </r>
  <r>
    <x v="43"/>
    <x v="77"/>
    <x v="5"/>
    <x v="5"/>
    <x v="0"/>
    <x v="2"/>
    <x v="32"/>
    <x v="156"/>
    <x v="982"/>
    <x v="0"/>
    <s v="VERSALLES"/>
    <x v="2"/>
  </r>
  <r>
    <x v="43"/>
    <x v="58"/>
    <x v="1"/>
    <x v="1"/>
    <x v="0"/>
    <x v="2"/>
    <x v="32"/>
    <x v="84"/>
    <x v="982"/>
    <x v="0"/>
    <s v="VERSALLES"/>
    <x v="2"/>
  </r>
  <r>
    <x v="43"/>
    <x v="42"/>
    <x v="1"/>
    <x v="1"/>
    <x v="0"/>
    <x v="2"/>
    <x v="32"/>
    <x v="167"/>
    <x v="982"/>
    <x v="0"/>
    <s v="VERSALLES"/>
    <x v="2"/>
  </r>
  <r>
    <x v="43"/>
    <x v="1"/>
    <x v="1"/>
    <x v="1"/>
    <x v="0"/>
    <x v="2"/>
    <x v="1"/>
    <x v="1"/>
    <x v="1"/>
    <x v="373"/>
    <s v="VERSALLES"/>
    <x v="2"/>
  </r>
  <r>
    <x v="43"/>
    <x v="1"/>
    <x v="1"/>
    <x v="1"/>
    <x v="0"/>
    <x v="0"/>
    <x v="1"/>
    <x v="1"/>
    <x v="1"/>
    <x v="355"/>
    <s v="VERSALLES"/>
    <x v="2"/>
  </r>
  <r>
    <x v="43"/>
    <x v="1"/>
    <x v="1"/>
    <x v="1"/>
    <x v="0"/>
    <x v="1"/>
    <x v="1"/>
    <x v="1"/>
    <x v="1"/>
    <x v="216"/>
    <s v="VERSALLES"/>
    <x v="2"/>
  </r>
  <r>
    <x v="45"/>
    <x v="108"/>
    <x v="3"/>
    <x v="3"/>
    <x v="0"/>
    <x v="2"/>
    <x v="32"/>
    <x v="63"/>
    <x v="1358"/>
    <x v="0"/>
    <s v="SAN FRANCISCO"/>
    <x v="2"/>
  </r>
  <r>
    <x v="45"/>
    <x v="0"/>
    <x v="0"/>
    <x v="0"/>
    <x v="0"/>
    <x v="2"/>
    <x v="32"/>
    <x v="197"/>
    <x v="1359"/>
    <x v="0"/>
    <s v="SAN FRANCISCO"/>
    <x v="2"/>
  </r>
  <r>
    <x v="45"/>
    <x v="1"/>
    <x v="1"/>
    <x v="1"/>
    <x v="0"/>
    <x v="2"/>
    <x v="1"/>
    <x v="1"/>
    <x v="1"/>
    <x v="374"/>
    <s v="SAN FRANCISCO"/>
    <x v="2"/>
  </r>
  <r>
    <x v="45"/>
    <x v="1"/>
    <x v="1"/>
    <x v="1"/>
    <x v="0"/>
    <x v="0"/>
    <x v="1"/>
    <x v="1"/>
    <x v="1"/>
    <x v="349"/>
    <s v="SAN FRANCISCO"/>
    <x v="2"/>
  </r>
  <r>
    <x v="46"/>
    <x v="132"/>
    <x v="4"/>
    <x v="4"/>
    <x v="0"/>
    <x v="2"/>
    <x v="33"/>
    <x v="95"/>
    <x v="874"/>
    <x v="0"/>
    <s v="PLAZA BANCO GENERAL"/>
    <x v="2"/>
  </r>
  <r>
    <x v="46"/>
    <x v="1"/>
    <x v="1"/>
    <x v="1"/>
    <x v="0"/>
    <x v="2"/>
    <x v="1"/>
    <x v="1"/>
    <x v="1"/>
    <x v="375"/>
    <s v="PLAZA BANCO GENERAL"/>
    <x v="2"/>
  </r>
  <r>
    <x v="46"/>
    <x v="28"/>
    <x v="3"/>
    <x v="3"/>
    <x v="0"/>
    <x v="0"/>
    <x v="33"/>
    <x v="245"/>
    <x v="874"/>
    <x v="0"/>
    <s v="PLAZA BANCO GENERAL"/>
    <x v="2"/>
  </r>
  <r>
    <x v="46"/>
    <x v="45"/>
    <x v="0"/>
    <x v="0"/>
    <x v="0"/>
    <x v="0"/>
    <x v="33"/>
    <x v="180"/>
    <x v="874"/>
    <x v="0"/>
    <s v="PLAZA BANCO GENERAL"/>
    <x v="2"/>
  </r>
  <r>
    <x v="46"/>
    <x v="13"/>
    <x v="5"/>
    <x v="5"/>
    <x v="0"/>
    <x v="0"/>
    <x v="33"/>
    <x v="120"/>
    <x v="874"/>
    <x v="0"/>
    <s v="PLAZA BANCO GENERAL"/>
    <x v="2"/>
  </r>
  <r>
    <x v="46"/>
    <x v="1"/>
    <x v="1"/>
    <x v="1"/>
    <x v="0"/>
    <x v="0"/>
    <x v="1"/>
    <x v="1"/>
    <x v="1"/>
    <x v="261"/>
    <s v="PLAZA BANCO GENERAL"/>
    <x v="2"/>
  </r>
  <r>
    <x v="47"/>
    <x v="85"/>
    <x v="2"/>
    <x v="2"/>
    <x v="0"/>
    <x v="2"/>
    <x v="32"/>
    <x v="161"/>
    <x v="1360"/>
    <x v="0"/>
    <s v="LA CHORRERA - PARQUE 10 DE NOV."/>
    <x v="2"/>
  </r>
  <r>
    <x v="47"/>
    <x v="65"/>
    <x v="6"/>
    <x v="6"/>
    <x v="0"/>
    <x v="2"/>
    <x v="32"/>
    <x v="190"/>
    <x v="1361"/>
    <x v="0"/>
    <s v="LA CHORRERA - PARQUE 10 DE NOV."/>
    <x v="2"/>
  </r>
  <r>
    <x v="47"/>
    <x v="102"/>
    <x v="6"/>
    <x v="6"/>
    <x v="0"/>
    <x v="2"/>
    <x v="33"/>
    <x v="141"/>
    <x v="759"/>
    <x v="0"/>
    <s v="LA CHORRERA - PARQUE 10 DE NOV."/>
    <x v="2"/>
  </r>
  <r>
    <x v="47"/>
    <x v="68"/>
    <x v="4"/>
    <x v="4"/>
    <x v="0"/>
    <x v="2"/>
    <x v="32"/>
    <x v="222"/>
    <x v="1362"/>
    <x v="0"/>
    <s v="LA CHORRERA - PARQUE 10 DE NOV."/>
    <x v="2"/>
  </r>
  <r>
    <x v="47"/>
    <x v="160"/>
    <x v="0"/>
    <x v="0"/>
    <x v="0"/>
    <x v="2"/>
    <x v="32"/>
    <x v="179"/>
    <x v="1363"/>
    <x v="0"/>
    <s v="LA CHORRERA - PARQUE 10 DE NOV."/>
    <x v="2"/>
  </r>
  <r>
    <x v="47"/>
    <x v="14"/>
    <x v="1"/>
    <x v="1"/>
    <x v="0"/>
    <x v="2"/>
    <x v="32"/>
    <x v="112"/>
    <x v="1364"/>
    <x v="0"/>
    <s v="LA CHORRERA - PARQUE 10 DE NOV."/>
    <x v="2"/>
  </r>
  <r>
    <x v="47"/>
    <x v="101"/>
    <x v="1"/>
    <x v="1"/>
    <x v="0"/>
    <x v="2"/>
    <x v="33"/>
    <x v="207"/>
    <x v="874"/>
    <x v="0"/>
    <s v="LA CHORRERA - PARQUE 10 DE NOV."/>
    <x v="2"/>
  </r>
  <r>
    <x v="47"/>
    <x v="1"/>
    <x v="1"/>
    <x v="1"/>
    <x v="0"/>
    <x v="2"/>
    <x v="1"/>
    <x v="1"/>
    <x v="1"/>
    <x v="376"/>
    <s v="LA CHORRERA - PARQUE 10 DE NOV."/>
    <x v="2"/>
  </r>
  <r>
    <x v="47"/>
    <x v="70"/>
    <x v="2"/>
    <x v="2"/>
    <x v="0"/>
    <x v="0"/>
    <x v="33"/>
    <x v="36"/>
    <x v="759"/>
    <x v="0"/>
    <s v="LA CHORRERA - PARQUE 10 DE NOV."/>
    <x v="2"/>
  </r>
  <r>
    <x v="47"/>
    <x v="16"/>
    <x v="2"/>
    <x v="2"/>
    <x v="0"/>
    <x v="0"/>
    <x v="33"/>
    <x v="93"/>
    <x v="1182"/>
    <x v="0"/>
    <s v="LA CHORRERA - PARQUE 10 DE NOV."/>
    <x v="2"/>
  </r>
  <r>
    <x v="47"/>
    <x v="106"/>
    <x v="2"/>
    <x v="2"/>
    <x v="0"/>
    <x v="0"/>
    <x v="33"/>
    <x v="223"/>
    <x v="1182"/>
    <x v="0"/>
    <s v="LA CHORRERA - PARQUE 10 DE NOV."/>
    <x v="2"/>
  </r>
  <r>
    <x v="47"/>
    <x v="47"/>
    <x v="2"/>
    <x v="2"/>
    <x v="0"/>
    <x v="0"/>
    <x v="33"/>
    <x v="68"/>
    <x v="874"/>
    <x v="0"/>
    <s v="LA CHORRERA - PARQUE 10 DE NOV."/>
    <x v="2"/>
  </r>
  <r>
    <x v="47"/>
    <x v="85"/>
    <x v="2"/>
    <x v="2"/>
    <x v="0"/>
    <x v="0"/>
    <x v="33"/>
    <x v="161"/>
    <x v="765"/>
    <x v="0"/>
    <s v="LA CHORRERA - PARQUE 10 DE NOV."/>
    <x v="2"/>
  </r>
  <r>
    <x v="47"/>
    <x v="112"/>
    <x v="2"/>
    <x v="2"/>
    <x v="0"/>
    <x v="0"/>
    <x v="33"/>
    <x v="209"/>
    <x v="859"/>
    <x v="0"/>
    <s v="LA CHORRERA - PARQUE 10 DE NOV."/>
    <x v="2"/>
  </r>
  <r>
    <x v="47"/>
    <x v="84"/>
    <x v="2"/>
    <x v="2"/>
    <x v="0"/>
    <x v="0"/>
    <x v="33"/>
    <x v="203"/>
    <x v="765"/>
    <x v="0"/>
    <s v="LA CHORRERA - PARQUE 10 DE NOV."/>
    <x v="2"/>
  </r>
  <r>
    <x v="47"/>
    <x v="129"/>
    <x v="2"/>
    <x v="2"/>
    <x v="0"/>
    <x v="0"/>
    <x v="33"/>
    <x v="204"/>
    <x v="765"/>
    <x v="0"/>
    <s v="LA CHORRERA - PARQUE 10 DE NOV."/>
    <x v="2"/>
  </r>
  <r>
    <x v="47"/>
    <x v="146"/>
    <x v="6"/>
    <x v="6"/>
    <x v="0"/>
    <x v="0"/>
    <x v="33"/>
    <x v="172"/>
    <x v="146"/>
    <x v="0"/>
    <s v="LA CHORRERA - PARQUE 10 DE NOV."/>
    <x v="2"/>
  </r>
  <r>
    <x v="47"/>
    <x v="36"/>
    <x v="6"/>
    <x v="6"/>
    <x v="0"/>
    <x v="0"/>
    <x v="33"/>
    <x v="94"/>
    <x v="952"/>
    <x v="0"/>
    <s v="LA CHORRERA - PARQUE 10 DE NOV."/>
    <x v="2"/>
  </r>
  <r>
    <x v="47"/>
    <x v="71"/>
    <x v="6"/>
    <x v="6"/>
    <x v="0"/>
    <x v="0"/>
    <x v="33"/>
    <x v="37"/>
    <x v="874"/>
    <x v="0"/>
    <s v="LA CHORRERA - PARQUE 10 DE NOV."/>
    <x v="2"/>
  </r>
  <r>
    <x v="47"/>
    <x v="163"/>
    <x v="6"/>
    <x v="6"/>
    <x v="0"/>
    <x v="0"/>
    <x v="33"/>
    <x v="195"/>
    <x v="874"/>
    <x v="0"/>
    <s v="LA CHORRERA - PARQUE 10 DE NOV."/>
    <x v="2"/>
  </r>
  <r>
    <x v="47"/>
    <x v="113"/>
    <x v="6"/>
    <x v="6"/>
    <x v="0"/>
    <x v="0"/>
    <x v="35"/>
    <x v="89"/>
    <x v="874"/>
    <x v="0"/>
    <s v="LA CHORRERA - PARQUE 10 DE NOV."/>
    <x v="2"/>
  </r>
  <r>
    <x v="47"/>
    <x v="134"/>
    <x v="6"/>
    <x v="6"/>
    <x v="0"/>
    <x v="0"/>
    <x v="33"/>
    <x v="226"/>
    <x v="874"/>
    <x v="0"/>
    <s v="LA CHORRERA - PARQUE 10 DE NOV."/>
    <x v="2"/>
  </r>
  <r>
    <x v="47"/>
    <x v="147"/>
    <x v="6"/>
    <x v="6"/>
    <x v="0"/>
    <x v="0"/>
    <x v="33"/>
    <x v="132"/>
    <x v="874"/>
    <x v="0"/>
    <s v="LA CHORRERA - PARQUE 10 DE NOV."/>
    <x v="2"/>
  </r>
  <r>
    <x v="47"/>
    <x v="21"/>
    <x v="6"/>
    <x v="6"/>
    <x v="0"/>
    <x v="0"/>
    <x v="36"/>
    <x v="253"/>
    <x v="765"/>
    <x v="0"/>
    <s v="LA CHORRERA - PARQUE 10 DE NOV."/>
    <x v="2"/>
  </r>
  <r>
    <x v="47"/>
    <x v="137"/>
    <x v="6"/>
    <x v="6"/>
    <x v="0"/>
    <x v="0"/>
    <x v="33"/>
    <x v="102"/>
    <x v="759"/>
    <x v="0"/>
    <s v="LA CHORRERA - PARQUE 10 DE NOV."/>
    <x v="2"/>
  </r>
  <r>
    <x v="47"/>
    <x v="23"/>
    <x v="3"/>
    <x v="3"/>
    <x v="0"/>
    <x v="0"/>
    <x v="33"/>
    <x v="221"/>
    <x v="952"/>
    <x v="0"/>
    <s v="LA CHORRERA - PARQUE 10 DE NOV."/>
    <x v="2"/>
  </r>
  <r>
    <x v="47"/>
    <x v="108"/>
    <x v="3"/>
    <x v="3"/>
    <x v="0"/>
    <x v="0"/>
    <x v="33"/>
    <x v="63"/>
    <x v="859"/>
    <x v="0"/>
    <s v="LA CHORRERA - PARQUE 10 DE NOV."/>
    <x v="2"/>
  </r>
  <r>
    <x v="47"/>
    <x v="135"/>
    <x v="3"/>
    <x v="3"/>
    <x v="0"/>
    <x v="0"/>
    <x v="33"/>
    <x v="149"/>
    <x v="146"/>
    <x v="0"/>
    <s v="LA CHORRERA - PARQUE 10 DE NOV."/>
    <x v="2"/>
  </r>
  <r>
    <x v="47"/>
    <x v="43"/>
    <x v="3"/>
    <x v="3"/>
    <x v="0"/>
    <x v="0"/>
    <x v="33"/>
    <x v="71"/>
    <x v="759"/>
    <x v="0"/>
    <s v="LA CHORRERA - PARQUE 10 DE NOV."/>
    <x v="2"/>
  </r>
  <r>
    <x v="47"/>
    <x v="75"/>
    <x v="3"/>
    <x v="3"/>
    <x v="0"/>
    <x v="0"/>
    <x v="33"/>
    <x v="220"/>
    <x v="899"/>
    <x v="0"/>
    <s v="LA CHORRERA - PARQUE 10 DE NOV."/>
    <x v="2"/>
  </r>
  <r>
    <x v="47"/>
    <x v="61"/>
    <x v="3"/>
    <x v="3"/>
    <x v="0"/>
    <x v="0"/>
    <x v="33"/>
    <x v="126"/>
    <x v="874"/>
    <x v="0"/>
    <s v="LA CHORRERA - PARQUE 10 DE NOV."/>
    <x v="2"/>
  </r>
  <r>
    <x v="47"/>
    <x v="148"/>
    <x v="3"/>
    <x v="3"/>
    <x v="0"/>
    <x v="0"/>
    <x v="33"/>
    <x v="174"/>
    <x v="1182"/>
    <x v="0"/>
    <s v="LA CHORRERA - PARQUE 10 DE NOV."/>
    <x v="2"/>
  </r>
  <r>
    <x v="47"/>
    <x v="79"/>
    <x v="3"/>
    <x v="3"/>
    <x v="0"/>
    <x v="0"/>
    <x v="33"/>
    <x v="142"/>
    <x v="874"/>
    <x v="0"/>
    <s v="LA CHORRERA - PARQUE 10 DE NOV."/>
    <x v="2"/>
  </r>
  <r>
    <x v="47"/>
    <x v="56"/>
    <x v="3"/>
    <x v="3"/>
    <x v="0"/>
    <x v="0"/>
    <x v="33"/>
    <x v="153"/>
    <x v="759"/>
    <x v="0"/>
    <s v="LA CHORRERA - PARQUE 10 DE NOV."/>
    <x v="2"/>
  </r>
  <r>
    <x v="47"/>
    <x v="28"/>
    <x v="3"/>
    <x v="3"/>
    <x v="0"/>
    <x v="0"/>
    <x v="33"/>
    <x v="245"/>
    <x v="759"/>
    <x v="0"/>
    <s v="LA CHORRERA - PARQUE 10 DE NOV."/>
    <x v="2"/>
  </r>
  <r>
    <x v="47"/>
    <x v="68"/>
    <x v="4"/>
    <x v="4"/>
    <x v="0"/>
    <x v="0"/>
    <x v="33"/>
    <x v="222"/>
    <x v="874"/>
    <x v="0"/>
    <s v="LA CHORRERA - PARQUE 10 DE NOV."/>
    <x v="2"/>
  </r>
  <r>
    <x v="47"/>
    <x v="81"/>
    <x v="4"/>
    <x v="4"/>
    <x v="0"/>
    <x v="0"/>
    <x v="33"/>
    <x v="175"/>
    <x v="1182"/>
    <x v="0"/>
    <s v="LA CHORRERA - PARQUE 10 DE NOV."/>
    <x v="2"/>
  </r>
  <r>
    <x v="47"/>
    <x v="132"/>
    <x v="4"/>
    <x v="4"/>
    <x v="0"/>
    <x v="0"/>
    <x v="33"/>
    <x v="95"/>
    <x v="1182"/>
    <x v="0"/>
    <s v="LA CHORRERA - PARQUE 10 DE NOV."/>
    <x v="2"/>
  </r>
  <r>
    <x v="47"/>
    <x v="50"/>
    <x v="4"/>
    <x v="4"/>
    <x v="0"/>
    <x v="0"/>
    <x v="33"/>
    <x v="77"/>
    <x v="146"/>
    <x v="0"/>
    <s v="LA CHORRERA - PARQUE 10 DE NOV."/>
    <x v="2"/>
  </r>
  <r>
    <x v="47"/>
    <x v="165"/>
    <x v="4"/>
    <x v="4"/>
    <x v="0"/>
    <x v="0"/>
    <x v="33"/>
    <x v="205"/>
    <x v="1182"/>
    <x v="0"/>
    <s v="LA CHORRERA - PARQUE 10 DE NOV."/>
    <x v="2"/>
  </r>
  <r>
    <x v="47"/>
    <x v="62"/>
    <x v="4"/>
    <x v="4"/>
    <x v="0"/>
    <x v="0"/>
    <x v="33"/>
    <x v="176"/>
    <x v="759"/>
    <x v="0"/>
    <s v="LA CHORRERA - PARQUE 10 DE NOV."/>
    <x v="2"/>
  </r>
  <r>
    <x v="47"/>
    <x v="4"/>
    <x v="4"/>
    <x v="4"/>
    <x v="0"/>
    <x v="0"/>
    <x v="33"/>
    <x v="199"/>
    <x v="874"/>
    <x v="0"/>
    <s v="LA CHORRERA - PARQUE 10 DE NOV."/>
    <x v="2"/>
  </r>
  <r>
    <x v="47"/>
    <x v="78"/>
    <x v="4"/>
    <x v="4"/>
    <x v="0"/>
    <x v="0"/>
    <x v="33"/>
    <x v="160"/>
    <x v="146"/>
    <x v="0"/>
    <s v="LA CHORRERA - PARQUE 10 DE NOV."/>
    <x v="2"/>
  </r>
  <r>
    <x v="47"/>
    <x v="52"/>
    <x v="0"/>
    <x v="0"/>
    <x v="0"/>
    <x v="0"/>
    <x v="33"/>
    <x v="107"/>
    <x v="759"/>
    <x v="0"/>
    <s v="LA CHORRERA - PARQUE 10 DE NOV."/>
    <x v="2"/>
  </r>
  <r>
    <x v="47"/>
    <x v="119"/>
    <x v="0"/>
    <x v="0"/>
    <x v="0"/>
    <x v="0"/>
    <x v="33"/>
    <x v="96"/>
    <x v="1182"/>
    <x v="0"/>
    <s v="LA CHORRERA - PARQUE 10 DE NOV."/>
    <x v="2"/>
  </r>
  <r>
    <x v="47"/>
    <x v="0"/>
    <x v="0"/>
    <x v="0"/>
    <x v="0"/>
    <x v="0"/>
    <x v="33"/>
    <x v="197"/>
    <x v="765"/>
    <x v="0"/>
    <s v="LA CHORRERA - PARQUE 10 DE NOV."/>
    <x v="2"/>
  </r>
  <r>
    <x v="47"/>
    <x v="100"/>
    <x v="0"/>
    <x v="0"/>
    <x v="0"/>
    <x v="0"/>
    <x v="33"/>
    <x v="73"/>
    <x v="765"/>
    <x v="0"/>
    <s v="LA CHORRERA - PARQUE 10 DE NOV."/>
    <x v="2"/>
  </r>
  <r>
    <x v="47"/>
    <x v="53"/>
    <x v="0"/>
    <x v="0"/>
    <x v="0"/>
    <x v="0"/>
    <x v="33"/>
    <x v="144"/>
    <x v="874"/>
    <x v="0"/>
    <s v="LA CHORRERA - PARQUE 10 DE NOV."/>
    <x v="2"/>
  </r>
  <r>
    <x v="47"/>
    <x v="45"/>
    <x v="0"/>
    <x v="0"/>
    <x v="0"/>
    <x v="0"/>
    <x v="33"/>
    <x v="180"/>
    <x v="899"/>
    <x v="0"/>
    <s v="LA CHORRERA - PARQUE 10 DE NOV."/>
    <x v="2"/>
  </r>
  <r>
    <x v="47"/>
    <x v="142"/>
    <x v="0"/>
    <x v="0"/>
    <x v="0"/>
    <x v="0"/>
    <x v="33"/>
    <x v="119"/>
    <x v="759"/>
    <x v="0"/>
    <s v="LA CHORRERA - PARQUE 10 DE NOV."/>
    <x v="2"/>
  </r>
  <r>
    <x v="47"/>
    <x v="76"/>
    <x v="5"/>
    <x v="5"/>
    <x v="0"/>
    <x v="0"/>
    <x v="33"/>
    <x v="182"/>
    <x v="899"/>
    <x v="0"/>
    <s v="LA CHORRERA - PARQUE 10 DE NOV."/>
    <x v="2"/>
  </r>
  <r>
    <x v="47"/>
    <x v="13"/>
    <x v="5"/>
    <x v="5"/>
    <x v="0"/>
    <x v="0"/>
    <x v="33"/>
    <x v="120"/>
    <x v="759"/>
    <x v="0"/>
    <s v="LA CHORRERA - PARQUE 10 DE NOV."/>
    <x v="2"/>
  </r>
  <r>
    <x v="47"/>
    <x v="72"/>
    <x v="5"/>
    <x v="5"/>
    <x v="0"/>
    <x v="0"/>
    <x v="33"/>
    <x v="38"/>
    <x v="1365"/>
    <x v="0"/>
    <s v="LA CHORRERA - PARQUE 10 DE NOV."/>
    <x v="2"/>
  </r>
  <r>
    <x v="47"/>
    <x v="125"/>
    <x v="5"/>
    <x v="5"/>
    <x v="0"/>
    <x v="0"/>
    <x v="33"/>
    <x v="82"/>
    <x v="759"/>
    <x v="0"/>
    <s v="LA CHORRERA - PARQUE 10 DE NOV."/>
    <x v="2"/>
  </r>
  <r>
    <x v="47"/>
    <x v="168"/>
    <x v="5"/>
    <x v="5"/>
    <x v="0"/>
    <x v="0"/>
    <x v="33"/>
    <x v="225"/>
    <x v="899"/>
    <x v="0"/>
    <s v="LA CHORRERA - PARQUE 10 DE NOV."/>
    <x v="2"/>
  </r>
  <r>
    <x v="47"/>
    <x v="139"/>
    <x v="5"/>
    <x v="5"/>
    <x v="0"/>
    <x v="0"/>
    <x v="33"/>
    <x v="110"/>
    <x v="934"/>
    <x v="0"/>
    <s v="LA CHORRERA - PARQUE 10 DE NOV."/>
    <x v="2"/>
  </r>
  <r>
    <x v="47"/>
    <x v="123"/>
    <x v="5"/>
    <x v="5"/>
    <x v="0"/>
    <x v="0"/>
    <x v="33"/>
    <x v="74"/>
    <x v="874"/>
    <x v="0"/>
    <s v="LA CHORRERA - PARQUE 10 DE NOV."/>
    <x v="2"/>
  </r>
  <r>
    <x v="47"/>
    <x v="153"/>
    <x v="5"/>
    <x v="5"/>
    <x v="0"/>
    <x v="0"/>
    <x v="33"/>
    <x v="157"/>
    <x v="899"/>
    <x v="0"/>
    <s v="LA CHORRERA - PARQUE 10 DE NOV."/>
    <x v="2"/>
  </r>
  <r>
    <x v="47"/>
    <x v="150"/>
    <x v="5"/>
    <x v="5"/>
    <x v="0"/>
    <x v="0"/>
    <x v="33"/>
    <x v="214"/>
    <x v="146"/>
    <x v="0"/>
    <s v="LA CHORRERA - PARQUE 10 DE NOV."/>
    <x v="2"/>
  </r>
  <r>
    <x v="47"/>
    <x v="95"/>
    <x v="1"/>
    <x v="1"/>
    <x v="0"/>
    <x v="0"/>
    <x v="33"/>
    <x v="97"/>
    <x v="952"/>
    <x v="0"/>
    <s v="LA CHORRERA - PARQUE 10 DE NOV."/>
    <x v="2"/>
  </r>
  <r>
    <x v="47"/>
    <x v="14"/>
    <x v="1"/>
    <x v="1"/>
    <x v="0"/>
    <x v="0"/>
    <x v="33"/>
    <x v="112"/>
    <x v="899"/>
    <x v="0"/>
    <s v="LA CHORRERA - PARQUE 10 DE NOV."/>
    <x v="2"/>
  </r>
  <r>
    <x v="47"/>
    <x v="151"/>
    <x v="1"/>
    <x v="1"/>
    <x v="0"/>
    <x v="0"/>
    <x v="33"/>
    <x v="166"/>
    <x v="899"/>
    <x v="0"/>
    <s v="LA CHORRERA - PARQUE 10 DE NOV."/>
    <x v="2"/>
  </r>
  <r>
    <x v="47"/>
    <x v="127"/>
    <x v="1"/>
    <x v="1"/>
    <x v="0"/>
    <x v="0"/>
    <x v="33"/>
    <x v="85"/>
    <x v="765"/>
    <x v="0"/>
    <s v="LA CHORRERA - PARQUE 10 DE NOV."/>
    <x v="2"/>
  </r>
  <r>
    <x v="47"/>
    <x v="22"/>
    <x v="1"/>
    <x v="1"/>
    <x v="0"/>
    <x v="0"/>
    <x v="33"/>
    <x v="211"/>
    <x v="765"/>
    <x v="0"/>
    <s v="LA CHORRERA - PARQUE 10 DE NOV."/>
    <x v="2"/>
  </r>
  <r>
    <x v="47"/>
    <x v="42"/>
    <x v="1"/>
    <x v="1"/>
    <x v="0"/>
    <x v="0"/>
    <x v="33"/>
    <x v="167"/>
    <x v="982"/>
    <x v="0"/>
    <s v="LA CHORRERA - PARQUE 10 DE NOV."/>
    <x v="2"/>
  </r>
  <r>
    <x v="47"/>
    <x v="33"/>
    <x v="1"/>
    <x v="1"/>
    <x v="0"/>
    <x v="0"/>
    <x v="33"/>
    <x v="241"/>
    <x v="899"/>
    <x v="0"/>
    <s v="LA CHORRERA - PARQUE 10 DE NOV."/>
    <x v="2"/>
  </r>
  <r>
    <x v="47"/>
    <x v="101"/>
    <x v="1"/>
    <x v="1"/>
    <x v="0"/>
    <x v="0"/>
    <x v="33"/>
    <x v="207"/>
    <x v="759"/>
    <x v="0"/>
    <s v="LA CHORRERA - PARQUE 10 DE NOV."/>
    <x v="2"/>
  </r>
  <r>
    <x v="47"/>
    <x v="109"/>
    <x v="1"/>
    <x v="1"/>
    <x v="0"/>
    <x v="0"/>
    <x v="33"/>
    <x v="208"/>
    <x v="146"/>
    <x v="0"/>
    <s v="LA CHORRERA - PARQUE 10 DE NOV."/>
    <x v="2"/>
  </r>
  <r>
    <x v="47"/>
    <x v="1"/>
    <x v="1"/>
    <x v="1"/>
    <x v="0"/>
    <x v="0"/>
    <x v="1"/>
    <x v="1"/>
    <x v="1"/>
    <x v="377"/>
    <s v="LA CHORRERA - PARQUE 10 DE NOV."/>
    <x v="2"/>
  </r>
  <r>
    <x v="47"/>
    <x v="87"/>
    <x v="6"/>
    <x v="6"/>
    <x v="0"/>
    <x v="1"/>
    <x v="33"/>
    <x v="189"/>
    <x v="759"/>
    <x v="0"/>
    <s v="LA CHORRERA - PARQUE 10 DE NOV."/>
    <x v="2"/>
  </r>
  <r>
    <x v="47"/>
    <x v="27"/>
    <x v="3"/>
    <x v="3"/>
    <x v="0"/>
    <x v="1"/>
    <x v="33"/>
    <x v="43"/>
    <x v="874"/>
    <x v="0"/>
    <s v="LA CHORRERA - PARQUE 10 DE NOV."/>
    <x v="2"/>
  </r>
  <r>
    <x v="47"/>
    <x v="56"/>
    <x v="3"/>
    <x v="3"/>
    <x v="0"/>
    <x v="1"/>
    <x v="33"/>
    <x v="153"/>
    <x v="874"/>
    <x v="0"/>
    <s v="LA CHORRERA - PARQUE 10 DE NOV."/>
    <x v="2"/>
  </r>
  <r>
    <x v="47"/>
    <x v="28"/>
    <x v="3"/>
    <x v="3"/>
    <x v="0"/>
    <x v="1"/>
    <x v="33"/>
    <x v="245"/>
    <x v="874"/>
    <x v="0"/>
    <s v="LA CHORRERA - PARQUE 10 DE NOV."/>
    <x v="2"/>
  </r>
  <r>
    <x v="47"/>
    <x v="68"/>
    <x v="4"/>
    <x v="4"/>
    <x v="0"/>
    <x v="1"/>
    <x v="33"/>
    <x v="222"/>
    <x v="874"/>
    <x v="0"/>
    <s v="LA CHORRERA - PARQUE 10 DE NOV."/>
    <x v="2"/>
  </r>
  <r>
    <x v="47"/>
    <x v="81"/>
    <x v="4"/>
    <x v="4"/>
    <x v="0"/>
    <x v="1"/>
    <x v="33"/>
    <x v="175"/>
    <x v="759"/>
    <x v="0"/>
    <s v="LA CHORRERA - PARQUE 10 DE NOV."/>
    <x v="2"/>
  </r>
  <r>
    <x v="47"/>
    <x v="89"/>
    <x v="4"/>
    <x v="4"/>
    <x v="0"/>
    <x v="1"/>
    <x v="33"/>
    <x v="154"/>
    <x v="759"/>
    <x v="0"/>
    <s v="LA CHORRERA - PARQUE 10 DE NOV."/>
    <x v="2"/>
  </r>
  <r>
    <x v="47"/>
    <x v="31"/>
    <x v="4"/>
    <x v="4"/>
    <x v="0"/>
    <x v="1"/>
    <x v="33"/>
    <x v="72"/>
    <x v="874"/>
    <x v="0"/>
    <s v="LA CHORRERA - PARQUE 10 DE NOV."/>
    <x v="2"/>
  </r>
  <r>
    <x v="47"/>
    <x v="90"/>
    <x v="0"/>
    <x v="0"/>
    <x v="0"/>
    <x v="1"/>
    <x v="33"/>
    <x v="79"/>
    <x v="874"/>
    <x v="0"/>
    <s v="LA CHORRERA - PARQUE 10 DE NOV."/>
    <x v="2"/>
  </r>
  <r>
    <x v="47"/>
    <x v="57"/>
    <x v="0"/>
    <x v="0"/>
    <x v="0"/>
    <x v="1"/>
    <x v="33"/>
    <x v="44"/>
    <x v="874"/>
    <x v="0"/>
    <s v="LA CHORRERA - PARQUE 10 DE NOV."/>
    <x v="2"/>
  </r>
  <r>
    <x v="47"/>
    <x v="52"/>
    <x v="0"/>
    <x v="0"/>
    <x v="0"/>
    <x v="1"/>
    <x v="33"/>
    <x v="107"/>
    <x v="874"/>
    <x v="0"/>
    <s v="LA CHORRERA - PARQUE 10 DE NOV."/>
    <x v="2"/>
  </r>
  <r>
    <x v="47"/>
    <x v="119"/>
    <x v="0"/>
    <x v="0"/>
    <x v="0"/>
    <x v="1"/>
    <x v="33"/>
    <x v="96"/>
    <x v="146"/>
    <x v="0"/>
    <s v="LA CHORRERA - PARQUE 10 DE NOV."/>
    <x v="2"/>
  </r>
  <r>
    <x v="47"/>
    <x v="0"/>
    <x v="0"/>
    <x v="0"/>
    <x v="0"/>
    <x v="1"/>
    <x v="33"/>
    <x v="197"/>
    <x v="874"/>
    <x v="0"/>
    <s v="LA CHORRERA - PARQUE 10 DE NOV."/>
    <x v="2"/>
  </r>
  <r>
    <x v="47"/>
    <x v="100"/>
    <x v="0"/>
    <x v="0"/>
    <x v="0"/>
    <x v="1"/>
    <x v="33"/>
    <x v="73"/>
    <x v="874"/>
    <x v="0"/>
    <s v="LA CHORRERA - PARQUE 10 DE NOV."/>
    <x v="2"/>
  </r>
  <r>
    <x v="47"/>
    <x v="136"/>
    <x v="0"/>
    <x v="0"/>
    <x v="0"/>
    <x v="1"/>
    <x v="33"/>
    <x v="100"/>
    <x v="874"/>
    <x v="0"/>
    <s v="LA CHORRERA - PARQUE 10 DE NOV."/>
    <x v="2"/>
  </r>
  <r>
    <x v="47"/>
    <x v="14"/>
    <x v="1"/>
    <x v="1"/>
    <x v="0"/>
    <x v="1"/>
    <x v="33"/>
    <x v="112"/>
    <x v="874"/>
    <x v="0"/>
    <s v="LA CHORRERA - PARQUE 10 DE NOV."/>
    <x v="2"/>
  </r>
  <r>
    <x v="47"/>
    <x v="151"/>
    <x v="1"/>
    <x v="1"/>
    <x v="0"/>
    <x v="1"/>
    <x v="33"/>
    <x v="166"/>
    <x v="874"/>
    <x v="0"/>
    <s v="LA CHORRERA - PARQUE 10 DE NOV."/>
    <x v="2"/>
  </r>
  <r>
    <x v="47"/>
    <x v="109"/>
    <x v="1"/>
    <x v="1"/>
    <x v="0"/>
    <x v="1"/>
    <x v="33"/>
    <x v="208"/>
    <x v="874"/>
    <x v="0"/>
    <s v="LA CHORRERA - PARQUE 10 DE NOV."/>
    <x v="2"/>
  </r>
  <r>
    <x v="47"/>
    <x v="1"/>
    <x v="1"/>
    <x v="1"/>
    <x v="0"/>
    <x v="1"/>
    <x v="1"/>
    <x v="1"/>
    <x v="1"/>
    <x v="378"/>
    <s v="LA CHORRERA - PARQUE 10 DE NOV."/>
    <x v="2"/>
  </r>
  <r>
    <x v="48"/>
    <x v="135"/>
    <x v="3"/>
    <x v="3"/>
    <x v="0"/>
    <x v="2"/>
    <x v="32"/>
    <x v="149"/>
    <x v="1366"/>
    <x v="0"/>
    <s v="COSTA DEL ESTE - CENTENARIO"/>
    <x v="2"/>
  </r>
  <r>
    <x v="48"/>
    <x v="1"/>
    <x v="1"/>
    <x v="1"/>
    <x v="0"/>
    <x v="2"/>
    <x v="1"/>
    <x v="1"/>
    <x v="1"/>
    <x v="379"/>
    <s v="COSTA DEL ESTE - CENTENARIO"/>
    <x v="2"/>
  </r>
  <r>
    <x v="49"/>
    <x v="70"/>
    <x v="2"/>
    <x v="2"/>
    <x v="0"/>
    <x v="2"/>
    <x v="32"/>
    <x v="36"/>
    <x v="1304"/>
    <x v="0"/>
    <s v="CLAYTON"/>
    <x v="2"/>
  </r>
  <r>
    <x v="49"/>
    <x v="43"/>
    <x v="3"/>
    <x v="3"/>
    <x v="0"/>
    <x v="2"/>
    <x v="32"/>
    <x v="71"/>
    <x v="1367"/>
    <x v="0"/>
    <s v="CLAYTON"/>
    <x v="2"/>
  </r>
  <r>
    <x v="49"/>
    <x v="160"/>
    <x v="0"/>
    <x v="0"/>
    <x v="0"/>
    <x v="2"/>
    <x v="32"/>
    <x v="179"/>
    <x v="709"/>
    <x v="0"/>
    <s v="CLAYTON"/>
    <x v="2"/>
  </r>
  <r>
    <x v="49"/>
    <x v="58"/>
    <x v="1"/>
    <x v="1"/>
    <x v="0"/>
    <x v="2"/>
    <x v="32"/>
    <x v="84"/>
    <x v="1368"/>
    <x v="0"/>
    <s v="CLAYTON"/>
    <x v="2"/>
  </r>
  <r>
    <x v="49"/>
    <x v="1"/>
    <x v="1"/>
    <x v="1"/>
    <x v="0"/>
    <x v="2"/>
    <x v="1"/>
    <x v="1"/>
    <x v="1"/>
    <x v="380"/>
    <s v="CLAYTON"/>
    <x v="2"/>
  </r>
  <r>
    <x v="49"/>
    <x v="43"/>
    <x v="3"/>
    <x v="3"/>
    <x v="0"/>
    <x v="0"/>
    <x v="33"/>
    <x v="71"/>
    <x v="759"/>
    <x v="0"/>
    <s v="CLAYTON"/>
    <x v="2"/>
  </r>
  <r>
    <x v="49"/>
    <x v="61"/>
    <x v="3"/>
    <x v="3"/>
    <x v="0"/>
    <x v="0"/>
    <x v="33"/>
    <x v="126"/>
    <x v="874"/>
    <x v="0"/>
    <s v="CLAYTON"/>
    <x v="2"/>
  </r>
  <r>
    <x v="49"/>
    <x v="81"/>
    <x v="4"/>
    <x v="4"/>
    <x v="0"/>
    <x v="0"/>
    <x v="33"/>
    <x v="175"/>
    <x v="759"/>
    <x v="0"/>
    <s v="CLAYTON"/>
    <x v="2"/>
  </r>
  <r>
    <x v="49"/>
    <x v="1"/>
    <x v="1"/>
    <x v="1"/>
    <x v="0"/>
    <x v="0"/>
    <x v="1"/>
    <x v="1"/>
    <x v="1"/>
    <x v="355"/>
    <s v="CLAYTON"/>
    <x v="2"/>
  </r>
  <r>
    <x v="49"/>
    <x v="125"/>
    <x v="5"/>
    <x v="5"/>
    <x v="0"/>
    <x v="1"/>
    <x v="33"/>
    <x v="82"/>
    <x v="874"/>
    <x v="0"/>
    <s v="CLAYTON"/>
    <x v="2"/>
  </r>
  <r>
    <x v="49"/>
    <x v="1"/>
    <x v="1"/>
    <x v="1"/>
    <x v="0"/>
    <x v="1"/>
    <x v="1"/>
    <x v="1"/>
    <x v="1"/>
    <x v="216"/>
    <s v="CLAYTON"/>
    <x v="2"/>
  </r>
  <r>
    <x v="50"/>
    <x v="65"/>
    <x v="6"/>
    <x v="6"/>
    <x v="0"/>
    <x v="2"/>
    <x v="32"/>
    <x v="190"/>
    <x v="1369"/>
    <x v="0"/>
    <s v="MARBELLA"/>
    <x v="2"/>
  </r>
  <r>
    <x v="50"/>
    <x v="79"/>
    <x v="3"/>
    <x v="3"/>
    <x v="0"/>
    <x v="2"/>
    <x v="32"/>
    <x v="142"/>
    <x v="1370"/>
    <x v="0"/>
    <s v="MARBELLA"/>
    <x v="2"/>
  </r>
  <r>
    <x v="50"/>
    <x v="31"/>
    <x v="4"/>
    <x v="4"/>
    <x v="0"/>
    <x v="2"/>
    <x v="32"/>
    <x v="72"/>
    <x v="1371"/>
    <x v="0"/>
    <s v="MARBELLA"/>
    <x v="2"/>
  </r>
  <r>
    <x v="50"/>
    <x v="160"/>
    <x v="0"/>
    <x v="0"/>
    <x v="0"/>
    <x v="2"/>
    <x v="32"/>
    <x v="179"/>
    <x v="1372"/>
    <x v="0"/>
    <s v="MARBELLA"/>
    <x v="2"/>
  </r>
  <r>
    <x v="50"/>
    <x v="41"/>
    <x v="1"/>
    <x v="1"/>
    <x v="0"/>
    <x v="2"/>
    <x v="32"/>
    <x v="113"/>
    <x v="1373"/>
    <x v="0"/>
    <s v="MARBELLA"/>
    <x v="2"/>
  </r>
  <r>
    <x v="50"/>
    <x v="1"/>
    <x v="1"/>
    <x v="1"/>
    <x v="0"/>
    <x v="2"/>
    <x v="1"/>
    <x v="1"/>
    <x v="1"/>
    <x v="381"/>
    <s v="MARBELLA"/>
    <x v="2"/>
  </r>
  <r>
    <x v="51"/>
    <x v="139"/>
    <x v="5"/>
    <x v="5"/>
    <x v="0"/>
    <x v="2"/>
    <x v="32"/>
    <x v="110"/>
    <x v="1374"/>
    <x v="0"/>
    <s v="PLAZA CAROLINA"/>
    <x v="2"/>
  </r>
  <r>
    <x v="51"/>
    <x v="1"/>
    <x v="1"/>
    <x v="1"/>
    <x v="0"/>
    <x v="2"/>
    <x v="1"/>
    <x v="1"/>
    <x v="1"/>
    <x v="382"/>
    <s v="PLAZA CAROLINA"/>
    <x v="2"/>
  </r>
  <r>
    <x v="51"/>
    <x v="1"/>
    <x v="1"/>
    <x v="1"/>
    <x v="0"/>
    <x v="0"/>
    <x v="1"/>
    <x v="1"/>
    <x v="1"/>
    <x v="349"/>
    <s v="PLAZA CAROLINA"/>
    <x v="2"/>
  </r>
  <r>
    <x v="53"/>
    <x v="47"/>
    <x v="2"/>
    <x v="2"/>
    <x v="0"/>
    <x v="0"/>
    <x v="33"/>
    <x v="68"/>
    <x v="759"/>
    <x v="0"/>
    <s v="VIA SIMON BOLIVAR"/>
    <x v="2"/>
  </r>
  <r>
    <x v="53"/>
    <x v="144"/>
    <x v="2"/>
    <x v="2"/>
    <x v="0"/>
    <x v="0"/>
    <x v="33"/>
    <x v="162"/>
    <x v="899"/>
    <x v="0"/>
    <s v="VIA SIMON BOLIVAR"/>
    <x v="2"/>
  </r>
  <r>
    <x v="53"/>
    <x v="129"/>
    <x v="2"/>
    <x v="2"/>
    <x v="0"/>
    <x v="0"/>
    <x v="33"/>
    <x v="204"/>
    <x v="874"/>
    <x v="0"/>
    <s v="VIA SIMON BOLIVAR"/>
    <x v="2"/>
  </r>
  <r>
    <x v="53"/>
    <x v="65"/>
    <x v="6"/>
    <x v="6"/>
    <x v="0"/>
    <x v="0"/>
    <x v="33"/>
    <x v="190"/>
    <x v="146"/>
    <x v="0"/>
    <s v="VIA SIMON BOLIVAR"/>
    <x v="2"/>
  </r>
  <r>
    <x v="53"/>
    <x v="36"/>
    <x v="6"/>
    <x v="6"/>
    <x v="0"/>
    <x v="0"/>
    <x v="33"/>
    <x v="94"/>
    <x v="874"/>
    <x v="0"/>
    <s v="VIA SIMON BOLIVAR"/>
    <x v="2"/>
  </r>
  <r>
    <x v="53"/>
    <x v="113"/>
    <x v="6"/>
    <x v="6"/>
    <x v="0"/>
    <x v="0"/>
    <x v="33"/>
    <x v="89"/>
    <x v="874"/>
    <x v="0"/>
    <s v="VIA SIMON BOLIVAR"/>
    <x v="2"/>
  </r>
  <r>
    <x v="53"/>
    <x v="108"/>
    <x v="3"/>
    <x v="3"/>
    <x v="0"/>
    <x v="0"/>
    <x v="33"/>
    <x v="63"/>
    <x v="1182"/>
    <x v="0"/>
    <s v="VIA SIMON BOLIVAR"/>
    <x v="2"/>
  </r>
  <r>
    <x v="53"/>
    <x v="135"/>
    <x v="3"/>
    <x v="3"/>
    <x v="0"/>
    <x v="0"/>
    <x v="33"/>
    <x v="149"/>
    <x v="759"/>
    <x v="0"/>
    <s v="VIA SIMON BOLIVAR"/>
    <x v="2"/>
  </r>
  <r>
    <x v="53"/>
    <x v="148"/>
    <x v="3"/>
    <x v="3"/>
    <x v="0"/>
    <x v="0"/>
    <x v="33"/>
    <x v="174"/>
    <x v="146"/>
    <x v="0"/>
    <s v="VIA SIMON BOLIVAR"/>
    <x v="2"/>
  </r>
  <r>
    <x v="53"/>
    <x v="44"/>
    <x v="3"/>
    <x v="3"/>
    <x v="0"/>
    <x v="0"/>
    <x v="33"/>
    <x v="191"/>
    <x v="874"/>
    <x v="0"/>
    <s v="VIA SIMON BOLIVAR"/>
    <x v="2"/>
  </r>
  <r>
    <x v="53"/>
    <x v="30"/>
    <x v="4"/>
    <x v="4"/>
    <x v="0"/>
    <x v="0"/>
    <x v="33"/>
    <x v="159"/>
    <x v="874"/>
    <x v="0"/>
    <s v="VIA SIMON BOLIVAR"/>
    <x v="2"/>
  </r>
  <r>
    <x v="53"/>
    <x v="159"/>
    <x v="0"/>
    <x v="0"/>
    <x v="0"/>
    <x v="0"/>
    <x v="33"/>
    <x v="177"/>
    <x v="874"/>
    <x v="0"/>
    <s v="VIA SIMON BOLIVAR"/>
    <x v="2"/>
  </r>
  <r>
    <x v="53"/>
    <x v="53"/>
    <x v="0"/>
    <x v="0"/>
    <x v="0"/>
    <x v="0"/>
    <x v="33"/>
    <x v="144"/>
    <x v="759"/>
    <x v="0"/>
    <s v="VIA SIMON BOLIVAR"/>
    <x v="2"/>
  </r>
  <r>
    <x v="53"/>
    <x v="122"/>
    <x v="0"/>
    <x v="0"/>
    <x v="0"/>
    <x v="0"/>
    <x v="33"/>
    <x v="181"/>
    <x v="874"/>
    <x v="0"/>
    <s v="VIA SIMON BOLIVAR"/>
    <x v="2"/>
  </r>
  <r>
    <x v="53"/>
    <x v="76"/>
    <x v="5"/>
    <x v="5"/>
    <x v="0"/>
    <x v="0"/>
    <x v="33"/>
    <x v="182"/>
    <x v="759"/>
    <x v="0"/>
    <s v="VIA SIMON BOLIVAR"/>
    <x v="2"/>
  </r>
  <r>
    <x v="53"/>
    <x v="97"/>
    <x v="5"/>
    <x v="5"/>
    <x v="0"/>
    <x v="0"/>
    <x v="33"/>
    <x v="183"/>
    <x v="759"/>
    <x v="0"/>
    <s v="VIA SIMON BOLIVAR"/>
    <x v="2"/>
  </r>
  <r>
    <x v="53"/>
    <x v="13"/>
    <x v="5"/>
    <x v="5"/>
    <x v="0"/>
    <x v="0"/>
    <x v="33"/>
    <x v="120"/>
    <x v="874"/>
    <x v="0"/>
    <s v="VIA SIMON BOLIVAR"/>
    <x v="2"/>
  </r>
  <r>
    <x v="53"/>
    <x v="168"/>
    <x v="5"/>
    <x v="5"/>
    <x v="0"/>
    <x v="0"/>
    <x v="33"/>
    <x v="225"/>
    <x v="874"/>
    <x v="0"/>
    <s v="VIA SIMON BOLIVAR"/>
    <x v="2"/>
  </r>
  <r>
    <x v="53"/>
    <x v="139"/>
    <x v="5"/>
    <x v="5"/>
    <x v="0"/>
    <x v="0"/>
    <x v="33"/>
    <x v="110"/>
    <x v="146"/>
    <x v="0"/>
    <s v="VIA SIMON BOLIVAR"/>
    <x v="2"/>
  </r>
  <r>
    <x v="53"/>
    <x v="123"/>
    <x v="5"/>
    <x v="5"/>
    <x v="0"/>
    <x v="0"/>
    <x v="33"/>
    <x v="74"/>
    <x v="874"/>
    <x v="0"/>
    <s v="VIA SIMON BOLIVAR"/>
    <x v="2"/>
  </r>
  <r>
    <x v="53"/>
    <x v="124"/>
    <x v="5"/>
    <x v="5"/>
    <x v="0"/>
    <x v="0"/>
    <x v="33"/>
    <x v="206"/>
    <x v="759"/>
    <x v="0"/>
    <s v="VIA SIMON BOLIVAR"/>
    <x v="2"/>
  </r>
  <r>
    <x v="53"/>
    <x v="40"/>
    <x v="1"/>
    <x v="1"/>
    <x v="0"/>
    <x v="0"/>
    <x v="33"/>
    <x v="125"/>
    <x v="759"/>
    <x v="0"/>
    <s v="VIA SIMON BOLIVAR"/>
    <x v="2"/>
  </r>
  <r>
    <x v="53"/>
    <x v="42"/>
    <x v="1"/>
    <x v="1"/>
    <x v="0"/>
    <x v="0"/>
    <x v="33"/>
    <x v="167"/>
    <x v="874"/>
    <x v="0"/>
    <s v="VIA SIMON BOLIVAR"/>
    <x v="2"/>
  </r>
  <r>
    <x v="53"/>
    <x v="33"/>
    <x v="1"/>
    <x v="1"/>
    <x v="0"/>
    <x v="0"/>
    <x v="33"/>
    <x v="241"/>
    <x v="874"/>
    <x v="0"/>
    <s v="VIA SIMON BOLIVAR"/>
    <x v="2"/>
  </r>
  <r>
    <x v="53"/>
    <x v="1"/>
    <x v="1"/>
    <x v="1"/>
    <x v="0"/>
    <x v="0"/>
    <x v="1"/>
    <x v="1"/>
    <x v="1"/>
    <x v="383"/>
    <s v="VIA SIMON BOLIVAR"/>
    <x v="2"/>
  </r>
  <r>
    <x v="53"/>
    <x v="148"/>
    <x v="3"/>
    <x v="3"/>
    <x v="0"/>
    <x v="1"/>
    <x v="33"/>
    <x v="174"/>
    <x v="874"/>
    <x v="0"/>
    <s v="VIA SIMON BOLIVAR"/>
    <x v="2"/>
  </r>
  <r>
    <x v="53"/>
    <x v="1"/>
    <x v="1"/>
    <x v="1"/>
    <x v="0"/>
    <x v="1"/>
    <x v="1"/>
    <x v="1"/>
    <x v="1"/>
    <x v="216"/>
    <s v="VIA SIMON BOLIVAR"/>
    <x v="2"/>
  </r>
  <r>
    <x v="54"/>
    <x v="1"/>
    <x v="1"/>
    <x v="1"/>
    <x v="0"/>
    <x v="0"/>
    <x v="1"/>
    <x v="1"/>
    <x v="1"/>
    <x v="261"/>
    <s v="JUSTO AROSEMENA"/>
    <x v="2"/>
  </r>
  <r>
    <x v="54"/>
    <x v="112"/>
    <x v="2"/>
    <x v="2"/>
    <x v="0"/>
    <x v="1"/>
    <x v="33"/>
    <x v="209"/>
    <x v="874"/>
    <x v="0"/>
    <s v="JUSTO AROSEMENA"/>
    <x v="2"/>
  </r>
  <r>
    <x v="54"/>
    <x v="67"/>
    <x v="6"/>
    <x v="6"/>
    <x v="0"/>
    <x v="1"/>
    <x v="33"/>
    <x v="32"/>
    <x v="874"/>
    <x v="0"/>
    <s v="JUSTO AROSEMENA"/>
    <x v="2"/>
  </r>
  <r>
    <x v="54"/>
    <x v="1"/>
    <x v="1"/>
    <x v="1"/>
    <x v="0"/>
    <x v="1"/>
    <x v="1"/>
    <x v="1"/>
    <x v="1"/>
    <x v="261"/>
    <s v="JUSTO AROSEMENA"/>
    <x v="2"/>
  </r>
  <r>
    <x v="55"/>
    <x v="157"/>
    <x v="2"/>
    <x v="2"/>
    <x v="0"/>
    <x v="19"/>
    <x v="33"/>
    <x v="147"/>
    <x v="1375"/>
    <x v="0"/>
    <s v="NEGOCIOS"/>
    <x v="2"/>
  </r>
  <r>
    <x v="55"/>
    <x v="1"/>
    <x v="1"/>
    <x v="1"/>
    <x v="0"/>
    <x v="19"/>
    <x v="1"/>
    <x v="1"/>
    <x v="1"/>
    <x v="384"/>
    <s v="NEGOCIOS"/>
    <x v="2"/>
  </r>
  <r>
    <x v="55"/>
    <x v="26"/>
    <x v="3"/>
    <x v="3"/>
    <x v="0"/>
    <x v="20"/>
    <x v="33"/>
    <x v="115"/>
    <x v="1376"/>
    <x v="0"/>
    <s v="NEGOCIOS"/>
    <x v="2"/>
  </r>
  <r>
    <x v="55"/>
    <x v="62"/>
    <x v="4"/>
    <x v="4"/>
    <x v="0"/>
    <x v="20"/>
    <x v="33"/>
    <x v="176"/>
    <x v="1377"/>
    <x v="0"/>
    <s v="NEGOCIOS"/>
    <x v="2"/>
  </r>
  <r>
    <x v="55"/>
    <x v="153"/>
    <x v="5"/>
    <x v="5"/>
    <x v="0"/>
    <x v="20"/>
    <x v="32"/>
    <x v="157"/>
    <x v="1378"/>
    <x v="0"/>
    <s v="NEGOCIOS"/>
    <x v="2"/>
  </r>
  <r>
    <x v="55"/>
    <x v="58"/>
    <x v="1"/>
    <x v="1"/>
    <x v="0"/>
    <x v="20"/>
    <x v="32"/>
    <x v="84"/>
    <x v="1379"/>
    <x v="0"/>
    <s v="NEGOCIOS"/>
    <x v="2"/>
  </r>
  <r>
    <x v="55"/>
    <x v="8"/>
    <x v="1"/>
    <x v="1"/>
    <x v="0"/>
    <x v="20"/>
    <x v="33"/>
    <x v="187"/>
    <x v="1380"/>
    <x v="0"/>
    <s v="NEGOCIOS"/>
    <x v="2"/>
  </r>
  <r>
    <x v="55"/>
    <x v="33"/>
    <x v="1"/>
    <x v="1"/>
    <x v="0"/>
    <x v="20"/>
    <x v="32"/>
    <x v="241"/>
    <x v="1381"/>
    <x v="0"/>
    <s v="NEGOCIOS"/>
    <x v="2"/>
  </r>
  <r>
    <x v="55"/>
    <x v="1"/>
    <x v="1"/>
    <x v="1"/>
    <x v="0"/>
    <x v="20"/>
    <x v="1"/>
    <x v="1"/>
    <x v="1"/>
    <x v="385"/>
    <s v="NEGOCIOS"/>
    <x v="2"/>
  </r>
  <r>
    <x v="55"/>
    <x v="70"/>
    <x v="2"/>
    <x v="2"/>
    <x v="0"/>
    <x v="21"/>
    <x v="32"/>
    <x v="36"/>
    <x v="1382"/>
    <x v="0"/>
    <s v="NEGOCIOS"/>
    <x v="2"/>
  </r>
  <r>
    <x v="55"/>
    <x v="144"/>
    <x v="2"/>
    <x v="2"/>
    <x v="0"/>
    <x v="21"/>
    <x v="32"/>
    <x v="162"/>
    <x v="1383"/>
    <x v="0"/>
    <s v="NEGOCIOS"/>
    <x v="2"/>
  </r>
  <r>
    <x v="55"/>
    <x v="108"/>
    <x v="3"/>
    <x v="3"/>
    <x v="0"/>
    <x v="21"/>
    <x v="32"/>
    <x v="63"/>
    <x v="1384"/>
    <x v="0"/>
    <s v="NEGOCIOS"/>
    <x v="2"/>
  </r>
  <r>
    <x v="55"/>
    <x v="135"/>
    <x v="3"/>
    <x v="3"/>
    <x v="0"/>
    <x v="21"/>
    <x v="32"/>
    <x v="149"/>
    <x v="1156"/>
    <x v="0"/>
    <s v="NEGOCIOS"/>
    <x v="2"/>
  </r>
  <r>
    <x v="55"/>
    <x v="68"/>
    <x v="4"/>
    <x v="4"/>
    <x v="0"/>
    <x v="21"/>
    <x v="32"/>
    <x v="222"/>
    <x v="1385"/>
    <x v="0"/>
    <s v="NEGOCIOS"/>
    <x v="2"/>
  </r>
  <r>
    <x v="55"/>
    <x v="115"/>
    <x v="5"/>
    <x v="5"/>
    <x v="0"/>
    <x v="21"/>
    <x v="32"/>
    <x v="213"/>
    <x v="1386"/>
    <x v="0"/>
    <s v="NEGOCIOS"/>
    <x v="2"/>
  </r>
  <r>
    <x v="55"/>
    <x v="1"/>
    <x v="1"/>
    <x v="1"/>
    <x v="0"/>
    <x v="21"/>
    <x v="1"/>
    <x v="1"/>
    <x v="1"/>
    <x v="386"/>
    <s v="NEGOCIOS"/>
    <x v="2"/>
  </r>
  <r>
    <x v="55"/>
    <x v="1"/>
    <x v="1"/>
    <x v="1"/>
    <x v="0"/>
    <x v="23"/>
    <x v="1"/>
    <x v="1"/>
    <x v="1"/>
    <x v="387"/>
    <s v="NEGOCIOS"/>
    <x v="2"/>
  </r>
  <r>
    <x v="55"/>
    <x v="144"/>
    <x v="2"/>
    <x v="2"/>
    <x v="0"/>
    <x v="3"/>
    <x v="32"/>
    <x v="162"/>
    <x v="1387"/>
    <x v="0"/>
    <s v="NEGOCIOS"/>
    <x v="2"/>
  </r>
  <r>
    <x v="55"/>
    <x v="113"/>
    <x v="6"/>
    <x v="6"/>
    <x v="0"/>
    <x v="3"/>
    <x v="32"/>
    <x v="89"/>
    <x v="1"/>
    <x v="262"/>
    <s v="NEGOCIOS"/>
    <x v="2"/>
  </r>
  <r>
    <x v="55"/>
    <x v="96"/>
    <x v="6"/>
    <x v="6"/>
    <x v="0"/>
    <x v="3"/>
    <x v="33"/>
    <x v="165"/>
    <x v="1203"/>
    <x v="0"/>
    <s v="NEGOCIOS"/>
    <x v="2"/>
  </r>
  <r>
    <x v="55"/>
    <x v="4"/>
    <x v="4"/>
    <x v="4"/>
    <x v="0"/>
    <x v="3"/>
    <x v="33"/>
    <x v="199"/>
    <x v="815"/>
    <x v="0"/>
    <s v="NEGOCIOS"/>
    <x v="2"/>
  </r>
  <r>
    <x v="55"/>
    <x v="1"/>
    <x v="1"/>
    <x v="1"/>
    <x v="0"/>
    <x v="3"/>
    <x v="1"/>
    <x v="1"/>
    <x v="1"/>
    <x v="388"/>
    <s v="NEGOCIOS"/>
    <x v="2"/>
  </r>
  <r>
    <x v="55"/>
    <x v="30"/>
    <x v="4"/>
    <x v="4"/>
    <x v="0"/>
    <x v="24"/>
    <x v="33"/>
    <x v="159"/>
    <x v="814"/>
    <x v="0"/>
    <s v="NEGOCIOS"/>
    <x v="2"/>
  </r>
  <r>
    <x v="55"/>
    <x v="142"/>
    <x v="0"/>
    <x v="0"/>
    <x v="0"/>
    <x v="24"/>
    <x v="33"/>
    <x v="119"/>
    <x v="736"/>
    <x v="0"/>
    <s v="NEGOCIOS"/>
    <x v="2"/>
  </r>
  <r>
    <x v="55"/>
    <x v="1"/>
    <x v="1"/>
    <x v="1"/>
    <x v="0"/>
    <x v="24"/>
    <x v="1"/>
    <x v="1"/>
    <x v="1"/>
    <x v="389"/>
    <s v="NEGOCIOS"/>
    <x v="2"/>
  </r>
  <r>
    <x v="55"/>
    <x v="85"/>
    <x v="2"/>
    <x v="2"/>
    <x v="0"/>
    <x v="4"/>
    <x v="33"/>
    <x v="161"/>
    <x v="815"/>
    <x v="0"/>
    <s v="NEGOCIOS"/>
    <x v="2"/>
  </r>
  <r>
    <x v="55"/>
    <x v="107"/>
    <x v="2"/>
    <x v="2"/>
    <x v="0"/>
    <x v="4"/>
    <x v="33"/>
    <x v="158"/>
    <x v="736"/>
    <x v="0"/>
    <s v="NEGOCIOS"/>
    <x v="2"/>
  </r>
  <r>
    <x v="55"/>
    <x v="26"/>
    <x v="3"/>
    <x v="3"/>
    <x v="0"/>
    <x v="4"/>
    <x v="33"/>
    <x v="115"/>
    <x v="735"/>
    <x v="0"/>
    <s v="NEGOCIOS"/>
    <x v="2"/>
  </r>
  <r>
    <x v="55"/>
    <x v="108"/>
    <x v="3"/>
    <x v="3"/>
    <x v="0"/>
    <x v="4"/>
    <x v="33"/>
    <x v="63"/>
    <x v="736"/>
    <x v="0"/>
    <s v="NEGOCIOS"/>
    <x v="2"/>
  </r>
  <r>
    <x v="55"/>
    <x v="1"/>
    <x v="1"/>
    <x v="1"/>
    <x v="0"/>
    <x v="4"/>
    <x v="1"/>
    <x v="1"/>
    <x v="1"/>
    <x v="390"/>
    <s v="NEGOCIOS"/>
    <x v="2"/>
  </r>
  <r>
    <x v="55"/>
    <x v="63"/>
    <x v="5"/>
    <x v="5"/>
    <x v="0"/>
    <x v="5"/>
    <x v="33"/>
    <x v="111"/>
    <x v="1388"/>
    <x v="0"/>
    <s v="NEGOCIOS"/>
    <x v="2"/>
  </r>
  <r>
    <x v="55"/>
    <x v="1"/>
    <x v="1"/>
    <x v="1"/>
    <x v="0"/>
    <x v="5"/>
    <x v="1"/>
    <x v="1"/>
    <x v="1"/>
    <x v="391"/>
    <s v="NEGOCIOS"/>
    <x v="2"/>
  </r>
  <r>
    <x v="55"/>
    <x v="118"/>
    <x v="2"/>
    <x v="2"/>
    <x v="0"/>
    <x v="6"/>
    <x v="33"/>
    <x v="69"/>
    <x v="1389"/>
    <x v="0"/>
    <s v="NEGOCIOS"/>
    <x v="2"/>
  </r>
  <r>
    <x v="55"/>
    <x v="86"/>
    <x v="6"/>
    <x v="6"/>
    <x v="0"/>
    <x v="6"/>
    <x v="32"/>
    <x v="224"/>
    <x v="1390"/>
    <x v="0"/>
    <s v="NEGOCIOS"/>
    <x v="2"/>
  </r>
  <r>
    <x v="55"/>
    <x v="11"/>
    <x v="6"/>
    <x v="6"/>
    <x v="0"/>
    <x v="6"/>
    <x v="33"/>
    <x v="91"/>
    <x v="765"/>
    <x v="0"/>
    <s v="NEGOCIOS"/>
    <x v="2"/>
  </r>
  <r>
    <x v="55"/>
    <x v="23"/>
    <x v="3"/>
    <x v="3"/>
    <x v="0"/>
    <x v="6"/>
    <x v="32"/>
    <x v="221"/>
    <x v="1391"/>
    <x v="0"/>
    <s v="NEGOCIOS"/>
    <x v="2"/>
  </r>
  <r>
    <x v="55"/>
    <x v="23"/>
    <x v="3"/>
    <x v="3"/>
    <x v="0"/>
    <x v="6"/>
    <x v="33"/>
    <x v="221"/>
    <x v="1392"/>
    <x v="0"/>
    <s v="NEGOCIOS"/>
    <x v="2"/>
  </r>
  <r>
    <x v="55"/>
    <x v="30"/>
    <x v="4"/>
    <x v="4"/>
    <x v="0"/>
    <x v="6"/>
    <x v="33"/>
    <x v="159"/>
    <x v="1393"/>
    <x v="0"/>
    <s v="NEGOCIOS"/>
    <x v="2"/>
  </r>
  <r>
    <x v="55"/>
    <x v="31"/>
    <x v="4"/>
    <x v="4"/>
    <x v="0"/>
    <x v="6"/>
    <x v="32"/>
    <x v="72"/>
    <x v="1394"/>
    <x v="0"/>
    <s v="NEGOCIOS"/>
    <x v="2"/>
  </r>
  <r>
    <x v="55"/>
    <x v="31"/>
    <x v="4"/>
    <x v="4"/>
    <x v="0"/>
    <x v="6"/>
    <x v="33"/>
    <x v="72"/>
    <x v="1395"/>
    <x v="0"/>
    <s v="NEGOCIOS"/>
    <x v="2"/>
  </r>
  <r>
    <x v="55"/>
    <x v="51"/>
    <x v="4"/>
    <x v="4"/>
    <x v="0"/>
    <x v="6"/>
    <x v="33"/>
    <x v="34"/>
    <x v="1396"/>
    <x v="0"/>
    <s v="NEGOCIOS"/>
    <x v="2"/>
  </r>
  <r>
    <x v="55"/>
    <x v="90"/>
    <x v="0"/>
    <x v="0"/>
    <x v="0"/>
    <x v="6"/>
    <x v="33"/>
    <x v="79"/>
    <x v="146"/>
    <x v="0"/>
    <s v="NEGOCIOS"/>
    <x v="2"/>
  </r>
  <r>
    <x v="55"/>
    <x v="159"/>
    <x v="0"/>
    <x v="0"/>
    <x v="0"/>
    <x v="6"/>
    <x v="32"/>
    <x v="177"/>
    <x v="891"/>
    <x v="0"/>
    <s v="NEGOCIOS"/>
    <x v="2"/>
  </r>
  <r>
    <x v="55"/>
    <x v="159"/>
    <x v="0"/>
    <x v="0"/>
    <x v="0"/>
    <x v="6"/>
    <x v="32"/>
    <x v="177"/>
    <x v="1"/>
    <x v="392"/>
    <s v="NEGOCIOS"/>
    <x v="2"/>
  </r>
  <r>
    <x v="55"/>
    <x v="160"/>
    <x v="0"/>
    <x v="0"/>
    <x v="0"/>
    <x v="6"/>
    <x v="32"/>
    <x v="179"/>
    <x v="911"/>
    <x v="0"/>
    <s v="NEGOCIOS"/>
    <x v="2"/>
  </r>
  <r>
    <x v="55"/>
    <x v="92"/>
    <x v="0"/>
    <x v="0"/>
    <x v="0"/>
    <x v="6"/>
    <x v="33"/>
    <x v="109"/>
    <x v="874"/>
    <x v="0"/>
    <s v="NEGOCIOS"/>
    <x v="2"/>
  </r>
  <r>
    <x v="55"/>
    <x v="117"/>
    <x v="0"/>
    <x v="0"/>
    <x v="0"/>
    <x v="6"/>
    <x v="33"/>
    <x v="65"/>
    <x v="874"/>
    <x v="0"/>
    <s v="NEGOCIOS"/>
    <x v="2"/>
  </r>
  <r>
    <x v="55"/>
    <x v="142"/>
    <x v="0"/>
    <x v="0"/>
    <x v="0"/>
    <x v="6"/>
    <x v="33"/>
    <x v="119"/>
    <x v="759"/>
    <x v="0"/>
    <s v="NEGOCIOS"/>
    <x v="2"/>
  </r>
  <r>
    <x v="55"/>
    <x v="136"/>
    <x v="0"/>
    <x v="0"/>
    <x v="0"/>
    <x v="6"/>
    <x v="33"/>
    <x v="100"/>
    <x v="759"/>
    <x v="0"/>
    <s v="NEGOCIOS"/>
    <x v="2"/>
  </r>
  <r>
    <x v="55"/>
    <x v="122"/>
    <x v="0"/>
    <x v="0"/>
    <x v="0"/>
    <x v="6"/>
    <x v="33"/>
    <x v="181"/>
    <x v="1397"/>
    <x v="0"/>
    <s v="NEGOCIOS"/>
    <x v="2"/>
  </r>
  <r>
    <x v="55"/>
    <x v="166"/>
    <x v="0"/>
    <x v="0"/>
    <x v="0"/>
    <x v="6"/>
    <x v="33"/>
    <x v="217"/>
    <x v="1182"/>
    <x v="0"/>
    <s v="NEGOCIOS"/>
    <x v="2"/>
  </r>
  <r>
    <x v="55"/>
    <x v="115"/>
    <x v="5"/>
    <x v="5"/>
    <x v="0"/>
    <x v="6"/>
    <x v="32"/>
    <x v="213"/>
    <x v="1236"/>
    <x v="0"/>
    <s v="NEGOCIOS"/>
    <x v="2"/>
  </r>
  <r>
    <x v="55"/>
    <x v="97"/>
    <x v="5"/>
    <x v="5"/>
    <x v="0"/>
    <x v="6"/>
    <x v="33"/>
    <x v="183"/>
    <x v="1398"/>
    <x v="0"/>
    <s v="NEGOCIOS"/>
    <x v="2"/>
  </r>
  <r>
    <x v="55"/>
    <x v="54"/>
    <x v="5"/>
    <x v="5"/>
    <x v="0"/>
    <x v="6"/>
    <x v="33"/>
    <x v="246"/>
    <x v="1399"/>
    <x v="0"/>
    <s v="NEGOCIOS"/>
    <x v="2"/>
  </r>
  <r>
    <x v="55"/>
    <x v="124"/>
    <x v="5"/>
    <x v="5"/>
    <x v="0"/>
    <x v="6"/>
    <x v="33"/>
    <x v="206"/>
    <x v="874"/>
    <x v="0"/>
    <s v="NEGOCIOS"/>
    <x v="2"/>
  </r>
  <r>
    <x v="55"/>
    <x v="41"/>
    <x v="1"/>
    <x v="1"/>
    <x v="0"/>
    <x v="6"/>
    <x v="33"/>
    <x v="113"/>
    <x v="1400"/>
    <x v="0"/>
    <s v="NEGOCIOS"/>
    <x v="2"/>
  </r>
  <r>
    <x v="55"/>
    <x v="41"/>
    <x v="1"/>
    <x v="1"/>
    <x v="0"/>
    <x v="6"/>
    <x v="32"/>
    <x v="113"/>
    <x v="1401"/>
    <x v="0"/>
    <s v="NEGOCIOS"/>
    <x v="2"/>
  </r>
  <r>
    <x v="55"/>
    <x v="22"/>
    <x v="1"/>
    <x v="1"/>
    <x v="0"/>
    <x v="6"/>
    <x v="32"/>
    <x v="211"/>
    <x v="1402"/>
    <x v="0"/>
    <s v="NEGOCIOS"/>
    <x v="2"/>
  </r>
  <r>
    <x v="55"/>
    <x v="98"/>
    <x v="1"/>
    <x v="1"/>
    <x v="0"/>
    <x v="6"/>
    <x v="32"/>
    <x v="198"/>
    <x v="1403"/>
    <x v="0"/>
    <s v="NEGOCIOS"/>
    <x v="2"/>
  </r>
  <r>
    <x v="55"/>
    <x v="1"/>
    <x v="1"/>
    <x v="1"/>
    <x v="0"/>
    <x v="6"/>
    <x v="1"/>
    <x v="1"/>
    <x v="1"/>
    <x v="393"/>
    <s v="NEGOCIOS"/>
    <x v="2"/>
  </r>
  <r>
    <x v="55"/>
    <x v="23"/>
    <x v="3"/>
    <x v="3"/>
    <x v="0"/>
    <x v="7"/>
    <x v="32"/>
    <x v="221"/>
    <x v="1404"/>
    <x v="0"/>
    <s v="NEGOCIOS"/>
    <x v="2"/>
  </r>
  <r>
    <x v="55"/>
    <x v="50"/>
    <x v="4"/>
    <x v="4"/>
    <x v="0"/>
    <x v="7"/>
    <x v="32"/>
    <x v="77"/>
    <x v="1331"/>
    <x v="0"/>
    <s v="NEGOCIOS"/>
    <x v="2"/>
  </r>
  <r>
    <x v="55"/>
    <x v="159"/>
    <x v="0"/>
    <x v="0"/>
    <x v="0"/>
    <x v="7"/>
    <x v="32"/>
    <x v="177"/>
    <x v="1405"/>
    <x v="0"/>
    <s v="NEGOCIOS"/>
    <x v="2"/>
  </r>
  <r>
    <x v="55"/>
    <x v="1"/>
    <x v="1"/>
    <x v="1"/>
    <x v="0"/>
    <x v="7"/>
    <x v="1"/>
    <x v="1"/>
    <x v="1"/>
    <x v="394"/>
    <s v="NEGOCIOS"/>
    <x v="2"/>
  </r>
  <r>
    <x v="55"/>
    <x v="20"/>
    <x v="5"/>
    <x v="5"/>
    <x v="0"/>
    <x v="35"/>
    <x v="33"/>
    <x v="45"/>
    <x v="1406"/>
    <x v="0"/>
    <s v="NEGOCIOS"/>
    <x v="2"/>
  </r>
  <r>
    <x v="55"/>
    <x v="1"/>
    <x v="1"/>
    <x v="1"/>
    <x v="0"/>
    <x v="35"/>
    <x v="1"/>
    <x v="1"/>
    <x v="1"/>
    <x v="395"/>
    <s v="NEGOCIOS"/>
    <x v="2"/>
  </r>
  <r>
    <x v="55"/>
    <x v="156"/>
    <x v="4"/>
    <x v="4"/>
    <x v="0"/>
    <x v="8"/>
    <x v="33"/>
    <x v="146"/>
    <x v="1407"/>
    <x v="0"/>
    <s v="NEGOCIOS"/>
    <x v="2"/>
  </r>
  <r>
    <x v="55"/>
    <x v="100"/>
    <x v="0"/>
    <x v="0"/>
    <x v="0"/>
    <x v="8"/>
    <x v="33"/>
    <x v="73"/>
    <x v="1408"/>
    <x v="0"/>
    <s v="NEGOCIOS"/>
    <x v="2"/>
  </r>
  <r>
    <x v="55"/>
    <x v="45"/>
    <x v="0"/>
    <x v="0"/>
    <x v="0"/>
    <x v="8"/>
    <x v="33"/>
    <x v="180"/>
    <x v="1409"/>
    <x v="0"/>
    <s v="NEGOCIOS"/>
    <x v="2"/>
  </r>
  <r>
    <x v="55"/>
    <x v="136"/>
    <x v="0"/>
    <x v="0"/>
    <x v="0"/>
    <x v="8"/>
    <x v="33"/>
    <x v="100"/>
    <x v="1410"/>
    <x v="0"/>
    <s v="NEGOCIOS"/>
    <x v="2"/>
  </r>
  <r>
    <x v="55"/>
    <x v="115"/>
    <x v="5"/>
    <x v="5"/>
    <x v="0"/>
    <x v="8"/>
    <x v="33"/>
    <x v="213"/>
    <x v="1411"/>
    <x v="0"/>
    <s v="NEGOCIOS"/>
    <x v="2"/>
  </r>
  <r>
    <x v="55"/>
    <x v="155"/>
    <x v="1"/>
    <x v="1"/>
    <x v="0"/>
    <x v="8"/>
    <x v="33"/>
    <x v="145"/>
    <x v="1412"/>
    <x v="0"/>
    <s v="NEGOCIOS"/>
    <x v="2"/>
  </r>
  <r>
    <x v="55"/>
    <x v="22"/>
    <x v="1"/>
    <x v="1"/>
    <x v="0"/>
    <x v="8"/>
    <x v="33"/>
    <x v="211"/>
    <x v="1413"/>
    <x v="0"/>
    <s v="NEGOCIOS"/>
    <x v="2"/>
  </r>
  <r>
    <x v="55"/>
    <x v="98"/>
    <x v="1"/>
    <x v="1"/>
    <x v="0"/>
    <x v="8"/>
    <x v="33"/>
    <x v="198"/>
    <x v="1414"/>
    <x v="0"/>
    <s v="NEGOCIOS"/>
    <x v="2"/>
  </r>
  <r>
    <x v="55"/>
    <x v="1"/>
    <x v="1"/>
    <x v="1"/>
    <x v="0"/>
    <x v="8"/>
    <x v="1"/>
    <x v="1"/>
    <x v="1"/>
    <x v="396"/>
    <s v="NEGOCIOS"/>
    <x v="2"/>
  </r>
  <r>
    <x v="55"/>
    <x v="106"/>
    <x v="2"/>
    <x v="2"/>
    <x v="0"/>
    <x v="9"/>
    <x v="33"/>
    <x v="223"/>
    <x v="1212"/>
    <x v="0"/>
    <s v="NEGOCIOS"/>
    <x v="2"/>
  </r>
  <r>
    <x v="55"/>
    <x v="85"/>
    <x v="2"/>
    <x v="2"/>
    <x v="0"/>
    <x v="9"/>
    <x v="32"/>
    <x v="161"/>
    <x v="1415"/>
    <x v="0"/>
    <s v="NEGOCIOS"/>
    <x v="2"/>
  </r>
  <r>
    <x v="55"/>
    <x v="85"/>
    <x v="2"/>
    <x v="2"/>
    <x v="0"/>
    <x v="9"/>
    <x v="33"/>
    <x v="161"/>
    <x v="1416"/>
    <x v="0"/>
    <s v="NEGOCIOS"/>
    <x v="2"/>
  </r>
  <r>
    <x v="55"/>
    <x v="112"/>
    <x v="2"/>
    <x v="2"/>
    <x v="0"/>
    <x v="9"/>
    <x v="33"/>
    <x v="209"/>
    <x v="1417"/>
    <x v="0"/>
    <s v="NEGOCIOS"/>
    <x v="2"/>
  </r>
  <r>
    <x v="55"/>
    <x v="144"/>
    <x v="2"/>
    <x v="2"/>
    <x v="0"/>
    <x v="9"/>
    <x v="33"/>
    <x v="162"/>
    <x v="1418"/>
    <x v="0"/>
    <s v="NEGOCIOS"/>
    <x v="2"/>
  </r>
  <r>
    <x v="55"/>
    <x v="87"/>
    <x v="6"/>
    <x v="6"/>
    <x v="0"/>
    <x v="9"/>
    <x v="33"/>
    <x v="189"/>
    <x v="1419"/>
    <x v="0"/>
    <s v="NEGOCIOS"/>
    <x v="2"/>
  </r>
  <r>
    <x v="55"/>
    <x v="71"/>
    <x v="6"/>
    <x v="6"/>
    <x v="0"/>
    <x v="9"/>
    <x v="32"/>
    <x v="37"/>
    <x v="1420"/>
    <x v="0"/>
    <s v="NEGOCIOS"/>
    <x v="2"/>
  </r>
  <r>
    <x v="55"/>
    <x v="15"/>
    <x v="6"/>
    <x v="6"/>
    <x v="0"/>
    <x v="9"/>
    <x v="33"/>
    <x v="216"/>
    <x v="1421"/>
    <x v="0"/>
    <s v="NEGOCIOS"/>
    <x v="2"/>
  </r>
  <r>
    <x v="55"/>
    <x v="113"/>
    <x v="6"/>
    <x v="6"/>
    <x v="0"/>
    <x v="9"/>
    <x v="33"/>
    <x v="89"/>
    <x v="1422"/>
    <x v="0"/>
    <s v="NEGOCIOS"/>
    <x v="2"/>
  </r>
  <r>
    <x v="55"/>
    <x v="134"/>
    <x v="6"/>
    <x v="6"/>
    <x v="0"/>
    <x v="9"/>
    <x v="33"/>
    <x v="226"/>
    <x v="1423"/>
    <x v="0"/>
    <s v="NEGOCIOS"/>
    <x v="2"/>
  </r>
  <r>
    <x v="55"/>
    <x v="147"/>
    <x v="6"/>
    <x v="6"/>
    <x v="0"/>
    <x v="9"/>
    <x v="33"/>
    <x v="132"/>
    <x v="1424"/>
    <x v="0"/>
    <s v="NEGOCIOS"/>
    <x v="2"/>
  </r>
  <r>
    <x v="55"/>
    <x v="21"/>
    <x v="6"/>
    <x v="6"/>
    <x v="0"/>
    <x v="9"/>
    <x v="32"/>
    <x v="70"/>
    <x v="1425"/>
    <x v="0"/>
    <s v="NEGOCIOS"/>
    <x v="2"/>
  </r>
  <r>
    <x v="55"/>
    <x v="96"/>
    <x v="6"/>
    <x v="6"/>
    <x v="0"/>
    <x v="9"/>
    <x v="33"/>
    <x v="165"/>
    <x v="1426"/>
    <x v="0"/>
    <s v="NEGOCIOS"/>
    <x v="2"/>
  </r>
  <r>
    <x v="55"/>
    <x v="23"/>
    <x v="3"/>
    <x v="3"/>
    <x v="0"/>
    <x v="9"/>
    <x v="32"/>
    <x v="221"/>
    <x v="1427"/>
    <x v="0"/>
    <s v="NEGOCIOS"/>
    <x v="2"/>
  </r>
  <r>
    <x v="55"/>
    <x v="27"/>
    <x v="3"/>
    <x v="3"/>
    <x v="0"/>
    <x v="9"/>
    <x v="33"/>
    <x v="43"/>
    <x v="1428"/>
    <x v="0"/>
    <s v="NEGOCIOS"/>
    <x v="2"/>
  </r>
  <r>
    <x v="55"/>
    <x v="135"/>
    <x v="3"/>
    <x v="3"/>
    <x v="0"/>
    <x v="9"/>
    <x v="32"/>
    <x v="149"/>
    <x v="1429"/>
    <x v="0"/>
    <s v="NEGOCIOS"/>
    <x v="2"/>
  </r>
  <r>
    <x v="55"/>
    <x v="79"/>
    <x v="3"/>
    <x v="3"/>
    <x v="0"/>
    <x v="9"/>
    <x v="33"/>
    <x v="142"/>
    <x v="1430"/>
    <x v="0"/>
    <s v="NEGOCIOS"/>
    <x v="2"/>
  </r>
  <r>
    <x v="55"/>
    <x v="104"/>
    <x v="3"/>
    <x v="3"/>
    <x v="0"/>
    <x v="9"/>
    <x v="33"/>
    <x v="196"/>
    <x v="1431"/>
    <x v="0"/>
    <s v="NEGOCIOS"/>
    <x v="2"/>
  </r>
  <r>
    <x v="55"/>
    <x v="131"/>
    <x v="3"/>
    <x v="3"/>
    <x v="0"/>
    <x v="9"/>
    <x v="33"/>
    <x v="163"/>
    <x v="1432"/>
    <x v="0"/>
    <s v="NEGOCIOS"/>
    <x v="2"/>
  </r>
  <r>
    <x v="55"/>
    <x v="156"/>
    <x v="4"/>
    <x v="4"/>
    <x v="0"/>
    <x v="9"/>
    <x v="32"/>
    <x v="146"/>
    <x v="1433"/>
    <x v="0"/>
    <s v="NEGOCIOS"/>
    <x v="2"/>
  </r>
  <r>
    <x v="55"/>
    <x v="50"/>
    <x v="4"/>
    <x v="4"/>
    <x v="0"/>
    <x v="9"/>
    <x v="32"/>
    <x v="77"/>
    <x v="1434"/>
    <x v="0"/>
    <s v="NEGOCIOS"/>
    <x v="2"/>
  </r>
  <r>
    <x v="55"/>
    <x v="154"/>
    <x v="4"/>
    <x v="4"/>
    <x v="0"/>
    <x v="9"/>
    <x v="33"/>
    <x v="143"/>
    <x v="1435"/>
    <x v="0"/>
    <s v="NEGOCIOS"/>
    <x v="2"/>
  </r>
  <r>
    <x v="55"/>
    <x v="90"/>
    <x v="0"/>
    <x v="0"/>
    <x v="0"/>
    <x v="9"/>
    <x v="33"/>
    <x v="79"/>
    <x v="1436"/>
    <x v="0"/>
    <s v="NEGOCIOS"/>
    <x v="2"/>
  </r>
  <r>
    <x v="55"/>
    <x v="52"/>
    <x v="0"/>
    <x v="0"/>
    <x v="0"/>
    <x v="9"/>
    <x v="33"/>
    <x v="107"/>
    <x v="1437"/>
    <x v="0"/>
    <s v="NEGOCIOS"/>
    <x v="2"/>
  </r>
  <r>
    <x v="55"/>
    <x v="53"/>
    <x v="0"/>
    <x v="0"/>
    <x v="0"/>
    <x v="9"/>
    <x v="33"/>
    <x v="144"/>
    <x v="1212"/>
    <x v="0"/>
    <s v="NEGOCIOS"/>
    <x v="2"/>
  </r>
  <r>
    <x v="55"/>
    <x v="115"/>
    <x v="5"/>
    <x v="5"/>
    <x v="0"/>
    <x v="9"/>
    <x v="32"/>
    <x v="213"/>
    <x v="1438"/>
    <x v="0"/>
    <s v="NEGOCIOS"/>
    <x v="2"/>
  </r>
  <r>
    <x v="55"/>
    <x v="97"/>
    <x v="5"/>
    <x v="5"/>
    <x v="0"/>
    <x v="9"/>
    <x v="33"/>
    <x v="183"/>
    <x v="464"/>
    <x v="0"/>
    <s v="NEGOCIOS"/>
    <x v="2"/>
  </r>
  <r>
    <x v="55"/>
    <x v="1"/>
    <x v="1"/>
    <x v="1"/>
    <x v="0"/>
    <x v="9"/>
    <x v="1"/>
    <x v="1"/>
    <x v="1"/>
    <x v="397"/>
    <s v="NEGOCIOS"/>
    <x v="2"/>
  </r>
  <r>
    <x v="55"/>
    <x v="70"/>
    <x v="2"/>
    <x v="2"/>
    <x v="0"/>
    <x v="26"/>
    <x v="33"/>
    <x v="36"/>
    <x v="1439"/>
    <x v="0"/>
    <s v="NEGOCIOS"/>
    <x v="2"/>
  </r>
  <r>
    <x v="55"/>
    <x v="135"/>
    <x v="3"/>
    <x v="3"/>
    <x v="0"/>
    <x v="26"/>
    <x v="33"/>
    <x v="149"/>
    <x v="1283"/>
    <x v="0"/>
    <s v="NEGOCIOS"/>
    <x v="2"/>
  </r>
  <r>
    <x v="55"/>
    <x v="89"/>
    <x v="4"/>
    <x v="4"/>
    <x v="0"/>
    <x v="26"/>
    <x v="32"/>
    <x v="154"/>
    <x v="1440"/>
    <x v="0"/>
    <s v="NEGOCIOS"/>
    <x v="2"/>
  </r>
  <r>
    <x v="55"/>
    <x v="52"/>
    <x v="0"/>
    <x v="0"/>
    <x v="0"/>
    <x v="26"/>
    <x v="33"/>
    <x v="107"/>
    <x v="1441"/>
    <x v="0"/>
    <s v="NEGOCIOS"/>
    <x v="2"/>
  </r>
  <r>
    <x v="55"/>
    <x v="160"/>
    <x v="0"/>
    <x v="0"/>
    <x v="0"/>
    <x v="26"/>
    <x v="32"/>
    <x v="179"/>
    <x v="1442"/>
    <x v="0"/>
    <s v="NEGOCIOS"/>
    <x v="2"/>
  </r>
  <r>
    <x v="55"/>
    <x v="34"/>
    <x v="5"/>
    <x v="5"/>
    <x v="0"/>
    <x v="26"/>
    <x v="32"/>
    <x v="184"/>
    <x v="1443"/>
    <x v="0"/>
    <s v="NEGOCIOS"/>
    <x v="2"/>
  </r>
  <r>
    <x v="55"/>
    <x v="1"/>
    <x v="1"/>
    <x v="1"/>
    <x v="0"/>
    <x v="26"/>
    <x v="1"/>
    <x v="1"/>
    <x v="1"/>
    <x v="398"/>
    <s v="NEGOCIOS"/>
    <x v="2"/>
  </r>
  <r>
    <x v="55"/>
    <x v="47"/>
    <x v="2"/>
    <x v="2"/>
    <x v="0"/>
    <x v="10"/>
    <x v="33"/>
    <x v="68"/>
    <x v="1444"/>
    <x v="0"/>
    <s v="NEGOCIOS"/>
    <x v="2"/>
  </r>
  <r>
    <x v="55"/>
    <x v="146"/>
    <x v="6"/>
    <x v="6"/>
    <x v="0"/>
    <x v="10"/>
    <x v="33"/>
    <x v="172"/>
    <x v="1445"/>
    <x v="0"/>
    <s v="NEGOCIOS"/>
    <x v="2"/>
  </r>
  <r>
    <x v="55"/>
    <x v="169"/>
    <x v="6"/>
    <x v="6"/>
    <x v="0"/>
    <x v="10"/>
    <x v="33"/>
    <x v="249"/>
    <x v="1446"/>
    <x v="0"/>
    <s v="NEGOCIOS"/>
    <x v="2"/>
  </r>
  <r>
    <x v="55"/>
    <x v="29"/>
    <x v="4"/>
    <x v="4"/>
    <x v="0"/>
    <x v="10"/>
    <x v="33"/>
    <x v="248"/>
    <x v="1447"/>
    <x v="0"/>
    <s v="NEGOCIOS"/>
    <x v="2"/>
  </r>
  <r>
    <x v="55"/>
    <x v="136"/>
    <x v="0"/>
    <x v="0"/>
    <x v="0"/>
    <x v="10"/>
    <x v="33"/>
    <x v="100"/>
    <x v="736"/>
    <x v="0"/>
    <s v="NEGOCIOS"/>
    <x v="2"/>
  </r>
  <r>
    <x v="55"/>
    <x v="32"/>
    <x v="5"/>
    <x v="5"/>
    <x v="0"/>
    <x v="10"/>
    <x v="33"/>
    <x v="81"/>
    <x v="1448"/>
    <x v="0"/>
    <s v="NEGOCIOS"/>
    <x v="2"/>
  </r>
  <r>
    <x v="55"/>
    <x v="153"/>
    <x v="5"/>
    <x v="5"/>
    <x v="0"/>
    <x v="10"/>
    <x v="33"/>
    <x v="157"/>
    <x v="736"/>
    <x v="0"/>
    <s v="NEGOCIOS"/>
    <x v="2"/>
  </r>
  <r>
    <x v="55"/>
    <x v="150"/>
    <x v="5"/>
    <x v="5"/>
    <x v="0"/>
    <x v="10"/>
    <x v="33"/>
    <x v="214"/>
    <x v="1449"/>
    <x v="0"/>
    <s v="NEGOCIOS"/>
    <x v="2"/>
  </r>
  <r>
    <x v="55"/>
    <x v="127"/>
    <x v="1"/>
    <x v="1"/>
    <x v="0"/>
    <x v="10"/>
    <x v="33"/>
    <x v="85"/>
    <x v="1450"/>
    <x v="0"/>
    <s v="NEGOCIOS"/>
    <x v="2"/>
  </r>
  <r>
    <x v="55"/>
    <x v="33"/>
    <x v="1"/>
    <x v="1"/>
    <x v="0"/>
    <x v="10"/>
    <x v="33"/>
    <x v="241"/>
    <x v="736"/>
    <x v="0"/>
    <s v="NEGOCIOS"/>
    <x v="2"/>
  </r>
  <r>
    <x v="55"/>
    <x v="1"/>
    <x v="1"/>
    <x v="1"/>
    <x v="0"/>
    <x v="10"/>
    <x v="1"/>
    <x v="1"/>
    <x v="1"/>
    <x v="399"/>
    <s v="NEGOCIOS"/>
    <x v="2"/>
  </r>
  <r>
    <x v="55"/>
    <x v="70"/>
    <x v="2"/>
    <x v="2"/>
    <x v="0"/>
    <x v="11"/>
    <x v="32"/>
    <x v="36"/>
    <x v="1451"/>
    <x v="0"/>
    <s v="NEGOCIOS"/>
    <x v="2"/>
  </r>
  <r>
    <x v="55"/>
    <x v="70"/>
    <x v="2"/>
    <x v="2"/>
    <x v="0"/>
    <x v="11"/>
    <x v="33"/>
    <x v="36"/>
    <x v="1452"/>
    <x v="0"/>
    <s v="NEGOCIOS"/>
    <x v="2"/>
  </r>
  <r>
    <x v="55"/>
    <x v="47"/>
    <x v="2"/>
    <x v="2"/>
    <x v="0"/>
    <x v="11"/>
    <x v="33"/>
    <x v="68"/>
    <x v="1115"/>
    <x v="0"/>
    <s v="NEGOCIOS"/>
    <x v="2"/>
  </r>
  <r>
    <x v="55"/>
    <x v="111"/>
    <x v="2"/>
    <x v="2"/>
    <x v="0"/>
    <x v="11"/>
    <x v="33"/>
    <x v="75"/>
    <x v="1453"/>
    <x v="0"/>
    <s v="NEGOCIOS"/>
    <x v="2"/>
  </r>
  <r>
    <x v="55"/>
    <x v="86"/>
    <x v="6"/>
    <x v="6"/>
    <x v="0"/>
    <x v="11"/>
    <x v="32"/>
    <x v="224"/>
    <x v="1454"/>
    <x v="0"/>
    <s v="NEGOCIOS"/>
    <x v="2"/>
  </r>
  <r>
    <x v="55"/>
    <x v="134"/>
    <x v="6"/>
    <x v="6"/>
    <x v="0"/>
    <x v="11"/>
    <x v="33"/>
    <x v="226"/>
    <x v="1455"/>
    <x v="0"/>
    <s v="NEGOCIOS"/>
    <x v="2"/>
  </r>
  <r>
    <x v="55"/>
    <x v="21"/>
    <x v="6"/>
    <x v="6"/>
    <x v="0"/>
    <x v="11"/>
    <x v="32"/>
    <x v="70"/>
    <x v="1456"/>
    <x v="0"/>
    <s v="NEGOCIOS"/>
    <x v="2"/>
  </r>
  <r>
    <x v="55"/>
    <x v="19"/>
    <x v="3"/>
    <x v="3"/>
    <x v="0"/>
    <x v="11"/>
    <x v="33"/>
    <x v="62"/>
    <x v="1457"/>
    <x v="0"/>
    <s v="NEGOCIOS"/>
    <x v="2"/>
  </r>
  <r>
    <x v="55"/>
    <x v="18"/>
    <x v="3"/>
    <x v="3"/>
    <x v="0"/>
    <x v="11"/>
    <x v="33"/>
    <x v="219"/>
    <x v="1458"/>
    <x v="0"/>
    <s v="NEGOCIOS"/>
    <x v="2"/>
  </r>
  <r>
    <x v="55"/>
    <x v="79"/>
    <x v="3"/>
    <x v="3"/>
    <x v="0"/>
    <x v="11"/>
    <x v="33"/>
    <x v="142"/>
    <x v="1459"/>
    <x v="0"/>
    <s v="NEGOCIOS"/>
    <x v="2"/>
  </r>
  <r>
    <x v="55"/>
    <x v="28"/>
    <x v="3"/>
    <x v="3"/>
    <x v="0"/>
    <x v="11"/>
    <x v="33"/>
    <x v="245"/>
    <x v="1460"/>
    <x v="0"/>
    <s v="NEGOCIOS"/>
    <x v="2"/>
  </r>
  <r>
    <x v="55"/>
    <x v="99"/>
    <x v="3"/>
    <x v="3"/>
    <x v="0"/>
    <x v="11"/>
    <x v="33"/>
    <x v="116"/>
    <x v="1459"/>
    <x v="0"/>
    <s v="NEGOCIOS"/>
    <x v="2"/>
  </r>
  <r>
    <x v="55"/>
    <x v="68"/>
    <x v="4"/>
    <x v="4"/>
    <x v="0"/>
    <x v="11"/>
    <x v="32"/>
    <x v="222"/>
    <x v="1461"/>
    <x v="0"/>
    <s v="NEGOCIOS"/>
    <x v="2"/>
  </r>
  <r>
    <x v="55"/>
    <x v="162"/>
    <x v="4"/>
    <x v="4"/>
    <x v="0"/>
    <x v="11"/>
    <x v="33"/>
    <x v="192"/>
    <x v="1462"/>
    <x v="0"/>
    <s v="NEGOCIOS"/>
    <x v="2"/>
  </r>
  <r>
    <x v="55"/>
    <x v="160"/>
    <x v="0"/>
    <x v="0"/>
    <x v="0"/>
    <x v="11"/>
    <x v="32"/>
    <x v="179"/>
    <x v="1463"/>
    <x v="0"/>
    <s v="NEGOCIOS"/>
    <x v="2"/>
  </r>
  <r>
    <x v="55"/>
    <x v="142"/>
    <x v="0"/>
    <x v="0"/>
    <x v="0"/>
    <x v="11"/>
    <x v="33"/>
    <x v="119"/>
    <x v="1464"/>
    <x v="0"/>
    <s v="NEGOCIOS"/>
    <x v="2"/>
  </r>
  <r>
    <x v="55"/>
    <x v="72"/>
    <x v="5"/>
    <x v="5"/>
    <x v="0"/>
    <x v="11"/>
    <x v="33"/>
    <x v="38"/>
    <x v="1465"/>
    <x v="0"/>
    <s v="NEGOCIOS"/>
    <x v="2"/>
  </r>
  <r>
    <x v="55"/>
    <x v="125"/>
    <x v="5"/>
    <x v="5"/>
    <x v="0"/>
    <x v="11"/>
    <x v="32"/>
    <x v="82"/>
    <x v="769"/>
    <x v="0"/>
    <s v="NEGOCIOS"/>
    <x v="2"/>
  </r>
  <r>
    <x v="55"/>
    <x v="124"/>
    <x v="5"/>
    <x v="5"/>
    <x v="0"/>
    <x v="11"/>
    <x v="32"/>
    <x v="206"/>
    <x v="1041"/>
    <x v="0"/>
    <s v="NEGOCIOS"/>
    <x v="2"/>
  </r>
  <r>
    <x v="55"/>
    <x v="124"/>
    <x v="5"/>
    <x v="5"/>
    <x v="0"/>
    <x v="11"/>
    <x v="33"/>
    <x v="206"/>
    <x v="1466"/>
    <x v="0"/>
    <s v="NEGOCIOS"/>
    <x v="2"/>
  </r>
  <r>
    <x v="55"/>
    <x v="40"/>
    <x v="1"/>
    <x v="1"/>
    <x v="0"/>
    <x v="11"/>
    <x v="32"/>
    <x v="125"/>
    <x v="1467"/>
    <x v="0"/>
    <s v="NEGOCIOS"/>
    <x v="2"/>
  </r>
  <r>
    <x v="55"/>
    <x v="73"/>
    <x v="1"/>
    <x v="1"/>
    <x v="0"/>
    <x v="11"/>
    <x v="33"/>
    <x v="39"/>
    <x v="1468"/>
    <x v="0"/>
    <s v="NEGOCIOS"/>
    <x v="2"/>
  </r>
  <r>
    <x v="55"/>
    <x v="55"/>
    <x v="1"/>
    <x v="1"/>
    <x v="0"/>
    <x v="11"/>
    <x v="33"/>
    <x v="188"/>
    <x v="1469"/>
    <x v="0"/>
    <s v="NEGOCIOS"/>
    <x v="2"/>
  </r>
  <r>
    <x v="55"/>
    <x v="98"/>
    <x v="1"/>
    <x v="1"/>
    <x v="0"/>
    <x v="11"/>
    <x v="33"/>
    <x v="198"/>
    <x v="1470"/>
    <x v="0"/>
    <s v="NEGOCIOS"/>
    <x v="2"/>
  </r>
  <r>
    <x v="55"/>
    <x v="1"/>
    <x v="1"/>
    <x v="1"/>
    <x v="0"/>
    <x v="11"/>
    <x v="1"/>
    <x v="1"/>
    <x v="1"/>
    <x v="400"/>
    <s v="NEGOCIOS"/>
    <x v="2"/>
  </r>
  <r>
    <x v="55"/>
    <x v="1"/>
    <x v="1"/>
    <x v="1"/>
    <x v="0"/>
    <x v="36"/>
    <x v="1"/>
    <x v="1"/>
    <x v="1"/>
    <x v="401"/>
    <s v="NEGOCIOS"/>
    <x v="2"/>
  </r>
  <r>
    <x v="55"/>
    <x v="118"/>
    <x v="2"/>
    <x v="2"/>
    <x v="0"/>
    <x v="12"/>
    <x v="33"/>
    <x v="69"/>
    <x v="1471"/>
    <x v="0"/>
    <s v="NEGOCIOS"/>
    <x v="2"/>
  </r>
  <r>
    <x v="55"/>
    <x v="147"/>
    <x v="6"/>
    <x v="6"/>
    <x v="0"/>
    <x v="12"/>
    <x v="33"/>
    <x v="132"/>
    <x v="1472"/>
    <x v="0"/>
    <s v="NEGOCIOS"/>
    <x v="2"/>
  </r>
  <r>
    <x v="55"/>
    <x v="4"/>
    <x v="4"/>
    <x v="4"/>
    <x v="0"/>
    <x v="12"/>
    <x v="33"/>
    <x v="199"/>
    <x v="1473"/>
    <x v="0"/>
    <s v="NEGOCIOS"/>
    <x v="2"/>
  </r>
  <r>
    <x v="55"/>
    <x v="159"/>
    <x v="0"/>
    <x v="0"/>
    <x v="0"/>
    <x v="12"/>
    <x v="33"/>
    <x v="177"/>
    <x v="1474"/>
    <x v="0"/>
    <s v="NEGOCIOS"/>
    <x v="2"/>
  </r>
  <r>
    <x v="55"/>
    <x v="115"/>
    <x v="5"/>
    <x v="5"/>
    <x v="0"/>
    <x v="12"/>
    <x v="33"/>
    <x v="213"/>
    <x v="1475"/>
    <x v="0"/>
    <s v="NEGOCIOS"/>
    <x v="2"/>
  </r>
  <r>
    <x v="55"/>
    <x v="145"/>
    <x v="5"/>
    <x v="5"/>
    <x v="0"/>
    <x v="12"/>
    <x v="33"/>
    <x v="124"/>
    <x v="1476"/>
    <x v="0"/>
    <s v="NEGOCIOS"/>
    <x v="2"/>
  </r>
  <r>
    <x v="55"/>
    <x v="55"/>
    <x v="1"/>
    <x v="1"/>
    <x v="0"/>
    <x v="12"/>
    <x v="33"/>
    <x v="188"/>
    <x v="1477"/>
    <x v="0"/>
    <s v="NEGOCIOS"/>
    <x v="2"/>
  </r>
  <r>
    <x v="55"/>
    <x v="1"/>
    <x v="1"/>
    <x v="1"/>
    <x v="0"/>
    <x v="12"/>
    <x v="1"/>
    <x v="1"/>
    <x v="1"/>
    <x v="402"/>
    <s v="NEGOCIOS"/>
    <x v="2"/>
  </r>
  <r>
    <x v="55"/>
    <x v="77"/>
    <x v="5"/>
    <x v="5"/>
    <x v="0"/>
    <x v="13"/>
    <x v="32"/>
    <x v="156"/>
    <x v="1478"/>
    <x v="0"/>
    <s v="NEGOCIOS"/>
    <x v="2"/>
  </r>
  <r>
    <x v="55"/>
    <x v="22"/>
    <x v="1"/>
    <x v="1"/>
    <x v="0"/>
    <x v="13"/>
    <x v="32"/>
    <x v="211"/>
    <x v="1479"/>
    <x v="0"/>
    <s v="NEGOCIOS"/>
    <x v="2"/>
  </r>
  <r>
    <x v="55"/>
    <x v="1"/>
    <x v="1"/>
    <x v="1"/>
    <x v="0"/>
    <x v="13"/>
    <x v="1"/>
    <x v="1"/>
    <x v="1"/>
    <x v="403"/>
    <s v="NEGOCIOS"/>
    <x v="2"/>
  </r>
  <r>
    <x v="55"/>
    <x v="85"/>
    <x v="2"/>
    <x v="2"/>
    <x v="0"/>
    <x v="14"/>
    <x v="33"/>
    <x v="161"/>
    <x v="736"/>
    <x v="0"/>
    <s v="NEGOCIOS"/>
    <x v="2"/>
  </r>
  <r>
    <x v="55"/>
    <x v="144"/>
    <x v="2"/>
    <x v="2"/>
    <x v="0"/>
    <x v="14"/>
    <x v="32"/>
    <x v="162"/>
    <x v="1403"/>
    <x v="0"/>
    <s v="NEGOCIOS"/>
    <x v="2"/>
  </r>
  <r>
    <x v="55"/>
    <x v="163"/>
    <x v="6"/>
    <x v="6"/>
    <x v="0"/>
    <x v="14"/>
    <x v="33"/>
    <x v="195"/>
    <x v="911"/>
    <x v="0"/>
    <s v="NEGOCIOS"/>
    <x v="2"/>
  </r>
  <r>
    <x v="55"/>
    <x v="74"/>
    <x v="3"/>
    <x v="3"/>
    <x v="0"/>
    <x v="14"/>
    <x v="33"/>
    <x v="151"/>
    <x v="735"/>
    <x v="0"/>
    <s v="NEGOCIOS"/>
    <x v="2"/>
  </r>
  <r>
    <x v="55"/>
    <x v="26"/>
    <x v="3"/>
    <x v="3"/>
    <x v="0"/>
    <x v="14"/>
    <x v="33"/>
    <x v="115"/>
    <x v="736"/>
    <x v="0"/>
    <s v="NEGOCIOS"/>
    <x v="2"/>
  </r>
  <r>
    <x v="55"/>
    <x v="23"/>
    <x v="3"/>
    <x v="3"/>
    <x v="0"/>
    <x v="14"/>
    <x v="32"/>
    <x v="221"/>
    <x v="1480"/>
    <x v="0"/>
    <s v="NEGOCIOS"/>
    <x v="2"/>
  </r>
  <r>
    <x v="55"/>
    <x v="108"/>
    <x v="3"/>
    <x v="3"/>
    <x v="0"/>
    <x v="14"/>
    <x v="33"/>
    <x v="63"/>
    <x v="911"/>
    <x v="0"/>
    <s v="NEGOCIOS"/>
    <x v="2"/>
  </r>
  <r>
    <x v="55"/>
    <x v="61"/>
    <x v="3"/>
    <x v="3"/>
    <x v="0"/>
    <x v="14"/>
    <x v="33"/>
    <x v="126"/>
    <x v="911"/>
    <x v="0"/>
    <s v="NEGOCIOS"/>
    <x v="2"/>
  </r>
  <r>
    <x v="55"/>
    <x v="81"/>
    <x v="4"/>
    <x v="4"/>
    <x v="0"/>
    <x v="14"/>
    <x v="33"/>
    <x v="175"/>
    <x v="736"/>
    <x v="0"/>
    <s v="NEGOCIOS"/>
    <x v="2"/>
  </r>
  <r>
    <x v="55"/>
    <x v="132"/>
    <x v="4"/>
    <x v="4"/>
    <x v="0"/>
    <x v="14"/>
    <x v="33"/>
    <x v="95"/>
    <x v="735"/>
    <x v="0"/>
    <s v="NEGOCIOS"/>
    <x v="2"/>
  </r>
  <r>
    <x v="55"/>
    <x v="162"/>
    <x v="4"/>
    <x v="4"/>
    <x v="0"/>
    <x v="14"/>
    <x v="33"/>
    <x v="192"/>
    <x v="815"/>
    <x v="0"/>
    <s v="NEGOCIOS"/>
    <x v="2"/>
  </r>
  <r>
    <x v="55"/>
    <x v="50"/>
    <x v="4"/>
    <x v="4"/>
    <x v="0"/>
    <x v="14"/>
    <x v="33"/>
    <x v="77"/>
    <x v="146"/>
    <x v="0"/>
    <s v="NEGOCIOS"/>
    <x v="2"/>
  </r>
  <r>
    <x v="55"/>
    <x v="38"/>
    <x v="4"/>
    <x v="4"/>
    <x v="0"/>
    <x v="14"/>
    <x v="33"/>
    <x v="106"/>
    <x v="816"/>
    <x v="0"/>
    <s v="NEGOCIOS"/>
    <x v="2"/>
  </r>
  <r>
    <x v="55"/>
    <x v="90"/>
    <x v="0"/>
    <x v="0"/>
    <x v="0"/>
    <x v="14"/>
    <x v="33"/>
    <x v="79"/>
    <x v="735"/>
    <x v="0"/>
    <s v="NEGOCIOS"/>
    <x v="2"/>
  </r>
  <r>
    <x v="55"/>
    <x v="121"/>
    <x v="0"/>
    <x v="0"/>
    <x v="0"/>
    <x v="14"/>
    <x v="33"/>
    <x v="80"/>
    <x v="736"/>
    <x v="0"/>
    <s v="NEGOCIOS"/>
    <x v="2"/>
  </r>
  <r>
    <x v="55"/>
    <x v="92"/>
    <x v="0"/>
    <x v="0"/>
    <x v="0"/>
    <x v="14"/>
    <x v="33"/>
    <x v="109"/>
    <x v="736"/>
    <x v="0"/>
    <s v="NEGOCIOS"/>
    <x v="2"/>
  </r>
  <r>
    <x v="55"/>
    <x v="136"/>
    <x v="0"/>
    <x v="0"/>
    <x v="0"/>
    <x v="14"/>
    <x v="33"/>
    <x v="100"/>
    <x v="736"/>
    <x v="0"/>
    <s v="NEGOCIOS"/>
    <x v="2"/>
  </r>
  <r>
    <x v="55"/>
    <x v="115"/>
    <x v="5"/>
    <x v="5"/>
    <x v="0"/>
    <x v="14"/>
    <x v="33"/>
    <x v="213"/>
    <x v="736"/>
    <x v="0"/>
    <s v="NEGOCIOS"/>
    <x v="2"/>
  </r>
  <r>
    <x v="55"/>
    <x v="72"/>
    <x v="5"/>
    <x v="5"/>
    <x v="0"/>
    <x v="14"/>
    <x v="33"/>
    <x v="38"/>
    <x v="1481"/>
    <x v="0"/>
    <s v="NEGOCIOS"/>
    <x v="2"/>
  </r>
  <r>
    <x v="55"/>
    <x v="1"/>
    <x v="1"/>
    <x v="1"/>
    <x v="0"/>
    <x v="14"/>
    <x v="1"/>
    <x v="1"/>
    <x v="1"/>
    <x v="404"/>
    <s v="NEGOCIOS"/>
    <x v="2"/>
  </r>
  <r>
    <x v="55"/>
    <x v="150"/>
    <x v="5"/>
    <x v="5"/>
    <x v="0"/>
    <x v="15"/>
    <x v="33"/>
    <x v="214"/>
    <x v="1482"/>
    <x v="0"/>
    <s v="NEGOCIOS"/>
    <x v="2"/>
  </r>
  <r>
    <x v="55"/>
    <x v="1"/>
    <x v="1"/>
    <x v="1"/>
    <x v="0"/>
    <x v="15"/>
    <x v="1"/>
    <x v="1"/>
    <x v="1"/>
    <x v="405"/>
    <s v="NEGOCIOS"/>
    <x v="2"/>
  </r>
  <r>
    <x v="55"/>
    <x v="167"/>
    <x v="6"/>
    <x v="6"/>
    <x v="0"/>
    <x v="27"/>
    <x v="33"/>
    <x v="218"/>
    <x v="1483"/>
    <x v="0"/>
    <s v="NEGOCIOS"/>
    <x v="2"/>
  </r>
  <r>
    <x v="55"/>
    <x v="114"/>
    <x v="3"/>
    <x v="3"/>
    <x v="0"/>
    <x v="27"/>
    <x v="33"/>
    <x v="76"/>
    <x v="1137"/>
    <x v="0"/>
    <s v="NEGOCIOS"/>
    <x v="2"/>
  </r>
  <r>
    <x v="55"/>
    <x v="1"/>
    <x v="1"/>
    <x v="1"/>
    <x v="0"/>
    <x v="27"/>
    <x v="1"/>
    <x v="1"/>
    <x v="1"/>
    <x v="406"/>
    <s v="NEGOCIOS"/>
    <x v="2"/>
  </r>
  <r>
    <x v="55"/>
    <x v="36"/>
    <x v="6"/>
    <x v="6"/>
    <x v="0"/>
    <x v="28"/>
    <x v="33"/>
    <x v="94"/>
    <x v="1484"/>
    <x v="0"/>
    <s v="NEGOCIOS"/>
    <x v="2"/>
  </r>
  <r>
    <x v="55"/>
    <x v="159"/>
    <x v="0"/>
    <x v="0"/>
    <x v="0"/>
    <x v="28"/>
    <x v="32"/>
    <x v="177"/>
    <x v="1"/>
    <x v="407"/>
    <s v="NEGOCIOS"/>
    <x v="2"/>
  </r>
  <r>
    <x v="55"/>
    <x v="46"/>
    <x v="0"/>
    <x v="0"/>
    <x v="0"/>
    <x v="28"/>
    <x v="32"/>
    <x v="155"/>
    <x v="1485"/>
    <x v="0"/>
    <s v="NEGOCIOS"/>
    <x v="2"/>
  </r>
  <r>
    <x v="55"/>
    <x v="92"/>
    <x v="0"/>
    <x v="0"/>
    <x v="0"/>
    <x v="28"/>
    <x v="33"/>
    <x v="109"/>
    <x v="849"/>
    <x v="0"/>
    <s v="NEGOCIOS"/>
    <x v="2"/>
  </r>
  <r>
    <x v="55"/>
    <x v="20"/>
    <x v="5"/>
    <x v="5"/>
    <x v="0"/>
    <x v="28"/>
    <x v="33"/>
    <x v="45"/>
    <x v="1486"/>
    <x v="0"/>
    <s v="NEGOCIOS"/>
    <x v="2"/>
  </r>
  <r>
    <x v="55"/>
    <x v="1"/>
    <x v="1"/>
    <x v="1"/>
    <x v="0"/>
    <x v="28"/>
    <x v="1"/>
    <x v="1"/>
    <x v="1"/>
    <x v="408"/>
    <s v="NEGOCIOS"/>
    <x v="2"/>
  </r>
  <r>
    <x v="55"/>
    <x v="112"/>
    <x v="2"/>
    <x v="2"/>
    <x v="0"/>
    <x v="29"/>
    <x v="33"/>
    <x v="209"/>
    <x v="1487"/>
    <x v="0"/>
    <s v="NEGOCIOS"/>
    <x v="2"/>
  </r>
  <r>
    <x v="55"/>
    <x v="36"/>
    <x v="6"/>
    <x v="6"/>
    <x v="0"/>
    <x v="29"/>
    <x v="33"/>
    <x v="94"/>
    <x v="1488"/>
    <x v="0"/>
    <s v="NEGOCIOS"/>
    <x v="2"/>
  </r>
  <r>
    <x v="55"/>
    <x v="71"/>
    <x v="6"/>
    <x v="6"/>
    <x v="0"/>
    <x v="29"/>
    <x v="33"/>
    <x v="37"/>
    <x v="1489"/>
    <x v="0"/>
    <s v="NEGOCIOS"/>
    <x v="2"/>
  </r>
  <r>
    <x v="55"/>
    <x v="15"/>
    <x v="6"/>
    <x v="6"/>
    <x v="0"/>
    <x v="29"/>
    <x v="33"/>
    <x v="216"/>
    <x v="1490"/>
    <x v="0"/>
    <s v="NEGOCIOS"/>
    <x v="2"/>
  </r>
  <r>
    <x v="55"/>
    <x v="27"/>
    <x v="3"/>
    <x v="3"/>
    <x v="0"/>
    <x v="29"/>
    <x v="33"/>
    <x v="43"/>
    <x v="1491"/>
    <x v="0"/>
    <s v="NEGOCIOS"/>
    <x v="2"/>
  </r>
  <r>
    <x v="55"/>
    <x v="18"/>
    <x v="3"/>
    <x v="3"/>
    <x v="0"/>
    <x v="29"/>
    <x v="33"/>
    <x v="219"/>
    <x v="1492"/>
    <x v="0"/>
    <s v="NEGOCIOS"/>
    <x v="2"/>
  </r>
  <r>
    <x v="55"/>
    <x v="44"/>
    <x v="3"/>
    <x v="3"/>
    <x v="0"/>
    <x v="29"/>
    <x v="33"/>
    <x v="191"/>
    <x v="876"/>
    <x v="0"/>
    <s v="NEGOCIOS"/>
    <x v="2"/>
  </r>
  <r>
    <x v="55"/>
    <x v="132"/>
    <x v="4"/>
    <x v="4"/>
    <x v="0"/>
    <x v="29"/>
    <x v="33"/>
    <x v="95"/>
    <x v="1493"/>
    <x v="0"/>
    <s v="NEGOCIOS"/>
    <x v="2"/>
  </r>
  <r>
    <x v="55"/>
    <x v="154"/>
    <x v="4"/>
    <x v="4"/>
    <x v="0"/>
    <x v="29"/>
    <x v="33"/>
    <x v="143"/>
    <x v="1494"/>
    <x v="0"/>
    <s v="NEGOCIOS"/>
    <x v="2"/>
  </r>
  <r>
    <x v="55"/>
    <x v="77"/>
    <x v="5"/>
    <x v="5"/>
    <x v="0"/>
    <x v="29"/>
    <x v="33"/>
    <x v="156"/>
    <x v="1495"/>
    <x v="0"/>
    <s v="NEGOCIOS"/>
    <x v="2"/>
  </r>
  <r>
    <x v="55"/>
    <x v="98"/>
    <x v="1"/>
    <x v="1"/>
    <x v="0"/>
    <x v="29"/>
    <x v="32"/>
    <x v="198"/>
    <x v="1496"/>
    <x v="0"/>
    <s v="NEGOCIOS"/>
    <x v="2"/>
  </r>
  <r>
    <x v="55"/>
    <x v="1"/>
    <x v="1"/>
    <x v="1"/>
    <x v="0"/>
    <x v="29"/>
    <x v="1"/>
    <x v="1"/>
    <x v="1"/>
    <x v="409"/>
    <s v="NEGOCIOS"/>
    <x v="2"/>
  </r>
  <r>
    <x v="55"/>
    <x v="84"/>
    <x v="2"/>
    <x v="2"/>
    <x v="0"/>
    <x v="16"/>
    <x v="33"/>
    <x v="203"/>
    <x v="1497"/>
    <x v="0"/>
    <s v="NEGOCIOS"/>
    <x v="2"/>
  </r>
  <r>
    <x v="55"/>
    <x v="142"/>
    <x v="0"/>
    <x v="0"/>
    <x v="0"/>
    <x v="16"/>
    <x v="33"/>
    <x v="119"/>
    <x v="1498"/>
    <x v="0"/>
    <s v="NEGOCIOS"/>
    <x v="2"/>
  </r>
  <r>
    <x v="55"/>
    <x v="1"/>
    <x v="1"/>
    <x v="1"/>
    <x v="0"/>
    <x v="16"/>
    <x v="1"/>
    <x v="1"/>
    <x v="1"/>
    <x v="410"/>
    <s v="NEGOCIOS"/>
    <x v="2"/>
  </r>
  <r>
    <x v="55"/>
    <x v="133"/>
    <x v="2"/>
    <x v="2"/>
    <x v="0"/>
    <x v="30"/>
    <x v="32"/>
    <x v="254"/>
    <x v="1499"/>
    <x v="0"/>
    <s v="NEGOCIOS"/>
    <x v="2"/>
  </r>
  <r>
    <x v="55"/>
    <x v="86"/>
    <x v="6"/>
    <x v="6"/>
    <x v="0"/>
    <x v="30"/>
    <x v="32"/>
    <x v="224"/>
    <x v="1500"/>
    <x v="0"/>
    <s v="NEGOCIOS"/>
    <x v="2"/>
  </r>
  <r>
    <x v="55"/>
    <x v="108"/>
    <x v="3"/>
    <x v="3"/>
    <x v="0"/>
    <x v="30"/>
    <x v="32"/>
    <x v="63"/>
    <x v="1501"/>
    <x v="0"/>
    <s v="NEGOCIOS"/>
    <x v="2"/>
  </r>
  <r>
    <x v="55"/>
    <x v="68"/>
    <x v="4"/>
    <x v="4"/>
    <x v="0"/>
    <x v="30"/>
    <x v="32"/>
    <x v="222"/>
    <x v="1502"/>
    <x v="0"/>
    <s v="NEGOCIOS"/>
    <x v="2"/>
  </r>
  <r>
    <x v="55"/>
    <x v="50"/>
    <x v="4"/>
    <x v="4"/>
    <x v="0"/>
    <x v="30"/>
    <x v="32"/>
    <x v="77"/>
    <x v="1215"/>
    <x v="0"/>
    <s v="NEGOCIOS"/>
    <x v="2"/>
  </r>
  <r>
    <x v="55"/>
    <x v="115"/>
    <x v="5"/>
    <x v="5"/>
    <x v="0"/>
    <x v="30"/>
    <x v="32"/>
    <x v="213"/>
    <x v="1503"/>
    <x v="0"/>
    <s v="NEGOCIOS"/>
    <x v="2"/>
  </r>
  <r>
    <x v="55"/>
    <x v="153"/>
    <x v="5"/>
    <x v="5"/>
    <x v="0"/>
    <x v="30"/>
    <x v="32"/>
    <x v="157"/>
    <x v="1504"/>
    <x v="0"/>
    <s v="NEGOCIOS"/>
    <x v="2"/>
  </r>
  <r>
    <x v="55"/>
    <x v="40"/>
    <x v="1"/>
    <x v="1"/>
    <x v="0"/>
    <x v="30"/>
    <x v="32"/>
    <x v="125"/>
    <x v="1505"/>
    <x v="0"/>
    <s v="NEGOCIOS"/>
    <x v="2"/>
  </r>
  <r>
    <x v="55"/>
    <x v="1"/>
    <x v="1"/>
    <x v="1"/>
    <x v="0"/>
    <x v="30"/>
    <x v="1"/>
    <x v="1"/>
    <x v="1"/>
    <x v="411"/>
    <s v="NEGOCIOS"/>
    <x v="2"/>
  </r>
  <r>
    <x v="55"/>
    <x v="144"/>
    <x v="2"/>
    <x v="2"/>
    <x v="0"/>
    <x v="17"/>
    <x v="32"/>
    <x v="162"/>
    <x v="1506"/>
    <x v="0"/>
    <s v="NEGOCIOS"/>
    <x v="2"/>
  </r>
  <r>
    <x v="55"/>
    <x v="71"/>
    <x v="6"/>
    <x v="6"/>
    <x v="0"/>
    <x v="17"/>
    <x v="32"/>
    <x v="37"/>
    <x v="1507"/>
    <x v="0"/>
    <s v="NEGOCIOS"/>
    <x v="2"/>
  </r>
  <r>
    <x v="55"/>
    <x v="21"/>
    <x v="6"/>
    <x v="6"/>
    <x v="0"/>
    <x v="17"/>
    <x v="32"/>
    <x v="70"/>
    <x v="1508"/>
    <x v="0"/>
    <s v="NEGOCIOS"/>
    <x v="2"/>
  </r>
  <r>
    <x v="55"/>
    <x v="23"/>
    <x v="3"/>
    <x v="3"/>
    <x v="0"/>
    <x v="17"/>
    <x v="32"/>
    <x v="221"/>
    <x v="1509"/>
    <x v="0"/>
    <s v="NEGOCIOS"/>
    <x v="2"/>
  </r>
  <r>
    <x v="55"/>
    <x v="50"/>
    <x v="4"/>
    <x v="4"/>
    <x v="0"/>
    <x v="17"/>
    <x v="32"/>
    <x v="77"/>
    <x v="1510"/>
    <x v="0"/>
    <s v="NEGOCIOS"/>
    <x v="2"/>
  </r>
  <r>
    <x v="55"/>
    <x v="50"/>
    <x v="4"/>
    <x v="4"/>
    <x v="0"/>
    <x v="17"/>
    <x v="33"/>
    <x v="77"/>
    <x v="1511"/>
    <x v="0"/>
    <s v="NEGOCIOS"/>
    <x v="2"/>
  </r>
  <r>
    <x v="55"/>
    <x v="89"/>
    <x v="4"/>
    <x v="4"/>
    <x v="0"/>
    <x v="17"/>
    <x v="32"/>
    <x v="154"/>
    <x v="1512"/>
    <x v="0"/>
    <s v="NEGOCIOS"/>
    <x v="2"/>
  </r>
  <r>
    <x v="55"/>
    <x v="0"/>
    <x v="0"/>
    <x v="0"/>
    <x v="0"/>
    <x v="17"/>
    <x v="32"/>
    <x v="197"/>
    <x v="1513"/>
    <x v="0"/>
    <s v="NEGOCIOS"/>
    <x v="2"/>
  </r>
  <r>
    <x v="55"/>
    <x v="46"/>
    <x v="0"/>
    <x v="0"/>
    <x v="0"/>
    <x v="17"/>
    <x v="32"/>
    <x v="155"/>
    <x v="1514"/>
    <x v="0"/>
    <s v="NEGOCIOS"/>
    <x v="2"/>
  </r>
  <r>
    <x v="55"/>
    <x v="13"/>
    <x v="5"/>
    <x v="5"/>
    <x v="0"/>
    <x v="17"/>
    <x v="32"/>
    <x v="120"/>
    <x v="1515"/>
    <x v="0"/>
    <s v="NEGOCIOS"/>
    <x v="2"/>
  </r>
  <r>
    <x v="55"/>
    <x v="141"/>
    <x v="5"/>
    <x v="5"/>
    <x v="0"/>
    <x v="17"/>
    <x v="32"/>
    <x v="185"/>
    <x v="1516"/>
    <x v="0"/>
    <s v="NEGOCIOS"/>
    <x v="2"/>
  </r>
  <r>
    <x v="55"/>
    <x v="155"/>
    <x v="1"/>
    <x v="1"/>
    <x v="0"/>
    <x v="17"/>
    <x v="32"/>
    <x v="145"/>
    <x v="1517"/>
    <x v="0"/>
    <s v="NEGOCIOS"/>
    <x v="2"/>
  </r>
  <r>
    <x v="55"/>
    <x v="98"/>
    <x v="1"/>
    <x v="1"/>
    <x v="0"/>
    <x v="17"/>
    <x v="32"/>
    <x v="198"/>
    <x v="1518"/>
    <x v="0"/>
    <s v="NEGOCIOS"/>
    <x v="2"/>
  </r>
  <r>
    <x v="55"/>
    <x v="1"/>
    <x v="1"/>
    <x v="1"/>
    <x v="0"/>
    <x v="17"/>
    <x v="1"/>
    <x v="1"/>
    <x v="1"/>
    <x v="412"/>
    <s v="NEGOCIOS"/>
    <x v="2"/>
  </r>
  <r>
    <x v="55"/>
    <x v="1"/>
    <x v="1"/>
    <x v="1"/>
    <x v="0"/>
    <x v="31"/>
    <x v="1"/>
    <x v="1"/>
    <x v="1"/>
    <x v="413"/>
    <s v="NEGOCIOS"/>
    <x v="2"/>
  </r>
  <r>
    <x v="55"/>
    <x v="85"/>
    <x v="2"/>
    <x v="2"/>
    <x v="0"/>
    <x v="32"/>
    <x v="32"/>
    <x v="161"/>
    <x v="1519"/>
    <x v="0"/>
    <s v="NEGOCIOS"/>
    <x v="2"/>
  </r>
  <r>
    <x v="55"/>
    <x v="17"/>
    <x v="2"/>
    <x v="2"/>
    <x v="0"/>
    <x v="32"/>
    <x v="33"/>
    <x v="150"/>
    <x v="136"/>
    <x v="0"/>
    <s v="NEGOCIOS"/>
    <x v="2"/>
  </r>
  <r>
    <x v="55"/>
    <x v="102"/>
    <x v="6"/>
    <x v="6"/>
    <x v="0"/>
    <x v="32"/>
    <x v="32"/>
    <x v="141"/>
    <x v="1520"/>
    <x v="0"/>
    <s v="NEGOCIOS"/>
    <x v="2"/>
  </r>
  <r>
    <x v="55"/>
    <x v="21"/>
    <x v="6"/>
    <x v="6"/>
    <x v="0"/>
    <x v="32"/>
    <x v="32"/>
    <x v="70"/>
    <x v="1521"/>
    <x v="0"/>
    <s v="NEGOCIOS"/>
    <x v="2"/>
  </r>
  <r>
    <x v="55"/>
    <x v="23"/>
    <x v="3"/>
    <x v="3"/>
    <x v="0"/>
    <x v="32"/>
    <x v="32"/>
    <x v="221"/>
    <x v="1505"/>
    <x v="0"/>
    <s v="NEGOCIOS"/>
    <x v="2"/>
  </r>
  <r>
    <x v="55"/>
    <x v="99"/>
    <x v="3"/>
    <x v="3"/>
    <x v="0"/>
    <x v="32"/>
    <x v="33"/>
    <x v="116"/>
    <x v="1522"/>
    <x v="0"/>
    <s v="NEGOCIOS"/>
    <x v="2"/>
  </r>
  <r>
    <x v="55"/>
    <x v="1"/>
    <x v="1"/>
    <x v="1"/>
    <x v="0"/>
    <x v="32"/>
    <x v="1"/>
    <x v="1"/>
    <x v="1"/>
    <x v="414"/>
    <s v="NEGOCIOS"/>
    <x v="2"/>
  </r>
  <r>
    <x v="55"/>
    <x v="156"/>
    <x v="4"/>
    <x v="4"/>
    <x v="0"/>
    <x v="33"/>
    <x v="32"/>
    <x v="146"/>
    <x v="1523"/>
    <x v="0"/>
    <s v="NEGOCIOS"/>
    <x v="2"/>
  </r>
  <r>
    <x v="55"/>
    <x v="98"/>
    <x v="1"/>
    <x v="1"/>
    <x v="0"/>
    <x v="33"/>
    <x v="33"/>
    <x v="198"/>
    <x v="899"/>
    <x v="0"/>
    <s v="NEGOCIOS"/>
    <x v="2"/>
  </r>
  <r>
    <x v="55"/>
    <x v="1"/>
    <x v="1"/>
    <x v="1"/>
    <x v="0"/>
    <x v="33"/>
    <x v="1"/>
    <x v="1"/>
    <x v="1"/>
    <x v="415"/>
    <s v="NEGOCIOS"/>
    <x v="2"/>
  </r>
  <r>
    <x v="55"/>
    <x v="111"/>
    <x v="2"/>
    <x v="2"/>
    <x v="0"/>
    <x v="18"/>
    <x v="33"/>
    <x v="75"/>
    <x v="736"/>
    <x v="0"/>
    <s v="NEGOCIOS"/>
    <x v="2"/>
  </r>
  <r>
    <x v="55"/>
    <x v="60"/>
    <x v="3"/>
    <x v="3"/>
    <x v="0"/>
    <x v="18"/>
    <x v="33"/>
    <x v="57"/>
    <x v="585"/>
    <x v="0"/>
    <s v="NEGOCIOS"/>
    <x v="2"/>
  </r>
  <r>
    <x v="55"/>
    <x v="161"/>
    <x v="1"/>
    <x v="1"/>
    <x v="0"/>
    <x v="18"/>
    <x v="33"/>
    <x v="186"/>
    <x v="1524"/>
    <x v="0"/>
    <s v="NEGOCIOS"/>
    <x v="2"/>
  </r>
  <r>
    <x v="55"/>
    <x v="1"/>
    <x v="1"/>
    <x v="1"/>
    <x v="0"/>
    <x v="18"/>
    <x v="1"/>
    <x v="1"/>
    <x v="1"/>
    <x v="416"/>
    <s v="NEGOCIOS"/>
    <x v="2"/>
  </r>
  <r>
    <x v="56"/>
    <x v="160"/>
    <x v="0"/>
    <x v="0"/>
    <x v="0"/>
    <x v="2"/>
    <x v="32"/>
    <x v="179"/>
    <x v="1525"/>
    <x v="0"/>
    <s v="BOULEVARD EL DORADO"/>
    <x v="2"/>
  </r>
  <r>
    <x v="56"/>
    <x v="1"/>
    <x v="1"/>
    <x v="1"/>
    <x v="0"/>
    <x v="2"/>
    <x v="1"/>
    <x v="1"/>
    <x v="1"/>
    <x v="417"/>
    <s v="BOULEVARD EL DORADO"/>
    <x v="2"/>
  </r>
  <r>
    <x v="56"/>
    <x v="47"/>
    <x v="2"/>
    <x v="2"/>
    <x v="0"/>
    <x v="0"/>
    <x v="33"/>
    <x v="68"/>
    <x v="874"/>
    <x v="0"/>
    <s v="BOULEVARD EL DORADO"/>
    <x v="2"/>
  </r>
  <r>
    <x v="56"/>
    <x v="144"/>
    <x v="2"/>
    <x v="2"/>
    <x v="0"/>
    <x v="0"/>
    <x v="33"/>
    <x v="162"/>
    <x v="759"/>
    <x v="0"/>
    <s v="BOULEVARD EL DORADO"/>
    <x v="2"/>
  </r>
  <r>
    <x v="56"/>
    <x v="65"/>
    <x v="6"/>
    <x v="6"/>
    <x v="0"/>
    <x v="0"/>
    <x v="33"/>
    <x v="190"/>
    <x v="759"/>
    <x v="0"/>
    <s v="BOULEVARD EL DORADO"/>
    <x v="2"/>
  </r>
  <r>
    <x v="56"/>
    <x v="96"/>
    <x v="6"/>
    <x v="6"/>
    <x v="0"/>
    <x v="0"/>
    <x v="33"/>
    <x v="165"/>
    <x v="759"/>
    <x v="0"/>
    <s v="BOULEVARD EL DORADO"/>
    <x v="2"/>
  </r>
  <r>
    <x v="56"/>
    <x v="99"/>
    <x v="3"/>
    <x v="3"/>
    <x v="0"/>
    <x v="0"/>
    <x v="33"/>
    <x v="116"/>
    <x v="759"/>
    <x v="0"/>
    <s v="BOULEVARD EL DORADO"/>
    <x v="2"/>
  </r>
  <r>
    <x v="56"/>
    <x v="132"/>
    <x v="4"/>
    <x v="4"/>
    <x v="0"/>
    <x v="0"/>
    <x v="33"/>
    <x v="95"/>
    <x v="759"/>
    <x v="0"/>
    <s v="BOULEVARD EL DORADO"/>
    <x v="2"/>
  </r>
  <r>
    <x v="56"/>
    <x v="154"/>
    <x v="4"/>
    <x v="4"/>
    <x v="0"/>
    <x v="0"/>
    <x v="33"/>
    <x v="143"/>
    <x v="765"/>
    <x v="0"/>
    <s v="BOULEVARD EL DORADO"/>
    <x v="2"/>
  </r>
  <r>
    <x v="56"/>
    <x v="31"/>
    <x v="4"/>
    <x v="4"/>
    <x v="0"/>
    <x v="0"/>
    <x v="33"/>
    <x v="72"/>
    <x v="874"/>
    <x v="0"/>
    <s v="BOULEVARD EL DORADO"/>
    <x v="2"/>
  </r>
  <r>
    <x v="56"/>
    <x v="57"/>
    <x v="0"/>
    <x v="0"/>
    <x v="0"/>
    <x v="0"/>
    <x v="33"/>
    <x v="44"/>
    <x v="874"/>
    <x v="0"/>
    <s v="BOULEVARD EL DORADO"/>
    <x v="2"/>
  </r>
  <r>
    <x v="56"/>
    <x v="45"/>
    <x v="0"/>
    <x v="0"/>
    <x v="0"/>
    <x v="0"/>
    <x v="33"/>
    <x v="180"/>
    <x v="1182"/>
    <x v="0"/>
    <s v="BOULEVARD EL DORADO"/>
    <x v="2"/>
  </r>
  <r>
    <x v="56"/>
    <x v="92"/>
    <x v="0"/>
    <x v="0"/>
    <x v="0"/>
    <x v="0"/>
    <x v="33"/>
    <x v="109"/>
    <x v="874"/>
    <x v="0"/>
    <s v="BOULEVARD EL DORADO"/>
    <x v="2"/>
  </r>
  <r>
    <x v="56"/>
    <x v="136"/>
    <x v="0"/>
    <x v="0"/>
    <x v="0"/>
    <x v="0"/>
    <x v="33"/>
    <x v="100"/>
    <x v="146"/>
    <x v="0"/>
    <s v="BOULEVARD EL DORADO"/>
    <x v="2"/>
  </r>
  <r>
    <x v="56"/>
    <x v="97"/>
    <x v="5"/>
    <x v="5"/>
    <x v="0"/>
    <x v="0"/>
    <x v="33"/>
    <x v="183"/>
    <x v="1132"/>
    <x v="0"/>
    <s v="BOULEVARD EL DORADO"/>
    <x v="2"/>
  </r>
  <r>
    <x v="56"/>
    <x v="77"/>
    <x v="5"/>
    <x v="5"/>
    <x v="0"/>
    <x v="0"/>
    <x v="33"/>
    <x v="156"/>
    <x v="759"/>
    <x v="0"/>
    <s v="BOULEVARD EL DORADO"/>
    <x v="2"/>
  </r>
  <r>
    <x v="56"/>
    <x v="139"/>
    <x v="5"/>
    <x v="5"/>
    <x v="0"/>
    <x v="0"/>
    <x v="33"/>
    <x v="110"/>
    <x v="759"/>
    <x v="0"/>
    <s v="BOULEVARD EL DORADO"/>
    <x v="2"/>
  </r>
  <r>
    <x v="56"/>
    <x v="63"/>
    <x v="5"/>
    <x v="5"/>
    <x v="0"/>
    <x v="0"/>
    <x v="33"/>
    <x v="111"/>
    <x v="874"/>
    <x v="0"/>
    <s v="BOULEVARD EL DORADO"/>
    <x v="2"/>
  </r>
  <r>
    <x v="56"/>
    <x v="40"/>
    <x v="1"/>
    <x v="1"/>
    <x v="0"/>
    <x v="0"/>
    <x v="33"/>
    <x v="125"/>
    <x v="146"/>
    <x v="0"/>
    <s v="BOULEVARD EL DORADO"/>
    <x v="2"/>
  </r>
  <r>
    <x v="56"/>
    <x v="42"/>
    <x v="1"/>
    <x v="1"/>
    <x v="0"/>
    <x v="0"/>
    <x v="33"/>
    <x v="167"/>
    <x v="765"/>
    <x v="0"/>
    <s v="BOULEVARD EL DORADO"/>
    <x v="2"/>
  </r>
  <r>
    <x v="56"/>
    <x v="101"/>
    <x v="1"/>
    <x v="1"/>
    <x v="0"/>
    <x v="0"/>
    <x v="33"/>
    <x v="207"/>
    <x v="874"/>
    <x v="0"/>
    <s v="BOULEVARD EL DORADO"/>
    <x v="2"/>
  </r>
  <r>
    <x v="56"/>
    <x v="152"/>
    <x v="1"/>
    <x v="1"/>
    <x v="0"/>
    <x v="0"/>
    <x v="33"/>
    <x v="194"/>
    <x v="874"/>
    <x v="0"/>
    <s v="BOULEVARD EL DORADO"/>
    <x v="2"/>
  </r>
  <r>
    <x v="56"/>
    <x v="1"/>
    <x v="1"/>
    <x v="1"/>
    <x v="0"/>
    <x v="0"/>
    <x v="1"/>
    <x v="1"/>
    <x v="1"/>
    <x v="418"/>
    <s v="BOULEVARD EL DORADO"/>
    <x v="2"/>
  </r>
  <r>
    <x v="56"/>
    <x v="102"/>
    <x v="6"/>
    <x v="6"/>
    <x v="0"/>
    <x v="1"/>
    <x v="33"/>
    <x v="141"/>
    <x v="874"/>
    <x v="0"/>
    <s v="BOULEVARD EL DORADO"/>
    <x v="2"/>
  </r>
  <r>
    <x v="56"/>
    <x v="96"/>
    <x v="6"/>
    <x v="6"/>
    <x v="0"/>
    <x v="1"/>
    <x v="33"/>
    <x v="165"/>
    <x v="874"/>
    <x v="0"/>
    <s v="BOULEVARD EL DORADO"/>
    <x v="2"/>
  </r>
  <r>
    <x v="56"/>
    <x v="30"/>
    <x v="4"/>
    <x v="4"/>
    <x v="0"/>
    <x v="1"/>
    <x v="33"/>
    <x v="159"/>
    <x v="874"/>
    <x v="0"/>
    <s v="BOULEVARD EL DORADO"/>
    <x v="2"/>
  </r>
  <r>
    <x v="56"/>
    <x v="31"/>
    <x v="4"/>
    <x v="4"/>
    <x v="0"/>
    <x v="1"/>
    <x v="33"/>
    <x v="72"/>
    <x v="874"/>
    <x v="0"/>
    <s v="BOULEVARD EL DORADO"/>
    <x v="2"/>
  </r>
  <r>
    <x v="56"/>
    <x v="92"/>
    <x v="0"/>
    <x v="0"/>
    <x v="0"/>
    <x v="1"/>
    <x v="33"/>
    <x v="109"/>
    <x v="874"/>
    <x v="0"/>
    <s v="BOULEVARD EL DORADO"/>
    <x v="2"/>
  </r>
  <r>
    <x v="56"/>
    <x v="136"/>
    <x v="0"/>
    <x v="0"/>
    <x v="0"/>
    <x v="1"/>
    <x v="33"/>
    <x v="100"/>
    <x v="874"/>
    <x v="0"/>
    <s v="BOULEVARD EL DORADO"/>
    <x v="2"/>
  </r>
  <r>
    <x v="56"/>
    <x v="76"/>
    <x v="5"/>
    <x v="5"/>
    <x v="0"/>
    <x v="1"/>
    <x v="33"/>
    <x v="182"/>
    <x v="874"/>
    <x v="0"/>
    <s v="BOULEVARD EL DORADO"/>
    <x v="2"/>
  </r>
  <r>
    <x v="56"/>
    <x v="95"/>
    <x v="1"/>
    <x v="1"/>
    <x v="0"/>
    <x v="1"/>
    <x v="33"/>
    <x v="97"/>
    <x v="759"/>
    <x v="0"/>
    <s v="BOULEVARD EL DORADO"/>
    <x v="2"/>
  </r>
  <r>
    <x v="56"/>
    <x v="101"/>
    <x v="1"/>
    <x v="1"/>
    <x v="0"/>
    <x v="1"/>
    <x v="33"/>
    <x v="207"/>
    <x v="874"/>
    <x v="0"/>
    <s v="BOULEVARD EL DORADO"/>
    <x v="2"/>
  </r>
  <r>
    <x v="56"/>
    <x v="1"/>
    <x v="1"/>
    <x v="1"/>
    <x v="0"/>
    <x v="1"/>
    <x v="1"/>
    <x v="1"/>
    <x v="1"/>
    <x v="365"/>
    <s v="BOULEVARD EL DORADO"/>
    <x v="2"/>
  </r>
  <r>
    <x v="57"/>
    <x v="144"/>
    <x v="2"/>
    <x v="2"/>
    <x v="0"/>
    <x v="2"/>
    <x v="33"/>
    <x v="162"/>
    <x v="874"/>
    <x v="0"/>
    <s v="SAN SEBASTIAN"/>
    <x v="2"/>
  </r>
  <r>
    <x v="57"/>
    <x v="116"/>
    <x v="0"/>
    <x v="0"/>
    <x v="0"/>
    <x v="2"/>
    <x v="33"/>
    <x v="64"/>
    <x v="874"/>
    <x v="0"/>
    <s v="SAN SEBASTIAN"/>
    <x v="2"/>
  </r>
  <r>
    <x v="57"/>
    <x v="1"/>
    <x v="1"/>
    <x v="1"/>
    <x v="0"/>
    <x v="2"/>
    <x v="1"/>
    <x v="1"/>
    <x v="1"/>
    <x v="349"/>
    <s v="SAN SEBASTIAN"/>
    <x v="2"/>
  </r>
  <r>
    <x v="57"/>
    <x v="70"/>
    <x v="2"/>
    <x v="2"/>
    <x v="0"/>
    <x v="0"/>
    <x v="33"/>
    <x v="36"/>
    <x v="934"/>
    <x v="0"/>
    <s v="SAN SEBASTIAN"/>
    <x v="2"/>
  </r>
  <r>
    <x v="57"/>
    <x v="16"/>
    <x v="2"/>
    <x v="2"/>
    <x v="0"/>
    <x v="0"/>
    <x v="33"/>
    <x v="93"/>
    <x v="759"/>
    <x v="0"/>
    <s v="SAN SEBASTIAN"/>
    <x v="2"/>
  </r>
  <r>
    <x v="57"/>
    <x v="47"/>
    <x v="2"/>
    <x v="2"/>
    <x v="0"/>
    <x v="0"/>
    <x v="33"/>
    <x v="68"/>
    <x v="759"/>
    <x v="0"/>
    <s v="SAN SEBASTIAN"/>
    <x v="2"/>
  </r>
  <r>
    <x v="57"/>
    <x v="118"/>
    <x v="2"/>
    <x v="2"/>
    <x v="0"/>
    <x v="0"/>
    <x v="33"/>
    <x v="69"/>
    <x v="899"/>
    <x v="0"/>
    <s v="SAN SEBASTIAN"/>
    <x v="2"/>
  </r>
  <r>
    <x v="57"/>
    <x v="107"/>
    <x v="2"/>
    <x v="2"/>
    <x v="0"/>
    <x v="0"/>
    <x v="33"/>
    <x v="158"/>
    <x v="874"/>
    <x v="0"/>
    <s v="SAN SEBASTIAN"/>
    <x v="2"/>
  </r>
  <r>
    <x v="57"/>
    <x v="144"/>
    <x v="2"/>
    <x v="2"/>
    <x v="0"/>
    <x v="0"/>
    <x v="33"/>
    <x v="162"/>
    <x v="859"/>
    <x v="0"/>
    <s v="SAN SEBASTIAN"/>
    <x v="2"/>
  </r>
  <r>
    <x v="57"/>
    <x v="84"/>
    <x v="2"/>
    <x v="2"/>
    <x v="0"/>
    <x v="0"/>
    <x v="33"/>
    <x v="203"/>
    <x v="759"/>
    <x v="0"/>
    <s v="SAN SEBASTIAN"/>
    <x v="2"/>
  </r>
  <r>
    <x v="57"/>
    <x v="2"/>
    <x v="2"/>
    <x v="2"/>
    <x v="0"/>
    <x v="0"/>
    <x v="33"/>
    <x v="140"/>
    <x v="759"/>
    <x v="0"/>
    <s v="SAN SEBASTIAN"/>
    <x v="2"/>
  </r>
  <r>
    <x v="57"/>
    <x v="110"/>
    <x v="2"/>
    <x v="2"/>
    <x v="0"/>
    <x v="0"/>
    <x v="33"/>
    <x v="171"/>
    <x v="146"/>
    <x v="0"/>
    <s v="SAN SEBASTIAN"/>
    <x v="2"/>
  </r>
  <r>
    <x v="57"/>
    <x v="129"/>
    <x v="2"/>
    <x v="2"/>
    <x v="0"/>
    <x v="0"/>
    <x v="33"/>
    <x v="204"/>
    <x v="146"/>
    <x v="0"/>
    <s v="SAN SEBASTIAN"/>
    <x v="2"/>
  </r>
  <r>
    <x v="57"/>
    <x v="111"/>
    <x v="2"/>
    <x v="2"/>
    <x v="0"/>
    <x v="0"/>
    <x v="33"/>
    <x v="75"/>
    <x v="874"/>
    <x v="0"/>
    <s v="SAN SEBASTIAN"/>
    <x v="2"/>
  </r>
  <r>
    <x v="57"/>
    <x v="146"/>
    <x v="6"/>
    <x v="6"/>
    <x v="0"/>
    <x v="0"/>
    <x v="33"/>
    <x v="172"/>
    <x v="934"/>
    <x v="0"/>
    <s v="SAN SEBASTIAN"/>
    <x v="2"/>
  </r>
  <r>
    <x v="57"/>
    <x v="65"/>
    <x v="6"/>
    <x v="6"/>
    <x v="0"/>
    <x v="0"/>
    <x v="33"/>
    <x v="190"/>
    <x v="874"/>
    <x v="0"/>
    <s v="SAN SEBASTIAN"/>
    <x v="2"/>
  </r>
  <r>
    <x v="57"/>
    <x v="36"/>
    <x v="6"/>
    <x v="6"/>
    <x v="0"/>
    <x v="0"/>
    <x v="33"/>
    <x v="94"/>
    <x v="146"/>
    <x v="0"/>
    <s v="SAN SEBASTIAN"/>
    <x v="2"/>
  </r>
  <r>
    <x v="57"/>
    <x v="87"/>
    <x v="6"/>
    <x v="6"/>
    <x v="0"/>
    <x v="0"/>
    <x v="33"/>
    <x v="189"/>
    <x v="146"/>
    <x v="0"/>
    <s v="SAN SEBASTIAN"/>
    <x v="2"/>
  </r>
  <r>
    <x v="57"/>
    <x v="71"/>
    <x v="6"/>
    <x v="6"/>
    <x v="0"/>
    <x v="0"/>
    <x v="33"/>
    <x v="37"/>
    <x v="759"/>
    <x v="0"/>
    <s v="SAN SEBASTIAN"/>
    <x v="2"/>
  </r>
  <r>
    <x v="57"/>
    <x v="163"/>
    <x v="6"/>
    <x v="6"/>
    <x v="0"/>
    <x v="0"/>
    <x v="33"/>
    <x v="195"/>
    <x v="759"/>
    <x v="0"/>
    <s v="SAN SEBASTIAN"/>
    <x v="2"/>
  </r>
  <r>
    <x v="57"/>
    <x v="169"/>
    <x v="6"/>
    <x v="6"/>
    <x v="0"/>
    <x v="0"/>
    <x v="33"/>
    <x v="249"/>
    <x v="934"/>
    <x v="0"/>
    <s v="SAN SEBASTIAN"/>
    <x v="2"/>
  </r>
  <r>
    <x v="57"/>
    <x v="134"/>
    <x v="6"/>
    <x v="6"/>
    <x v="0"/>
    <x v="0"/>
    <x v="33"/>
    <x v="226"/>
    <x v="899"/>
    <x v="0"/>
    <s v="SAN SEBASTIAN"/>
    <x v="2"/>
  </r>
  <r>
    <x v="57"/>
    <x v="11"/>
    <x v="6"/>
    <x v="6"/>
    <x v="0"/>
    <x v="0"/>
    <x v="33"/>
    <x v="91"/>
    <x v="146"/>
    <x v="0"/>
    <s v="SAN SEBASTIAN"/>
    <x v="2"/>
  </r>
  <r>
    <x v="57"/>
    <x v="96"/>
    <x v="6"/>
    <x v="6"/>
    <x v="0"/>
    <x v="0"/>
    <x v="33"/>
    <x v="165"/>
    <x v="146"/>
    <x v="0"/>
    <s v="SAN SEBASTIAN"/>
    <x v="2"/>
  </r>
  <r>
    <x v="57"/>
    <x v="137"/>
    <x v="6"/>
    <x v="6"/>
    <x v="0"/>
    <x v="0"/>
    <x v="33"/>
    <x v="102"/>
    <x v="934"/>
    <x v="0"/>
    <s v="SAN SEBASTIAN"/>
    <x v="2"/>
  </r>
  <r>
    <x v="57"/>
    <x v="26"/>
    <x v="3"/>
    <x v="3"/>
    <x v="0"/>
    <x v="0"/>
    <x v="33"/>
    <x v="115"/>
    <x v="934"/>
    <x v="0"/>
    <s v="SAN SEBASTIAN"/>
    <x v="2"/>
  </r>
  <r>
    <x v="57"/>
    <x v="23"/>
    <x v="3"/>
    <x v="3"/>
    <x v="0"/>
    <x v="0"/>
    <x v="33"/>
    <x v="221"/>
    <x v="874"/>
    <x v="0"/>
    <s v="SAN SEBASTIAN"/>
    <x v="2"/>
  </r>
  <r>
    <x v="57"/>
    <x v="49"/>
    <x v="3"/>
    <x v="3"/>
    <x v="0"/>
    <x v="0"/>
    <x v="33"/>
    <x v="244"/>
    <x v="146"/>
    <x v="0"/>
    <s v="SAN SEBASTIAN"/>
    <x v="2"/>
  </r>
  <r>
    <x v="57"/>
    <x v="19"/>
    <x v="3"/>
    <x v="3"/>
    <x v="0"/>
    <x v="0"/>
    <x v="33"/>
    <x v="62"/>
    <x v="759"/>
    <x v="0"/>
    <s v="SAN SEBASTIAN"/>
    <x v="2"/>
  </r>
  <r>
    <x v="57"/>
    <x v="108"/>
    <x v="3"/>
    <x v="3"/>
    <x v="0"/>
    <x v="0"/>
    <x v="33"/>
    <x v="63"/>
    <x v="759"/>
    <x v="0"/>
    <s v="SAN SEBASTIAN"/>
    <x v="2"/>
  </r>
  <r>
    <x v="57"/>
    <x v="10"/>
    <x v="3"/>
    <x v="3"/>
    <x v="0"/>
    <x v="0"/>
    <x v="33"/>
    <x v="123"/>
    <x v="146"/>
    <x v="0"/>
    <s v="SAN SEBASTIAN"/>
    <x v="2"/>
  </r>
  <r>
    <x v="57"/>
    <x v="135"/>
    <x v="3"/>
    <x v="3"/>
    <x v="0"/>
    <x v="0"/>
    <x v="33"/>
    <x v="149"/>
    <x v="765"/>
    <x v="0"/>
    <s v="SAN SEBASTIAN"/>
    <x v="2"/>
  </r>
  <r>
    <x v="57"/>
    <x v="43"/>
    <x v="3"/>
    <x v="3"/>
    <x v="0"/>
    <x v="0"/>
    <x v="33"/>
    <x v="71"/>
    <x v="874"/>
    <x v="0"/>
    <s v="SAN SEBASTIAN"/>
    <x v="2"/>
  </r>
  <r>
    <x v="57"/>
    <x v="75"/>
    <x v="3"/>
    <x v="3"/>
    <x v="0"/>
    <x v="0"/>
    <x v="33"/>
    <x v="220"/>
    <x v="1215"/>
    <x v="0"/>
    <s v="SAN SEBASTIAN"/>
    <x v="2"/>
  </r>
  <r>
    <x v="57"/>
    <x v="148"/>
    <x v="3"/>
    <x v="3"/>
    <x v="0"/>
    <x v="0"/>
    <x v="33"/>
    <x v="174"/>
    <x v="874"/>
    <x v="0"/>
    <s v="SAN SEBASTIAN"/>
    <x v="2"/>
  </r>
  <r>
    <x v="57"/>
    <x v="79"/>
    <x v="3"/>
    <x v="3"/>
    <x v="0"/>
    <x v="0"/>
    <x v="33"/>
    <x v="142"/>
    <x v="759"/>
    <x v="0"/>
    <s v="SAN SEBASTIAN"/>
    <x v="2"/>
  </r>
  <r>
    <x v="57"/>
    <x v="56"/>
    <x v="3"/>
    <x v="3"/>
    <x v="0"/>
    <x v="0"/>
    <x v="33"/>
    <x v="153"/>
    <x v="765"/>
    <x v="0"/>
    <s v="SAN SEBASTIAN"/>
    <x v="2"/>
  </r>
  <r>
    <x v="57"/>
    <x v="99"/>
    <x v="3"/>
    <x v="3"/>
    <x v="0"/>
    <x v="0"/>
    <x v="33"/>
    <x v="116"/>
    <x v="759"/>
    <x v="0"/>
    <s v="SAN SEBASTIAN"/>
    <x v="2"/>
  </r>
  <r>
    <x v="57"/>
    <x v="44"/>
    <x v="3"/>
    <x v="3"/>
    <x v="0"/>
    <x v="0"/>
    <x v="33"/>
    <x v="191"/>
    <x v="874"/>
    <x v="0"/>
    <s v="SAN SEBASTIAN"/>
    <x v="2"/>
  </r>
  <r>
    <x v="57"/>
    <x v="131"/>
    <x v="3"/>
    <x v="3"/>
    <x v="0"/>
    <x v="0"/>
    <x v="33"/>
    <x v="163"/>
    <x v="759"/>
    <x v="0"/>
    <s v="SAN SEBASTIAN"/>
    <x v="2"/>
  </r>
  <r>
    <x v="57"/>
    <x v="81"/>
    <x v="4"/>
    <x v="4"/>
    <x v="0"/>
    <x v="0"/>
    <x v="33"/>
    <x v="175"/>
    <x v="1132"/>
    <x v="0"/>
    <s v="SAN SEBASTIAN"/>
    <x v="2"/>
  </r>
  <r>
    <x v="57"/>
    <x v="132"/>
    <x v="4"/>
    <x v="4"/>
    <x v="0"/>
    <x v="0"/>
    <x v="33"/>
    <x v="95"/>
    <x v="765"/>
    <x v="0"/>
    <s v="SAN SEBASTIAN"/>
    <x v="2"/>
  </r>
  <r>
    <x v="57"/>
    <x v="162"/>
    <x v="4"/>
    <x v="4"/>
    <x v="0"/>
    <x v="0"/>
    <x v="33"/>
    <x v="192"/>
    <x v="759"/>
    <x v="0"/>
    <s v="SAN SEBASTIAN"/>
    <x v="2"/>
  </r>
  <r>
    <x v="57"/>
    <x v="12"/>
    <x v="4"/>
    <x v="4"/>
    <x v="0"/>
    <x v="0"/>
    <x v="33"/>
    <x v="247"/>
    <x v="765"/>
    <x v="0"/>
    <s v="SAN SEBASTIAN"/>
    <x v="2"/>
  </r>
  <r>
    <x v="57"/>
    <x v="50"/>
    <x v="4"/>
    <x v="4"/>
    <x v="0"/>
    <x v="0"/>
    <x v="33"/>
    <x v="77"/>
    <x v="759"/>
    <x v="0"/>
    <s v="SAN SEBASTIAN"/>
    <x v="2"/>
  </r>
  <r>
    <x v="57"/>
    <x v="89"/>
    <x v="4"/>
    <x v="4"/>
    <x v="0"/>
    <x v="0"/>
    <x v="33"/>
    <x v="154"/>
    <x v="765"/>
    <x v="0"/>
    <s v="SAN SEBASTIAN"/>
    <x v="2"/>
  </r>
  <r>
    <x v="57"/>
    <x v="165"/>
    <x v="4"/>
    <x v="4"/>
    <x v="0"/>
    <x v="0"/>
    <x v="33"/>
    <x v="205"/>
    <x v="1182"/>
    <x v="0"/>
    <s v="SAN SEBASTIAN"/>
    <x v="2"/>
  </r>
  <r>
    <x v="57"/>
    <x v="62"/>
    <x v="4"/>
    <x v="4"/>
    <x v="0"/>
    <x v="0"/>
    <x v="33"/>
    <x v="176"/>
    <x v="146"/>
    <x v="0"/>
    <s v="SAN SEBASTIAN"/>
    <x v="2"/>
  </r>
  <r>
    <x v="57"/>
    <x v="38"/>
    <x v="4"/>
    <x v="4"/>
    <x v="0"/>
    <x v="0"/>
    <x v="33"/>
    <x v="106"/>
    <x v="874"/>
    <x v="0"/>
    <s v="SAN SEBASTIAN"/>
    <x v="2"/>
  </r>
  <r>
    <x v="57"/>
    <x v="31"/>
    <x v="4"/>
    <x v="4"/>
    <x v="0"/>
    <x v="0"/>
    <x v="33"/>
    <x v="72"/>
    <x v="874"/>
    <x v="0"/>
    <s v="SAN SEBASTIAN"/>
    <x v="2"/>
  </r>
  <r>
    <x v="57"/>
    <x v="78"/>
    <x v="4"/>
    <x v="4"/>
    <x v="0"/>
    <x v="0"/>
    <x v="33"/>
    <x v="160"/>
    <x v="146"/>
    <x v="0"/>
    <s v="SAN SEBASTIAN"/>
    <x v="2"/>
  </r>
  <r>
    <x v="57"/>
    <x v="90"/>
    <x v="0"/>
    <x v="0"/>
    <x v="0"/>
    <x v="0"/>
    <x v="33"/>
    <x v="79"/>
    <x v="759"/>
    <x v="0"/>
    <s v="SAN SEBASTIAN"/>
    <x v="2"/>
  </r>
  <r>
    <x v="57"/>
    <x v="116"/>
    <x v="0"/>
    <x v="0"/>
    <x v="0"/>
    <x v="0"/>
    <x v="33"/>
    <x v="64"/>
    <x v="952"/>
    <x v="0"/>
    <s v="SAN SEBASTIAN"/>
    <x v="2"/>
  </r>
  <r>
    <x v="57"/>
    <x v="119"/>
    <x v="0"/>
    <x v="0"/>
    <x v="0"/>
    <x v="0"/>
    <x v="33"/>
    <x v="96"/>
    <x v="1132"/>
    <x v="0"/>
    <s v="SAN SEBASTIAN"/>
    <x v="2"/>
  </r>
  <r>
    <x v="57"/>
    <x v="0"/>
    <x v="0"/>
    <x v="0"/>
    <x v="0"/>
    <x v="0"/>
    <x v="33"/>
    <x v="197"/>
    <x v="759"/>
    <x v="0"/>
    <s v="SAN SEBASTIAN"/>
    <x v="2"/>
  </r>
  <r>
    <x v="57"/>
    <x v="121"/>
    <x v="0"/>
    <x v="0"/>
    <x v="0"/>
    <x v="0"/>
    <x v="33"/>
    <x v="80"/>
    <x v="146"/>
    <x v="0"/>
    <s v="SAN SEBASTIAN"/>
    <x v="2"/>
  </r>
  <r>
    <x v="57"/>
    <x v="100"/>
    <x v="0"/>
    <x v="0"/>
    <x v="0"/>
    <x v="0"/>
    <x v="33"/>
    <x v="73"/>
    <x v="765"/>
    <x v="0"/>
    <s v="SAN SEBASTIAN"/>
    <x v="2"/>
  </r>
  <r>
    <x v="57"/>
    <x v="53"/>
    <x v="0"/>
    <x v="0"/>
    <x v="0"/>
    <x v="0"/>
    <x v="33"/>
    <x v="144"/>
    <x v="934"/>
    <x v="0"/>
    <s v="SAN SEBASTIAN"/>
    <x v="2"/>
  </r>
  <r>
    <x v="57"/>
    <x v="45"/>
    <x v="0"/>
    <x v="0"/>
    <x v="0"/>
    <x v="0"/>
    <x v="33"/>
    <x v="180"/>
    <x v="899"/>
    <x v="0"/>
    <s v="SAN SEBASTIAN"/>
    <x v="2"/>
  </r>
  <r>
    <x v="57"/>
    <x v="46"/>
    <x v="0"/>
    <x v="0"/>
    <x v="0"/>
    <x v="0"/>
    <x v="33"/>
    <x v="155"/>
    <x v="759"/>
    <x v="0"/>
    <s v="SAN SEBASTIAN"/>
    <x v="2"/>
  </r>
  <r>
    <x v="57"/>
    <x v="92"/>
    <x v="0"/>
    <x v="0"/>
    <x v="0"/>
    <x v="0"/>
    <x v="33"/>
    <x v="109"/>
    <x v="146"/>
    <x v="0"/>
    <s v="SAN SEBASTIAN"/>
    <x v="2"/>
  </r>
  <r>
    <x v="57"/>
    <x v="142"/>
    <x v="0"/>
    <x v="0"/>
    <x v="0"/>
    <x v="0"/>
    <x v="33"/>
    <x v="119"/>
    <x v="759"/>
    <x v="0"/>
    <s v="SAN SEBASTIAN"/>
    <x v="2"/>
  </r>
  <r>
    <x v="57"/>
    <x v="136"/>
    <x v="0"/>
    <x v="0"/>
    <x v="0"/>
    <x v="0"/>
    <x v="33"/>
    <x v="100"/>
    <x v="146"/>
    <x v="0"/>
    <s v="SAN SEBASTIAN"/>
    <x v="2"/>
  </r>
  <r>
    <x v="57"/>
    <x v="166"/>
    <x v="0"/>
    <x v="0"/>
    <x v="0"/>
    <x v="0"/>
    <x v="33"/>
    <x v="217"/>
    <x v="146"/>
    <x v="0"/>
    <s v="SAN SEBASTIAN"/>
    <x v="2"/>
  </r>
  <r>
    <x v="57"/>
    <x v="76"/>
    <x v="5"/>
    <x v="5"/>
    <x v="0"/>
    <x v="0"/>
    <x v="33"/>
    <x v="182"/>
    <x v="848"/>
    <x v="0"/>
    <s v="SAN SEBASTIAN"/>
    <x v="2"/>
  </r>
  <r>
    <x v="57"/>
    <x v="115"/>
    <x v="5"/>
    <x v="5"/>
    <x v="0"/>
    <x v="0"/>
    <x v="33"/>
    <x v="213"/>
    <x v="765"/>
    <x v="0"/>
    <s v="SAN SEBASTIAN"/>
    <x v="2"/>
  </r>
  <r>
    <x v="57"/>
    <x v="13"/>
    <x v="5"/>
    <x v="5"/>
    <x v="0"/>
    <x v="0"/>
    <x v="33"/>
    <x v="120"/>
    <x v="899"/>
    <x v="0"/>
    <s v="SAN SEBASTIAN"/>
    <x v="2"/>
  </r>
  <r>
    <x v="57"/>
    <x v="72"/>
    <x v="5"/>
    <x v="5"/>
    <x v="0"/>
    <x v="0"/>
    <x v="33"/>
    <x v="38"/>
    <x v="759"/>
    <x v="0"/>
    <s v="SAN SEBASTIAN"/>
    <x v="2"/>
  </r>
  <r>
    <x v="57"/>
    <x v="125"/>
    <x v="5"/>
    <x v="5"/>
    <x v="0"/>
    <x v="0"/>
    <x v="33"/>
    <x v="82"/>
    <x v="759"/>
    <x v="0"/>
    <s v="SAN SEBASTIAN"/>
    <x v="2"/>
  </r>
  <r>
    <x v="57"/>
    <x v="168"/>
    <x v="5"/>
    <x v="5"/>
    <x v="0"/>
    <x v="0"/>
    <x v="33"/>
    <x v="225"/>
    <x v="759"/>
    <x v="0"/>
    <s v="SAN SEBASTIAN"/>
    <x v="2"/>
  </r>
  <r>
    <x v="57"/>
    <x v="77"/>
    <x v="5"/>
    <x v="5"/>
    <x v="0"/>
    <x v="0"/>
    <x v="33"/>
    <x v="156"/>
    <x v="874"/>
    <x v="0"/>
    <s v="SAN SEBASTIAN"/>
    <x v="2"/>
  </r>
  <r>
    <x v="57"/>
    <x v="139"/>
    <x v="5"/>
    <x v="5"/>
    <x v="0"/>
    <x v="0"/>
    <x v="33"/>
    <x v="110"/>
    <x v="1215"/>
    <x v="0"/>
    <s v="SAN SEBASTIAN"/>
    <x v="2"/>
  </r>
  <r>
    <x v="57"/>
    <x v="63"/>
    <x v="5"/>
    <x v="5"/>
    <x v="0"/>
    <x v="0"/>
    <x v="33"/>
    <x v="111"/>
    <x v="146"/>
    <x v="0"/>
    <s v="SAN SEBASTIAN"/>
    <x v="2"/>
  </r>
  <r>
    <x v="57"/>
    <x v="141"/>
    <x v="5"/>
    <x v="5"/>
    <x v="0"/>
    <x v="0"/>
    <x v="33"/>
    <x v="185"/>
    <x v="874"/>
    <x v="0"/>
    <s v="SAN SEBASTIAN"/>
    <x v="2"/>
  </r>
  <r>
    <x v="57"/>
    <x v="123"/>
    <x v="5"/>
    <x v="5"/>
    <x v="0"/>
    <x v="0"/>
    <x v="33"/>
    <x v="74"/>
    <x v="759"/>
    <x v="0"/>
    <s v="SAN SEBASTIAN"/>
    <x v="2"/>
  </r>
  <r>
    <x v="57"/>
    <x v="54"/>
    <x v="5"/>
    <x v="5"/>
    <x v="0"/>
    <x v="0"/>
    <x v="33"/>
    <x v="246"/>
    <x v="146"/>
    <x v="0"/>
    <s v="SAN SEBASTIAN"/>
    <x v="2"/>
  </r>
  <r>
    <x v="57"/>
    <x v="150"/>
    <x v="5"/>
    <x v="5"/>
    <x v="0"/>
    <x v="0"/>
    <x v="33"/>
    <x v="214"/>
    <x v="759"/>
    <x v="0"/>
    <s v="SAN SEBASTIAN"/>
    <x v="2"/>
  </r>
  <r>
    <x v="57"/>
    <x v="20"/>
    <x v="5"/>
    <x v="5"/>
    <x v="0"/>
    <x v="0"/>
    <x v="33"/>
    <x v="45"/>
    <x v="146"/>
    <x v="0"/>
    <s v="SAN SEBASTIAN"/>
    <x v="2"/>
  </r>
  <r>
    <x v="57"/>
    <x v="40"/>
    <x v="1"/>
    <x v="1"/>
    <x v="0"/>
    <x v="0"/>
    <x v="33"/>
    <x v="125"/>
    <x v="1132"/>
    <x v="0"/>
    <s v="SAN SEBASTIAN"/>
    <x v="2"/>
  </r>
  <r>
    <x v="57"/>
    <x v="95"/>
    <x v="1"/>
    <x v="1"/>
    <x v="0"/>
    <x v="0"/>
    <x v="33"/>
    <x v="97"/>
    <x v="874"/>
    <x v="0"/>
    <s v="SAN SEBASTIAN"/>
    <x v="2"/>
  </r>
  <r>
    <x v="57"/>
    <x v="151"/>
    <x v="1"/>
    <x v="1"/>
    <x v="0"/>
    <x v="0"/>
    <x v="33"/>
    <x v="166"/>
    <x v="146"/>
    <x v="0"/>
    <s v="SAN SEBASTIAN"/>
    <x v="2"/>
  </r>
  <r>
    <x v="57"/>
    <x v="41"/>
    <x v="1"/>
    <x v="1"/>
    <x v="0"/>
    <x v="0"/>
    <x v="33"/>
    <x v="113"/>
    <x v="899"/>
    <x v="0"/>
    <s v="SAN SEBASTIAN"/>
    <x v="2"/>
  </r>
  <r>
    <x v="57"/>
    <x v="127"/>
    <x v="1"/>
    <x v="1"/>
    <x v="0"/>
    <x v="0"/>
    <x v="33"/>
    <x v="85"/>
    <x v="146"/>
    <x v="0"/>
    <s v="SAN SEBASTIAN"/>
    <x v="2"/>
  </r>
  <r>
    <x v="57"/>
    <x v="42"/>
    <x v="1"/>
    <x v="1"/>
    <x v="0"/>
    <x v="0"/>
    <x v="33"/>
    <x v="167"/>
    <x v="859"/>
    <x v="0"/>
    <s v="SAN SEBASTIAN"/>
    <x v="2"/>
  </r>
  <r>
    <x v="57"/>
    <x v="8"/>
    <x v="1"/>
    <x v="1"/>
    <x v="0"/>
    <x v="0"/>
    <x v="33"/>
    <x v="187"/>
    <x v="874"/>
    <x v="0"/>
    <s v="SAN SEBASTIAN"/>
    <x v="2"/>
  </r>
  <r>
    <x v="57"/>
    <x v="101"/>
    <x v="1"/>
    <x v="1"/>
    <x v="0"/>
    <x v="0"/>
    <x v="33"/>
    <x v="207"/>
    <x v="759"/>
    <x v="0"/>
    <s v="SAN SEBASTIAN"/>
    <x v="2"/>
  </r>
  <r>
    <x v="57"/>
    <x v="152"/>
    <x v="1"/>
    <x v="1"/>
    <x v="0"/>
    <x v="0"/>
    <x v="33"/>
    <x v="194"/>
    <x v="146"/>
    <x v="0"/>
    <s v="SAN SEBASTIAN"/>
    <x v="2"/>
  </r>
  <r>
    <x v="57"/>
    <x v="1"/>
    <x v="1"/>
    <x v="1"/>
    <x v="0"/>
    <x v="0"/>
    <x v="1"/>
    <x v="1"/>
    <x v="1"/>
    <x v="419"/>
    <s v="SAN SEBASTIAN"/>
    <x v="2"/>
  </r>
  <r>
    <x v="57"/>
    <x v="118"/>
    <x v="2"/>
    <x v="2"/>
    <x v="0"/>
    <x v="1"/>
    <x v="33"/>
    <x v="69"/>
    <x v="874"/>
    <x v="0"/>
    <s v="SAN SEBASTIAN"/>
    <x v="2"/>
  </r>
  <r>
    <x v="57"/>
    <x v="107"/>
    <x v="2"/>
    <x v="2"/>
    <x v="0"/>
    <x v="1"/>
    <x v="33"/>
    <x v="158"/>
    <x v="874"/>
    <x v="0"/>
    <s v="SAN SEBASTIAN"/>
    <x v="2"/>
  </r>
  <r>
    <x v="57"/>
    <x v="84"/>
    <x v="2"/>
    <x v="2"/>
    <x v="0"/>
    <x v="1"/>
    <x v="33"/>
    <x v="203"/>
    <x v="874"/>
    <x v="0"/>
    <s v="SAN SEBASTIAN"/>
    <x v="2"/>
  </r>
  <r>
    <x v="57"/>
    <x v="2"/>
    <x v="2"/>
    <x v="2"/>
    <x v="0"/>
    <x v="1"/>
    <x v="33"/>
    <x v="140"/>
    <x v="874"/>
    <x v="0"/>
    <s v="SAN SEBASTIAN"/>
    <x v="2"/>
  </r>
  <r>
    <x v="57"/>
    <x v="110"/>
    <x v="2"/>
    <x v="2"/>
    <x v="0"/>
    <x v="1"/>
    <x v="33"/>
    <x v="171"/>
    <x v="874"/>
    <x v="0"/>
    <s v="SAN SEBASTIAN"/>
    <x v="2"/>
  </r>
  <r>
    <x v="57"/>
    <x v="71"/>
    <x v="6"/>
    <x v="6"/>
    <x v="0"/>
    <x v="1"/>
    <x v="33"/>
    <x v="37"/>
    <x v="874"/>
    <x v="0"/>
    <s v="SAN SEBASTIAN"/>
    <x v="2"/>
  </r>
  <r>
    <x v="57"/>
    <x v="134"/>
    <x v="6"/>
    <x v="6"/>
    <x v="0"/>
    <x v="1"/>
    <x v="33"/>
    <x v="226"/>
    <x v="874"/>
    <x v="0"/>
    <s v="SAN SEBASTIAN"/>
    <x v="2"/>
  </r>
  <r>
    <x v="57"/>
    <x v="96"/>
    <x v="6"/>
    <x v="6"/>
    <x v="0"/>
    <x v="1"/>
    <x v="33"/>
    <x v="165"/>
    <x v="874"/>
    <x v="0"/>
    <s v="SAN SEBASTIAN"/>
    <x v="2"/>
  </r>
  <r>
    <x v="57"/>
    <x v="137"/>
    <x v="6"/>
    <x v="6"/>
    <x v="0"/>
    <x v="1"/>
    <x v="33"/>
    <x v="102"/>
    <x v="146"/>
    <x v="0"/>
    <s v="SAN SEBASTIAN"/>
    <x v="2"/>
  </r>
  <r>
    <x v="57"/>
    <x v="23"/>
    <x v="3"/>
    <x v="3"/>
    <x v="0"/>
    <x v="1"/>
    <x v="33"/>
    <x v="221"/>
    <x v="874"/>
    <x v="0"/>
    <s v="SAN SEBASTIAN"/>
    <x v="2"/>
  </r>
  <r>
    <x v="57"/>
    <x v="19"/>
    <x v="3"/>
    <x v="3"/>
    <x v="0"/>
    <x v="1"/>
    <x v="33"/>
    <x v="62"/>
    <x v="874"/>
    <x v="0"/>
    <s v="SAN SEBASTIAN"/>
    <x v="2"/>
  </r>
  <r>
    <x v="57"/>
    <x v="79"/>
    <x v="3"/>
    <x v="3"/>
    <x v="0"/>
    <x v="1"/>
    <x v="33"/>
    <x v="142"/>
    <x v="874"/>
    <x v="0"/>
    <s v="SAN SEBASTIAN"/>
    <x v="2"/>
  </r>
  <r>
    <x v="57"/>
    <x v="56"/>
    <x v="3"/>
    <x v="3"/>
    <x v="0"/>
    <x v="1"/>
    <x v="33"/>
    <x v="153"/>
    <x v="874"/>
    <x v="0"/>
    <s v="SAN SEBASTIAN"/>
    <x v="2"/>
  </r>
  <r>
    <x v="57"/>
    <x v="62"/>
    <x v="4"/>
    <x v="4"/>
    <x v="0"/>
    <x v="1"/>
    <x v="33"/>
    <x v="176"/>
    <x v="874"/>
    <x v="0"/>
    <s v="SAN SEBASTIAN"/>
    <x v="2"/>
  </r>
  <r>
    <x v="57"/>
    <x v="90"/>
    <x v="0"/>
    <x v="0"/>
    <x v="0"/>
    <x v="1"/>
    <x v="33"/>
    <x v="79"/>
    <x v="874"/>
    <x v="0"/>
    <s v="SAN SEBASTIAN"/>
    <x v="2"/>
  </r>
  <r>
    <x v="57"/>
    <x v="116"/>
    <x v="0"/>
    <x v="0"/>
    <x v="0"/>
    <x v="1"/>
    <x v="33"/>
    <x v="64"/>
    <x v="874"/>
    <x v="0"/>
    <s v="SAN SEBASTIAN"/>
    <x v="2"/>
  </r>
  <r>
    <x v="57"/>
    <x v="100"/>
    <x v="0"/>
    <x v="0"/>
    <x v="0"/>
    <x v="1"/>
    <x v="33"/>
    <x v="73"/>
    <x v="874"/>
    <x v="0"/>
    <s v="SAN SEBASTIAN"/>
    <x v="2"/>
  </r>
  <r>
    <x v="57"/>
    <x v="142"/>
    <x v="0"/>
    <x v="0"/>
    <x v="0"/>
    <x v="1"/>
    <x v="33"/>
    <x v="119"/>
    <x v="874"/>
    <x v="0"/>
    <s v="SAN SEBASTIAN"/>
    <x v="2"/>
  </r>
  <r>
    <x v="57"/>
    <x v="76"/>
    <x v="5"/>
    <x v="5"/>
    <x v="0"/>
    <x v="1"/>
    <x v="33"/>
    <x v="182"/>
    <x v="874"/>
    <x v="0"/>
    <s v="SAN SEBASTIAN"/>
    <x v="2"/>
  </r>
  <r>
    <x v="57"/>
    <x v="115"/>
    <x v="5"/>
    <x v="5"/>
    <x v="0"/>
    <x v="1"/>
    <x v="33"/>
    <x v="213"/>
    <x v="874"/>
    <x v="0"/>
    <s v="SAN SEBASTIAN"/>
    <x v="2"/>
  </r>
  <r>
    <x v="57"/>
    <x v="125"/>
    <x v="5"/>
    <x v="5"/>
    <x v="0"/>
    <x v="1"/>
    <x v="33"/>
    <x v="82"/>
    <x v="874"/>
    <x v="0"/>
    <s v="SAN SEBASTIAN"/>
    <x v="2"/>
  </r>
  <r>
    <x v="57"/>
    <x v="54"/>
    <x v="5"/>
    <x v="5"/>
    <x v="0"/>
    <x v="1"/>
    <x v="33"/>
    <x v="246"/>
    <x v="874"/>
    <x v="0"/>
    <s v="SAN SEBASTIAN"/>
    <x v="2"/>
  </r>
  <r>
    <x v="57"/>
    <x v="40"/>
    <x v="1"/>
    <x v="1"/>
    <x v="0"/>
    <x v="1"/>
    <x v="33"/>
    <x v="125"/>
    <x v="759"/>
    <x v="0"/>
    <s v="SAN SEBASTIAN"/>
    <x v="2"/>
  </r>
  <r>
    <x v="57"/>
    <x v="1"/>
    <x v="1"/>
    <x v="1"/>
    <x v="0"/>
    <x v="1"/>
    <x v="1"/>
    <x v="1"/>
    <x v="1"/>
    <x v="367"/>
    <s v="SAN SEBASTIAN"/>
    <x v="2"/>
  </r>
  <r>
    <x v="58"/>
    <x v="139"/>
    <x v="5"/>
    <x v="5"/>
    <x v="0"/>
    <x v="2"/>
    <x v="33"/>
    <x v="110"/>
    <x v="782"/>
    <x v="0"/>
    <s v="SANTIAGO INTERAMERICANA"/>
    <x v="2"/>
  </r>
  <r>
    <x v="58"/>
    <x v="1"/>
    <x v="1"/>
    <x v="1"/>
    <x v="0"/>
    <x v="2"/>
    <x v="1"/>
    <x v="1"/>
    <x v="1"/>
    <x v="420"/>
    <s v="SANTIAGO INTERAMERICANA"/>
    <x v="2"/>
  </r>
  <r>
    <x v="60"/>
    <x v="102"/>
    <x v="6"/>
    <x v="6"/>
    <x v="0"/>
    <x v="0"/>
    <x v="33"/>
    <x v="141"/>
    <x v="874"/>
    <x v="0"/>
    <s v="VILLA ZAITA"/>
    <x v="2"/>
  </r>
  <r>
    <x v="60"/>
    <x v="1"/>
    <x v="1"/>
    <x v="1"/>
    <x v="0"/>
    <x v="0"/>
    <x v="1"/>
    <x v="1"/>
    <x v="1"/>
    <x v="216"/>
    <s v="VILLA ZAITA"/>
    <x v="2"/>
  </r>
  <r>
    <x v="62"/>
    <x v="71"/>
    <x v="6"/>
    <x v="6"/>
    <x v="0"/>
    <x v="2"/>
    <x v="32"/>
    <x v="37"/>
    <x v="1526"/>
    <x v="0"/>
    <s v="TOWN CENTER COSTA DEL ESTE"/>
    <x v="2"/>
  </r>
  <r>
    <x v="62"/>
    <x v="115"/>
    <x v="5"/>
    <x v="5"/>
    <x v="0"/>
    <x v="2"/>
    <x v="32"/>
    <x v="213"/>
    <x v="1527"/>
    <x v="0"/>
    <s v="TOWN CENTER COSTA DEL ESTE"/>
    <x v="2"/>
  </r>
  <r>
    <x v="62"/>
    <x v="1"/>
    <x v="1"/>
    <x v="1"/>
    <x v="0"/>
    <x v="2"/>
    <x v="1"/>
    <x v="1"/>
    <x v="1"/>
    <x v="421"/>
    <s v="TOWN CENTER COSTA DEL ESTE"/>
    <x v="2"/>
  </r>
  <r>
    <x v="63"/>
    <x v="64"/>
    <x v="2"/>
    <x v="2"/>
    <x v="0"/>
    <x v="2"/>
    <x v="32"/>
    <x v="139"/>
    <x v="1528"/>
    <x v="0"/>
    <s v="COSTA VERDE"/>
    <x v="2"/>
  </r>
  <r>
    <x v="63"/>
    <x v="23"/>
    <x v="3"/>
    <x v="3"/>
    <x v="0"/>
    <x v="2"/>
    <x v="32"/>
    <x v="221"/>
    <x v="1529"/>
    <x v="0"/>
    <s v="COSTA VERDE"/>
    <x v="2"/>
  </r>
  <r>
    <x v="63"/>
    <x v="43"/>
    <x v="3"/>
    <x v="3"/>
    <x v="0"/>
    <x v="2"/>
    <x v="32"/>
    <x v="71"/>
    <x v="1530"/>
    <x v="0"/>
    <s v="COSTA VERDE"/>
    <x v="2"/>
  </r>
  <r>
    <x v="63"/>
    <x v="159"/>
    <x v="0"/>
    <x v="0"/>
    <x v="0"/>
    <x v="2"/>
    <x v="32"/>
    <x v="177"/>
    <x v="1336"/>
    <x v="0"/>
    <s v="COSTA VERDE"/>
    <x v="2"/>
  </r>
  <r>
    <x v="63"/>
    <x v="117"/>
    <x v="0"/>
    <x v="0"/>
    <x v="0"/>
    <x v="2"/>
    <x v="32"/>
    <x v="65"/>
    <x v="1531"/>
    <x v="0"/>
    <s v="COSTA VERDE"/>
    <x v="2"/>
  </r>
  <r>
    <x v="63"/>
    <x v="155"/>
    <x v="1"/>
    <x v="1"/>
    <x v="0"/>
    <x v="2"/>
    <x v="32"/>
    <x v="145"/>
    <x v="1532"/>
    <x v="0"/>
    <s v="COSTA VERDE"/>
    <x v="2"/>
  </r>
  <r>
    <x v="63"/>
    <x v="1"/>
    <x v="1"/>
    <x v="1"/>
    <x v="0"/>
    <x v="2"/>
    <x v="1"/>
    <x v="1"/>
    <x v="1"/>
    <x v="422"/>
    <s v="COSTA VERDE"/>
    <x v="2"/>
  </r>
  <r>
    <x v="64"/>
    <x v="1"/>
    <x v="1"/>
    <x v="1"/>
    <x v="0"/>
    <x v="2"/>
    <x v="1"/>
    <x v="1"/>
    <x v="1"/>
    <x v="423"/>
    <s v="PLAZA LOS ANGELES"/>
    <x v="2"/>
  </r>
  <r>
    <x v="65"/>
    <x v="10"/>
    <x v="3"/>
    <x v="3"/>
    <x v="0"/>
    <x v="2"/>
    <x v="33"/>
    <x v="123"/>
    <x v="1533"/>
    <x v="0"/>
    <s v="SAN MATEO"/>
    <x v="2"/>
  </r>
  <r>
    <x v="65"/>
    <x v="135"/>
    <x v="3"/>
    <x v="3"/>
    <x v="0"/>
    <x v="2"/>
    <x v="32"/>
    <x v="149"/>
    <x v="1533"/>
    <x v="0"/>
    <s v="SAN MATEO"/>
    <x v="2"/>
  </r>
  <r>
    <x v="65"/>
    <x v="150"/>
    <x v="5"/>
    <x v="5"/>
    <x v="0"/>
    <x v="2"/>
    <x v="32"/>
    <x v="214"/>
    <x v="1534"/>
    <x v="0"/>
    <s v="SAN MATEO"/>
    <x v="2"/>
  </r>
  <r>
    <x v="65"/>
    <x v="101"/>
    <x v="1"/>
    <x v="1"/>
    <x v="0"/>
    <x v="2"/>
    <x v="32"/>
    <x v="207"/>
    <x v="1535"/>
    <x v="0"/>
    <s v="SAN MATEO"/>
    <x v="2"/>
  </r>
  <r>
    <x v="65"/>
    <x v="128"/>
    <x v="1"/>
    <x v="1"/>
    <x v="0"/>
    <x v="2"/>
    <x v="32"/>
    <x v="164"/>
    <x v="1536"/>
    <x v="0"/>
    <s v="SAN MATEO"/>
    <x v="2"/>
  </r>
  <r>
    <x v="65"/>
    <x v="1"/>
    <x v="1"/>
    <x v="1"/>
    <x v="0"/>
    <x v="2"/>
    <x v="1"/>
    <x v="1"/>
    <x v="1"/>
    <x v="424"/>
    <s v="SAN MATEO"/>
    <x v="2"/>
  </r>
  <r>
    <x v="65"/>
    <x v="87"/>
    <x v="6"/>
    <x v="6"/>
    <x v="0"/>
    <x v="0"/>
    <x v="33"/>
    <x v="189"/>
    <x v="874"/>
    <x v="0"/>
    <s v="SAN MATEO"/>
    <x v="2"/>
  </r>
  <r>
    <x v="65"/>
    <x v="1"/>
    <x v="1"/>
    <x v="1"/>
    <x v="0"/>
    <x v="0"/>
    <x v="1"/>
    <x v="1"/>
    <x v="1"/>
    <x v="216"/>
    <s v="SAN MATEO"/>
    <x v="2"/>
  </r>
  <r>
    <x v="66"/>
    <x v="64"/>
    <x v="2"/>
    <x v="2"/>
    <x v="0"/>
    <x v="2"/>
    <x v="32"/>
    <x v="139"/>
    <x v="493"/>
    <x v="0"/>
    <s v="BRISAS DEL GOLF ARRAIJAN"/>
    <x v="2"/>
  </r>
  <r>
    <x v="66"/>
    <x v="43"/>
    <x v="3"/>
    <x v="3"/>
    <x v="0"/>
    <x v="2"/>
    <x v="32"/>
    <x v="71"/>
    <x v="1286"/>
    <x v="0"/>
    <s v="BRISAS DEL GOLF ARRAIJAN"/>
    <x v="2"/>
  </r>
  <r>
    <x v="66"/>
    <x v="68"/>
    <x v="4"/>
    <x v="4"/>
    <x v="0"/>
    <x v="2"/>
    <x v="32"/>
    <x v="222"/>
    <x v="1537"/>
    <x v="0"/>
    <s v="BRISAS DEL GOLF ARRAIJAN"/>
    <x v="2"/>
  </r>
  <r>
    <x v="66"/>
    <x v="160"/>
    <x v="0"/>
    <x v="0"/>
    <x v="0"/>
    <x v="2"/>
    <x v="32"/>
    <x v="179"/>
    <x v="1538"/>
    <x v="0"/>
    <s v="BRISAS DEL GOLF ARRAIJAN"/>
    <x v="2"/>
  </r>
  <r>
    <x v="66"/>
    <x v="41"/>
    <x v="1"/>
    <x v="1"/>
    <x v="0"/>
    <x v="2"/>
    <x v="32"/>
    <x v="113"/>
    <x v="1539"/>
    <x v="0"/>
    <s v="BRISAS DEL GOLF ARRAIJAN"/>
    <x v="2"/>
  </r>
  <r>
    <x v="66"/>
    <x v="1"/>
    <x v="1"/>
    <x v="1"/>
    <x v="0"/>
    <x v="2"/>
    <x v="1"/>
    <x v="1"/>
    <x v="1"/>
    <x v="425"/>
    <s v="BRISAS DEL GOLF ARRAIJAN"/>
    <x v="2"/>
  </r>
  <r>
    <x v="67"/>
    <x v="144"/>
    <x v="2"/>
    <x v="2"/>
    <x v="0"/>
    <x v="2"/>
    <x v="33"/>
    <x v="162"/>
    <x v="1540"/>
    <x v="0"/>
    <s v="PASEO ARRAIJAN"/>
    <x v="2"/>
  </r>
  <r>
    <x v="67"/>
    <x v="65"/>
    <x v="6"/>
    <x v="6"/>
    <x v="0"/>
    <x v="2"/>
    <x v="32"/>
    <x v="190"/>
    <x v="1311"/>
    <x v="0"/>
    <s v="PASEO ARRAIJAN"/>
    <x v="2"/>
  </r>
  <r>
    <x v="67"/>
    <x v="108"/>
    <x v="3"/>
    <x v="3"/>
    <x v="0"/>
    <x v="2"/>
    <x v="32"/>
    <x v="63"/>
    <x v="1541"/>
    <x v="0"/>
    <s v="PASEO ARRAIJAN"/>
    <x v="2"/>
  </r>
  <r>
    <x v="67"/>
    <x v="79"/>
    <x v="3"/>
    <x v="3"/>
    <x v="0"/>
    <x v="2"/>
    <x v="32"/>
    <x v="142"/>
    <x v="1542"/>
    <x v="0"/>
    <s v="PASEO ARRAIJAN"/>
    <x v="2"/>
  </r>
  <r>
    <x v="67"/>
    <x v="50"/>
    <x v="4"/>
    <x v="4"/>
    <x v="0"/>
    <x v="2"/>
    <x v="32"/>
    <x v="77"/>
    <x v="1543"/>
    <x v="0"/>
    <s v="PASEO ARRAIJAN"/>
    <x v="2"/>
  </r>
  <r>
    <x v="67"/>
    <x v="117"/>
    <x v="0"/>
    <x v="0"/>
    <x v="0"/>
    <x v="2"/>
    <x v="32"/>
    <x v="65"/>
    <x v="1544"/>
    <x v="0"/>
    <s v="PASEO ARRAIJAN"/>
    <x v="2"/>
  </r>
  <r>
    <x v="67"/>
    <x v="115"/>
    <x v="5"/>
    <x v="5"/>
    <x v="0"/>
    <x v="2"/>
    <x v="32"/>
    <x v="213"/>
    <x v="1545"/>
    <x v="0"/>
    <s v="PASEO ARRAIJAN"/>
    <x v="2"/>
  </r>
  <r>
    <x v="67"/>
    <x v="13"/>
    <x v="5"/>
    <x v="5"/>
    <x v="0"/>
    <x v="2"/>
    <x v="32"/>
    <x v="120"/>
    <x v="1546"/>
    <x v="0"/>
    <s v="PASEO ARRAIJAN"/>
    <x v="2"/>
  </r>
  <r>
    <x v="67"/>
    <x v="77"/>
    <x v="5"/>
    <x v="5"/>
    <x v="0"/>
    <x v="2"/>
    <x v="32"/>
    <x v="156"/>
    <x v="1547"/>
    <x v="0"/>
    <s v="PASEO ARRAIJAN"/>
    <x v="2"/>
  </r>
  <r>
    <x v="67"/>
    <x v="1"/>
    <x v="1"/>
    <x v="1"/>
    <x v="0"/>
    <x v="2"/>
    <x v="1"/>
    <x v="1"/>
    <x v="1"/>
    <x v="426"/>
    <s v="PASEO ARRAIJAN"/>
    <x v="2"/>
  </r>
  <r>
    <x v="67"/>
    <x v="129"/>
    <x v="2"/>
    <x v="2"/>
    <x v="0"/>
    <x v="1"/>
    <x v="33"/>
    <x v="204"/>
    <x v="874"/>
    <x v="0"/>
    <s v="PASEO ARRAIJAN"/>
    <x v="2"/>
  </r>
  <r>
    <x v="67"/>
    <x v="1"/>
    <x v="1"/>
    <x v="1"/>
    <x v="0"/>
    <x v="1"/>
    <x v="1"/>
    <x v="1"/>
    <x v="1"/>
    <x v="216"/>
    <s v="PASEO ARRAIJAN"/>
    <x v="2"/>
  </r>
  <r>
    <x v="0"/>
    <x v="160"/>
    <x v="0"/>
    <x v="0"/>
    <x v="0"/>
    <x v="2"/>
    <x v="37"/>
    <x v="179"/>
    <x v="1548"/>
    <x v="0"/>
    <s v="CASA MATRIZ"/>
    <x v="3"/>
  </r>
  <r>
    <x v="0"/>
    <x v="1"/>
    <x v="1"/>
    <x v="1"/>
    <x v="0"/>
    <x v="2"/>
    <x v="1"/>
    <x v="1"/>
    <x v="1"/>
    <x v="427"/>
    <s v="CASA MATRIZ"/>
    <x v="3"/>
  </r>
  <r>
    <x v="3"/>
    <x v="1"/>
    <x v="1"/>
    <x v="1"/>
    <x v="0"/>
    <x v="2"/>
    <x v="1"/>
    <x v="1"/>
    <x v="1"/>
    <x v="221"/>
    <s v="VIA ARGENTINA"/>
    <x v="3"/>
  </r>
  <r>
    <x v="6"/>
    <x v="58"/>
    <x v="1"/>
    <x v="1"/>
    <x v="0"/>
    <x v="2"/>
    <x v="37"/>
    <x v="84"/>
    <x v="1549"/>
    <x v="0"/>
    <s v="CHANIS"/>
    <x v="3"/>
  </r>
  <r>
    <x v="6"/>
    <x v="1"/>
    <x v="1"/>
    <x v="1"/>
    <x v="0"/>
    <x v="2"/>
    <x v="1"/>
    <x v="1"/>
    <x v="1"/>
    <x v="428"/>
    <s v="CHANIS"/>
    <x v="3"/>
  </r>
  <r>
    <x v="7"/>
    <x v="22"/>
    <x v="1"/>
    <x v="1"/>
    <x v="0"/>
    <x v="2"/>
    <x v="37"/>
    <x v="211"/>
    <x v="1550"/>
    <x v="0"/>
    <s v="PLAZA TOCUMEN"/>
    <x v="3"/>
  </r>
  <r>
    <x v="7"/>
    <x v="1"/>
    <x v="1"/>
    <x v="1"/>
    <x v="0"/>
    <x v="2"/>
    <x v="1"/>
    <x v="1"/>
    <x v="1"/>
    <x v="429"/>
    <s v="PLAZA TOCUMEN"/>
    <x v="3"/>
  </r>
  <r>
    <x v="8"/>
    <x v="55"/>
    <x v="1"/>
    <x v="1"/>
    <x v="0"/>
    <x v="2"/>
    <x v="37"/>
    <x v="188"/>
    <x v="1129"/>
    <x v="0"/>
    <s v="SANTIAGO"/>
    <x v="3"/>
  </r>
  <r>
    <x v="8"/>
    <x v="1"/>
    <x v="1"/>
    <x v="1"/>
    <x v="0"/>
    <x v="2"/>
    <x v="1"/>
    <x v="1"/>
    <x v="1"/>
    <x v="430"/>
    <s v="SANTIAGO"/>
    <x v="3"/>
  </r>
  <r>
    <x v="70"/>
    <x v="22"/>
    <x v="1"/>
    <x v="1"/>
    <x v="0"/>
    <x v="2"/>
    <x v="37"/>
    <x v="211"/>
    <x v="1551"/>
    <x v="0"/>
    <s v="COLON"/>
    <x v="3"/>
  </r>
  <r>
    <x v="70"/>
    <x v="1"/>
    <x v="1"/>
    <x v="1"/>
    <x v="0"/>
    <x v="2"/>
    <x v="1"/>
    <x v="1"/>
    <x v="1"/>
    <x v="431"/>
    <s v="COLON"/>
    <x v="3"/>
  </r>
  <r>
    <x v="12"/>
    <x v="41"/>
    <x v="1"/>
    <x v="1"/>
    <x v="0"/>
    <x v="2"/>
    <x v="37"/>
    <x v="113"/>
    <x v="1552"/>
    <x v="0"/>
    <s v="LA CHORRERA"/>
    <x v="3"/>
  </r>
  <r>
    <x v="12"/>
    <x v="1"/>
    <x v="1"/>
    <x v="1"/>
    <x v="0"/>
    <x v="2"/>
    <x v="1"/>
    <x v="1"/>
    <x v="1"/>
    <x v="432"/>
    <s v="LA CHORRERA"/>
    <x v="3"/>
  </r>
  <r>
    <x v="14"/>
    <x v="1"/>
    <x v="1"/>
    <x v="1"/>
    <x v="0"/>
    <x v="2"/>
    <x v="1"/>
    <x v="1"/>
    <x v="1"/>
    <x v="433"/>
    <s v="LOS ANGELES"/>
    <x v="3"/>
  </r>
  <r>
    <x v="15"/>
    <x v="71"/>
    <x v="6"/>
    <x v="6"/>
    <x v="0"/>
    <x v="2"/>
    <x v="37"/>
    <x v="37"/>
    <x v="816"/>
    <x v="0"/>
    <s v="VILLA LUCRE"/>
    <x v="3"/>
  </r>
  <r>
    <x v="15"/>
    <x v="1"/>
    <x v="1"/>
    <x v="1"/>
    <x v="0"/>
    <x v="2"/>
    <x v="1"/>
    <x v="1"/>
    <x v="1"/>
    <x v="221"/>
    <s v="VILLA LUCRE"/>
    <x v="3"/>
  </r>
  <r>
    <x v="16"/>
    <x v="128"/>
    <x v="1"/>
    <x v="1"/>
    <x v="0"/>
    <x v="2"/>
    <x v="37"/>
    <x v="164"/>
    <x v="1553"/>
    <x v="0"/>
    <s v="LOS ANDES"/>
    <x v="3"/>
  </r>
  <r>
    <x v="16"/>
    <x v="1"/>
    <x v="1"/>
    <x v="1"/>
    <x v="0"/>
    <x v="2"/>
    <x v="1"/>
    <x v="1"/>
    <x v="1"/>
    <x v="434"/>
    <s v="LOS ANDES"/>
    <x v="3"/>
  </r>
  <r>
    <x v="72"/>
    <x v="125"/>
    <x v="5"/>
    <x v="5"/>
    <x v="0"/>
    <x v="2"/>
    <x v="37"/>
    <x v="82"/>
    <x v="911"/>
    <x v="0"/>
    <s v="ZONA LIBRE"/>
    <x v="3"/>
  </r>
  <r>
    <x v="72"/>
    <x v="1"/>
    <x v="1"/>
    <x v="1"/>
    <x v="0"/>
    <x v="2"/>
    <x v="1"/>
    <x v="1"/>
    <x v="1"/>
    <x v="232"/>
    <s v="ZONA LIBRE"/>
    <x v="3"/>
  </r>
  <r>
    <x v="24"/>
    <x v="129"/>
    <x v="2"/>
    <x v="2"/>
    <x v="0"/>
    <x v="2"/>
    <x v="38"/>
    <x v="204"/>
    <x v="1554"/>
    <x v="0"/>
    <s v="DAVID"/>
    <x v="3"/>
  </r>
  <r>
    <x v="24"/>
    <x v="39"/>
    <x v="4"/>
    <x v="4"/>
    <x v="0"/>
    <x v="2"/>
    <x v="37"/>
    <x v="210"/>
    <x v="1"/>
    <x v="435"/>
    <s v="DAVID"/>
    <x v="3"/>
  </r>
  <r>
    <x v="27"/>
    <x v="77"/>
    <x v="5"/>
    <x v="5"/>
    <x v="0"/>
    <x v="2"/>
    <x v="37"/>
    <x v="156"/>
    <x v="1555"/>
    <x v="0"/>
    <s v="ALBROOK MALL"/>
    <x v="3"/>
  </r>
  <r>
    <x v="27"/>
    <x v="41"/>
    <x v="1"/>
    <x v="1"/>
    <x v="0"/>
    <x v="2"/>
    <x v="37"/>
    <x v="113"/>
    <x v="1556"/>
    <x v="0"/>
    <s v="ALBROOK MALL"/>
    <x v="3"/>
  </r>
  <r>
    <x v="27"/>
    <x v="1"/>
    <x v="1"/>
    <x v="1"/>
    <x v="0"/>
    <x v="2"/>
    <x v="1"/>
    <x v="1"/>
    <x v="1"/>
    <x v="436"/>
    <s v="ALBROOK MALL"/>
    <x v="3"/>
  </r>
  <r>
    <x v="73"/>
    <x v="40"/>
    <x v="1"/>
    <x v="1"/>
    <x v="0"/>
    <x v="2"/>
    <x v="37"/>
    <x v="125"/>
    <x v="1557"/>
    <x v="0"/>
    <s v="PENONOME"/>
    <x v="3"/>
  </r>
  <r>
    <x v="73"/>
    <x v="1"/>
    <x v="1"/>
    <x v="1"/>
    <x v="0"/>
    <x v="2"/>
    <x v="1"/>
    <x v="1"/>
    <x v="1"/>
    <x v="437"/>
    <s v="PENONOME"/>
    <x v="3"/>
  </r>
  <r>
    <x v="35"/>
    <x v="128"/>
    <x v="1"/>
    <x v="1"/>
    <x v="0"/>
    <x v="2"/>
    <x v="37"/>
    <x v="164"/>
    <x v="891"/>
    <x v="0"/>
    <s v="MULTI PLAZA"/>
    <x v="3"/>
  </r>
  <r>
    <x v="35"/>
    <x v="1"/>
    <x v="1"/>
    <x v="1"/>
    <x v="0"/>
    <x v="2"/>
    <x v="1"/>
    <x v="1"/>
    <x v="1"/>
    <x v="438"/>
    <s v="MULTI PLAZA"/>
    <x v="3"/>
  </r>
  <r>
    <x v="36"/>
    <x v="77"/>
    <x v="5"/>
    <x v="5"/>
    <x v="0"/>
    <x v="2"/>
    <x v="37"/>
    <x v="156"/>
    <x v="1558"/>
    <x v="0"/>
    <s v="TERMINAL DE ALBROOK"/>
    <x v="3"/>
  </r>
  <r>
    <x v="36"/>
    <x v="58"/>
    <x v="1"/>
    <x v="1"/>
    <x v="0"/>
    <x v="2"/>
    <x v="37"/>
    <x v="84"/>
    <x v="1559"/>
    <x v="0"/>
    <s v="TERMINAL DE ALBROOK"/>
    <x v="3"/>
  </r>
  <r>
    <x v="36"/>
    <x v="1"/>
    <x v="1"/>
    <x v="1"/>
    <x v="0"/>
    <x v="2"/>
    <x v="1"/>
    <x v="1"/>
    <x v="1"/>
    <x v="439"/>
    <s v="TERMINAL DE ALBROOK"/>
    <x v="3"/>
  </r>
  <r>
    <x v="74"/>
    <x v="98"/>
    <x v="1"/>
    <x v="1"/>
    <x v="0"/>
    <x v="2"/>
    <x v="37"/>
    <x v="198"/>
    <x v="899"/>
    <x v="0"/>
    <s v="AGUADULCE"/>
    <x v="3"/>
  </r>
  <r>
    <x v="74"/>
    <x v="1"/>
    <x v="1"/>
    <x v="1"/>
    <x v="0"/>
    <x v="2"/>
    <x v="1"/>
    <x v="1"/>
    <x v="1"/>
    <x v="355"/>
    <s v="AGUADULCE"/>
    <x v="3"/>
  </r>
  <r>
    <x v="75"/>
    <x v="33"/>
    <x v="1"/>
    <x v="1"/>
    <x v="0"/>
    <x v="2"/>
    <x v="37"/>
    <x v="241"/>
    <x v="1560"/>
    <x v="0"/>
    <s v="SABANITAS"/>
    <x v="3"/>
  </r>
  <r>
    <x v="75"/>
    <x v="101"/>
    <x v="1"/>
    <x v="1"/>
    <x v="0"/>
    <x v="2"/>
    <x v="37"/>
    <x v="207"/>
    <x v="1338"/>
    <x v="0"/>
    <s v="SABANITAS"/>
    <x v="3"/>
  </r>
  <r>
    <x v="75"/>
    <x v="1"/>
    <x v="1"/>
    <x v="1"/>
    <x v="0"/>
    <x v="2"/>
    <x v="1"/>
    <x v="1"/>
    <x v="1"/>
    <x v="440"/>
    <s v="SABANITAS"/>
    <x v="3"/>
  </r>
  <r>
    <x v="41"/>
    <x v="1"/>
    <x v="1"/>
    <x v="1"/>
    <x v="0"/>
    <x v="2"/>
    <x v="1"/>
    <x v="1"/>
    <x v="1"/>
    <x v="441"/>
    <s v="METROMALL"/>
    <x v="3"/>
  </r>
  <r>
    <x v="45"/>
    <x v="108"/>
    <x v="3"/>
    <x v="3"/>
    <x v="0"/>
    <x v="2"/>
    <x v="38"/>
    <x v="63"/>
    <x v="768"/>
    <x v="0"/>
    <s v="SAN FRANCISCO"/>
    <x v="3"/>
  </r>
  <r>
    <x v="45"/>
    <x v="1"/>
    <x v="1"/>
    <x v="1"/>
    <x v="0"/>
    <x v="2"/>
    <x v="1"/>
    <x v="1"/>
    <x v="1"/>
    <x v="442"/>
    <s v="SAN FRANCISCO"/>
    <x v="3"/>
  </r>
  <r>
    <x v="46"/>
    <x v="50"/>
    <x v="4"/>
    <x v="4"/>
    <x v="0"/>
    <x v="2"/>
    <x v="37"/>
    <x v="77"/>
    <x v="1561"/>
    <x v="0"/>
    <s v="PLAZA BANCO GENERAL"/>
    <x v="3"/>
  </r>
  <r>
    <x v="46"/>
    <x v="1"/>
    <x v="1"/>
    <x v="1"/>
    <x v="0"/>
    <x v="2"/>
    <x v="1"/>
    <x v="1"/>
    <x v="1"/>
    <x v="443"/>
    <s v="PLAZA BANCO GENERAL"/>
    <x v="3"/>
  </r>
  <r>
    <x v="49"/>
    <x v="101"/>
    <x v="1"/>
    <x v="1"/>
    <x v="0"/>
    <x v="2"/>
    <x v="37"/>
    <x v="207"/>
    <x v="1562"/>
    <x v="0"/>
    <s v="CLAYTON"/>
    <x v="3"/>
  </r>
  <r>
    <x v="49"/>
    <x v="1"/>
    <x v="1"/>
    <x v="1"/>
    <x v="0"/>
    <x v="2"/>
    <x v="1"/>
    <x v="1"/>
    <x v="1"/>
    <x v="444"/>
    <s v="CLAYTON"/>
    <x v="3"/>
  </r>
  <r>
    <x v="51"/>
    <x v="70"/>
    <x v="2"/>
    <x v="2"/>
    <x v="0"/>
    <x v="2"/>
    <x v="37"/>
    <x v="36"/>
    <x v="1563"/>
    <x v="0"/>
    <s v="PLAZA CAROLINA"/>
    <x v="3"/>
  </r>
  <r>
    <x v="51"/>
    <x v="1"/>
    <x v="1"/>
    <x v="1"/>
    <x v="0"/>
    <x v="2"/>
    <x v="1"/>
    <x v="1"/>
    <x v="1"/>
    <x v="445"/>
    <s v="PLAZA CAROLINA"/>
    <x v="3"/>
  </r>
  <r>
    <x v="52"/>
    <x v="98"/>
    <x v="1"/>
    <x v="1"/>
    <x v="0"/>
    <x v="2"/>
    <x v="37"/>
    <x v="198"/>
    <x v="1564"/>
    <x v="0"/>
    <s v="PLAZA CORDOBA"/>
    <x v="3"/>
  </r>
  <r>
    <x v="52"/>
    <x v="1"/>
    <x v="1"/>
    <x v="1"/>
    <x v="0"/>
    <x v="2"/>
    <x v="1"/>
    <x v="1"/>
    <x v="1"/>
    <x v="446"/>
    <s v="PLAZA CORDOBA"/>
    <x v="3"/>
  </r>
  <r>
    <x v="54"/>
    <x v="21"/>
    <x v="6"/>
    <x v="6"/>
    <x v="0"/>
    <x v="2"/>
    <x v="37"/>
    <x v="70"/>
    <x v="816"/>
    <x v="0"/>
    <s v="JUSTO AROSEMENA"/>
    <x v="3"/>
  </r>
  <r>
    <x v="54"/>
    <x v="1"/>
    <x v="1"/>
    <x v="1"/>
    <x v="0"/>
    <x v="2"/>
    <x v="1"/>
    <x v="1"/>
    <x v="1"/>
    <x v="447"/>
    <s v="JUSTO AROSEMENA"/>
    <x v="3"/>
  </r>
  <r>
    <x v="55"/>
    <x v="70"/>
    <x v="2"/>
    <x v="2"/>
    <x v="0"/>
    <x v="3"/>
    <x v="37"/>
    <x v="36"/>
    <x v="1565"/>
    <x v="0"/>
    <s v="NEGOCIOS"/>
    <x v="3"/>
  </r>
  <r>
    <x v="55"/>
    <x v="71"/>
    <x v="6"/>
    <x v="6"/>
    <x v="0"/>
    <x v="3"/>
    <x v="37"/>
    <x v="37"/>
    <x v="1566"/>
    <x v="0"/>
    <s v="NEGOCIOS"/>
    <x v="3"/>
  </r>
  <r>
    <x v="55"/>
    <x v="1"/>
    <x v="1"/>
    <x v="1"/>
    <x v="0"/>
    <x v="3"/>
    <x v="1"/>
    <x v="1"/>
    <x v="1"/>
    <x v="448"/>
    <s v="NEGOCIOS"/>
    <x v="3"/>
  </r>
  <r>
    <x v="55"/>
    <x v="1"/>
    <x v="1"/>
    <x v="1"/>
    <x v="0"/>
    <x v="24"/>
    <x v="1"/>
    <x v="1"/>
    <x v="1"/>
    <x v="449"/>
    <s v="NEGOCIOS"/>
    <x v="3"/>
  </r>
  <r>
    <x v="55"/>
    <x v="89"/>
    <x v="4"/>
    <x v="4"/>
    <x v="0"/>
    <x v="4"/>
    <x v="37"/>
    <x v="154"/>
    <x v="1567"/>
    <x v="0"/>
    <s v="NEGOCIOS"/>
    <x v="3"/>
  </r>
  <r>
    <x v="55"/>
    <x v="1"/>
    <x v="1"/>
    <x v="1"/>
    <x v="0"/>
    <x v="4"/>
    <x v="1"/>
    <x v="1"/>
    <x v="1"/>
    <x v="450"/>
    <s v="NEGOCIOS"/>
    <x v="3"/>
  </r>
  <r>
    <x v="55"/>
    <x v="39"/>
    <x v="4"/>
    <x v="4"/>
    <x v="0"/>
    <x v="5"/>
    <x v="37"/>
    <x v="210"/>
    <x v="1554"/>
    <x v="0"/>
    <s v="NEGOCIOS"/>
    <x v="3"/>
  </r>
  <r>
    <x v="55"/>
    <x v="1"/>
    <x v="1"/>
    <x v="1"/>
    <x v="0"/>
    <x v="5"/>
    <x v="1"/>
    <x v="1"/>
    <x v="1"/>
    <x v="451"/>
    <s v="NEGOCIOS"/>
    <x v="3"/>
  </r>
  <r>
    <x v="55"/>
    <x v="86"/>
    <x v="6"/>
    <x v="6"/>
    <x v="0"/>
    <x v="6"/>
    <x v="38"/>
    <x v="224"/>
    <x v="1568"/>
    <x v="0"/>
    <s v="NEGOCIOS"/>
    <x v="3"/>
  </r>
  <r>
    <x v="55"/>
    <x v="135"/>
    <x v="3"/>
    <x v="3"/>
    <x v="0"/>
    <x v="6"/>
    <x v="38"/>
    <x v="149"/>
    <x v="1569"/>
    <x v="0"/>
    <s v="NEGOCIOS"/>
    <x v="3"/>
  </r>
  <r>
    <x v="55"/>
    <x v="89"/>
    <x v="4"/>
    <x v="4"/>
    <x v="0"/>
    <x v="6"/>
    <x v="38"/>
    <x v="154"/>
    <x v="1570"/>
    <x v="0"/>
    <s v="NEGOCIOS"/>
    <x v="3"/>
  </r>
  <r>
    <x v="55"/>
    <x v="92"/>
    <x v="0"/>
    <x v="0"/>
    <x v="0"/>
    <x v="6"/>
    <x v="38"/>
    <x v="109"/>
    <x v="1571"/>
    <x v="0"/>
    <s v="NEGOCIOS"/>
    <x v="3"/>
  </r>
  <r>
    <x v="55"/>
    <x v="122"/>
    <x v="0"/>
    <x v="0"/>
    <x v="0"/>
    <x v="6"/>
    <x v="38"/>
    <x v="181"/>
    <x v="1572"/>
    <x v="0"/>
    <s v="NEGOCIOS"/>
    <x v="3"/>
  </r>
  <r>
    <x v="55"/>
    <x v="139"/>
    <x v="5"/>
    <x v="5"/>
    <x v="0"/>
    <x v="6"/>
    <x v="38"/>
    <x v="110"/>
    <x v="1573"/>
    <x v="0"/>
    <s v="NEGOCIOS"/>
    <x v="3"/>
  </r>
  <r>
    <x v="55"/>
    <x v="150"/>
    <x v="5"/>
    <x v="5"/>
    <x v="0"/>
    <x v="6"/>
    <x v="37"/>
    <x v="214"/>
    <x v="1574"/>
    <x v="0"/>
    <s v="NEGOCIOS"/>
    <x v="3"/>
  </r>
  <r>
    <x v="55"/>
    <x v="83"/>
    <x v="1"/>
    <x v="1"/>
    <x v="0"/>
    <x v="6"/>
    <x v="38"/>
    <x v="215"/>
    <x v="1575"/>
    <x v="0"/>
    <s v="NEGOCIOS"/>
    <x v="3"/>
  </r>
  <r>
    <x v="55"/>
    <x v="40"/>
    <x v="1"/>
    <x v="1"/>
    <x v="0"/>
    <x v="6"/>
    <x v="37"/>
    <x v="125"/>
    <x v="1576"/>
    <x v="0"/>
    <s v="NEGOCIOS"/>
    <x v="3"/>
  </r>
  <r>
    <x v="55"/>
    <x v="14"/>
    <x v="1"/>
    <x v="1"/>
    <x v="0"/>
    <x v="6"/>
    <x v="38"/>
    <x v="112"/>
    <x v="1577"/>
    <x v="0"/>
    <s v="NEGOCIOS"/>
    <x v="3"/>
  </r>
  <r>
    <x v="55"/>
    <x v="41"/>
    <x v="1"/>
    <x v="1"/>
    <x v="0"/>
    <x v="6"/>
    <x v="37"/>
    <x v="113"/>
    <x v="1578"/>
    <x v="0"/>
    <s v="NEGOCIOS"/>
    <x v="3"/>
  </r>
  <r>
    <x v="55"/>
    <x v="22"/>
    <x v="1"/>
    <x v="1"/>
    <x v="0"/>
    <x v="6"/>
    <x v="37"/>
    <x v="211"/>
    <x v="1579"/>
    <x v="0"/>
    <s v="NEGOCIOS"/>
    <x v="3"/>
  </r>
  <r>
    <x v="55"/>
    <x v="33"/>
    <x v="1"/>
    <x v="1"/>
    <x v="0"/>
    <x v="6"/>
    <x v="37"/>
    <x v="241"/>
    <x v="1580"/>
    <x v="0"/>
    <s v="NEGOCIOS"/>
    <x v="3"/>
  </r>
  <r>
    <x v="55"/>
    <x v="101"/>
    <x v="1"/>
    <x v="1"/>
    <x v="0"/>
    <x v="6"/>
    <x v="37"/>
    <x v="207"/>
    <x v="1424"/>
    <x v="0"/>
    <s v="NEGOCIOS"/>
    <x v="3"/>
  </r>
  <r>
    <x v="55"/>
    <x v="1"/>
    <x v="1"/>
    <x v="1"/>
    <x v="0"/>
    <x v="6"/>
    <x v="1"/>
    <x v="1"/>
    <x v="1"/>
    <x v="452"/>
    <s v="NEGOCIOS"/>
    <x v="3"/>
  </r>
  <r>
    <x v="55"/>
    <x v="96"/>
    <x v="6"/>
    <x v="6"/>
    <x v="0"/>
    <x v="7"/>
    <x v="37"/>
    <x v="165"/>
    <x v="1"/>
    <x v="453"/>
    <s v="NEGOCIOS"/>
    <x v="3"/>
  </r>
  <r>
    <x v="55"/>
    <x v="50"/>
    <x v="4"/>
    <x v="4"/>
    <x v="0"/>
    <x v="7"/>
    <x v="37"/>
    <x v="77"/>
    <x v="1581"/>
    <x v="0"/>
    <s v="NEGOCIOS"/>
    <x v="3"/>
  </r>
  <r>
    <x v="55"/>
    <x v="39"/>
    <x v="4"/>
    <x v="4"/>
    <x v="0"/>
    <x v="7"/>
    <x v="37"/>
    <x v="210"/>
    <x v="1582"/>
    <x v="0"/>
    <s v="NEGOCIOS"/>
    <x v="3"/>
  </r>
  <r>
    <x v="55"/>
    <x v="39"/>
    <x v="4"/>
    <x v="4"/>
    <x v="0"/>
    <x v="7"/>
    <x v="37"/>
    <x v="210"/>
    <x v="1"/>
    <x v="454"/>
    <s v="NEGOCIOS"/>
    <x v="3"/>
  </r>
  <r>
    <x v="55"/>
    <x v="40"/>
    <x v="1"/>
    <x v="1"/>
    <x v="0"/>
    <x v="7"/>
    <x v="37"/>
    <x v="125"/>
    <x v="1583"/>
    <x v="0"/>
    <s v="NEGOCIOS"/>
    <x v="3"/>
  </r>
  <r>
    <x v="55"/>
    <x v="1"/>
    <x v="1"/>
    <x v="1"/>
    <x v="0"/>
    <x v="7"/>
    <x v="1"/>
    <x v="1"/>
    <x v="1"/>
    <x v="455"/>
    <s v="NEGOCIOS"/>
    <x v="3"/>
  </r>
  <r>
    <x v="55"/>
    <x v="169"/>
    <x v="6"/>
    <x v="6"/>
    <x v="0"/>
    <x v="8"/>
    <x v="38"/>
    <x v="249"/>
    <x v="1584"/>
    <x v="0"/>
    <s v="NEGOCIOS"/>
    <x v="3"/>
  </r>
  <r>
    <x v="55"/>
    <x v="4"/>
    <x v="4"/>
    <x v="4"/>
    <x v="0"/>
    <x v="8"/>
    <x v="38"/>
    <x v="199"/>
    <x v="1585"/>
    <x v="0"/>
    <s v="NEGOCIOS"/>
    <x v="3"/>
  </r>
  <r>
    <x v="55"/>
    <x v="1"/>
    <x v="1"/>
    <x v="1"/>
    <x v="0"/>
    <x v="8"/>
    <x v="1"/>
    <x v="1"/>
    <x v="1"/>
    <x v="456"/>
    <s v="NEGOCIOS"/>
    <x v="3"/>
  </r>
  <r>
    <x v="55"/>
    <x v="107"/>
    <x v="2"/>
    <x v="2"/>
    <x v="0"/>
    <x v="9"/>
    <x v="37"/>
    <x v="158"/>
    <x v="910"/>
    <x v="0"/>
    <s v="NEGOCIOS"/>
    <x v="3"/>
  </r>
  <r>
    <x v="55"/>
    <x v="96"/>
    <x v="6"/>
    <x v="6"/>
    <x v="0"/>
    <x v="9"/>
    <x v="38"/>
    <x v="165"/>
    <x v="1586"/>
    <x v="0"/>
    <s v="NEGOCIOS"/>
    <x v="3"/>
  </r>
  <r>
    <x v="55"/>
    <x v="79"/>
    <x v="3"/>
    <x v="3"/>
    <x v="0"/>
    <x v="9"/>
    <x v="37"/>
    <x v="142"/>
    <x v="1121"/>
    <x v="0"/>
    <s v="NEGOCIOS"/>
    <x v="3"/>
  </r>
  <r>
    <x v="55"/>
    <x v="62"/>
    <x v="4"/>
    <x v="4"/>
    <x v="0"/>
    <x v="9"/>
    <x v="38"/>
    <x v="176"/>
    <x v="903"/>
    <x v="0"/>
    <s v="NEGOCIOS"/>
    <x v="3"/>
  </r>
  <r>
    <x v="55"/>
    <x v="145"/>
    <x v="5"/>
    <x v="5"/>
    <x v="0"/>
    <x v="9"/>
    <x v="38"/>
    <x v="124"/>
    <x v="1587"/>
    <x v="0"/>
    <s v="NEGOCIOS"/>
    <x v="3"/>
  </r>
  <r>
    <x v="55"/>
    <x v="1"/>
    <x v="1"/>
    <x v="1"/>
    <x v="0"/>
    <x v="9"/>
    <x v="1"/>
    <x v="1"/>
    <x v="1"/>
    <x v="457"/>
    <s v="NEGOCIOS"/>
    <x v="3"/>
  </r>
  <r>
    <x v="55"/>
    <x v="1"/>
    <x v="1"/>
    <x v="1"/>
    <x v="0"/>
    <x v="26"/>
    <x v="1"/>
    <x v="1"/>
    <x v="1"/>
    <x v="458"/>
    <s v="NEGOCIOS"/>
    <x v="3"/>
  </r>
  <r>
    <x v="55"/>
    <x v="85"/>
    <x v="2"/>
    <x v="2"/>
    <x v="0"/>
    <x v="11"/>
    <x v="38"/>
    <x v="161"/>
    <x v="1588"/>
    <x v="0"/>
    <s v="NEGOCIOS"/>
    <x v="3"/>
  </r>
  <r>
    <x v="55"/>
    <x v="1"/>
    <x v="1"/>
    <x v="1"/>
    <x v="0"/>
    <x v="11"/>
    <x v="1"/>
    <x v="1"/>
    <x v="1"/>
    <x v="459"/>
    <s v="NEGOCIOS"/>
    <x v="3"/>
  </r>
  <r>
    <x v="55"/>
    <x v="169"/>
    <x v="6"/>
    <x v="6"/>
    <x v="0"/>
    <x v="12"/>
    <x v="38"/>
    <x v="249"/>
    <x v="1589"/>
    <x v="0"/>
    <s v="NEGOCIOS"/>
    <x v="3"/>
  </r>
  <r>
    <x v="55"/>
    <x v="79"/>
    <x v="3"/>
    <x v="3"/>
    <x v="0"/>
    <x v="12"/>
    <x v="38"/>
    <x v="142"/>
    <x v="1590"/>
    <x v="0"/>
    <s v="NEGOCIOS"/>
    <x v="3"/>
  </r>
  <r>
    <x v="55"/>
    <x v="62"/>
    <x v="4"/>
    <x v="4"/>
    <x v="0"/>
    <x v="12"/>
    <x v="38"/>
    <x v="176"/>
    <x v="1591"/>
    <x v="0"/>
    <s v="NEGOCIOS"/>
    <x v="3"/>
  </r>
  <r>
    <x v="55"/>
    <x v="4"/>
    <x v="4"/>
    <x v="4"/>
    <x v="0"/>
    <x v="12"/>
    <x v="38"/>
    <x v="199"/>
    <x v="1592"/>
    <x v="0"/>
    <s v="NEGOCIOS"/>
    <x v="3"/>
  </r>
  <r>
    <x v="55"/>
    <x v="1"/>
    <x v="1"/>
    <x v="1"/>
    <x v="0"/>
    <x v="12"/>
    <x v="1"/>
    <x v="1"/>
    <x v="1"/>
    <x v="460"/>
    <s v="NEGOCIOS"/>
    <x v="3"/>
  </r>
  <r>
    <x v="55"/>
    <x v="96"/>
    <x v="6"/>
    <x v="6"/>
    <x v="0"/>
    <x v="13"/>
    <x v="37"/>
    <x v="165"/>
    <x v="1593"/>
    <x v="0"/>
    <s v="NEGOCIOS"/>
    <x v="3"/>
  </r>
  <r>
    <x v="55"/>
    <x v="145"/>
    <x v="5"/>
    <x v="5"/>
    <x v="0"/>
    <x v="13"/>
    <x v="38"/>
    <x v="124"/>
    <x v="816"/>
    <x v="0"/>
    <s v="NEGOCIOS"/>
    <x v="3"/>
  </r>
  <r>
    <x v="55"/>
    <x v="1"/>
    <x v="1"/>
    <x v="1"/>
    <x v="0"/>
    <x v="13"/>
    <x v="1"/>
    <x v="1"/>
    <x v="1"/>
    <x v="461"/>
    <s v="NEGOCIOS"/>
    <x v="3"/>
  </r>
  <r>
    <x v="55"/>
    <x v="85"/>
    <x v="2"/>
    <x v="2"/>
    <x v="0"/>
    <x v="14"/>
    <x v="38"/>
    <x v="161"/>
    <x v="1594"/>
    <x v="0"/>
    <s v="NEGOCIOS"/>
    <x v="3"/>
  </r>
  <r>
    <x v="55"/>
    <x v="144"/>
    <x v="2"/>
    <x v="2"/>
    <x v="0"/>
    <x v="14"/>
    <x v="38"/>
    <x v="162"/>
    <x v="816"/>
    <x v="0"/>
    <s v="NEGOCIOS"/>
    <x v="3"/>
  </r>
  <r>
    <x v="55"/>
    <x v="9"/>
    <x v="6"/>
    <x v="6"/>
    <x v="0"/>
    <x v="14"/>
    <x v="38"/>
    <x v="255"/>
    <x v="1061"/>
    <x v="0"/>
    <s v="NEGOCIOS"/>
    <x v="3"/>
  </r>
  <r>
    <x v="55"/>
    <x v="23"/>
    <x v="3"/>
    <x v="3"/>
    <x v="0"/>
    <x v="14"/>
    <x v="37"/>
    <x v="221"/>
    <x v="1595"/>
    <x v="0"/>
    <s v="NEGOCIOS"/>
    <x v="3"/>
  </r>
  <r>
    <x v="55"/>
    <x v="79"/>
    <x v="3"/>
    <x v="3"/>
    <x v="0"/>
    <x v="14"/>
    <x v="37"/>
    <x v="142"/>
    <x v="816"/>
    <x v="0"/>
    <s v="NEGOCIOS"/>
    <x v="3"/>
  </r>
  <r>
    <x v="55"/>
    <x v="50"/>
    <x v="4"/>
    <x v="4"/>
    <x v="0"/>
    <x v="14"/>
    <x v="37"/>
    <x v="77"/>
    <x v="900"/>
    <x v="0"/>
    <s v="NEGOCIOS"/>
    <x v="3"/>
  </r>
  <r>
    <x v="55"/>
    <x v="89"/>
    <x v="4"/>
    <x v="4"/>
    <x v="0"/>
    <x v="14"/>
    <x v="37"/>
    <x v="154"/>
    <x v="1596"/>
    <x v="0"/>
    <s v="NEGOCIOS"/>
    <x v="3"/>
  </r>
  <r>
    <x v="55"/>
    <x v="62"/>
    <x v="4"/>
    <x v="4"/>
    <x v="0"/>
    <x v="14"/>
    <x v="37"/>
    <x v="176"/>
    <x v="1061"/>
    <x v="0"/>
    <s v="NEGOCIOS"/>
    <x v="3"/>
  </r>
  <r>
    <x v="55"/>
    <x v="159"/>
    <x v="0"/>
    <x v="0"/>
    <x v="0"/>
    <x v="14"/>
    <x v="37"/>
    <x v="177"/>
    <x v="1596"/>
    <x v="0"/>
    <s v="NEGOCIOS"/>
    <x v="3"/>
  </r>
  <r>
    <x v="55"/>
    <x v="145"/>
    <x v="5"/>
    <x v="5"/>
    <x v="0"/>
    <x v="14"/>
    <x v="37"/>
    <x v="124"/>
    <x v="816"/>
    <x v="0"/>
    <s v="NEGOCIOS"/>
    <x v="3"/>
  </r>
  <r>
    <x v="55"/>
    <x v="150"/>
    <x v="5"/>
    <x v="5"/>
    <x v="0"/>
    <x v="14"/>
    <x v="37"/>
    <x v="214"/>
    <x v="1061"/>
    <x v="0"/>
    <s v="NEGOCIOS"/>
    <x v="3"/>
  </r>
  <r>
    <x v="55"/>
    <x v="40"/>
    <x v="1"/>
    <x v="1"/>
    <x v="0"/>
    <x v="14"/>
    <x v="37"/>
    <x v="125"/>
    <x v="816"/>
    <x v="0"/>
    <s v="NEGOCIOS"/>
    <x v="3"/>
  </r>
  <r>
    <x v="55"/>
    <x v="1"/>
    <x v="1"/>
    <x v="1"/>
    <x v="0"/>
    <x v="14"/>
    <x v="1"/>
    <x v="1"/>
    <x v="1"/>
    <x v="462"/>
    <s v="NEGOCIOS"/>
    <x v="3"/>
  </r>
  <r>
    <x v="55"/>
    <x v="159"/>
    <x v="0"/>
    <x v="0"/>
    <x v="0"/>
    <x v="15"/>
    <x v="38"/>
    <x v="177"/>
    <x v="1061"/>
    <x v="0"/>
    <s v="NEGOCIOS"/>
    <x v="3"/>
  </r>
  <r>
    <x v="55"/>
    <x v="1"/>
    <x v="1"/>
    <x v="1"/>
    <x v="0"/>
    <x v="15"/>
    <x v="1"/>
    <x v="1"/>
    <x v="1"/>
    <x v="463"/>
    <s v="NEGOCIOS"/>
    <x v="3"/>
  </r>
  <r>
    <x v="55"/>
    <x v="25"/>
    <x v="2"/>
    <x v="2"/>
    <x v="0"/>
    <x v="28"/>
    <x v="38"/>
    <x v="169"/>
    <x v="1597"/>
    <x v="0"/>
    <s v="NEGOCIOS"/>
    <x v="3"/>
  </r>
  <r>
    <x v="55"/>
    <x v="75"/>
    <x v="3"/>
    <x v="3"/>
    <x v="0"/>
    <x v="28"/>
    <x v="38"/>
    <x v="220"/>
    <x v="1182"/>
    <x v="0"/>
    <s v="NEGOCIOS"/>
    <x v="3"/>
  </r>
  <r>
    <x v="55"/>
    <x v="78"/>
    <x v="4"/>
    <x v="4"/>
    <x v="0"/>
    <x v="28"/>
    <x v="37"/>
    <x v="160"/>
    <x v="1"/>
    <x v="464"/>
    <s v="NEGOCIOS"/>
    <x v="3"/>
  </r>
  <r>
    <x v="55"/>
    <x v="142"/>
    <x v="0"/>
    <x v="0"/>
    <x v="0"/>
    <x v="28"/>
    <x v="37"/>
    <x v="119"/>
    <x v="1598"/>
    <x v="0"/>
    <s v="NEGOCIOS"/>
    <x v="3"/>
  </r>
  <r>
    <x v="55"/>
    <x v="141"/>
    <x v="5"/>
    <x v="5"/>
    <x v="0"/>
    <x v="28"/>
    <x v="38"/>
    <x v="185"/>
    <x v="1599"/>
    <x v="0"/>
    <s v="NEGOCIOS"/>
    <x v="3"/>
  </r>
  <r>
    <x v="55"/>
    <x v="151"/>
    <x v="1"/>
    <x v="1"/>
    <x v="0"/>
    <x v="28"/>
    <x v="38"/>
    <x v="166"/>
    <x v="1600"/>
    <x v="0"/>
    <s v="NEGOCIOS"/>
    <x v="3"/>
  </r>
  <r>
    <x v="55"/>
    <x v="1"/>
    <x v="1"/>
    <x v="1"/>
    <x v="0"/>
    <x v="28"/>
    <x v="1"/>
    <x v="1"/>
    <x v="1"/>
    <x v="465"/>
    <s v="NEGOCIOS"/>
    <x v="3"/>
  </r>
  <r>
    <x v="55"/>
    <x v="1"/>
    <x v="1"/>
    <x v="1"/>
    <x v="0"/>
    <x v="29"/>
    <x v="1"/>
    <x v="1"/>
    <x v="1"/>
    <x v="466"/>
    <s v="NEGOCIOS"/>
    <x v="3"/>
  </r>
  <r>
    <x v="55"/>
    <x v="84"/>
    <x v="2"/>
    <x v="2"/>
    <x v="0"/>
    <x v="16"/>
    <x v="38"/>
    <x v="203"/>
    <x v="1601"/>
    <x v="0"/>
    <s v="NEGOCIOS"/>
    <x v="3"/>
  </r>
  <r>
    <x v="55"/>
    <x v="1"/>
    <x v="1"/>
    <x v="1"/>
    <x v="0"/>
    <x v="16"/>
    <x v="1"/>
    <x v="1"/>
    <x v="1"/>
    <x v="467"/>
    <s v="NEGOCIOS"/>
    <x v="3"/>
  </r>
  <r>
    <x v="55"/>
    <x v="85"/>
    <x v="2"/>
    <x v="2"/>
    <x v="0"/>
    <x v="30"/>
    <x v="37"/>
    <x v="161"/>
    <x v="1602"/>
    <x v="0"/>
    <s v="NEGOCIOS"/>
    <x v="3"/>
  </r>
  <r>
    <x v="55"/>
    <x v="107"/>
    <x v="2"/>
    <x v="2"/>
    <x v="0"/>
    <x v="30"/>
    <x v="37"/>
    <x v="158"/>
    <x v="1603"/>
    <x v="0"/>
    <s v="NEGOCIOS"/>
    <x v="3"/>
  </r>
  <r>
    <x v="55"/>
    <x v="1"/>
    <x v="1"/>
    <x v="1"/>
    <x v="0"/>
    <x v="30"/>
    <x v="1"/>
    <x v="1"/>
    <x v="1"/>
    <x v="468"/>
    <s v="NEGOCIOS"/>
    <x v="3"/>
  </r>
  <r>
    <x v="55"/>
    <x v="102"/>
    <x v="6"/>
    <x v="6"/>
    <x v="0"/>
    <x v="17"/>
    <x v="37"/>
    <x v="141"/>
    <x v="1604"/>
    <x v="0"/>
    <s v="NEGOCIOS"/>
    <x v="3"/>
  </r>
  <r>
    <x v="55"/>
    <x v="1"/>
    <x v="1"/>
    <x v="1"/>
    <x v="0"/>
    <x v="17"/>
    <x v="1"/>
    <x v="1"/>
    <x v="1"/>
    <x v="469"/>
    <s v="NEGOCIOS"/>
    <x v="3"/>
  </r>
  <r>
    <x v="55"/>
    <x v="24"/>
    <x v="2"/>
    <x v="2"/>
    <x v="0"/>
    <x v="32"/>
    <x v="38"/>
    <x v="202"/>
    <x v="1602"/>
    <x v="0"/>
    <s v="NEGOCIOS"/>
    <x v="3"/>
  </r>
  <r>
    <x v="55"/>
    <x v="21"/>
    <x v="6"/>
    <x v="6"/>
    <x v="0"/>
    <x v="32"/>
    <x v="37"/>
    <x v="70"/>
    <x v="1605"/>
    <x v="0"/>
    <s v="NEGOCIOS"/>
    <x v="3"/>
  </r>
  <r>
    <x v="55"/>
    <x v="1"/>
    <x v="1"/>
    <x v="1"/>
    <x v="0"/>
    <x v="32"/>
    <x v="1"/>
    <x v="1"/>
    <x v="1"/>
    <x v="470"/>
    <s v="NEGOCIOS"/>
    <x v="3"/>
  </r>
  <r>
    <x v="55"/>
    <x v="79"/>
    <x v="3"/>
    <x v="3"/>
    <x v="0"/>
    <x v="34"/>
    <x v="38"/>
    <x v="142"/>
    <x v="952"/>
    <x v="0"/>
    <s v="NEGOCIOS"/>
    <x v="3"/>
  </r>
  <r>
    <x v="55"/>
    <x v="90"/>
    <x v="0"/>
    <x v="0"/>
    <x v="0"/>
    <x v="34"/>
    <x v="37"/>
    <x v="79"/>
    <x v="1"/>
    <x v="471"/>
    <s v="NEGOCIOS"/>
    <x v="3"/>
  </r>
  <r>
    <x v="55"/>
    <x v="155"/>
    <x v="1"/>
    <x v="1"/>
    <x v="0"/>
    <x v="34"/>
    <x v="38"/>
    <x v="145"/>
    <x v="1596"/>
    <x v="0"/>
    <s v="NEGOCIOS"/>
    <x v="3"/>
  </r>
  <r>
    <x v="55"/>
    <x v="33"/>
    <x v="1"/>
    <x v="1"/>
    <x v="0"/>
    <x v="34"/>
    <x v="38"/>
    <x v="241"/>
    <x v="1606"/>
    <x v="0"/>
    <s v="NEGOCIOS"/>
    <x v="3"/>
  </r>
  <r>
    <x v="55"/>
    <x v="1"/>
    <x v="1"/>
    <x v="1"/>
    <x v="0"/>
    <x v="34"/>
    <x v="1"/>
    <x v="1"/>
    <x v="1"/>
    <x v="472"/>
    <s v="NEGOCIOS"/>
    <x v="3"/>
  </r>
  <r>
    <x v="56"/>
    <x v="1"/>
    <x v="1"/>
    <x v="1"/>
    <x v="0"/>
    <x v="2"/>
    <x v="1"/>
    <x v="1"/>
    <x v="1"/>
    <x v="221"/>
    <s v="BOULEVARD EL DORADO"/>
    <x v="3"/>
  </r>
  <r>
    <x v="58"/>
    <x v="23"/>
    <x v="3"/>
    <x v="3"/>
    <x v="0"/>
    <x v="2"/>
    <x v="37"/>
    <x v="221"/>
    <x v="1607"/>
    <x v="0"/>
    <s v="SANTIAGO INTERAMERICANA"/>
    <x v="3"/>
  </r>
  <r>
    <x v="58"/>
    <x v="40"/>
    <x v="1"/>
    <x v="1"/>
    <x v="0"/>
    <x v="2"/>
    <x v="37"/>
    <x v="125"/>
    <x v="1608"/>
    <x v="0"/>
    <s v="SANTIAGO INTERAMERICANA"/>
    <x v="3"/>
  </r>
  <r>
    <x v="58"/>
    <x v="1"/>
    <x v="1"/>
    <x v="1"/>
    <x v="0"/>
    <x v="2"/>
    <x v="1"/>
    <x v="1"/>
    <x v="1"/>
    <x v="473"/>
    <s v="SANTIAGO INTERAMERICANA"/>
    <x v="3"/>
  </r>
  <r>
    <x v="66"/>
    <x v="41"/>
    <x v="1"/>
    <x v="1"/>
    <x v="0"/>
    <x v="2"/>
    <x v="37"/>
    <x v="113"/>
    <x v="1609"/>
    <x v="0"/>
    <s v="BRISAS DEL GOLF ARRAIJAN"/>
    <x v="3"/>
  </r>
  <r>
    <x v="66"/>
    <x v="1"/>
    <x v="1"/>
    <x v="1"/>
    <x v="0"/>
    <x v="2"/>
    <x v="1"/>
    <x v="1"/>
    <x v="1"/>
    <x v="474"/>
    <s v="BRISAS DEL GOLF ARRAIJAN"/>
    <x v="3"/>
  </r>
  <r>
    <x v="0"/>
    <x v="70"/>
    <x v="2"/>
    <x v="2"/>
    <x v="0"/>
    <x v="2"/>
    <x v="39"/>
    <x v="36"/>
    <x v="1381"/>
    <x v="0"/>
    <s v="CASA MATRIZ"/>
    <x v="4"/>
  </r>
  <r>
    <x v="0"/>
    <x v="144"/>
    <x v="2"/>
    <x v="2"/>
    <x v="0"/>
    <x v="2"/>
    <x v="39"/>
    <x v="162"/>
    <x v="1610"/>
    <x v="0"/>
    <s v="CASA MATRIZ"/>
    <x v="4"/>
  </r>
  <r>
    <x v="0"/>
    <x v="86"/>
    <x v="6"/>
    <x v="6"/>
    <x v="0"/>
    <x v="2"/>
    <x v="39"/>
    <x v="224"/>
    <x v="1611"/>
    <x v="0"/>
    <s v="CASA MATRIZ"/>
    <x v="4"/>
  </r>
  <r>
    <x v="0"/>
    <x v="108"/>
    <x v="3"/>
    <x v="3"/>
    <x v="0"/>
    <x v="2"/>
    <x v="39"/>
    <x v="63"/>
    <x v="1612"/>
    <x v="0"/>
    <s v="CASA MATRIZ"/>
    <x v="4"/>
  </r>
  <r>
    <x v="0"/>
    <x v="135"/>
    <x v="3"/>
    <x v="3"/>
    <x v="0"/>
    <x v="2"/>
    <x v="39"/>
    <x v="149"/>
    <x v="1613"/>
    <x v="0"/>
    <s v="CASA MATRIZ"/>
    <x v="4"/>
  </r>
  <r>
    <x v="0"/>
    <x v="0"/>
    <x v="0"/>
    <x v="0"/>
    <x v="0"/>
    <x v="2"/>
    <x v="39"/>
    <x v="197"/>
    <x v="1614"/>
    <x v="0"/>
    <s v="CASA MATRIZ"/>
    <x v="4"/>
  </r>
  <r>
    <x v="0"/>
    <x v="13"/>
    <x v="5"/>
    <x v="5"/>
    <x v="0"/>
    <x v="2"/>
    <x v="39"/>
    <x v="120"/>
    <x v="1615"/>
    <x v="0"/>
    <s v="CASA MATRIZ"/>
    <x v="4"/>
  </r>
  <r>
    <x v="0"/>
    <x v="139"/>
    <x v="5"/>
    <x v="5"/>
    <x v="0"/>
    <x v="2"/>
    <x v="39"/>
    <x v="110"/>
    <x v="1616"/>
    <x v="0"/>
    <s v="CASA MATRIZ"/>
    <x v="4"/>
  </r>
  <r>
    <x v="0"/>
    <x v="153"/>
    <x v="5"/>
    <x v="5"/>
    <x v="0"/>
    <x v="2"/>
    <x v="39"/>
    <x v="157"/>
    <x v="1617"/>
    <x v="0"/>
    <s v="CASA MATRIZ"/>
    <x v="4"/>
  </r>
  <r>
    <x v="0"/>
    <x v="1"/>
    <x v="1"/>
    <x v="1"/>
    <x v="0"/>
    <x v="2"/>
    <x v="1"/>
    <x v="1"/>
    <x v="1"/>
    <x v="475"/>
    <s v="CASA MATRIZ"/>
    <x v="4"/>
  </r>
  <r>
    <x v="1"/>
    <x v="106"/>
    <x v="2"/>
    <x v="2"/>
    <x v="0"/>
    <x v="2"/>
    <x v="40"/>
    <x v="223"/>
    <x v="1618"/>
    <x v="0"/>
    <s v="PAITILLA"/>
    <x v="4"/>
  </r>
  <r>
    <x v="1"/>
    <x v="36"/>
    <x v="6"/>
    <x v="6"/>
    <x v="0"/>
    <x v="2"/>
    <x v="40"/>
    <x v="94"/>
    <x v="1619"/>
    <x v="0"/>
    <s v="PAITILLA"/>
    <x v="4"/>
  </r>
  <r>
    <x v="1"/>
    <x v="30"/>
    <x v="4"/>
    <x v="4"/>
    <x v="0"/>
    <x v="2"/>
    <x v="40"/>
    <x v="159"/>
    <x v="1620"/>
    <x v="0"/>
    <s v="PAITILLA"/>
    <x v="4"/>
  </r>
  <r>
    <x v="1"/>
    <x v="90"/>
    <x v="0"/>
    <x v="0"/>
    <x v="0"/>
    <x v="2"/>
    <x v="40"/>
    <x v="79"/>
    <x v="1621"/>
    <x v="0"/>
    <s v="PAITILLA"/>
    <x v="4"/>
  </r>
  <r>
    <x v="1"/>
    <x v="1"/>
    <x v="1"/>
    <x v="1"/>
    <x v="0"/>
    <x v="2"/>
    <x v="1"/>
    <x v="1"/>
    <x v="1"/>
    <x v="476"/>
    <s v="PAITILLA"/>
    <x v="4"/>
  </r>
  <r>
    <x v="2"/>
    <x v="70"/>
    <x v="2"/>
    <x v="2"/>
    <x v="0"/>
    <x v="2"/>
    <x v="39"/>
    <x v="36"/>
    <x v="784"/>
    <x v="0"/>
    <s v="EL DORADO"/>
    <x v="4"/>
  </r>
  <r>
    <x v="2"/>
    <x v="70"/>
    <x v="2"/>
    <x v="2"/>
    <x v="0"/>
    <x v="2"/>
    <x v="40"/>
    <x v="36"/>
    <x v="1622"/>
    <x v="0"/>
    <s v="EL DORADO"/>
    <x v="4"/>
  </r>
  <r>
    <x v="2"/>
    <x v="75"/>
    <x v="3"/>
    <x v="3"/>
    <x v="0"/>
    <x v="2"/>
    <x v="40"/>
    <x v="220"/>
    <x v="1623"/>
    <x v="0"/>
    <s v="EL DORADO"/>
    <x v="4"/>
  </r>
  <r>
    <x v="2"/>
    <x v="0"/>
    <x v="0"/>
    <x v="0"/>
    <x v="0"/>
    <x v="2"/>
    <x v="40"/>
    <x v="197"/>
    <x v="1138"/>
    <x v="0"/>
    <s v="EL DORADO"/>
    <x v="4"/>
  </r>
  <r>
    <x v="2"/>
    <x v="160"/>
    <x v="0"/>
    <x v="0"/>
    <x v="0"/>
    <x v="2"/>
    <x v="39"/>
    <x v="179"/>
    <x v="1624"/>
    <x v="0"/>
    <s v="EL DORADO"/>
    <x v="4"/>
  </r>
  <r>
    <x v="2"/>
    <x v="73"/>
    <x v="1"/>
    <x v="1"/>
    <x v="0"/>
    <x v="2"/>
    <x v="40"/>
    <x v="39"/>
    <x v="1138"/>
    <x v="0"/>
    <s v="EL DORADO"/>
    <x v="4"/>
  </r>
  <r>
    <x v="2"/>
    <x v="128"/>
    <x v="1"/>
    <x v="1"/>
    <x v="0"/>
    <x v="2"/>
    <x v="39"/>
    <x v="164"/>
    <x v="1625"/>
    <x v="0"/>
    <s v="EL DORADO"/>
    <x v="4"/>
  </r>
  <r>
    <x v="2"/>
    <x v="1"/>
    <x v="1"/>
    <x v="1"/>
    <x v="0"/>
    <x v="2"/>
    <x v="1"/>
    <x v="1"/>
    <x v="1"/>
    <x v="477"/>
    <s v="EL DORADO"/>
    <x v="4"/>
  </r>
  <r>
    <x v="3"/>
    <x v="85"/>
    <x v="2"/>
    <x v="2"/>
    <x v="0"/>
    <x v="2"/>
    <x v="39"/>
    <x v="161"/>
    <x v="1626"/>
    <x v="0"/>
    <s v="VIA ARGENTINA"/>
    <x v="4"/>
  </r>
  <r>
    <x v="3"/>
    <x v="102"/>
    <x v="6"/>
    <x v="6"/>
    <x v="0"/>
    <x v="2"/>
    <x v="39"/>
    <x v="141"/>
    <x v="1627"/>
    <x v="0"/>
    <s v="VIA ARGENTINA"/>
    <x v="4"/>
  </r>
  <r>
    <x v="3"/>
    <x v="68"/>
    <x v="4"/>
    <x v="4"/>
    <x v="0"/>
    <x v="2"/>
    <x v="39"/>
    <x v="222"/>
    <x v="1628"/>
    <x v="0"/>
    <s v="VIA ARGENTINA"/>
    <x v="4"/>
  </r>
  <r>
    <x v="3"/>
    <x v="159"/>
    <x v="0"/>
    <x v="0"/>
    <x v="0"/>
    <x v="2"/>
    <x v="39"/>
    <x v="177"/>
    <x v="1629"/>
    <x v="0"/>
    <s v="VIA ARGENTINA"/>
    <x v="4"/>
  </r>
  <r>
    <x v="3"/>
    <x v="0"/>
    <x v="0"/>
    <x v="0"/>
    <x v="0"/>
    <x v="2"/>
    <x v="39"/>
    <x v="197"/>
    <x v="1630"/>
    <x v="0"/>
    <s v="VIA ARGENTINA"/>
    <x v="4"/>
  </r>
  <r>
    <x v="3"/>
    <x v="145"/>
    <x v="5"/>
    <x v="5"/>
    <x v="0"/>
    <x v="2"/>
    <x v="39"/>
    <x v="124"/>
    <x v="1631"/>
    <x v="0"/>
    <s v="VIA ARGENTINA"/>
    <x v="4"/>
  </r>
  <r>
    <x v="3"/>
    <x v="77"/>
    <x v="5"/>
    <x v="5"/>
    <x v="0"/>
    <x v="2"/>
    <x v="39"/>
    <x v="156"/>
    <x v="1632"/>
    <x v="0"/>
    <s v="VIA ARGENTINA"/>
    <x v="4"/>
  </r>
  <r>
    <x v="3"/>
    <x v="1"/>
    <x v="1"/>
    <x v="1"/>
    <x v="0"/>
    <x v="2"/>
    <x v="1"/>
    <x v="1"/>
    <x v="1"/>
    <x v="478"/>
    <s v="VIA ARGENTINA"/>
    <x v="4"/>
  </r>
  <r>
    <x v="4"/>
    <x v="144"/>
    <x v="2"/>
    <x v="2"/>
    <x v="0"/>
    <x v="2"/>
    <x v="39"/>
    <x v="162"/>
    <x v="1633"/>
    <x v="0"/>
    <s v="VIA PORRAS"/>
    <x v="4"/>
  </r>
  <r>
    <x v="4"/>
    <x v="79"/>
    <x v="3"/>
    <x v="3"/>
    <x v="0"/>
    <x v="2"/>
    <x v="39"/>
    <x v="142"/>
    <x v="1633"/>
    <x v="0"/>
    <s v="VIA PORRAS"/>
    <x v="4"/>
  </r>
  <r>
    <x v="4"/>
    <x v="0"/>
    <x v="0"/>
    <x v="0"/>
    <x v="0"/>
    <x v="2"/>
    <x v="39"/>
    <x v="197"/>
    <x v="1156"/>
    <x v="0"/>
    <s v="VIA PORRAS"/>
    <x v="4"/>
  </r>
  <r>
    <x v="4"/>
    <x v="13"/>
    <x v="5"/>
    <x v="5"/>
    <x v="0"/>
    <x v="2"/>
    <x v="39"/>
    <x v="120"/>
    <x v="1634"/>
    <x v="0"/>
    <s v="VIA PORRAS"/>
    <x v="4"/>
  </r>
  <r>
    <x v="4"/>
    <x v="33"/>
    <x v="1"/>
    <x v="1"/>
    <x v="0"/>
    <x v="2"/>
    <x v="39"/>
    <x v="241"/>
    <x v="1635"/>
    <x v="0"/>
    <s v="VIA PORRAS"/>
    <x v="4"/>
  </r>
  <r>
    <x v="4"/>
    <x v="1"/>
    <x v="1"/>
    <x v="1"/>
    <x v="0"/>
    <x v="2"/>
    <x v="1"/>
    <x v="1"/>
    <x v="1"/>
    <x v="479"/>
    <s v="VIA PORRAS"/>
    <x v="4"/>
  </r>
  <r>
    <x v="5"/>
    <x v="70"/>
    <x v="2"/>
    <x v="2"/>
    <x v="0"/>
    <x v="2"/>
    <x v="39"/>
    <x v="36"/>
    <x v="1636"/>
    <x v="0"/>
    <s v="EL INGENIO"/>
    <x v="4"/>
  </r>
  <r>
    <x v="5"/>
    <x v="79"/>
    <x v="3"/>
    <x v="3"/>
    <x v="0"/>
    <x v="2"/>
    <x v="39"/>
    <x v="142"/>
    <x v="1637"/>
    <x v="0"/>
    <s v="EL INGENIO"/>
    <x v="4"/>
  </r>
  <r>
    <x v="5"/>
    <x v="33"/>
    <x v="1"/>
    <x v="1"/>
    <x v="0"/>
    <x v="2"/>
    <x v="39"/>
    <x v="241"/>
    <x v="1638"/>
    <x v="0"/>
    <s v="EL INGENIO"/>
    <x v="4"/>
  </r>
  <r>
    <x v="5"/>
    <x v="1"/>
    <x v="1"/>
    <x v="1"/>
    <x v="0"/>
    <x v="2"/>
    <x v="1"/>
    <x v="1"/>
    <x v="1"/>
    <x v="480"/>
    <s v="EL INGENIO"/>
    <x v="4"/>
  </r>
  <r>
    <x v="6"/>
    <x v="170"/>
    <x v="2"/>
    <x v="2"/>
    <x v="0"/>
    <x v="2"/>
    <x v="40"/>
    <x v="252"/>
    <x v="858"/>
    <x v="0"/>
    <s v="CHANIS"/>
    <x v="4"/>
  </r>
  <r>
    <x v="6"/>
    <x v="64"/>
    <x v="2"/>
    <x v="2"/>
    <x v="0"/>
    <x v="2"/>
    <x v="39"/>
    <x v="139"/>
    <x v="763"/>
    <x v="0"/>
    <s v="CHANIS"/>
    <x v="4"/>
  </r>
  <r>
    <x v="6"/>
    <x v="107"/>
    <x v="2"/>
    <x v="2"/>
    <x v="0"/>
    <x v="2"/>
    <x v="39"/>
    <x v="158"/>
    <x v="1639"/>
    <x v="0"/>
    <s v="CHANIS"/>
    <x v="4"/>
  </r>
  <r>
    <x v="6"/>
    <x v="68"/>
    <x v="4"/>
    <x v="4"/>
    <x v="0"/>
    <x v="2"/>
    <x v="39"/>
    <x v="222"/>
    <x v="891"/>
    <x v="0"/>
    <s v="CHANIS"/>
    <x v="4"/>
  </r>
  <r>
    <x v="6"/>
    <x v="115"/>
    <x v="5"/>
    <x v="5"/>
    <x v="0"/>
    <x v="2"/>
    <x v="39"/>
    <x v="213"/>
    <x v="1640"/>
    <x v="0"/>
    <s v="CHANIS"/>
    <x v="4"/>
  </r>
  <r>
    <x v="6"/>
    <x v="58"/>
    <x v="1"/>
    <x v="1"/>
    <x v="0"/>
    <x v="2"/>
    <x v="39"/>
    <x v="84"/>
    <x v="1641"/>
    <x v="0"/>
    <s v="CHANIS"/>
    <x v="4"/>
  </r>
  <r>
    <x v="6"/>
    <x v="98"/>
    <x v="1"/>
    <x v="1"/>
    <x v="0"/>
    <x v="2"/>
    <x v="39"/>
    <x v="198"/>
    <x v="1200"/>
    <x v="0"/>
    <s v="CHANIS"/>
    <x v="4"/>
  </r>
  <r>
    <x v="6"/>
    <x v="1"/>
    <x v="1"/>
    <x v="1"/>
    <x v="0"/>
    <x v="2"/>
    <x v="1"/>
    <x v="1"/>
    <x v="1"/>
    <x v="481"/>
    <s v="CHANIS"/>
    <x v="4"/>
  </r>
  <r>
    <x v="7"/>
    <x v="64"/>
    <x v="2"/>
    <x v="2"/>
    <x v="0"/>
    <x v="2"/>
    <x v="39"/>
    <x v="139"/>
    <x v="1642"/>
    <x v="0"/>
    <s v="PLAZA TOCUMEN"/>
    <x v="4"/>
  </r>
  <r>
    <x v="7"/>
    <x v="71"/>
    <x v="6"/>
    <x v="6"/>
    <x v="0"/>
    <x v="2"/>
    <x v="39"/>
    <x v="37"/>
    <x v="1335"/>
    <x v="0"/>
    <s v="PLAZA TOCUMEN"/>
    <x v="4"/>
  </r>
  <r>
    <x v="7"/>
    <x v="135"/>
    <x v="3"/>
    <x v="3"/>
    <x v="0"/>
    <x v="2"/>
    <x v="39"/>
    <x v="149"/>
    <x v="1344"/>
    <x v="0"/>
    <s v="PLAZA TOCUMEN"/>
    <x v="4"/>
  </r>
  <r>
    <x v="7"/>
    <x v="89"/>
    <x v="4"/>
    <x v="4"/>
    <x v="0"/>
    <x v="2"/>
    <x v="39"/>
    <x v="154"/>
    <x v="1643"/>
    <x v="0"/>
    <s v="PLAZA TOCUMEN"/>
    <x v="4"/>
  </r>
  <r>
    <x v="7"/>
    <x v="92"/>
    <x v="0"/>
    <x v="0"/>
    <x v="0"/>
    <x v="2"/>
    <x v="40"/>
    <x v="109"/>
    <x v="1644"/>
    <x v="0"/>
    <s v="PLAZA TOCUMEN"/>
    <x v="4"/>
  </r>
  <r>
    <x v="7"/>
    <x v="115"/>
    <x v="5"/>
    <x v="5"/>
    <x v="0"/>
    <x v="2"/>
    <x v="39"/>
    <x v="213"/>
    <x v="1645"/>
    <x v="0"/>
    <s v="PLAZA TOCUMEN"/>
    <x v="4"/>
  </r>
  <r>
    <x v="7"/>
    <x v="20"/>
    <x v="5"/>
    <x v="5"/>
    <x v="0"/>
    <x v="2"/>
    <x v="40"/>
    <x v="45"/>
    <x v="1528"/>
    <x v="0"/>
    <s v="PLAZA TOCUMEN"/>
    <x v="4"/>
  </r>
  <r>
    <x v="7"/>
    <x v="1"/>
    <x v="1"/>
    <x v="1"/>
    <x v="0"/>
    <x v="2"/>
    <x v="1"/>
    <x v="1"/>
    <x v="1"/>
    <x v="482"/>
    <s v="PLAZA TOCUMEN"/>
    <x v="4"/>
  </r>
  <r>
    <x v="8"/>
    <x v="23"/>
    <x v="3"/>
    <x v="3"/>
    <x v="0"/>
    <x v="2"/>
    <x v="39"/>
    <x v="221"/>
    <x v="810"/>
    <x v="0"/>
    <s v="SANTIAGO"/>
    <x v="4"/>
  </r>
  <r>
    <x v="8"/>
    <x v="79"/>
    <x v="3"/>
    <x v="3"/>
    <x v="0"/>
    <x v="2"/>
    <x v="39"/>
    <x v="142"/>
    <x v="1646"/>
    <x v="0"/>
    <s v="SANTIAGO"/>
    <x v="4"/>
  </r>
  <r>
    <x v="8"/>
    <x v="53"/>
    <x v="0"/>
    <x v="0"/>
    <x v="0"/>
    <x v="2"/>
    <x v="40"/>
    <x v="144"/>
    <x v="1303"/>
    <x v="0"/>
    <s v="SANTIAGO"/>
    <x v="4"/>
  </r>
  <r>
    <x v="8"/>
    <x v="77"/>
    <x v="5"/>
    <x v="5"/>
    <x v="0"/>
    <x v="2"/>
    <x v="39"/>
    <x v="156"/>
    <x v="1647"/>
    <x v="0"/>
    <s v="SANTIAGO"/>
    <x v="4"/>
  </r>
  <r>
    <x v="8"/>
    <x v="22"/>
    <x v="1"/>
    <x v="1"/>
    <x v="0"/>
    <x v="2"/>
    <x v="39"/>
    <x v="211"/>
    <x v="810"/>
    <x v="0"/>
    <s v="SANTIAGO"/>
    <x v="4"/>
  </r>
  <r>
    <x v="8"/>
    <x v="1"/>
    <x v="1"/>
    <x v="1"/>
    <x v="0"/>
    <x v="2"/>
    <x v="1"/>
    <x v="1"/>
    <x v="1"/>
    <x v="483"/>
    <s v="SANTIAGO"/>
    <x v="4"/>
  </r>
  <r>
    <x v="9"/>
    <x v="107"/>
    <x v="2"/>
    <x v="2"/>
    <x v="0"/>
    <x v="2"/>
    <x v="39"/>
    <x v="158"/>
    <x v="847"/>
    <x v="0"/>
    <s v="OBARRIO"/>
    <x v="4"/>
  </r>
  <r>
    <x v="9"/>
    <x v="107"/>
    <x v="2"/>
    <x v="2"/>
    <x v="0"/>
    <x v="2"/>
    <x v="40"/>
    <x v="158"/>
    <x v="1648"/>
    <x v="0"/>
    <s v="OBARRIO"/>
    <x v="4"/>
  </r>
  <r>
    <x v="9"/>
    <x v="50"/>
    <x v="4"/>
    <x v="4"/>
    <x v="0"/>
    <x v="2"/>
    <x v="39"/>
    <x v="77"/>
    <x v="1649"/>
    <x v="0"/>
    <s v="OBARRIO"/>
    <x v="4"/>
  </r>
  <r>
    <x v="9"/>
    <x v="125"/>
    <x v="5"/>
    <x v="5"/>
    <x v="0"/>
    <x v="2"/>
    <x v="39"/>
    <x v="82"/>
    <x v="1650"/>
    <x v="0"/>
    <s v="OBARRIO"/>
    <x v="4"/>
  </r>
  <r>
    <x v="9"/>
    <x v="155"/>
    <x v="1"/>
    <x v="1"/>
    <x v="0"/>
    <x v="2"/>
    <x v="39"/>
    <x v="145"/>
    <x v="601"/>
    <x v="0"/>
    <s v="OBARRIO"/>
    <x v="4"/>
  </r>
  <r>
    <x v="9"/>
    <x v="1"/>
    <x v="1"/>
    <x v="1"/>
    <x v="0"/>
    <x v="2"/>
    <x v="1"/>
    <x v="1"/>
    <x v="1"/>
    <x v="484"/>
    <s v="OBARRIO"/>
    <x v="4"/>
  </r>
  <r>
    <x v="70"/>
    <x v="86"/>
    <x v="6"/>
    <x v="6"/>
    <x v="0"/>
    <x v="2"/>
    <x v="39"/>
    <x v="224"/>
    <x v="1535"/>
    <x v="0"/>
    <s v="COLON"/>
    <x v="4"/>
  </r>
  <r>
    <x v="70"/>
    <x v="154"/>
    <x v="4"/>
    <x v="4"/>
    <x v="0"/>
    <x v="2"/>
    <x v="39"/>
    <x v="143"/>
    <x v="1651"/>
    <x v="0"/>
    <s v="COLON"/>
    <x v="4"/>
  </r>
  <r>
    <x v="70"/>
    <x v="41"/>
    <x v="1"/>
    <x v="1"/>
    <x v="0"/>
    <x v="2"/>
    <x v="39"/>
    <x v="113"/>
    <x v="1652"/>
    <x v="0"/>
    <s v="COLON"/>
    <x v="4"/>
  </r>
  <r>
    <x v="70"/>
    <x v="1"/>
    <x v="1"/>
    <x v="1"/>
    <x v="0"/>
    <x v="2"/>
    <x v="1"/>
    <x v="1"/>
    <x v="1"/>
    <x v="485"/>
    <s v="COLON"/>
    <x v="4"/>
  </r>
  <r>
    <x v="10"/>
    <x v="70"/>
    <x v="2"/>
    <x v="2"/>
    <x v="0"/>
    <x v="2"/>
    <x v="39"/>
    <x v="36"/>
    <x v="1653"/>
    <x v="0"/>
    <s v="HATO PINTADO"/>
    <x v="4"/>
  </r>
  <r>
    <x v="10"/>
    <x v="144"/>
    <x v="2"/>
    <x v="2"/>
    <x v="0"/>
    <x v="2"/>
    <x v="39"/>
    <x v="162"/>
    <x v="1654"/>
    <x v="0"/>
    <s v="HATO PINTADO"/>
    <x v="4"/>
  </r>
  <r>
    <x v="10"/>
    <x v="71"/>
    <x v="6"/>
    <x v="6"/>
    <x v="0"/>
    <x v="2"/>
    <x v="39"/>
    <x v="37"/>
    <x v="1655"/>
    <x v="0"/>
    <s v="HATO PINTADO"/>
    <x v="4"/>
  </r>
  <r>
    <x v="10"/>
    <x v="108"/>
    <x v="3"/>
    <x v="3"/>
    <x v="0"/>
    <x v="2"/>
    <x v="39"/>
    <x v="63"/>
    <x v="1656"/>
    <x v="0"/>
    <s v="HATO PINTADO"/>
    <x v="4"/>
  </r>
  <r>
    <x v="10"/>
    <x v="68"/>
    <x v="4"/>
    <x v="4"/>
    <x v="0"/>
    <x v="2"/>
    <x v="39"/>
    <x v="222"/>
    <x v="1073"/>
    <x v="0"/>
    <s v="HATO PINTADO"/>
    <x v="4"/>
  </r>
  <r>
    <x v="10"/>
    <x v="50"/>
    <x v="4"/>
    <x v="4"/>
    <x v="0"/>
    <x v="2"/>
    <x v="39"/>
    <x v="77"/>
    <x v="1657"/>
    <x v="0"/>
    <s v="HATO PINTADO"/>
    <x v="4"/>
  </r>
  <r>
    <x v="10"/>
    <x v="159"/>
    <x v="0"/>
    <x v="0"/>
    <x v="0"/>
    <x v="2"/>
    <x v="39"/>
    <x v="177"/>
    <x v="1658"/>
    <x v="0"/>
    <s v="HATO PINTADO"/>
    <x v="4"/>
  </r>
  <r>
    <x v="10"/>
    <x v="117"/>
    <x v="0"/>
    <x v="0"/>
    <x v="0"/>
    <x v="2"/>
    <x v="39"/>
    <x v="65"/>
    <x v="1659"/>
    <x v="0"/>
    <s v="HATO PINTADO"/>
    <x v="4"/>
  </r>
  <r>
    <x v="10"/>
    <x v="115"/>
    <x v="5"/>
    <x v="5"/>
    <x v="0"/>
    <x v="2"/>
    <x v="39"/>
    <x v="213"/>
    <x v="1660"/>
    <x v="0"/>
    <s v="HATO PINTADO"/>
    <x v="4"/>
  </r>
  <r>
    <x v="10"/>
    <x v="13"/>
    <x v="5"/>
    <x v="5"/>
    <x v="0"/>
    <x v="2"/>
    <x v="39"/>
    <x v="120"/>
    <x v="1661"/>
    <x v="0"/>
    <s v="HATO PINTADO"/>
    <x v="4"/>
  </r>
  <r>
    <x v="10"/>
    <x v="155"/>
    <x v="1"/>
    <x v="1"/>
    <x v="0"/>
    <x v="2"/>
    <x v="39"/>
    <x v="145"/>
    <x v="1662"/>
    <x v="0"/>
    <s v="HATO PINTADO"/>
    <x v="4"/>
  </r>
  <r>
    <x v="10"/>
    <x v="1"/>
    <x v="1"/>
    <x v="1"/>
    <x v="0"/>
    <x v="2"/>
    <x v="1"/>
    <x v="1"/>
    <x v="1"/>
    <x v="486"/>
    <s v="HATO PINTADO"/>
    <x v="4"/>
  </r>
  <r>
    <x v="11"/>
    <x v="108"/>
    <x v="3"/>
    <x v="3"/>
    <x v="0"/>
    <x v="2"/>
    <x v="39"/>
    <x v="63"/>
    <x v="1663"/>
    <x v="0"/>
    <s v="RIO ABAJO"/>
    <x v="4"/>
  </r>
  <r>
    <x v="11"/>
    <x v="115"/>
    <x v="5"/>
    <x v="5"/>
    <x v="0"/>
    <x v="2"/>
    <x v="39"/>
    <x v="213"/>
    <x v="1664"/>
    <x v="0"/>
    <s v="RIO ABAJO"/>
    <x v="4"/>
  </r>
  <r>
    <x v="11"/>
    <x v="1"/>
    <x v="1"/>
    <x v="1"/>
    <x v="0"/>
    <x v="2"/>
    <x v="1"/>
    <x v="1"/>
    <x v="1"/>
    <x v="487"/>
    <s v="RIO ABAJO"/>
    <x v="4"/>
  </r>
  <r>
    <x v="12"/>
    <x v="108"/>
    <x v="3"/>
    <x v="3"/>
    <x v="0"/>
    <x v="2"/>
    <x v="39"/>
    <x v="63"/>
    <x v="1665"/>
    <x v="0"/>
    <s v="LA CHORRERA"/>
    <x v="4"/>
  </r>
  <r>
    <x v="12"/>
    <x v="33"/>
    <x v="1"/>
    <x v="1"/>
    <x v="0"/>
    <x v="2"/>
    <x v="39"/>
    <x v="241"/>
    <x v="1666"/>
    <x v="0"/>
    <s v="LA CHORRERA"/>
    <x v="4"/>
  </r>
  <r>
    <x v="12"/>
    <x v="98"/>
    <x v="1"/>
    <x v="1"/>
    <x v="0"/>
    <x v="2"/>
    <x v="39"/>
    <x v="198"/>
    <x v="982"/>
    <x v="0"/>
    <s v="LA CHORRERA"/>
    <x v="4"/>
  </r>
  <r>
    <x v="12"/>
    <x v="1"/>
    <x v="1"/>
    <x v="1"/>
    <x v="0"/>
    <x v="2"/>
    <x v="1"/>
    <x v="1"/>
    <x v="1"/>
    <x v="488"/>
    <s v="LA CHORRERA"/>
    <x v="4"/>
  </r>
  <r>
    <x v="13"/>
    <x v="133"/>
    <x v="2"/>
    <x v="2"/>
    <x v="0"/>
    <x v="2"/>
    <x v="39"/>
    <x v="254"/>
    <x v="1667"/>
    <x v="0"/>
    <s v="AVENIDA CENTRAL"/>
    <x v="4"/>
  </r>
  <r>
    <x v="13"/>
    <x v="13"/>
    <x v="5"/>
    <x v="5"/>
    <x v="0"/>
    <x v="2"/>
    <x v="39"/>
    <x v="120"/>
    <x v="536"/>
    <x v="0"/>
    <s v="AVENIDA CENTRAL"/>
    <x v="4"/>
  </r>
  <r>
    <x v="13"/>
    <x v="58"/>
    <x v="1"/>
    <x v="1"/>
    <x v="0"/>
    <x v="2"/>
    <x v="39"/>
    <x v="84"/>
    <x v="823"/>
    <x v="0"/>
    <s v="AVENIDA CENTRAL"/>
    <x v="4"/>
  </r>
  <r>
    <x v="13"/>
    <x v="14"/>
    <x v="1"/>
    <x v="1"/>
    <x v="0"/>
    <x v="2"/>
    <x v="39"/>
    <x v="112"/>
    <x v="1596"/>
    <x v="0"/>
    <s v="AVENIDA CENTRAL"/>
    <x v="4"/>
  </r>
  <r>
    <x v="13"/>
    <x v="55"/>
    <x v="1"/>
    <x v="1"/>
    <x v="0"/>
    <x v="2"/>
    <x v="39"/>
    <x v="188"/>
    <x v="1668"/>
    <x v="0"/>
    <s v="AVENIDA CENTRAL"/>
    <x v="4"/>
  </r>
  <r>
    <x v="13"/>
    <x v="1"/>
    <x v="1"/>
    <x v="1"/>
    <x v="0"/>
    <x v="2"/>
    <x v="1"/>
    <x v="1"/>
    <x v="1"/>
    <x v="489"/>
    <s v="AVENIDA CENTRAL"/>
    <x v="4"/>
  </r>
  <r>
    <x v="14"/>
    <x v="70"/>
    <x v="2"/>
    <x v="2"/>
    <x v="0"/>
    <x v="2"/>
    <x v="39"/>
    <x v="36"/>
    <x v="1669"/>
    <x v="0"/>
    <s v="LOS ANGELES"/>
    <x v="4"/>
  </r>
  <r>
    <x v="14"/>
    <x v="71"/>
    <x v="6"/>
    <x v="6"/>
    <x v="0"/>
    <x v="2"/>
    <x v="39"/>
    <x v="37"/>
    <x v="1670"/>
    <x v="0"/>
    <s v="LOS ANGELES"/>
    <x v="4"/>
  </r>
  <r>
    <x v="14"/>
    <x v="43"/>
    <x v="3"/>
    <x v="3"/>
    <x v="0"/>
    <x v="2"/>
    <x v="39"/>
    <x v="71"/>
    <x v="1671"/>
    <x v="0"/>
    <s v="LOS ANGELES"/>
    <x v="4"/>
  </r>
  <r>
    <x v="14"/>
    <x v="160"/>
    <x v="0"/>
    <x v="0"/>
    <x v="0"/>
    <x v="2"/>
    <x v="39"/>
    <x v="179"/>
    <x v="1672"/>
    <x v="0"/>
    <s v="LOS ANGELES"/>
    <x v="4"/>
  </r>
  <r>
    <x v="14"/>
    <x v="153"/>
    <x v="5"/>
    <x v="5"/>
    <x v="0"/>
    <x v="2"/>
    <x v="39"/>
    <x v="157"/>
    <x v="1673"/>
    <x v="0"/>
    <s v="LOS ANGELES"/>
    <x v="4"/>
  </r>
  <r>
    <x v="14"/>
    <x v="1"/>
    <x v="1"/>
    <x v="1"/>
    <x v="0"/>
    <x v="2"/>
    <x v="1"/>
    <x v="1"/>
    <x v="1"/>
    <x v="490"/>
    <s v="LOS ANGELES"/>
    <x v="4"/>
  </r>
  <r>
    <x v="15"/>
    <x v="64"/>
    <x v="2"/>
    <x v="2"/>
    <x v="0"/>
    <x v="2"/>
    <x v="39"/>
    <x v="139"/>
    <x v="1674"/>
    <x v="0"/>
    <s v="VILLA LUCRE"/>
    <x v="4"/>
  </r>
  <r>
    <x v="15"/>
    <x v="133"/>
    <x v="2"/>
    <x v="2"/>
    <x v="0"/>
    <x v="2"/>
    <x v="39"/>
    <x v="254"/>
    <x v="1675"/>
    <x v="0"/>
    <s v="VILLA LUCRE"/>
    <x v="4"/>
  </r>
  <r>
    <x v="15"/>
    <x v="135"/>
    <x v="3"/>
    <x v="3"/>
    <x v="0"/>
    <x v="2"/>
    <x v="39"/>
    <x v="149"/>
    <x v="1676"/>
    <x v="0"/>
    <s v="VILLA LUCRE"/>
    <x v="4"/>
  </r>
  <r>
    <x v="15"/>
    <x v="160"/>
    <x v="0"/>
    <x v="0"/>
    <x v="0"/>
    <x v="2"/>
    <x v="39"/>
    <x v="179"/>
    <x v="1677"/>
    <x v="0"/>
    <s v="VILLA LUCRE"/>
    <x v="4"/>
  </r>
  <r>
    <x v="15"/>
    <x v="145"/>
    <x v="5"/>
    <x v="5"/>
    <x v="0"/>
    <x v="2"/>
    <x v="39"/>
    <x v="124"/>
    <x v="810"/>
    <x v="0"/>
    <s v="VILLA LUCRE"/>
    <x v="4"/>
  </r>
  <r>
    <x v="15"/>
    <x v="40"/>
    <x v="1"/>
    <x v="1"/>
    <x v="0"/>
    <x v="2"/>
    <x v="39"/>
    <x v="125"/>
    <x v="1678"/>
    <x v="0"/>
    <s v="VILLA LUCRE"/>
    <x v="4"/>
  </r>
  <r>
    <x v="15"/>
    <x v="1"/>
    <x v="1"/>
    <x v="1"/>
    <x v="0"/>
    <x v="2"/>
    <x v="1"/>
    <x v="1"/>
    <x v="1"/>
    <x v="491"/>
    <s v="VILLA LUCRE"/>
    <x v="4"/>
  </r>
  <r>
    <x v="16"/>
    <x v="71"/>
    <x v="6"/>
    <x v="6"/>
    <x v="0"/>
    <x v="2"/>
    <x v="39"/>
    <x v="37"/>
    <x v="1679"/>
    <x v="0"/>
    <s v="LOS ANDES"/>
    <x v="4"/>
  </r>
  <r>
    <x v="16"/>
    <x v="145"/>
    <x v="5"/>
    <x v="5"/>
    <x v="0"/>
    <x v="2"/>
    <x v="39"/>
    <x v="124"/>
    <x v="1680"/>
    <x v="0"/>
    <s v="LOS ANDES"/>
    <x v="4"/>
  </r>
  <r>
    <x v="16"/>
    <x v="128"/>
    <x v="1"/>
    <x v="1"/>
    <x v="0"/>
    <x v="2"/>
    <x v="39"/>
    <x v="164"/>
    <x v="1681"/>
    <x v="0"/>
    <s v="LOS ANDES"/>
    <x v="4"/>
  </r>
  <r>
    <x v="16"/>
    <x v="1"/>
    <x v="1"/>
    <x v="1"/>
    <x v="0"/>
    <x v="2"/>
    <x v="1"/>
    <x v="1"/>
    <x v="1"/>
    <x v="492"/>
    <s v="LOS ANDES"/>
    <x v="4"/>
  </r>
  <r>
    <x v="17"/>
    <x v="107"/>
    <x v="2"/>
    <x v="2"/>
    <x v="0"/>
    <x v="2"/>
    <x v="39"/>
    <x v="158"/>
    <x v="240"/>
    <x v="0"/>
    <s v="VIA ESPANA"/>
    <x v="4"/>
  </r>
  <r>
    <x v="17"/>
    <x v="79"/>
    <x v="3"/>
    <x v="3"/>
    <x v="0"/>
    <x v="2"/>
    <x v="39"/>
    <x v="142"/>
    <x v="1682"/>
    <x v="0"/>
    <s v="VIA ESPANA"/>
    <x v="4"/>
  </r>
  <r>
    <x v="17"/>
    <x v="62"/>
    <x v="4"/>
    <x v="4"/>
    <x v="0"/>
    <x v="2"/>
    <x v="39"/>
    <x v="176"/>
    <x v="816"/>
    <x v="0"/>
    <s v="VIA ESPANA"/>
    <x v="4"/>
  </r>
  <r>
    <x v="17"/>
    <x v="22"/>
    <x v="1"/>
    <x v="1"/>
    <x v="0"/>
    <x v="2"/>
    <x v="39"/>
    <x v="211"/>
    <x v="1683"/>
    <x v="0"/>
    <s v="VIA ESPANA"/>
    <x v="4"/>
  </r>
  <r>
    <x v="17"/>
    <x v="98"/>
    <x v="1"/>
    <x v="1"/>
    <x v="0"/>
    <x v="2"/>
    <x v="39"/>
    <x v="198"/>
    <x v="1684"/>
    <x v="0"/>
    <s v="VIA ESPANA"/>
    <x v="4"/>
  </r>
  <r>
    <x v="17"/>
    <x v="1"/>
    <x v="1"/>
    <x v="1"/>
    <x v="0"/>
    <x v="2"/>
    <x v="1"/>
    <x v="1"/>
    <x v="1"/>
    <x v="493"/>
    <s v="VIA ESPANA"/>
    <x v="4"/>
  </r>
  <r>
    <x v="18"/>
    <x v="70"/>
    <x v="2"/>
    <x v="2"/>
    <x v="0"/>
    <x v="2"/>
    <x v="39"/>
    <x v="36"/>
    <x v="1685"/>
    <x v="0"/>
    <s v="AVENIDA CUBA"/>
    <x v="4"/>
  </r>
  <r>
    <x v="18"/>
    <x v="77"/>
    <x v="5"/>
    <x v="5"/>
    <x v="0"/>
    <x v="2"/>
    <x v="39"/>
    <x v="156"/>
    <x v="1686"/>
    <x v="0"/>
    <s v="AVENIDA CUBA"/>
    <x v="4"/>
  </r>
  <r>
    <x v="18"/>
    <x v="33"/>
    <x v="1"/>
    <x v="1"/>
    <x v="0"/>
    <x v="2"/>
    <x v="39"/>
    <x v="241"/>
    <x v="988"/>
    <x v="0"/>
    <s v="AVENIDA CUBA"/>
    <x v="4"/>
  </r>
  <r>
    <x v="18"/>
    <x v="1"/>
    <x v="1"/>
    <x v="1"/>
    <x v="0"/>
    <x v="2"/>
    <x v="1"/>
    <x v="1"/>
    <x v="1"/>
    <x v="494"/>
    <s v="AVENIDA CUBA"/>
    <x v="4"/>
  </r>
  <r>
    <x v="19"/>
    <x v="70"/>
    <x v="2"/>
    <x v="2"/>
    <x v="0"/>
    <x v="2"/>
    <x v="39"/>
    <x v="36"/>
    <x v="1687"/>
    <x v="0"/>
    <s v="CHITRE"/>
    <x v="4"/>
  </r>
  <r>
    <x v="19"/>
    <x v="31"/>
    <x v="4"/>
    <x v="4"/>
    <x v="0"/>
    <x v="2"/>
    <x v="39"/>
    <x v="72"/>
    <x v="1688"/>
    <x v="0"/>
    <s v="CHITRE"/>
    <x v="4"/>
  </r>
  <r>
    <x v="19"/>
    <x v="58"/>
    <x v="1"/>
    <x v="1"/>
    <x v="0"/>
    <x v="2"/>
    <x v="39"/>
    <x v="84"/>
    <x v="1689"/>
    <x v="0"/>
    <s v="CHITRE"/>
    <x v="4"/>
  </r>
  <r>
    <x v="19"/>
    <x v="1"/>
    <x v="1"/>
    <x v="1"/>
    <x v="0"/>
    <x v="2"/>
    <x v="1"/>
    <x v="1"/>
    <x v="1"/>
    <x v="495"/>
    <s v="CHITRE"/>
    <x v="4"/>
  </r>
  <r>
    <x v="20"/>
    <x v="133"/>
    <x v="2"/>
    <x v="2"/>
    <x v="0"/>
    <x v="2"/>
    <x v="39"/>
    <x v="254"/>
    <x v="1690"/>
    <x v="0"/>
    <s v="LOS PUEBLOS"/>
    <x v="4"/>
  </r>
  <r>
    <x v="20"/>
    <x v="71"/>
    <x v="6"/>
    <x v="6"/>
    <x v="0"/>
    <x v="2"/>
    <x v="39"/>
    <x v="37"/>
    <x v="1691"/>
    <x v="0"/>
    <s v="LOS PUEBLOS"/>
    <x v="4"/>
  </r>
  <r>
    <x v="20"/>
    <x v="135"/>
    <x v="3"/>
    <x v="3"/>
    <x v="0"/>
    <x v="2"/>
    <x v="39"/>
    <x v="149"/>
    <x v="1692"/>
    <x v="0"/>
    <s v="LOS PUEBLOS"/>
    <x v="4"/>
  </r>
  <r>
    <x v="20"/>
    <x v="50"/>
    <x v="4"/>
    <x v="4"/>
    <x v="0"/>
    <x v="2"/>
    <x v="39"/>
    <x v="77"/>
    <x v="1693"/>
    <x v="0"/>
    <s v="LOS PUEBLOS"/>
    <x v="4"/>
  </r>
  <r>
    <x v="20"/>
    <x v="160"/>
    <x v="0"/>
    <x v="0"/>
    <x v="0"/>
    <x v="2"/>
    <x v="39"/>
    <x v="179"/>
    <x v="1176"/>
    <x v="0"/>
    <s v="LOS PUEBLOS"/>
    <x v="4"/>
  </r>
  <r>
    <x v="20"/>
    <x v="45"/>
    <x v="0"/>
    <x v="0"/>
    <x v="0"/>
    <x v="2"/>
    <x v="40"/>
    <x v="180"/>
    <x v="1694"/>
    <x v="0"/>
    <s v="LOS PUEBLOS"/>
    <x v="4"/>
  </r>
  <r>
    <x v="20"/>
    <x v="22"/>
    <x v="1"/>
    <x v="1"/>
    <x v="0"/>
    <x v="2"/>
    <x v="39"/>
    <x v="211"/>
    <x v="1695"/>
    <x v="0"/>
    <s v="LOS PUEBLOS"/>
    <x v="4"/>
  </r>
  <r>
    <x v="20"/>
    <x v="1"/>
    <x v="1"/>
    <x v="1"/>
    <x v="0"/>
    <x v="2"/>
    <x v="1"/>
    <x v="1"/>
    <x v="1"/>
    <x v="496"/>
    <s v="LOS PUEBLOS"/>
    <x v="4"/>
  </r>
  <r>
    <x v="21"/>
    <x v="85"/>
    <x v="2"/>
    <x v="2"/>
    <x v="0"/>
    <x v="2"/>
    <x v="40"/>
    <x v="161"/>
    <x v="907"/>
    <x v="0"/>
    <s v="TRANSISTMICA"/>
    <x v="4"/>
  </r>
  <r>
    <x v="21"/>
    <x v="169"/>
    <x v="6"/>
    <x v="6"/>
    <x v="0"/>
    <x v="2"/>
    <x v="40"/>
    <x v="249"/>
    <x v="907"/>
    <x v="0"/>
    <s v="TRANSISTMICA"/>
    <x v="4"/>
  </r>
  <r>
    <x v="21"/>
    <x v="44"/>
    <x v="3"/>
    <x v="3"/>
    <x v="0"/>
    <x v="2"/>
    <x v="40"/>
    <x v="191"/>
    <x v="1696"/>
    <x v="0"/>
    <s v="TRANSISTMICA"/>
    <x v="4"/>
  </r>
  <r>
    <x v="21"/>
    <x v="50"/>
    <x v="4"/>
    <x v="4"/>
    <x v="0"/>
    <x v="2"/>
    <x v="39"/>
    <x v="77"/>
    <x v="1697"/>
    <x v="0"/>
    <s v="TRANSISTMICA"/>
    <x v="4"/>
  </r>
  <r>
    <x v="21"/>
    <x v="121"/>
    <x v="0"/>
    <x v="0"/>
    <x v="0"/>
    <x v="2"/>
    <x v="40"/>
    <x v="80"/>
    <x v="907"/>
    <x v="0"/>
    <s v="TRANSISTMICA"/>
    <x v="4"/>
  </r>
  <r>
    <x v="21"/>
    <x v="76"/>
    <x v="5"/>
    <x v="5"/>
    <x v="0"/>
    <x v="2"/>
    <x v="40"/>
    <x v="182"/>
    <x v="907"/>
    <x v="0"/>
    <s v="TRANSISTMICA"/>
    <x v="4"/>
  </r>
  <r>
    <x v="21"/>
    <x v="40"/>
    <x v="1"/>
    <x v="1"/>
    <x v="0"/>
    <x v="2"/>
    <x v="39"/>
    <x v="125"/>
    <x v="1698"/>
    <x v="0"/>
    <s v="TRANSISTMICA"/>
    <x v="4"/>
  </r>
  <r>
    <x v="21"/>
    <x v="152"/>
    <x v="1"/>
    <x v="1"/>
    <x v="0"/>
    <x v="2"/>
    <x v="39"/>
    <x v="194"/>
    <x v="1699"/>
    <x v="0"/>
    <s v="TRANSISTMICA"/>
    <x v="4"/>
  </r>
  <r>
    <x v="21"/>
    <x v="1"/>
    <x v="1"/>
    <x v="1"/>
    <x v="0"/>
    <x v="2"/>
    <x v="1"/>
    <x v="1"/>
    <x v="1"/>
    <x v="497"/>
    <s v="TRANSISTMICA"/>
    <x v="4"/>
  </r>
  <r>
    <x v="72"/>
    <x v="64"/>
    <x v="2"/>
    <x v="2"/>
    <x v="0"/>
    <x v="2"/>
    <x v="39"/>
    <x v="139"/>
    <x v="1700"/>
    <x v="0"/>
    <s v="ZONA LIBRE"/>
    <x v="4"/>
  </r>
  <r>
    <x v="72"/>
    <x v="107"/>
    <x v="2"/>
    <x v="2"/>
    <x v="0"/>
    <x v="2"/>
    <x v="39"/>
    <x v="158"/>
    <x v="1701"/>
    <x v="0"/>
    <s v="ZONA LIBRE"/>
    <x v="4"/>
  </r>
  <r>
    <x v="72"/>
    <x v="102"/>
    <x v="6"/>
    <x v="6"/>
    <x v="0"/>
    <x v="2"/>
    <x v="39"/>
    <x v="141"/>
    <x v="1702"/>
    <x v="0"/>
    <s v="ZONA LIBRE"/>
    <x v="4"/>
  </r>
  <r>
    <x v="72"/>
    <x v="23"/>
    <x v="3"/>
    <x v="3"/>
    <x v="0"/>
    <x v="2"/>
    <x v="39"/>
    <x v="221"/>
    <x v="1703"/>
    <x v="0"/>
    <s v="ZONA LIBRE"/>
    <x v="4"/>
  </r>
  <r>
    <x v="72"/>
    <x v="125"/>
    <x v="5"/>
    <x v="5"/>
    <x v="0"/>
    <x v="2"/>
    <x v="39"/>
    <x v="82"/>
    <x v="1704"/>
    <x v="0"/>
    <s v="ZONA LIBRE"/>
    <x v="4"/>
  </r>
  <r>
    <x v="72"/>
    <x v="155"/>
    <x v="1"/>
    <x v="1"/>
    <x v="0"/>
    <x v="2"/>
    <x v="39"/>
    <x v="145"/>
    <x v="1705"/>
    <x v="0"/>
    <s v="ZONA LIBRE"/>
    <x v="4"/>
  </r>
  <r>
    <x v="72"/>
    <x v="1"/>
    <x v="1"/>
    <x v="1"/>
    <x v="0"/>
    <x v="2"/>
    <x v="1"/>
    <x v="1"/>
    <x v="1"/>
    <x v="498"/>
    <s v="ZONA LIBRE"/>
    <x v="4"/>
  </r>
  <r>
    <x v="22"/>
    <x v="135"/>
    <x v="3"/>
    <x v="3"/>
    <x v="0"/>
    <x v="2"/>
    <x v="39"/>
    <x v="149"/>
    <x v="1706"/>
    <x v="0"/>
    <s v="PLAZA GALAPAGO"/>
    <x v="4"/>
  </r>
  <r>
    <x v="22"/>
    <x v="152"/>
    <x v="1"/>
    <x v="1"/>
    <x v="0"/>
    <x v="2"/>
    <x v="40"/>
    <x v="194"/>
    <x v="1707"/>
    <x v="0"/>
    <s v="PLAZA GALAPAGO"/>
    <x v="4"/>
  </r>
  <r>
    <x v="22"/>
    <x v="1"/>
    <x v="1"/>
    <x v="1"/>
    <x v="0"/>
    <x v="2"/>
    <x v="1"/>
    <x v="1"/>
    <x v="1"/>
    <x v="499"/>
    <s v="PLAZA GALAPAGO"/>
    <x v="4"/>
  </r>
  <r>
    <x v="23"/>
    <x v="71"/>
    <x v="6"/>
    <x v="6"/>
    <x v="0"/>
    <x v="2"/>
    <x v="39"/>
    <x v="37"/>
    <x v="1708"/>
    <x v="0"/>
    <s v="PARQUE LEFEVRE"/>
    <x v="4"/>
  </r>
  <r>
    <x v="23"/>
    <x v="108"/>
    <x v="3"/>
    <x v="3"/>
    <x v="0"/>
    <x v="2"/>
    <x v="39"/>
    <x v="63"/>
    <x v="1709"/>
    <x v="0"/>
    <s v="PARQUE LEFEVRE"/>
    <x v="4"/>
  </r>
  <r>
    <x v="23"/>
    <x v="0"/>
    <x v="0"/>
    <x v="0"/>
    <x v="0"/>
    <x v="2"/>
    <x v="39"/>
    <x v="197"/>
    <x v="1710"/>
    <x v="0"/>
    <s v="PARQUE LEFEVRE"/>
    <x v="4"/>
  </r>
  <r>
    <x v="23"/>
    <x v="145"/>
    <x v="5"/>
    <x v="5"/>
    <x v="0"/>
    <x v="2"/>
    <x v="39"/>
    <x v="124"/>
    <x v="1711"/>
    <x v="0"/>
    <s v="PARQUE LEFEVRE"/>
    <x v="4"/>
  </r>
  <r>
    <x v="23"/>
    <x v="33"/>
    <x v="1"/>
    <x v="1"/>
    <x v="0"/>
    <x v="2"/>
    <x v="39"/>
    <x v="241"/>
    <x v="1712"/>
    <x v="0"/>
    <s v="PARQUE LEFEVRE"/>
    <x v="4"/>
  </r>
  <r>
    <x v="23"/>
    <x v="128"/>
    <x v="1"/>
    <x v="1"/>
    <x v="0"/>
    <x v="2"/>
    <x v="39"/>
    <x v="164"/>
    <x v="1713"/>
    <x v="0"/>
    <s v="PARQUE LEFEVRE"/>
    <x v="4"/>
  </r>
  <r>
    <x v="23"/>
    <x v="1"/>
    <x v="1"/>
    <x v="1"/>
    <x v="0"/>
    <x v="2"/>
    <x v="1"/>
    <x v="1"/>
    <x v="1"/>
    <x v="500"/>
    <s v="PARQUE LEFEVRE"/>
    <x v="4"/>
  </r>
  <r>
    <x v="24"/>
    <x v="87"/>
    <x v="6"/>
    <x v="6"/>
    <x v="0"/>
    <x v="2"/>
    <x v="40"/>
    <x v="189"/>
    <x v="1714"/>
    <x v="0"/>
    <s v="DAVID"/>
    <x v="4"/>
  </r>
  <r>
    <x v="24"/>
    <x v="71"/>
    <x v="6"/>
    <x v="6"/>
    <x v="0"/>
    <x v="2"/>
    <x v="39"/>
    <x v="37"/>
    <x v="1715"/>
    <x v="0"/>
    <s v="DAVID"/>
    <x v="4"/>
  </r>
  <r>
    <x v="24"/>
    <x v="125"/>
    <x v="5"/>
    <x v="5"/>
    <x v="0"/>
    <x v="2"/>
    <x v="39"/>
    <x v="82"/>
    <x v="905"/>
    <x v="0"/>
    <s v="DAVID"/>
    <x v="4"/>
  </r>
  <r>
    <x v="24"/>
    <x v="63"/>
    <x v="5"/>
    <x v="5"/>
    <x v="0"/>
    <x v="2"/>
    <x v="39"/>
    <x v="111"/>
    <x v="1716"/>
    <x v="0"/>
    <s v="DAVID"/>
    <x v="4"/>
  </r>
  <r>
    <x v="24"/>
    <x v="1"/>
    <x v="1"/>
    <x v="1"/>
    <x v="0"/>
    <x v="2"/>
    <x v="1"/>
    <x v="1"/>
    <x v="1"/>
    <x v="501"/>
    <s v="DAVID"/>
    <x v="4"/>
  </r>
  <r>
    <x v="25"/>
    <x v="64"/>
    <x v="2"/>
    <x v="2"/>
    <x v="0"/>
    <x v="2"/>
    <x v="39"/>
    <x v="139"/>
    <x v="1717"/>
    <x v="0"/>
    <s v="PLAZA LAS AMERICAS"/>
    <x v="4"/>
  </r>
  <r>
    <x v="25"/>
    <x v="68"/>
    <x v="4"/>
    <x v="4"/>
    <x v="0"/>
    <x v="2"/>
    <x v="39"/>
    <x v="222"/>
    <x v="1718"/>
    <x v="0"/>
    <s v="PLAZA LAS AMERICAS"/>
    <x v="4"/>
  </r>
  <r>
    <x v="25"/>
    <x v="160"/>
    <x v="0"/>
    <x v="0"/>
    <x v="0"/>
    <x v="2"/>
    <x v="39"/>
    <x v="179"/>
    <x v="419"/>
    <x v="0"/>
    <s v="PLAZA LAS AMERICAS"/>
    <x v="4"/>
  </r>
  <r>
    <x v="25"/>
    <x v="145"/>
    <x v="5"/>
    <x v="5"/>
    <x v="0"/>
    <x v="2"/>
    <x v="39"/>
    <x v="124"/>
    <x v="1719"/>
    <x v="0"/>
    <s v="PLAZA LAS AMERICAS"/>
    <x v="4"/>
  </r>
  <r>
    <x v="25"/>
    <x v="1"/>
    <x v="1"/>
    <x v="1"/>
    <x v="0"/>
    <x v="2"/>
    <x v="1"/>
    <x v="1"/>
    <x v="1"/>
    <x v="502"/>
    <s v="PLAZA LAS AMERICAS"/>
    <x v="4"/>
  </r>
  <r>
    <x v="26"/>
    <x v="65"/>
    <x v="6"/>
    <x v="6"/>
    <x v="0"/>
    <x v="2"/>
    <x v="39"/>
    <x v="190"/>
    <x v="1720"/>
    <x v="0"/>
    <s v="CORONADO"/>
    <x v="4"/>
  </r>
  <r>
    <x v="26"/>
    <x v="65"/>
    <x v="6"/>
    <x v="6"/>
    <x v="0"/>
    <x v="2"/>
    <x v="40"/>
    <x v="190"/>
    <x v="1721"/>
    <x v="0"/>
    <s v="CORONADO"/>
    <x v="4"/>
  </r>
  <r>
    <x v="26"/>
    <x v="135"/>
    <x v="3"/>
    <x v="3"/>
    <x v="0"/>
    <x v="2"/>
    <x v="39"/>
    <x v="149"/>
    <x v="1722"/>
    <x v="0"/>
    <s v="CORONADO"/>
    <x v="4"/>
  </r>
  <r>
    <x v="26"/>
    <x v="50"/>
    <x v="4"/>
    <x v="4"/>
    <x v="0"/>
    <x v="2"/>
    <x v="39"/>
    <x v="77"/>
    <x v="1723"/>
    <x v="0"/>
    <s v="CORONADO"/>
    <x v="4"/>
  </r>
  <r>
    <x v="26"/>
    <x v="31"/>
    <x v="4"/>
    <x v="4"/>
    <x v="0"/>
    <x v="2"/>
    <x v="39"/>
    <x v="72"/>
    <x v="1724"/>
    <x v="0"/>
    <s v="CORONADO"/>
    <x v="4"/>
  </r>
  <r>
    <x v="26"/>
    <x v="33"/>
    <x v="1"/>
    <x v="1"/>
    <x v="0"/>
    <x v="2"/>
    <x v="39"/>
    <x v="241"/>
    <x v="1220"/>
    <x v="0"/>
    <s v="CORONADO"/>
    <x v="4"/>
  </r>
  <r>
    <x v="26"/>
    <x v="1"/>
    <x v="1"/>
    <x v="1"/>
    <x v="0"/>
    <x v="2"/>
    <x v="1"/>
    <x v="1"/>
    <x v="1"/>
    <x v="503"/>
    <s v="CORONADO"/>
    <x v="4"/>
  </r>
  <r>
    <x v="27"/>
    <x v="156"/>
    <x v="4"/>
    <x v="4"/>
    <x v="0"/>
    <x v="2"/>
    <x v="39"/>
    <x v="146"/>
    <x v="1725"/>
    <x v="0"/>
    <s v="ALBROOK MALL"/>
    <x v="4"/>
  </r>
  <r>
    <x v="27"/>
    <x v="58"/>
    <x v="1"/>
    <x v="1"/>
    <x v="0"/>
    <x v="2"/>
    <x v="39"/>
    <x v="84"/>
    <x v="1726"/>
    <x v="0"/>
    <s v="ALBROOK MALL"/>
    <x v="4"/>
  </r>
  <r>
    <x v="27"/>
    <x v="98"/>
    <x v="1"/>
    <x v="1"/>
    <x v="0"/>
    <x v="2"/>
    <x v="39"/>
    <x v="198"/>
    <x v="1727"/>
    <x v="0"/>
    <s v="ALBROOK MALL"/>
    <x v="4"/>
  </r>
  <r>
    <x v="27"/>
    <x v="128"/>
    <x v="1"/>
    <x v="1"/>
    <x v="0"/>
    <x v="2"/>
    <x v="39"/>
    <x v="164"/>
    <x v="1728"/>
    <x v="0"/>
    <s v="ALBROOK MALL"/>
    <x v="4"/>
  </r>
  <r>
    <x v="27"/>
    <x v="1"/>
    <x v="1"/>
    <x v="1"/>
    <x v="0"/>
    <x v="2"/>
    <x v="1"/>
    <x v="1"/>
    <x v="1"/>
    <x v="504"/>
    <s v="ALBROOK MALL"/>
    <x v="4"/>
  </r>
  <r>
    <x v="28"/>
    <x v="64"/>
    <x v="2"/>
    <x v="2"/>
    <x v="0"/>
    <x v="2"/>
    <x v="39"/>
    <x v="139"/>
    <x v="905"/>
    <x v="0"/>
    <s v="PANAMA PACIFICO"/>
    <x v="4"/>
  </r>
  <r>
    <x v="28"/>
    <x v="86"/>
    <x v="6"/>
    <x v="6"/>
    <x v="0"/>
    <x v="2"/>
    <x v="39"/>
    <x v="224"/>
    <x v="1729"/>
    <x v="0"/>
    <s v="PANAMA PACIFICO"/>
    <x v="4"/>
  </r>
  <r>
    <x v="28"/>
    <x v="52"/>
    <x v="0"/>
    <x v="0"/>
    <x v="0"/>
    <x v="2"/>
    <x v="40"/>
    <x v="107"/>
    <x v="187"/>
    <x v="0"/>
    <s v="PANAMA PACIFICO"/>
    <x v="4"/>
  </r>
  <r>
    <x v="28"/>
    <x v="155"/>
    <x v="1"/>
    <x v="1"/>
    <x v="0"/>
    <x v="2"/>
    <x v="39"/>
    <x v="145"/>
    <x v="1730"/>
    <x v="0"/>
    <s v="PANAMA PACIFICO"/>
    <x v="4"/>
  </r>
  <r>
    <x v="28"/>
    <x v="128"/>
    <x v="1"/>
    <x v="1"/>
    <x v="0"/>
    <x v="2"/>
    <x v="39"/>
    <x v="164"/>
    <x v="1242"/>
    <x v="0"/>
    <s v="PANAMA PACIFICO"/>
    <x v="4"/>
  </r>
  <r>
    <x v="28"/>
    <x v="1"/>
    <x v="1"/>
    <x v="1"/>
    <x v="0"/>
    <x v="2"/>
    <x v="1"/>
    <x v="1"/>
    <x v="1"/>
    <x v="505"/>
    <s v="PANAMA PACIFICO"/>
    <x v="4"/>
  </r>
  <r>
    <x v="29"/>
    <x v="86"/>
    <x v="6"/>
    <x v="6"/>
    <x v="0"/>
    <x v="2"/>
    <x v="39"/>
    <x v="224"/>
    <x v="1731"/>
    <x v="0"/>
    <s v="ALBROOK"/>
    <x v="4"/>
  </r>
  <r>
    <x v="29"/>
    <x v="97"/>
    <x v="5"/>
    <x v="5"/>
    <x v="0"/>
    <x v="2"/>
    <x v="40"/>
    <x v="183"/>
    <x v="1732"/>
    <x v="0"/>
    <s v="ALBROOK"/>
    <x v="4"/>
  </r>
  <r>
    <x v="29"/>
    <x v="13"/>
    <x v="5"/>
    <x v="5"/>
    <x v="0"/>
    <x v="2"/>
    <x v="39"/>
    <x v="120"/>
    <x v="1084"/>
    <x v="0"/>
    <s v="ALBROOK"/>
    <x v="4"/>
  </r>
  <r>
    <x v="29"/>
    <x v="101"/>
    <x v="1"/>
    <x v="1"/>
    <x v="0"/>
    <x v="2"/>
    <x v="40"/>
    <x v="207"/>
    <x v="840"/>
    <x v="0"/>
    <s v="ALBROOK"/>
    <x v="4"/>
  </r>
  <r>
    <x v="29"/>
    <x v="55"/>
    <x v="1"/>
    <x v="1"/>
    <x v="0"/>
    <x v="2"/>
    <x v="39"/>
    <x v="188"/>
    <x v="1733"/>
    <x v="0"/>
    <s v="ALBROOK"/>
    <x v="4"/>
  </r>
  <r>
    <x v="29"/>
    <x v="128"/>
    <x v="1"/>
    <x v="1"/>
    <x v="0"/>
    <x v="2"/>
    <x v="39"/>
    <x v="164"/>
    <x v="1734"/>
    <x v="0"/>
    <s v="ALBROOK"/>
    <x v="4"/>
  </r>
  <r>
    <x v="29"/>
    <x v="128"/>
    <x v="1"/>
    <x v="1"/>
    <x v="0"/>
    <x v="2"/>
    <x v="40"/>
    <x v="164"/>
    <x v="1136"/>
    <x v="0"/>
    <s v="ALBROOK"/>
    <x v="4"/>
  </r>
  <r>
    <x v="29"/>
    <x v="1"/>
    <x v="1"/>
    <x v="1"/>
    <x v="0"/>
    <x v="2"/>
    <x v="1"/>
    <x v="1"/>
    <x v="1"/>
    <x v="506"/>
    <s v="ALBROOK"/>
    <x v="4"/>
  </r>
  <r>
    <x v="30"/>
    <x v="64"/>
    <x v="2"/>
    <x v="2"/>
    <x v="0"/>
    <x v="2"/>
    <x v="39"/>
    <x v="139"/>
    <x v="1735"/>
    <x v="0"/>
    <s v="SUCURSAL DE VISTA ALEGRE"/>
    <x v="4"/>
  </r>
  <r>
    <x v="30"/>
    <x v="71"/>
    <x v="6"/>
    <x v="6"/>
    <x v="0"/>
    <x v="2"/>
    <x v="39"/>
    <x v="37"/>
    <x v="1365"/>
    <x v="0"/>
    <s v="SUCURSAL DE VISTA ALEGRE"/>
    <x v="4"/>
  </r>
  <r>
    <x v="30"/>
    <x v="160"/>
    <x v="0"/>
    <x v="0"/>
    <x v="0"/>
    <x v="2"/>
    <x v="39"/>
    <x v="179"/>
    <x v="1579"/>
    <x v="0"/>
    <s v="SUCURSAL DE VISTA ALEGRE"/>
    <x v="4"/>
  </r>
  <r>
    <x v="30"/>
    <x v="1"/>
    <x v="1"/>
    <x v="1"/>
    <x v="0"/>
    <x v="2"/>
    <x v="1"/>
    <x v="1"/>
    <x v="1"/>
    <x v="507"/>
    <s v="SUCURSAL DE VISTA ALEGRE"/>
    <x v="4"/>
  </r>
  <r>
    <x v="31"/>
    <x v="68"/>
    <x v="4"/>
    <x v="4"/>
    <x v="0"/>
    <x v="2"/>
    <x v="39"/>
    <x v="222"/>
    <x v="1736"/>
    <x v="0"/>
    <s v="LAS TABLAS"/>
    <x v="4"/>
  </r>
  <r>
    <x v="31"/>
    <x v="153"/>
    <x v="5"/>
    <x v="5"/>
    <x v="0"/>
    <x v="2"/>
    <x v="39"/>
    <x v="157"/>
    <x v="816"/>
    <x v="0"/>
    <s v="LAS TABLAS"/>
    <x v="4"/>
  </r>
  <r>
    <x v="31"/>
    <x v="1"/>
    <x v="1"/>
    <x v="1"/>
    <x v="0"/>
    <x v="2"/>
    <x v="1"/>
    <x v="1"/>
    <x v="1"/>
    <x v="508"/>
    <s v="LAS TABLAS"/>
    <x v="4"/>
  </r>
  <r>
    <x v="32"/>
    <x v="50"/>
    <x v="4"/>
    <x v="4"/>
    <x v="0"/>
    <x v="2"/>
    <x v="39"/>
    <x v="77"/>
    <x v="1737"/>
    <x v="0"/>
    <s v="24 DE DICIEMBRE"/>
    <x v="4"/>
  </r>
  <r>
    <x v="32"/>
    <x v="115"/>
    <x v="5"/>
    <x v="5"/>
    <x v="0"/>
    <x v="2"/>
    <x v="39"/>
    <x v="213"/>
    <x v="1335"/>
    <x v="0"/>
    <s v="24 DE DICIEMBRE"/>
    <x v="4"/>
  </r>
  <r>
    <x v="32"/>
    <x v="40"/>
    <x v="1"/>
    <x v="1"/>
    <x v="0"/>
    <x v="2"/>
    <x v="39"/>
    <x v="125"/>
    <x v="1738"/>
    <x v="0"/>
    <s v="24 DE DICIEMBRE"/>
    <x v="4"/>
  </r>
  <r>
    <x v="32"/>
    <x v="33"/>
    <x v="1"/>
    <x v="1"/>
    <x v="0"/>
    <x v="2"/>
    <x v="39"/>
    <x v="241"/>
    <x v="1575"/>
    <x v="0"/>
    <s v="24 DE DICIEMBRE"/>
    <x v="4"/>
  </r>
  <r>
    <x v="32"/>
    <x v="1"/>
    <x v="1"/>
    <x v="1"/>
    <x v="0"/>
    <x v="2"/>
    <x v="1"/>
    <x v="1"/>
    <x v="1"/>
    <x v="509"/>
    <s v="24 DE DICIEMBRE"/>
    <x v="4"/>
  </r>
  <r>
    <x v="33"/>
    <x v="21"/>
    <x v="6"/>
    <x v="6"/>
    <x v="0"/>
    <x v="2"/>
    <x v="39"/>
    <x v="70"/>
    <x v="848"/>
    <x v="0"/>
    <s v="DAVID - TERRONAL"/>
    <x v="4"/>
  </r>
  <r>
    <x v="33"/>
    <x v="68"/>
    <x v="4"/>
    <x v="4"/>
    <x v="0"/>
    <x v="2"/>
    <x v="39"/>
    <x v="222"/>
    <x v="1739"/>
    <x v="0"/>
    <s v="DAVID - TERRONAL"/>
    <x v="4"/>
  </r>
  <r>
    <x v="33"/>
    <x v="50"/>
    <x v="4"/>
    <x v="4"/>
    <x v="0"/>
    <x v="2"/>
    <x v="39"/>
    <x v="77"/>
    <x v="764"/>
    <x v="0"/>
    <s v="DAVID - TERRONAL"/>
    <x v="4"/>
  </r>
  <r>
    <x v="33"/>
    <x v="13"/>
    <x v="5"/>
    <x v="5"/>
    <x v="0"/>
    <x v="2"/>
    <x v="39"/>
    <x v="120"/>
    <x v="1740"/>
    <x v="0"/>
    <s v="DAVID - TERRONAL"/>
    <x v="4"/>
  </r>
  <r>
    <x v="33"/>
    <x v="33"/>
    <x v="1"/>
    <x v="1"/>
    <x v="0"/>
    <x v="2"/>
    <x v="39"/>
    <x v="241"/>
    <x v="1741"/>
    <x v="0"/>
    <s v="DAVID - TERRONAL"/>
    <x v="4"/>
  </r>
  <r>
    <x v="33"/>
    <x v="55"/>
    <x v="1"/>
    <x v="1"/>
    <x v="0"/>
    <x v="2"/>
    <x v="39"/>
    <x v="188"/>
    <x v="1742"/>
    <x v="0"/>
    <s v="DAVID - TERRONAL"/>
    <x v="4"/>
  </r>
  <r>
    <x v="33"/>
    <x v="1"/>
    <x v="1"/>
    <x v="1"/>
    <x v="0"/>
    <x v="2"/>
    <x v="1"/>
    <x v="1"/>
    <x v="1"/>
    <x v="510"/>
    <s v="DAVID - TERRONAL"/>
    <x v="4"/>
  </r>
  <r>
    <x v="34"/>
    <x v="64"/>
    <x v="2"/>
    <x v="2"/>
    <x v="0"/>
    <x v="2"/>
    <x v="39"/>
    <x v="139"/>
    <x v="1236"/>
    <x v="0"/>
    <s v="COSTA DEL ESTE"/>
    <x v="4"/>
  </r>
  <r>
    <x v="34"/>
    <x v="65"/>
    <x v="6"/>
    <x v="6"/>
    <x v="0"/>
    <x v="2"/>
    <x v="39"/>
    <x v="190"/>
    <x v="1743"/>
    <x v="0"/>
    <s v="COSTA DEL ESTE"/>
    <x v="4"/>
  </r>
  <r>
    <x v="34"/>
    <x v="79"/>
    <x v="3"/>
    <x v="3"/>
    <x v="0"/>
    <x v="2"/>
    <x v="39"/>
    <x v="142"/>
    <x v="865"/>
    <x v="0"/>
    <s v="COSTA DEL ESTE"/>
    <x v="4"/>
  </r>
  <r>
    <x v="34"/>
    <x v="156"/>
    <x v="4"/>
    <x v="4"/>
    <x v="0"/>
    <x v="2"/>
    <x v="39"/>
    <x v="146"/>
    <x v="1236"/>
    <x v="0"/>
    <s v="COSTA DEL ESTE"/>
    <x v="4"/>
  </r>
  <r>
    <x v="34"/>
    <x v="160"/>
    <x v="0"/>
    <x v="0"/>
    <x v="0"/>
    <x v="2"/>
    <x v="39"/>
    <x v="179"/>
    <x v="900"/>
    <x v="0"/>
    <s v="COSTA DEL ESTE"/>
    <x v="4"/>
  </r>
  <r>
    <x v="34"/>
    <x v="13"/>
    <x v="5"/>
    <x v="5"/>
    <x v="0"/>
    <x v="2"/>
    <x v="39"/>
    <x v="120"/>
    <x v="1744"/>
    <x v="0"/>
    <s v="COSTA DEL ESTE"/>
    <x v="4"/>
  </r>
  <r>
    <x v="34"/>
    <x v="1"/>
    <x v="1"/>
    <x v="1"/>
    <x v="0"/>
    <x v="2"/>
    <x v="1"/>
    <x v="1"/>
    <x v="1"/>
    <x v="511"/>
    <s v="COSTA DEL ESTE"/>
    <x v="4"/>
  </r>
  <r>
    <x v="35"/>
    <x v="79"/>
    <x v="3"/>
    <x v="3"/>
    <x v="0"/>
    <x v="2"/>
    <x v="39"/>
    <x v="142"/>
    <x v="1582"/>
    <x v="0"/>
    <s v="MULTI PLAZA"/>
    <x v="4"/>
  </r>
  <r>
    <x v="35"/>
    <x v="79"/>
    <x v="3"/>
    <x v="3"/>
    <x v="0"/>
    <x v="2"/>
    <x v="39"/>
    <x v="142"/>
    <x v="1"/>
    <x v="454"/>
    <s v="MULTI PLAZA"/>
    <x v="4"/>
  </r>
  <r>
    <x v="35"/>
    <x v="44"/>
    <x v="3"/>
    <x v="3"/>
    <x v="0"/>
    <x v="2"/>
    <x v="39"/>
    <x v="191"/>
    <x v="1745"/>
    <x v="0"/>
    <s v="MULTI PLAZA"/>
    <x v="4"/>
  </r>
  <r>
    <x v="35"/>
    <x v="154"/>
    <x v="4"/>
    <x v="4"/>
    <x v="0"/>
    <x v="2"/>
    <x v="39"/>
    <x v="143"/>
    <x v="587"/>
    <x v="0"/>
    <s v="MULTI PLAZA"/>
    <x v="4"/>
  </r>
  <r>
    <x v="35"/>
    <x v="46"/>
    <x v="0"/>
    <x v="0"/>
    <x v="0"/>
    <x v="2"/>
    <x v="39"/>
    <x v="155"/>
    <x v="1746"/>
    <x v="0"/>
    <s v="MULTI PLAZA"/>
    <x v="4"/>
  </r>
  <r>
    <x v="35"/>
    <x v="139"/>
    <x v="5"/>
    <x v="5"/>
    <x v="0"/>
    <x v="2"/>
    <x v="39"/>
    <x v="110"/>
    <x v="1747"/>
    <x v="0"/>
    <s v="MULTI PLAZA"/>
    <x v="4"/>
  </r>
  <r>
    <x v="35"/>
    <x v="41"/>
    <x v="1"/>
    <x v="1"/>
    <x v="0"/>
    <x v="2"/>
    <x v="39"/>
    <x v="113"/>
    <x v="1748"/>
    <x v="0"/>
    <s v="MULTI PLAZA"/>
    <x v="4"/>
  </r>
  <r>
    <x v="35"/>
    <x v="128"/>
    <x v="1"/>
    <x v="1"/>
    <x v="0"/>
    <x v="2"/>
    <x v="39"/>
    <x v="164"/>
    <x v="1749"/>
    <x v="0"/>
    <s v="MULTI PLAZA"/>
    <x v="4"/>
  </r>
  <r>
    <x v="35"/>
    <x v="1"/>
    <x v="1"/>
    <x v="1"/>
    <x v="0"/>
    <x v="2"/>
    <x v="1"/>
    <x v="1"/>
    <x v="1"/>
    <x v="512"/>
    <s v="MULTI PLAZA"/>
    <x v="4"/>
  </r>
  <r>
    <x v="77"/>
    <x v="111"/>
    <x v="2"/>
    <x v="2"/>
    <x v="0"/>
    <x v="2"/>
    <x v="40"/>
    <x v="75"/>
    <x v="1737"/>
    <x v="0"/>
    <s v="HOSPITAL PUNTA PACIFICA"/>
    <x v="4"/>
  </r>
  <r>
    <x v="77"/>
    <x v="154"/>
    <x v="4"/>
    <x v="4"/>
    <x v="0"/>
    <x v="2"/>
    <x v="39"/>
    <x v="143"/>
    <x v="782"/>
    <x v="0"/>
    <s v="HOSPITAL PUNTA PACIFICA"/>
    <x v="4"/>
  </r>
  <r>
    <x v="77"/>
    <x v="41"/>
    <x v="1"/>
    <x v="1"/>
    <x v="0"/>
    <x v="2"/>
    <x v="39"/>
    <x v="113"/>
    <x v="1750"/>
    <x v="0"/>
    <s v="HOSPITAL PUNTA PACIFICA"/>
    <x v="4"/>
  </r>
  <r>
    <x v="77"/>
    <x v="152"/>
    <x v="1"/>
    <x v="1"/>
    <x v="0"/>
    <x v="2"/>
    <x v="39"/>
    <x v="194"/>
    <x v="1751"/>
    <x v="0"/>
    <s v="HOSPITAL PUNTA PACIFICA"/>
    <x v="4"/>
  </r>
  <r>
    <x v="77"/>
    <x v="128"/>
    <x v="1"/>
    <x v="1"/>
    <x v="0"/>
    <x v="2"/>
    <x v="39"/>
    <x v="164"/>
    <x v="1752"/>
    <x v="0"/>
    <s v="HOSPITAL PUNTA PACIFICA"/>
    <x v="4"/>
  </r>
  <r>
    <x v="77"/>
    <x v="1"/>
    <x v="1"/>
    <x v="1"/>
    <x v="0"/>
    <x v="2"/>
    <x v="1"/>
    <x v="1"/>
    <x v="1"/>
    <x v="513"/>
    <s v="HOSPITAL PUNTA PACIFICA"/>
    <x v="4"/>
  </r>
  <r>
    <x v="36"/>
    <x v="144"/>
    <x v="2"/>
    <x v="2"/>
    <x v="0"/>
    <x v="2"/>
    <x v="39"/>
    <x v="162"/>
    <x v="1753"/>
    <x v="0"/>
    <s v="TERMINAL DE ALBROOK"/>
    <x v="4"/>
  </r>
  <r>
    <x v="36"/>
    <x v="36"/>
    <x v="6"/>
    <x v="6"/>
    <x v="0"/>
    <x v="2"/>
    <x v="40"/>
    <x v="94"/>
    <x v="1754"/>
    <x v="0"/>
    <s v="TERMINAL DE ALBROOK"/>
    <x v="4"/>
  </r>
  <r>
    <x v="36"/>
    <x v="102"/>
    <x v="6"/>
    <x v="6"/>
    <x v="0"/>
    <x v="2"/>
    <x v="39"/>
    <x v="141"/>
    <x v="1755"/>
    <x v="0"/>
    <s v="TERMINAL DE ALBROOK"/>
    <x v="4"/>
  </r>
  <r>
    <x v="36"/>
    <x v="108"/>
    <x v="3"/>
    <x v="3"/>
    <x v="0"/>
    <x v="2"/>
    <x v="40"/>
    <x v="63"/>
    <x v="1756"/>
    <x v="0"/>
    <s v="TERMINAL DE ALBROOK"/>
    <x v="4"/>
  </r>
  <r>
    <x v="36"/>
    <x v="43"/>
    <x v="3"/>
    <x v="3"/>
    <x v="0"/>
    <x v="2"/>
    <x v="39"/>
    <x v="71"/>
    <x v="1757"/>
    <x v="0"/>
    <s v="TERMINAL DE ALBROOK"/>
    <x v="4"/>
  </r>
  <r>
    <x v="36"/>
    <x v="68"/>
    <x v="4"/>
    <x v="4"/>
    <x v="0"/>
    <x v="2"/>
    <x v="39"/>
    <x v="222"/>
    <x v="187"/>
    <x v="0"/>
    <s v="TERMINAL DE ALBROOK"/>
    <x v="4"/>
  </r>
  <r>
    <x v="36"/>
    <x v="50"/>
    <x v="4"/>
    <x v="4"/>
    <x v="0"/>
    <x v="2"/>
    <x v="39"/>
    <x v="77"/>
    <x v="1758"/>
    <x v="0"/>
    <s v="TERMINAL DE ALBROOK"/>
    <x v="4"/>
  </r>
  <r>
    <x v="36"/>
    <x v="57"/>
    <x v="0"/>
    <x v="0"/>
    <x v="0"/>
    <x v="2"/>
    <x v="39"/>
    <x v="44"/>
    <x v="1759"/>
    <x v="0"/>
    <s v="TERMINAL DE ALBROOK"/>
    <x v="4"/>
  </r>
  <r>
    <x v="36"/>
    <x v="117"/>
    <x v="0"/>
    <x v="0"/>
    <x v="0"/>
    <x v="2"/>
    <x v="39"/>
    <x v="65"/>
    <x v="1760"/>
    <x v="0"/>
    <s v="TERMINAL DE ALBROOK"/>
    <x v="4"/>
  </r>
  <r>
    <x v="36"/>
    <x v="115"/>
    <x v="5"/>
    <x v="5"/>
    <x v="0"/>
    <x v="2"/>
    <x v="39"/>
    <x v="213"/>
    <x v="1761"/>
    <x v="0"/>
    <s v="TERMINAL DE ALBROOK"/>
    <x v="4"/>
  </r>
  <r>
    <x v="36"/>
    <x v="13"/>
    <x v="5"/>
    <x v="5"/>
    <x v="0"/>
    <x v="2"/>
    <x v="39"/>
    <x v="120"/>
    <x v="1762"/>
    <x v="0"/>
    <s v="TERMINAL DE ALBROOK"/>
    <x v="4"/>
  </r>
  <r>
    <x v="36"/>
    <x v="153"/>
    <x v="5"/>
    <x v="5"/>
    <x v="0"/>
    <x v="2"/>
    <x v="39"/>
    <x v="157"/>
    <x v="1017"/>
    <x v="0"/>
    <s v="TERMINAL DE ALBROOK"/>
    <x v="4"/>
  </r>
  <r>
    <x v="36"/>
    <x v="152"/>
    <x v="1"/>
    <x v="1"/>
    <x v="0"/>
    <x v="2"/>
    <x v="39"/>
    <x v="194"/>
    <x v="1763"/>
    <x v="0"/>
    <s v="TERMINAL DE ALBROOK"/>
    <x v="4"/>
  </r>
  <r>
    <x v="36"/>
    <x v="1"/>
    <x v="1"/>
    <x v="1"/>
    <x v="0"/>
    <x v="2"/>
    <x v="1"/>
    <x v="1"/>
    <x v="1"/>
    <x v="514"/>
    <s v="TERMINAL DE ALBROOK"/>
    <x v="4"/>
  </r>
  <r>
    <x v="37"/>
    <x v="147"/>
    <x v="6"/>
    <x v="6"/>
    <x v="0"/>
    <x v="2"/>
    <x v="39"/>
    <x v="132"/>
    <x v="1764"/>
    <x v="0"/>
    <s v="CONCEPCION"/>
    <x v="4"/>
  </r>
  <r>
    <x v="37"/>
    <x v="50"/>
    <x v="4"/>
    <x v="4"/>
    <x v="0"/>
    <x v="2"/>
    <x v="39"/>
    <x v="77"/>
    <x v="482"/>
    <x v="0"/>
    <s v="CONCEPCION"/>
    <x v="4"/>
  </r>
  <r>
    <x v="37"/>
    <x v="117"/>
    <x v="0"/>
    <x v="0"/>
    <x v="0"/>
    <x v="2"/>
    <x v="39"/>
    <x v="65"/>
    <x v="1765"/>
    <x v="0"/>
    <s v="CONCEPCION"/>
    <x v="4"/>
  </r>
  <r>
    <x v="37"/>
    <x v="1"/>
    <x v="1"/>
    <x v="1"/>
    <x v="0"/>
    <x v="2"/>
    <x v="1"/>
    <x v="1"/>
    <x v="1"/>
    <x v="515"/>
    <s v="CONCEPCION"/>
    <x v="4"/>
  </r>
  <r>
    <x v="38"/>
    <x v="144"/>
    <x v="2"/>
    <x v="2"/>
    <x v="0"/>
    <x v="2"/>
    <x v="39"/>
    <x v="162"/>
    <x v="858"/>
    <x v="0"/>
    <s v="BOQUETE"/>
    <x v="4"/>
  </r>
  <r>
    <x v="38"/>
    <x v="77"/>
    <x v="5"/>
    <x v="5"/>
    <x v="0"/>
    <x v="2"/>
    <x v="39"/>
    <x v="156"/>
    <x v="1766"/>
    <x v="0"/>
    <s v="BOQUETE"/>
    <x v="4"/>
  </r>
  <r>
    <x v="38"/>
    <x v="1"/>
    <x v="1"/>
    <x v="1"/>
    <x v="0"/>
    <x v="2"/>
    <x v="1"/>
    <x v="1"/>
    <x v="1"/>
    <x v="516"/>
    <s v="BOQUETE"/>
    <x v="4"/>
  </r>
  <r>
    <x v="39"/>
    <x v="112"/>
    <x v="2"/>
    <x v="2"/>
    <x v="0"/>
    <x v="2"/>
    <x v="40"/>
    <x v="209"/>
    <x v="1767"/>
    <x v="0"/>
    <s v="BRISAS DEL GOLF"/>
    <x v="4"/>
  </r>
  <r>
    <x v="39"/>
    <x v="86"/>
    <x v="6"/>
    <x v="6"/>
    <x v="0"/>
    <x v="2"/>
    <x v="39"/>
    <x v="224"/>
    <x v="1768"/>
    <x v="0"/>
    <s v="BRISAS DEL GOLF"/>
    <x v="4"/>
  </r>
  <r>
    <x v="39"/>
    <x v="71"/>
    <x v="6"/>
    <x v="6"/>
    <x v="0"/>
    <x v="2"/>
    <x v="40"/>
    <x v="37"/>
    <x v="782"/>
    <x v="0"/>
    <s v="BRISAS DEL GOLF"/>
    <x v="4"/>
  </r>
  <r>
    <x v="39"/>
    <x v="135"/>
    <x v="3"/>
    <x v="3"/>
    <x v="0"/>
    <x v="2"/>
    <x v="39"/>
    <x v="149"/>
    <x v="1769"/>
    <x v="0"/>
    <s v="BRISAS DEL GOLF"/>
    <x v="4"/>
  </r>
  <r>
    <x v="39"/>
    <x v="156"/>
    <x v="4"/>
    <x v="4"/>
    <x v="0"/>
    <x v="2"/>
    <x v="39"/>
    <x v="146"/>
    <x v="1770"/>
    <x v="0"/>
    <s v="BRISAS DEL GOLF"/>
    <x v="4"/>
  </r>
  <r>
    <x v="39"/>
    <x v="162"/>
    <x v="4"/>
    <x v="4"/>
    <x v="0"/>
    <x v="2"/>
    <x v="40"/>
    <x v="192"/>
    <x v="865"/>
    <x v="0"/>
    <s v="BRISAS DEL GOLF"/>
    <x v="4"/>
  </r>
  <r>
    <x v="39"/>
    <x v="154"/>
    <x v="4"/>
    <x v="4"/>
    <x v="0"/>
    <x v="2"/>
    <x v="39"/>
    <x v="143"/>
    <x v="1771"/>
    <x v="0"/>
    <s v="BRISAS DEL GOLF"/>
    <x v="4"/>
  </r>
  <r>
    <x v="39"/>
    <x v="160"/>
    <x v="0"/>
    <x v="0"/>
    <x v="0"/>
    <x v="2"/>
    <x v="39"/>
    <x v="179"/>
    <x v="1772"/>
    <x v="0"/>
    <s v="BRISAS DEL GOLF"/>
    <x v="4"/>
  </r>
  <r>
    <x v="39"/>
    <x v="115"/>
    <x v="5"/>
    <x v="5"/>
    <x v="0"/>
    <x v="2"/>
    <x v="39"/>
    <x v="213"/>
    <x v="1773"/>
    <x v="0"/>
    <s v="BRISAS DEL GOLF"/>
    <x v="4"/>
  </r>
  <r>
    <x v="39"/>
    <x v="150"/>
    <x v="5"/>
    <x v="5"/>
    <x v="0"/>
    <x v="2"/>
    <x v="39"/>
    <x v="214"/>
    <x v="806"/>
    <x v="0"/>
    <s v="BRISAS DEL GOLF"/>
    <x v="4"/>
  </r>
  <r>
    <x v="39"/>
    <x v="128"/>
    <x v="1"/>
    <x v="1"/>
    <x v="0"/>
    <x v="2"/>
    <x v="39"/>
    <x v="164"/>
    <x v="1774"/>
    <x v="0"/>
    <s v="BRISAS DEL GOLF"/>
    <x v="4"/>
  </r>
  <r>
    <x v="39"/>
    <x v="1"/>
    <x v="1"/>
    <x v="1"/>
    <x v="0"/>
    <x v="2"/>
    <x v="1"/>
    <x v="1"/>
    <x v="1"/>
    <x v="517"/>
    <s v="BRISAS DEL GOLF"/>
    <x v="4"/>
  </r>
  <r>
    <x v="40"/>
    <x v="71"/>
    <x v="6"/>
    <x v="6"/>
    <x v="0"/>
    <x v="2"/>
    <x v="39"/>
    <x v="37"/>
    <x v="1775"/>
    <x v="0"/>
    <s v="PUENTE CENTENARIO"/>
    <x v="4"/>
  </r>
  <r>
    <x v="40"/>
    <x v="90"/>
    <x v="0"/>
    <x v="0"/>
    <x v="0"/>
    <x v="2"/>
    <x v="40"/>
    <x v="79"/>
    <x v="1776"/>
    <x v="0"/>
    <s v="PUENTE CENTENARIO"/>
    <x v="4"/>
  </r>
  <r>
    <x v="40"/>
    <x v="57"/>
    <x v="0"/>
    <x v="0"/>
    <x v="0"/>
    <x v="2"/>
    <x v="39"/>
    <x v="44"/>
    <x v="1777"/>
    <x v="0"/>
    <s v="PUENTE CENTENARIO"/>
    <x v="4"/>
  </r>
  <r>
    <x v="40"/>
    <x v="98"/>
    <x v="1"/>
    <x v="1"/>
    <x v="0"/>
    <x v="2"/>
    <x v="39"/>
    <x v="198"/>
    <x v="1778"/>
    <x v="0"/>
    <s v="PUENTE CENTENARIO"/>
    <x v="4"/>
  </r>
  <r>
    <x v="40"/>
    <x v="1"/>
    <x v="1"/>
    <x v="1"/>
    <x v="0"/>
    <x v="2"/>
    <x v="1"/>
    <x v="1"/>
    <x v="1"/>
    <x v="518"/>
    <s v="PUENTE CENTENARIO"/>
    <x v="4"/>
  </r>
  <r>
    <x v="74"/>
    <x v="79"/>
    <x v="3"/>
    <x v="3"/>
    <x v="0"/>
    <x v="2"/>
    <x v="39"/>
    <x v="142"/>
    <x v="1779"/>
    <x v="0"/>
    <s v="AGUADULCE"/>
    <x v="4"/>
  </r>
  <r>
    <x v="74"/>
    <x v="28"/>
    <x v="3"/>
    <x v="3"/>
    <x v="0"/>
    <x v="2"/>
    <x v="40"/>
    <x v="245"/>
    <x v="1780"/>
    <x v="0"/>
    <s v="AGUADULCE"/>
    <x v="4"/>
  </r>
  <r>
    <x v="74"/>
    <x v="142"/>
    <x v="0"/>
    <x v="0"/>
    <x v="0"/>
    <x v="2"/>
    <x v="39"/>
    <x v="119"/>
    <x v="1781"/>
    <x v="0"/>
    <s v="AGUADULCE"/>
    <x v="4"/>
  </r>
  <r>
    <x v="74"/>
    <x v="72"/>
    <x v="5"/>
    <x v="5"/>
    <x v="0"/>
    <x v="2"/>
    <x v="40"/>
    <x v="38"/>
    <x v="1782"/>
    <x v="0"/>
    <s v="AGUADULCE"/>
    <x v="4"/>
  </r>
  <r>
    <x v="74"/>
    <x v="40"/>
    <x v="1"/>
    <x v="1"/>
    <x v="0"/>
    <x v="2"/>
    <x v="39"/>
    <x v="125"/>
    <x v="1783"/>
    <x v="0"/>
    <s v="AGUADULCE"/>
    <x v="4"/>
  </r>
  <r>
    <x v="74"/>
    <x v="155"/>
    <x v="1"/>
    <x v="1"/>
    <x v="0"/>
    <x v="2"/>
    <x v="39"/>
    <x v="145"/>
    <x v="1784"/>
    <x v="0"/>
    <s v="AGUADULCE"/>
    <x v="4"/>
  </r>
  <r>
    <x v="74"/>
    <x v="98"/>
    <x v="1"/>
    <x v="1"/>
    <x v="0"/>
    <x v="2"/>
    <x v="39"/>
    <x v="198"/>
    <x v="1785"/>
    <x v="0"/>
    <s v="AGUADULCE"/>
    <x v="4"/>
  </r>
  <r>
    <x v="74"/>
    <x v="1"/>
    <x v="1"/>
    <x v="1"/>
    <x v="0"/>
    <x v="2"/>
    <x v="1"/>
    <x v="1"/>
    <x v="1"/>
    <x v="519"/>
    <s v="AGUADULCE"/>
    <x v="4"/>
  </r>
  <r>
    <x v="75"/>
    <x v="134"/>
    <x v="6"/>
    <x v="6"/>
    <x v="0"/>
    <x v="2"/>
    <x v="40"/>
    <x v="226"/>
    <x v="861"/>
    <x v="0"/>
    <s v="SABANITAS"/>
    <x v="4"/>
  </r>
  <r>
    <x v="75"/>
    <x v="0"/>
    <x v="0"/>
    <x v="0"/>
    <x v="0"/>
    <x v="2"/>
    <x v="39"/>
    <x v="197"/>
    <x v="1786"/>
    <x v="0"/>
    <s v="SABANITAS"/>
    <x v="4"/>
  </r>
  <r>
    <x v="75"/>
    <x v="101"/>
    <x v="1"/>
    <x v="1"/>
    <x v="0"/>
    <x v="2"/>
    <x v="39"/>
    <x v="207"/>
    <x v="1061"/>
    <x v="0"/>
    <s v="SABANITAS"/>
    <x v="4"/>
  </r>
  <r>
    <x v="75"/>
    <x v="1"/>
    <x v="1"/>
    <x v="1"/>
    <x v="0"/>
    <x v="2"/>
    <x v="1"/>
    <x v="1"/>
    <x v="1"/>
    <x v="520"/>
    <s v="SABANITAS"/>
    <x v="4"/>
  </r>
  <r>
    <x v="41"/>
    <x v="107"/>
    <x v="2"/>
    <x v="2"/>
    <x v="0"/>
    <x v="2"/>
    <x v="39"/>
    <x v="158"/>
    <x v="1787"/>
    <x v="0"/>
    <s v="METROMALL"/>
    <x v="4"/>
  </r>
  <r>
    <x v="41"/>
    <x v="13"/>
    <x v="5"/>
    <x v="5"/>
    <x v="0"/>
    <x v="2"/>
    <x v="39"/>
    <x v="120"/>
    <x v="1004"/>
    <x v="0"/>
    <s v="METROMALL"/>
    <x v="4"/>
  </r>
  <r>
    <x v="41"/>
    <x v="77"/>
    <x v="5"/>
    <x v="5"/>
    <x v="0"/>
    <x v="2"/>
    <x v="39"/>
    <x v="156"/>
    <x v="1004"/>
    <x v="0"/>
    <s v="METROMALL"/>
    <x v="4"/>
  </r>
  <r>
    <x v="41"/>
    <x v="1"/>
    <x v="1"/>
    <x v="1"/>
    <x v="0"/>
    <x v="2"/>
    <x v="1"/>
    <x v="1"/>
    <x v="1"/>
    <x v="521"/>
    <s v="METROMALL"/>
    <x v="4"/>
  </r>
  <r>
    <x v="43"/>
    <x v="70"/>
    <x v="2"/>
    <x v="2"/>
    <x v="0"/>
    <x v="2"/>
    <x v="39"/>
    <x v="36"/>
    <x v="1788"/>
    <x v="0"/>
    <s v="VERSALLES"/>
    <x v="4"/>
  </r>
  <r>
    <x v="43"/>
    <x v="144"/>
    <x v="2"/>
    <x v="2"/>
    <x v="0"/>
    <x v="2"/>
    <x v="39"/>
    <x v="162"/>
    <x v="1789"/>
    <x v="0"/>
    <s v="VERSALLES"/>
    <x v="4"/>
  </r>
  <r>
    <x v="43"/>
    <x v="89"/>
    <x v="4"/>
    <x v="4"/>
    <x v="0"/>
    <x v="2"/>
    <x v="39"/>
    <x v="154"/>
    <x v="1790"/>
    <x v="0"/>
    <s v="VERSALLES"/>
    <x v="4"/>
  </r>
  <r>
    <x v="43"/>
    <x v="13"/>
    <x v="5"/>
    <x v="5"/>
    <x v="0"/>
    <x v="2"/>
    <x v="39"/>
    <x v="120"/>
    <x v="1791"/>
    <x v="0"/>
    <s v="VERSALLES"/>
    <x v="4"/>
  </r>
  <r>
    <x v="43"/>
    <x v="155"/>
    <x v="1"/>
    <x v="1"/>
    <x v="0"/>
    <x v="2"/>
    <x v="39"/>
    <x v="145"/>
    <x v="1792"/>
    <x v="0"/>
    <s v="VERSALLES"/>
    <x v="4"/>
  </r>
  <r>
    <x v="43"/>
    <x v="1"/>
    <x v="1"/>
    <x v="1"/>
    <x v="0"/>
    <x v="2"/>
    <x v="1"/>
    <x v="1"/>
    <x v="1"/>
    <x v="522"/>
    <s v="VERSALLES"/>
    <x v="4"/>
  </r>
  <r>
    <x v="44"/>
    <x v="64"/>
    <x v="2"/>
    <x v="2"/>
    <x v="0"/>
    <x v="2"/>
    <x v="39"/>
    <x v="139"/>
    <x v="1793"/>
    <x v="0"/>
    <s v="BUSINESS PARK"/>
    <x v="4"/>
  </r>
  <r>
    <x v="44"/>
    <x v="133"/>
    <x v="2"/>
    <x v="2"/>
    <x v="0"/>
    <x v="2"/>
    <x v="39"/>
    <x v="254"/>
    <x v="146"/>
    <x v="0"/>
    <s v="BUSINESS PARK"/>
    <x v="4"/>
  </r>
  <r>
    <x v="44"/>
    <x v="21"/>
    <x v="6"/>
    <x v="6"/>
    <x v="0"/>
    <x v="2"/>
    <x v="39"/>
    <x v="70"/>
    <x v="1794"/>
    <x v="0"/>
    <s v="BUSINESS PARK"/>
    <x v="4"/>
  </r>
  <r>
    <x v="44"/>
    <x v="23"/>
    <x v="3"/>
    <x v="3"/>
    <x v="0"/>
    <x v="2"/>
    <x v="39"/>
    <x v="221"/>
    <x v="798"/>
    <x v="0"/>
    <s v="BUSINESS PARK"/>
    <x v="4"/>
  </r>
  <r>
    <x v="44"/>
    <x v="135"/>
    <x v="3"/>
    <x v="3"/>
    <x v="0"/>
    <x v="2"/>
    <x v="39"/>
    <x v="149"/>
    <x v="816"/>
    <x v="0"/>
    <s v="BUSINESS PARK"/>
    <x v="4"/>
  </r>
  <r>
    <x v="44"/>
    <x v="62"/>
    <x v="4"/>
    <x v="4"/>
    <x v="0"/>
    <x v="2"/>
    <x v="39"/>
    <x v="176"/>
    <x v="1795"/>
    <x v="0"/>
    <s v="BUSINESS PARK"/>
    <x v="4"/>
  </r>
  <r>
    <x v="44"/>
    <x v="57"/>
    <x v="0"/>
    <x v="0"/>
    <x v="0"/>
    <x v="2"/>
    <x v="39"/>
    <x v="44"/>
    <x v="905"/>
    <x v="0"/>
    <s v="BUSINESS PARK"/>
    <x v="4"/>
  </r>
  <r>
    <x v="44"/>
    <x v="117"/>
    <x v="0"/>
    <x v="0"/>
    <x v="0"/>
    <x v="2"/>
    <x v="39"/>
    <x v="65"/>
    <x v="187"/>
    <x v="0"/>
    <s v="BUSINESS PARK"/>
    <x v="4"/>
  </r>
  <r>
    <x v="44"/>
    <x v="128"/>
    <x v="1"/>
    <x v="1"/>
    <x v="0"/>
    <x v="2"/>
    <x v="39"/>
    <x v="164"/>
    <x v="1061"/>
    <x v="0"/>
    <s v="BUSINESS PARK"/>
    <x v="4"/>
  </r>
  <r>
    <x v="44"/>
    <x v="1"/>
    <x v="1"/>
    <x v="1"/>
    <x v="0"/>
    <x v="2"/>
    <x v="1"/>
    <x v="1"/>
    <x v="1"/>
    <x v="523"/>
    <s v="BUSINESS PARK"/>
    <x v="4"/>
  </r>
  <r>
    <x v="45"/>
    <x v="70"/>
    <x v="2"/>
    <x v="2"/>
    <x v="0"/>
    <x v="2"/>
    <x v="39"/>
    <x v="36"/>
    <x v="1796"/>
    <x v="0"/>
    <s v="SAN FRANCISCO"/>
    <x v="4"/>
  </r>
  <r>
    <x v="45"/>
    <x v="111"/>
    <x v="2"/>
    <x v="2"/>
    <x v="0"/>
    <x v="2"/>
    <x v="40"/>
    <x v="75"/>
    <x v="852"/>
    <x v="0"/>
    <s v="SAN FRANCISCO"/>
    <x v="4"/>
  </r>
  <r>
    <x v="45"/>
    <x v="71"/>
    <x v="6"/>
    <x v="6"/>
    <x v="0"/>
    <x v="2"/>
    <x v="40"/>
    <x v="37"/>
    <x v="1797"/>
    <x v="0"/>
    <s v="SAN FRANCISCO"/>
    <x v="4"/>
  </r>
  <r>
    <x v="45"/>
    <x v="56"/>
    <x v="3"/>
    <x v="3"/>
    <x v="0"/>
    <x v="2"/>
    <x v="40"/>
    <x v="153"/>
    <x v="1798"/>
    <x v="0"/>
    <s v="SAN FRANCISCO"/>
    <x v="4"/>
  </r>
  <r>
    <x v="45"/>
    <x v="90"/>
    <x v="0"/>
    <x v="0"/>
    <x v="0"/>
    <x v="2"/>
    <x v="40"/>
    <x v="79"/>
    <x v="1799"/>
    <x v="0"/>
    <s v="SAN FRANCISCO"/>
    <x v="4"/>
  </r>
  <r>
    <x v="45"/>
    <x v="76"/>
    <x v="5"/>
    <x v="5"/>
    <x v="0"/>
    <x v="2"/>
    <x v="40"/>
    <x v="182"/>
    <x v="1800"/>
    <x v="0"/>
    <s v="SAN FRANCISCO"/>
    <x v="4"/>
  </r>
  <r>
    <x v="45"/>
    <x v="1"/>
    <x v="1"/>
    <x v="1"/>
    <x v="0"/>
    <x v="2"/>
    <x v="1"/>
    <x v="1"/>
    <x v="1"/>
    <x v="524"/>
    <s v="SAN FRANCISCO"/>
    <x v="4"/>
  </r>
  <r>
    <x v="46"/>
    <x v="86"/>
    <x v="6"/>
    <x v="6"/>
    <x v="0"/>
    <x v="2"/>
    <x v="39"/>
    <x v="224"/>
    <x v="1801"/>
    <x v="0"/>
    <s v="PLAZA BANCO GENERAL"/>
    <x v="4"/>
  </r>
  <r>
    <x v="46"/>
    <x v="108"/>
    <x v="3"/>
    <x v="3"/>
    <x v="0"/>
    <x v="2"/>
    <x v="39"/>
    <x v="63"/>
    <x v="1802"/>
    <x v="0"/>
    <s v="PLAZA BANCO GENERAL"/>
    <x v="4"/>
  </r>
  <r>
    <x v="46"/>
    <x v="79"/>
    <x v="3"/>
    <x v="3"/>
    <x v="0"/>
    <x v="2"/>
    <x v="39"/>
    <x v="142"/>
    <x v="1803"/>
    <x v="0"/>
    <s v="PLAZA BANCO GENERAL"/>
    <x v="4"/>
  </r>
  <r>
    <x v="46"/>
    <x v="159"/>
    <x v="0"/>
    <x v="0"/>
    <x v="0"/>
    <x v="2"/>
    <x v="39"/>
    <x v="177"/>
    <x v="1804"/>
    <x v="0"/>
    <s v="PLAZA BANCO GENERAL"/>
    <x v="4"/>
  </r>
  <r>
    <x v="46"/>
    <x v="160"/>
    <x v="0"/>
    <x v="0"/>
    <x v="0"/>
    <x v="2"/>
    <x v="39"/>
    <x v="179"/>
    <x v="1805"/>
    <x v="0"/>
    <s v="PLAZA BANCO GENERAL"/>
    <x v="4"/>
  </r>
  <r>
    <x v="46"/>
    <x v="145"/>
    <x v="5"/>
    <x v="5"/>
    <x v="0"/>
    <x v="2"/>
    <x v="39"/>
    <x v="124"/>
    <x v="1806"/>
    <x v="0"/>
    <s v="PLAZA BANCO GENERAL"/>
    <x v="4"/>
  </r>
  <r>
    <x v="46"/>
    <x v="41"/>
    <x v="1"/>
    <x v="1"/>
    <x v="0"/>
    <x v="2"/>
    <x v="39"/>
    <x v="113"/>
    <x v="1807"/>
    <x v="0"/>
    <s v="PLAZA BANCO GENERAL"/>
    <x v="4"/>
  </r>
  <r>
    <x v="46"/>
    <x v="33"/>
    <x v="1"/>
    <x v="1"/>
    <x v="0"/>
    <x v="2"/>
    <x v="39"/>
    <x v="241"/>
    <x v="1808"/>
    <x v="0"/>
    <s v="PLAZA BANCO GENERAL"/>
    <x v="4"/>
  </r>
  <r>
    <x v="46"/>
    <x v="128"/>
    <x v="1"/>
    <x v="1"/>
    <x v="0"/>
    <x v="2"/>
    <x v="39"/>
    <x v="164"/>
    <x v="1809"/>
    <x v="0"/>
    <s v="PLAZA BANCO GENERAL"/>
    <x v="4"/>
  </r>
  <r>
    <x v="46"/>
    <x v="1"/>
    <x v="1"/>
    <x v="1"/>
    <x v="0"/>
    <x v="2"/>
    <x v="1"/>
    <x v="1"/>
    <x v="1"/>
    <x v="525"/>
    <s v="PLAZA BANCO GENERAL"/>
    <x v="4"/>
  </r>
  <r>
    <x v="47"/>
    <x v="85"/>
    <x v="2"/>
    <x v="2"/>
    <x v="0"/>
    <x v="2"/>
    <x v="39"/>
    <x v="161"/>
    <x v="1810"/>
    <x v="0"/>
    <s v="LA CHORRERA - PARQUE 10 DE NOV."/>
    <x v="4"/>
  </r>
  <r>
    <x v="47"/>
    <x v="68"/>
    <x v="4"/>
    <x v="4"/>
    <x v="0"/>
    <x v="2"/>
    <x v="39"/>
    <x v="222"/>
    <x v="1811"/>
    <x v="0"/>
    <s v="LA CHORRERA - PARQUE 10 DE NOV."/>
    <x v="4"/>
  </r>
  <r>
    <x v="47"/>
    <x v="160"/>
    <x v="0"/>
    <x v="0"/>
    <x v="0"/>
    <x v="2"/>
    <x v="39"/>
    <x v="179"/>
    <x v="1812"/>
    <x v="0"/>
    <s v="LA CHORRERA - PARQUE 10 DE NOV."/>
    <x v="4"/>
  </r>
  <r>
    <x v="47"/>
    <x v="150"/>
    <x v="5"/>
    <x v="5"/>
    <x v="0"/>
    <x v="2"/>
    <x v="39"/>
    <x v="214"/>
    <x v="1813"/>
    <x v="0"/>
    <s v="LA CHORRERA - PARQUE 10 DE NOV."/>
    <x v="4"/>
  </r>
  <r>
    <x v="47"/>
    <x v="14"/>
    <x v="1"/>
    <x v="1"/>
    <x v="0"/>
    <x v="2"/>
    <x v="39"/>
    <x v="112"/>
    <x v="1814"/>
    <x v="0"/>
    <s v="LA CHORRERA - PARQUE 10 DE NOV."/>
    <x v="4"/>
  </r>
  <r>
    <x v="47"/>
    <x v="1"/>
    <x v="1"/>
    <x v="1"/>
    <x v="0"/>
    <x v="2"/>
    <x v="1"/>
    <x v="1"/>
    <x v="1"/>
    <x v="526"/>
    <s v="LA CHORRERA - PARQUE 10 DE NOV."/>
    <x v="4"/>
  </r>
  <r>
    <x v="48"/>
    <x v="86"/>
    <x v="6"/>
    <x v="6"/>
    <x v="0"/>
    <x v="2"/>
    <x v="39"/>
    <x v="224"/>
    <x v="1379"/>
    <x v="0"/>
    <s v="COSTA DEL ESTE - CENTENARIO"/>
    <x v="4"/>
  </r>
  <r>
    <x v="48"/>
    <x v="102"/>
    <x v="6"/>
    <x v="6"/>
    <x v="0"/>
    <x v="2"/>
    <x v="39"/>
    <x v="141"/>
    <x v="1815"/>
    <x v="0"/>
    <s v="COSTA DEL ESTE - CENTENARIO"/>
    <x v="4"/>
  </r>
  <r>
    <x v="48"/>
    <x v="62"/>
    <x v="4"/>
    <x v="4"/>
    <x v="0"/>
    <x v="2"/>
    <x v="39"/>
    <x v="176"/>
    <x v="1816"/>
    <x v="0"/>
    <s v="COSTA DEL ESTE - CENTENARIO"/>
    <x v="4"/>
  </r>
  <r>
    <x v="48"/>
    <x v="117"/>
    <x v="0"/>
    <x v="0"/>
    <x v="0"/>
    <x v="2"/>
    <x v="39"/>
    <x v="65"/>
    <x v="1817"/>
    <x v="0"/>
    <s v="COSTA DEL ESTE - CENTENARIO"/>
    <x v="4"/>
  </r>
  <r>
    <x v="48"/>
    <x v="115"/>
    <x v="5"/>
    <x v="5"/>
    <x v="0"/>
    <x v="2"/>
    <x v="39"/>
    <x v="213"/>
    <x v="1818"/>
    <x v="0"/>
    <s v="COSTA DEL ESTE - CENTENARIO"/>
    <x v="4"/>
  </r>
  <r>
    <x v="48"/>
    <x v="128"/>
    <x v="1"/>
    <x v="1"/>
    <x v="0"/>
    <x v="2"/>
    <x v="39"/>
    <x v="164"/>
    <x v="1819"/>
    <x v="0"/>
    <s v="COSTA DEL ESTE - CENTENARIO"/>
    <x v="4"/>
  </r>
  <r>
    <x v="48"/>
    <x v="1"/>
    <x v="1"/>
    <x v="1"/>
    <x v="0"/>
    <x v="2"/>
    <x v="1"/>
    <x v="1"/>
    <x v="1"/>
    <x v="527"/>
    <s v="COSTA DEL ESTE - CENTENARIO"/>
    <x v="4"/>
  </r>
  <r>
    <x v="49"/>
    <x v="86"/>
    <x v="6"/>
    <x v="6"/>
    <x v="0"/>
    <x v="2"/>
    <x v="39"/>
    <x v="224"/>
    <x v="493"/>
    <x v="0"/>
    <s v="CLAYTON"/>
    <x v="4"/>
  </r>
  <r>
    <x v="49"/>
    <x v="71"/>
    <x v="6"/>
    <x v="6"/>
    <x v="0"/>
    <x v="2"/>
    <x v="39"/>
    <x v="37"/>
    <x v="1795"/>
    <x v="0"/>
    <s v="CLAYTON"/>
    <x v="4"/>
  </r>
  <r>
    <x v="49"/>
    <x v="21"/>
    <x v="6"/>
    <x v="6"/>
    <x v="0"/>
    <x v="2"/>
    <x v="39"/>
    <x v="70"/>
    <x v="1820"/>
    <x v="0"/>
    <s v="CLAYTON"/>
    <x v="4"/>
  </r>
  <r>
    <x v="49"/>
    <x v="50"/>
    <x v="4"/>
    <x v="4"/>
    <x v="0"/>
    <x v="2"/>
    <x v="39"/>
    <x v="77"/>
    <x v="1821"/>
    <x v="0"/>
    <s v="CLAYTON"/>
    <x v="4"/>
  </r>
  <r>
    <x v="49"/>
    <x v="154"/>
    <x v="4"/>
    <x v="4"/>
    <x v="0"/>
    <x v="2"/>
    <x v="39"/>
    <x v="143"/>
    <x v="1822"/>
    <x v="0"/>
    <s v="CLAYTON"/>
    <x v="4"/>
  </r>
  <r>
    <x v="49"/>
    <x v="13"/>
    <x v="5"/>
    <x v="5"/>
    <x v="0"/>
    <x v="2"/>
    <x v="39"/>
    <x v="120"/>
    <x v="1823"/>
    <x v="0"/>
    <s v="CLAYTON"/>
    <x v="4"/>
  </r>
  <r>
    <x v="49"/>
    <x v="128"/>
    <x v="1"/>
    <x v="1"/>
    <x v="0"/>
    <x v="2"/>
    <x v="39"/>
    <x v="164"/>
    <x v="1824"/>
    <x v="0"/>
    <s v="CLAYTON"/>
    <x v="4"/>
  </r>
  <r>
    <x v="49"/>
    <x v="1"/>
    <x v="1"/>
    <x v="1"/>
    <x v="0"/>
    <x v="2"/>
    <x v="1"/>
    <x v="1"/>
    <x v="1"/>
    <x v="528"/>
    <s v="CLAYTON"/>
    <x v="4"/>
  </r>
  <r>
    <x v="50"/>
    <x v="147"/>
    <x v="6"/>
    <x v="6"/>
    <x v="0"/>
    <x v="2"/>
    <x v="39"/>
    <x v="132"/>
    <x v="1825"/>
    <x v="0"/>
    <s v="MARBELLA"/>
    <x v="4"/>
  </r>
  <r>
    <x v="50"/>
    <x v="156"/>
    <x v="4"/>
    <x v="4"/>
    <x v="0"/>
    <x v="2"/>
    <x v="39"/>
    <x v="146"/>
    <x v="1826"/>
    <x v="0"/>
    <s v="MARBELLA"/>
    <x v="4"/>
  </r>
  <r>
    <x v="50"/>
    <x v="145"/>
    <x v="5"/>
    <x v="5"/>
    <x v="0"/>
    <x v="2"/>
    <x v="39"/>
    <x v="124"/>
    <x v="1827"/>
    <x v="0"/>
    <s v="MARBELLA"/>
    <x v="4"/>
  </r>
  <r>
    <x v="50"/>
    <x v="41"/>
    <x v="1"/>
    <x v="1"/>
    <x v="0"/>
    <x v="2"/>
    <x v="39"/>
    <x v="113"/>
    <x v="1282"/>
    <x v="0"/>
    <s v="MARBELLA"/>
    <x v="4"/>
  </r>
  <r>
    <x v="50"/>
    <x v="1"/>
    <x v="1"/>
    <x v="1"/>
    <x v="0"/>
    <x v="2"/>
    <x v="1"/>
    <x v="1"/>
    <x v="1"/>
    <x v="529"/>
    <s v="MARBELLA"/>
    <x v="4"/>
  </r>
  <r>
    <x v="51"/>
    <x v="70"/>
    <x v="2"/>
    <x v="2"/>
    <x v="0"/>
    <x v="2"/>
    <x v="39"/>
    <x v="36"/>
    <x v="1828"/>
    <x v="0"/>
    <s v="PLAZA CAROLINA"/>
    <x v="4"/>
  </r>
  <r>
    <x v="51"/>
    <x v="23"/>
    <x v="3"/>
    <x v="3"/>
    <x v="0"/>
    <x v="2"/>
    <x v="39"/>
    <x v="221"/>
    <x v="1829"/>
    <x v="0"/>
    <s v="PLAZA CAROLINA"/>
    <x v="4"/>
  </r>
  <r>
    <x v="51"/>
    <x v="68"/>
    <x v="4"/>
    <x v="4"/>
    <x v="0"/>
    <x v="2"/>
    <x v="39"/>
    <x v="222"/>
    <x v="703"/>
    <x v="0"/>
    <s v="PLAZA CAROLINA"/>
    <x v="4"/>
  </r>
  <r>
    <x v="51"/>
    <x v="115"/>
    <x v="5"/>
    <x v="5"/>
    <x v="0"/>
    <x v="2"/>
    <x v="39"/>
    <x v="213"/>
    <x v="1830"/>
    <x v="0"/>
    <s v="PLAZA CAROLINA"/>
    <x v="4"/>
  </r>
  <r>
    <x v="51"/>
    <x v="101"/>
    <x v="1"/>
    <x v="1"/>
    <x v="0"/>
    <x v="2"/>
    <x v="40"/>
    <x v="207"/>
    <x v="1831"/>
    <x v="0"/>
    <s v="PLAZA CAROLINA"/>
    <x v="4"/>
  </r>
  <r>
    <x v="51"/>
    <x v="128"/>
    <x v="1"/>
    <x v="1"/>
    <x v="0"/>
    <x v="2"/>
    <x v="40"/>
    <x v="164"/>
    <x v="1222"/>
    <x v="0"/>
    <s v="PLAZA CAROLINA"/>
    <x v="4"/>
  </r>
  <r>
    <x v="51"/>
    <x v="1"/>
    <x v="1"/>
    <x v="1"/>
    <x v="0"/>
    <x v="2"/>
    <x v="1"/>
    <x v="1"/>
    <x v="1"/>
    <x v="530"/>
    <s v="PLAZA CAROLINA"/>
    <x v="4"/>
  </r>
  <r>
    <x v="52"/>
    <x v="81"/>
    <x v="4"/>
    <x v="4"/>
    <x v="0"/>
    <x v="2"/>
    <x v="40"/>
    <x v="175"/>
    <x v="1567"/>
    <x v="0"/>
    <s v="PLAZA CORDOBA"/>
    <x v="4"/>
  </r>
  <r>
    <x v="52"/>
    <x v="46"/>
    <x v="0"/>
    <x v="0"/>
    <x v="0"/>
    <x v="2"/>
    <x v="39"/>
    <x v="155"/>
    <x v="1832"/>
    <x v="0"/>
    <s v="PLAZA CORDOBA"/>
    <x v="4"/>
  </r>
  <r>
    <x v="52"/>
    <x v="98"/>
    <x v="1"/>
    <x v="1"/>
    <x v="0"/>
    <x v="2"/>
    <x v="39"/>
    <x v="198"/>
    <x v="1833"/>
    <x v="0"/>
    <s v="PLAZA CORDOBA"/>
    <x v="4"/>
  </r>
  <r>
    <x v="52"/>
    <x v="1"/>
    <x v="1"/>
    <x v="1"/>
    <x v="0"/>
    <x v="2"/>
    <x v="1"/>
    <x v="1"/>
    <x v="1"/>
    <x v="531"/>
    <s v="PLAZA CORDOBA"/>
    <x v="4"/>
  </r>
  <r>
    <x v="53"/>
    <x v="70"/>
    <x v="2"/>
    <x v="2"/>
    <x v="0"/>
    <x v="2"/>
    <x v="39"/>
    <x v="36"/>
    <x v="1834"/>
    <x v="0"/>
    <s v="VIA SIMON BOLIVAR"/>
    <x v="4"/>
  </r>
  <r>
    <x v="53"/>
    <x v="64"/>
    <x v="2"/>
    <x v="2"/>
    <x v="0"/>
    <x v="2"/>
    <x v="39"/>
    <x v="139"/>
    <x v="19"/>
    <x v="0"/>
    <s v="VIA SIMON BOLIVAR"/>
    <x v="4"/>
  </r>
  <r>
    <x v="53"/>
    <x v="107"/>
    <x v="2"/>
    <x v="2"/>
    <x v="0"/>
    <x v="2"/>
    <x v="39"/>
    <x v="158"/>
    <x v="1835"/>
    <x v="0"/>
    <s v="VIA SIMON BOLIVAR"/>
    <x v="4"/>
  </r>
  <r>
    <x v="53"/>
    <x v="108"/>
    <x v="3"/>
    <x v="3"/>
    <x v="0"/>
    <x v="2"/>
    <x v="39"/>
    <x v="63"/>
    <x v="1836"/>
    <x v="0"/>
    <s v="VIA SIMON BOLIVAR"/>
    <x v="4"/>
  </r>
  <r>
    <x v="53"/>
    <x v="68"/>
    <x v="4"/>
    <x v="4"/>
    <x v="0"/>
    <x v="2"/>
    <x v="39"/>
    <x v="222"/>
    <x v="1837"/>
    <x v="0"/>
    <s v="VIA SIMON BOLIVAR"/>
    <x v="4"/>
  </r>
  <r>
    <x v="53"/>
    <x v="50"/>
    <x v="4"/>
    <x v="4"/>
    <x v="0"/>
    <x v="2"/>
    <x v="39"/>
    <x v="77"/>
    <x v="1838"/>
    <x v="0"/>
    <s v="VIA SIMON BOLIVAR"/>
    <x v="4"/>
  </r>
  <r>
    <x v="53"/>
    <x v="153"/>
    <x v="5"/>
    <x v="5"/>
    <x v="0"/>
    <x v="2"/>
    <x v="39"/>
    <x v="157"/>
    <x v="1839"/>
    <x v="0"/>
    <s v="VIA SIMON BOLIVAR"/>
    <x v="4"/>
  </r>
  <r>
    <x v="53"/>
    <x v="1"/>
    <x v="1"/>
    <x v="1"/>
    <x v="0"/>
    <x v="2"/>
    <x v="1"/>
    <x v="1"/>
    <x v="1"/>
    <x v="532"/>
    <s v="VIA SIMON BOLIVAR"/>
    <x v="4"/>
  </r>
  <r>
    <x v="54"/>
    <x v="144"/>
    <x v="2"/>
    <x v="2"/>
    <x v="0"/>
    <x v="2"/>
    <x v="39"/>
    <x v="162"/>
    <x v="1840"/>
    <x v="0"/>
    <s v="JUSTO AROSEMENA"/>
    <x v="4"/>
  </r>
  <r>
    <x v="54"/>
    <x v="114"/>
    <x v="3"/>
    <x v="3"/>
    <x v="0"/>
    <x v="2"/>
    <x v="40"/>
    <x v="76"/>
    <x v="1841"/>
    <x v="0"/>
    <s v="JUSTO AROSEMENA"/>
    <x v="4"/>
  </r>
  <r>
    <x v="54"/>
    <x v="68"/>
    <x v="4"/>
    <x v="4"/>
    <x v="0"/>
    <x v="2"/>
    <x v="39"/>
    <x v="222"/>
    <x v="1842"/>
    <x v="0"/>
    <s v="JUSTO AROSEMENA"/>
    <x v="4"/>
  </r>
  <r>
    <x v="54"/>
    <x v="159"/>
    <x v="0"/>
    <x v="0"/>
    <x v="0"/>
    <x v="2"/>
    <x v="39"/>
    <x v="177"/>
    <x v="1843"/>
    <x v="0"/>
    <s v="JUSTO AROSEMENA"/>
    <x v="4"/>
  </r>
  <r>
    <x v="54"/>
    <x v="0"/>
    <x v="0"/>
    <x v="0"/>
    <x v="0"/>
    <x v="2"/>
    <x v="39"/>
    <x v="197"/>
    <x v="1844"/>
    <x v="0"/>
    <s v="JUSTO AROSEMENA"/>
    <x v="4"/>
  </r>
  <r>
    <x v="54"/>
    <x v="101"/>
    <x v="1"/>
    <x v="1"/>
    <x v="0"/>
    <x v="2"/>
    <x v="40"/>
    <x v="207"/>
    <x v="1845"/>
    <x v="0"/>
    <s v="JUSTO AROSEMENA"/>
    <x v="4"/>
  </r>
  <r>
    <x v="54"/>
    <x v="98"/>
    <x v="1"/>
    <x v="1"/>
    <x v="0"/>
    <x v="2"/>
    <x v="39"/>
    <x v="198"/>
    <x v="1846"/>
    <x v="0"/>
    <s v="JUSTO AROSEMENA"/>
    <x v="4"/>
  </r>
  <r>
    <x v="54"/>
    <x v="1"/>
    <x v="1"/>
    <x v="1"/>
    <x v="0"/>
    <x v="2"/>
    <x v="1"/>
    <x v="1"/>
    <x v="1"/>
    <x v="533"/>
    <s v="JUSTO AROSEMENA"/>
    <x v="4"/>
  </r>
  <r>
    <x v="55"/>
    <x v="1"/>
    <x v="1"/>
    <x v="1"/>
    <x v="0"/>
    <x v="19"/>
    <x v="1"/>
    <x v="1"/>
    <x v="1"/>
    <x v="534"/>
    <s v="NEGOCIOS"/>
    <x v="4"/>
  </r>
  <r>
    <x v="55"/>
    <x v="41"/>
    <x v="1"/>
    <x v="1"/>
    <x v="0"/>
    <x v="20"/>
    <x v="39"/>
    <x v="113"/>
    <x v="1847"/>
    <x v="0"/>
    <s v="NEGOCIOS"/>
    <x v="4"/>
  </r>
  <r>
    <x v="55"/>
    <x v="101"/>
    <x v="1"/>
    <x v="1"/>
    <x v="0"/>
    <x v="20"/>
    <x v="39"/>
    <x v="207"/>
    <x v="1848"/>
    <x v="0"/>
    <s v="NEGOCIOS"/>
    <x v="4"/>
  </r>
  <r>
    <x v="55"/>
    <x v="1"/>
    <x v="1"/>
    <x v="1"/>
    <x v="0"/>
    <x v="20"/>
    <x v="1"/>
    <x v="1"/>
    <x v="1"/>
    <x v="535"/>
    <s v="NEGOCIOS"/>
    <x v="4"/>
  </r>
  <r>
    <x v="55"/>
    <x v="36"/>
    <x v="6"/>
    <x v="6"/>
    <x v="0"/>
    <x v="22"/>
    <x v="40"/>
    <x v="94"/>
    <x v="1849"/>
    <x v="0"/>
    <s v="NEGOCIOS"/>
    <x v="4"/>
  </r>
  <r>
    <x v="55"/>
    <x v="1"/>
    <x v="1"/>
    <x v="1"/>
    <x v="0"/>
    <x v="22"/>
    <x v="1"/>
    <x v="1"/>
    <x v="1"/>
    <x v="536"/>
    <s v="NEGOCIOS"/>
    <x v="4"/>
  </r>
  <r>
    <x v="55"/>
    <x v="25"/>
    <x v="2"/>
    <x v="2"/>
    <x v="0"/>
    <x v="3"/>
    <x v="39"/>
    <x v="169"/>
    <x v="460"/>
    <x v="0"/>
    <s v="NEGOCIOS"/>
    <x v="4"/>
  </r>
  <r>
    <x v="55"/>
    <x v="1"/>
    <x v="1"/>
    <x v="1"/>
    <x v="0"/>
    <x v="3"/>
    <x v="1"/>
    <x v="1"/>
    <x v="1"/>
    <x v="537"/>
    <s v="NEGOCIOS"/>
    <x v="4"/>
  </r>
  <r>
    <x v="55"/>
    <x v="25"/>
    <x v="2"/>
    <x v="2"/>
    <x v="0"/>
    <x v="24"/>
    <x v="40"/>
    <x v="169"/>
    <x v="951"/>
    <x v="0"/>
    <s v="NEGOCIOS"/>
    <x v="4"/>
  </r>
  <r>
    <x v="55"/>
    <x v="101"/>
    <x v="1"/>
    <x v="1"/>
    <x v="0"/>
    <x v="24"/>
    <x v="40"/>
    <x v="207"/>
    <x v="1850"/>
    <x v="0"/>
    <s v="NEGOCIOS"/>
    <x v="4"/>
  </r>
  <r>
    <x v="55"/>
    <x v="98"/>
    <x v="1"/>
    <x v="1"/>
    <x v="0"/>
    <x v="24"/>
    <x v="40"/>
    <x v="198"/>
    <x v="1851"/>
    <x v="0"/>
    <s v="NEGOCIOS"/>
    <x v="4"/>
  </r>
  <r>
    <x v="55"/>
    <x v="1"/>
    <x v="1"/>
    <x v="1"/>
    <x v="0"/>
    <x v="24"/>
    <x v="1"/>
    <x v="1"/>
    <x v="1"/>
    <x v="538"/>
    <s v="NEGOCIOS"/>
    <x v="4"/>
  </r>
  <r>
    <x v="55"/>
    <x v="144"/>
    <x v="2"/>
    <x v="2"/>
    <x v="0"/>
    <x v="4"/>
    <x v="40"/>
    <x v="162"/>
    <x v="1852"/>
    <x v="0"/>
    <s v="NEGOCIOS"/>
    <x v="4"/>
  </r>
  <r>
    <x v="55"/>
    <x v="111"/>
    <x v="2"/>
    <x v="2"/>
    <x v="0"/>
    <x v="4"/>
    <x v="40"/>
    <x v="75"/>
    <x v="1853"/>
    <x v="0"/>
    <s v="NEGOCIOS"/>
    <x v="4"/>
  </r>
  <r>
    <x v="55"/>
    <x v="131"/>
    <x v="3"/>
    <x v="3"/>
    <x v="0"/>
    <x v="4"/>
    <x v="40"/>
    <x v="163"/>
    <x v="1854"/>
    <x v="0"/>
    <s v="NEGOCIOS"/>
    <x v="4"/>
  </r>
  <r>
    <x v="55"/>
    <x v="32"/>
    <x v="5"/>
    <x v="5"/>
    <x v="0"/>
    <x v="4"/>
    <x v="40"/>
    <x v="81"/>
    <x v="1855"/>
    <x v="0"/>
    <s v="NEGOCIOS"/>
    <x v="4"/>
  </r>
  <r>
    <x v="55"/>
    <x v="150"/>
    <x v="5"/>
    <x v="5"/>
    <x v="0"/>
    <x v="4"/>
    <x v="40"/>
    <x v="214"/>
    <x v="1856"/>
    <x v="0"/>
    <s v="NEGOCIOS"/>
    <x v="4"/>
  </r>
  <r>
    <x v="55"/>
    <x v="124"/>
    <x v="5"/>
    <x v="5"/>
    <x v="0"/>
    <x v="4"/>
    <x v="40"/>
    <x v="206"/>
    <x v="1857"/>
    <x v="0"/>
    <s v="NEGOCIOS"/>
    <x v="4"/>
  </r>
  <r>
    <x v="55"/>
    <x v="161"/>
    <x v="1"/>
    <x v="1"/>
    <x v="0"/>
    <x v="4"/>
    <x v="40"/>
    <x v="186"/>
    <x v="1858"/>
    <x v="0"/>
    <s v="NEGOCIOS"/>
    <x v="4"/>
  </r>
  <r>
    <x v="55"/>
    <x v="22"/>
    <x v="1"/>
    <x v="1"/>
    <x v="0"/>
    <x v="4"/>
    <x v="40"/>
    <x v="211"/>
    <x v="1859"/>
    <x v="0"/>
    <s v="NEGOCIOS"/>
    <x v="4"/>
  </r>
  <r>
    <x v="55"/>
    <x v="128"/>
    <x v="1"/>
    <x v="1"/>
    <x v="0"/>
    <x v="4"/>
    <x v="40"/>
    <x v="164"/>
    <x v="1860"/>
    <x v="0"/>
    <s v="NEGOCIOS"/>
    <x v="4"/>
  </r>
  <r>
    <x v="55"/>
    <x v="1"/>
    <x v="1"/>
    <x v="1"/>
    <x v="0"/>
    <x v="4"/>
    <x v="1"/>
    <x v="1"/>
    <x v="1"/>
    <x v="539"/>
    <s v="NEGOCIOS"/>
    <x v="4"/>
  </r>
  <r>
    <x v="55"/>
    <x v="116"/>
    <x v="0"/>
    <x v="0"/>
    <x v="0"/>
    <x v="5"/>
    <x v="40"/>
    <x v="64"/>
    <x v="1861"/>
    <x v="0"/>
    <s v="NEGOCIOS"/>
    <x v="4"/>
  </r>
  <r>
    <x v="55"/>
    <x v="98"/>
    <x v="1"/>
    <x v="1"/>
    <x v="0"/>
    <x v="5"/>
    <x v="40"/>
    <x v="198"/>
    <x v="1862"/>
    <x v="0"/>
    <s v="NEGOCIOS"/>
    <x v="4"/>
  </r>
  <r>
    <x v="55"/>
    <x v="1"/>
    <x v="1"/>
    <x v="1"/>
    <x v="0"/>
    <x v="5"/>
    <x v="1"/>
    <x v="1"/>
    <x v="1"/>
    <x v="540"/>
    <s v="NEGOCIOS"/>
    <x v="4"/>
  </r>
  <r>
    <x v="55"/>
    <x v="147"/>
    <x v="6"/>
    <x v="6"/>
    <x v="0"/>
    <x v="6"/>
    <x v="40"/>
    <x v="132"/>
    <x v="1370"/>
    <x v="0"/>
    <s v="NEGOCIOS"/>
    <x v="4"/>
  </r>
  <r>
    <x v="55"/>
    <x v="96"/>
    <x v="6"/>
    <x v="6"/>
    <x v="0"/>
    <x v="6"/>
    <x v="40"/>
    <x v="165"/>
    <x v="1863"/>
    <x v="0"/>
    <s v="NEGOCIOS"/>
    <x v="4"/>
  </r>
  <r>
    <x v="55"/>
    <x v="23"/>
    <x v="3"/>
    <x v="3"/>
    <x v="0"/>
    <x v="6"/>
    <x v="39"/>
    <x v="221"/>
    <x v="1864"/>
    <x v="0"/>
    <s v="NEGOCIOS"/>
    <x v="4"/>
  </r>
  <r>
    <x v="55"/>
    <x v="79"/>
    <x v="3"/>
    <x v="3"/>
    <x v="0"/>
    <x v="6"/>
    <x v="39"/>
    <x v="142"/>
    <x v="1588"/>
    <x v="0"/>
    <s v="NEGOCIOS"/>
    <x v="4"/>
  </r>
  <r>
    <x v="55"/>
    <x v="44"/>
    <x v="3"/>
    <x v="3"/>
    <x v="0"/>
    <x v="6"/>
    <x v="40"/>
    <x v="191"/>
    <x v="896"/>
    <x v="0"/>
    <s v="NEGOCIOS"/>
    <x v="4"/>
  </r>
  <r>
    <x v="55"/>
    <x v="68"/>
    <x v="4"/>
    <x v="4"/>
    <x v="0"/>
    <x v="6"/>
    <x v="39"/>
    <x v="222"/>
    <x v="1865"/>
    <x v="0"/>
    <s v="NEGOCIOS"/>
    <x v="4"/>
  </r>
  <r>
    <x v="55"/>
    <x v="156"/>
    <x v="4"/>
    <x v="4"/>
    <x v="0"/>
    <x v="6"/>
    <x v="39"/>
    <x v="146"/>
    <x v="240"/>
    <x v="0"/>
    <s v="NEGOCIOS"/>
    <x v="4"/>
  </r>
  <r>
    <x v="55"/>
    <x v="159"/>
    <x v="0"/>
    <x v="0"/>
    <x v="0"/>
    <x v="6"/>
    <x v="39"/>
    <x v="177"/>
    <x v="1866"/>
    <x v="0"/>
    <s v="NEGOCIOS"/>
    <x v="4"/>
  </r>
  <r>
    <x v="55"/>
    <x v="0"/>
    <x v="0"/>
    <x v="0"/>
    <x v="0"/>
    <x v="6"/>
    <x v="40"/>
    <x v="197"/>
    <x v="1867"/>
    <x v="0"/>
    <s v="NEGOCIOS"/>
    <x v="4"/>
  </r>
  <r>
    <x v="55"/>
    <x v="160"/>
    <x v="0"/>
    <x v="0"/>
    <x v="0"/>
    <x v="6"/>
    <x v="39"/>
    <x v="179"/>
    <x v="911"/>
    <x v="0"/>
    <s v="NEGOCIOS"/>
    <x v="4"/>
  </r>
  <r>
    <x v="55"/>
    <x v="145"/>
    <x v="5"/>
    <x v="5"/>
    <x v="0"/>
    <x v="6"/>
    <x v="39"/>
    <x v="124"/>
    <x v="1868"/>
    <x v="0"/>
    <s v="NEGOCIOS"/>
    <x v="4"/>
  </r>
  <r>
    <x v="55"/>
    <x v="13"/>
    <x v="5"/>
    <x v="5"/>
    <x v="0"/>
    <x v="6"/>
    <x v="39"/>
    <x v="120"/>
    <x v="1471"/>
    <x v="0"/>
    <s v="NEGOCIOS"/>
    <x v="4"/>
  </r>
  <r>
    <x v="55"/>
    <x v="22"/>
    <x v="1"/>
    <x v="1"/>
    <x v="0"/>
    <x v="6"/>
    <x v="39"/>
    <x v="211"/>
    <x v="1869"/>
    <x v="0"/>
    <s v="NEGOCIOS"/>
    <x v="4"/>
  </r>
  <r>
    <x v="55"/>
    <x v="33"/>
    <x v="1"/>
    <x v="1"/>
    <x v="0"/>
    <x v="6"/>
    <x v="39"/>
    <x v="241"/>
    <x v="1870"/>
    <x v="0"/>
    <s v="NEGOCIOS"/>
    <x v="4"/>
  </r>
  <r>
    <x v="55"/>
    <x v="98"/>
    <x v="1"/>
    <x v="1"/>
    <x v="0"/>
    <x v="6"/>
    <x v="40"/>
    <x v="198"/>
    <x v="1871"/>
    <x v="0"/>
    <s v="NEGOCIOS"/>
    <x v="4"/>
  </r>
  <r>
    <x v="55"/>
    <x v="1"/>
    <x v="1"/>
    <x v="1"/>
    <x v="0"/>
    <x v="6"/>
    <x v="1"/>
    <x v="1"/>
    <x v="1"/>
    <x v="541"/>
    <s v="NEGOCIOS"/>
    <x v="4"/>
  </r>
  <r>
    <x v="55"/>
    <x v="85"/>
    <x v="2"/>
    <x v="2"/>
    <x v="0"/>
    <x v="7"/>
    <x v="40"/>
    <x v="161"/>
    <x v="1872"/>
    <x v="0"/>
    <s v="NEGOCIOS"/>
    <x v="4"/>
  </r>
  <r>
    <x v="55"/>
    <x v="25"/>
    <x v="2"/>
    <x v="2"/>
    <x v="0"/>
    <x v="7"/>
    <x v="40"/>
    <x v="169"/>
    <x v="1873"/>
    <x v="0"/>
    <s v="NEGOCIOS"/>
    <x v="4"/>
  </r>
  <r>
    <x v="55"/>
    <x v="129"/>
    <x v="2"/>
    <x v="2"/>
    <x v="0"/>
    <x v="7"/>
    <x v="40"/>
    <x v="204"/>
    <x v="1874"/>
    <x v="0"/>
    <s v="NEGOCIOS"/>
    <x v="4"/>
  </r>
  <r>
    <x v="55"/>
    <x v="49"/>
    <x v="3"/>
    <x v="3"/>
    <x v="0"/>
    <x v="7"/>
    <x v="40"/>
    <x v="244"/>
    <x v="1875"/>
    <x v="0"/>
    <s v="NEGOCIOS"/>
    <x v="4"/>
  </r>
  <r>
    <x v="55"/>
    <x v="159"/>
    <x v="0"/>
    <x v="0"/>
    <x v="0"/>
    <x v="7"/>
    <x v="39"/>
    <x v="177"/>
    <x v="1876"/>
    <x v="0"/>
    <s v="NEGOCIOS"/>
    <x v="4"/>
  </r>
  <r>
    <x v="55"/>
    <x v="53"/>
    <x v="0"/>
    <x v="0"/>
    <x v="0"/>
    <x v="7"/>
    <x v="40"/>
    <x v="144"/>
    <x v="1877"/>
    <x v="0"/>
    <s v="NEGOCIOS"/>
    <x v="4"/>
  </r>
  <r>
    <x v="55"/>
    <x v="76"/>
    <x v="5"/>
    <x v="5"/>
    <x v="0"/>
    <x v="7"/>
    <x v="40"/>
    <x v="182"/>
    <x v="1878"/>
    <x v="0"/>
    <s v="NEGOCIOS"/>
    <x v="4"/>
  </r>
  <r>
    <x v="55"/>
    <x v="97"/>
    <x v="5"/>
    <x v="5"/>
    <x v="0"/>
    <x v="7"/>
    <x v="40"/>
    <x v="183"/>
    <x v="1879"/>
    <x v="0"/>
    <s v="NEGOCIOS"/>
    <x v="4"/>
  </r>
  <r>
    <x v="55"/>
    <x v="150"/>
    <x v="5"/>
    <x v="5"/>
    <x v="0"/>
    <x v="7"/>
    <x v="40"/>
    <x v="214"/>
    <x v="1880"/>
    <x v="0"/>
    <s v="NEGOCIOS"/>
    <x v="4"/>
  </r>
  <r>
    <x v="55"/>
    <x v="101"/>
    <x v="1"/>
    <x v="1"/>
    <x v="0"/>
    <x v="7"/>
    <x v="39"/>
    <x v="207"/>
    <x v="1"/>
    <x v="542"/>
    <s v="NEGOCIOS"/>
    <x v="4"/>
  </r>
  <r>
    <x v="55"/>
    <x v="152"/>
    <x v="1"/>
    <x v="1"/>
    <x v="0"/>
    <x v="7"/>
    <x v="40"/>
    <x v="194"/>
    <x v="1881"/>
    <x v="0"/>
    <s v="NEGOCIOS"/>
    <x v="4"/>
  </r>
  <r>
    <x v="55"/>
    <x v="55"/>
    <x v="1"/>
    <x v="1"/>
    <x v="0"/>
    <x v="7"/>
    <x v="40"/>
    <x v="188"/>
    <x v="1882"/>
    <x v="0"/>
    <s v="NEGOCIOS"/>
    <x v="4"/>
  </r>
  <r>
    <x v="55"/>
    <x v="128"/>
    <x v="1"/>
    <x v="1"/>
    <x v="0"/>
    <x v="7"/>
    <x v="40"/>
    <x v="164"/>
    <x v="1883"/>
    <x v="0"/>
    <s v="NEGOCIOS"/>
    <x v="4"/>
  </r>
  <r>
    <x v="55"/>
    <x v="1"/>
    <x v="1"/>
    <x v="1"/>
    <x v="0"/>
    <x v="7"/>
    <x v="1"/>
    <x v="1"/>
    <x v="1"/>
    <x v="543"/>
    <s v="NEGOCIOS"/>
    <x v="4"/>
  </r>
  <r>
    <x v="55"/>
    <x v="157"/>
    <x v="2"/>
    <x v="2"/>
    <x v="0"/>
    <x v="8"/>
    <x v="40"/>
    <x v="147"/>
    <x v="1884"/>
    <x v="0"/>
    <s v="NEGOCIOS"/>
    <x v="4"/>
  </r>
  <r>
    <x v="55"/>
    <x v="11"/>
    <x v="6"/>
    <x v="6"/>
    <x v="0"/>
    <x v="8"/>
    <x v="40"/>
    <x v="91"/>
    <x v="1885"/>
    <x v="0"/>
    <s v="NEGOCIOS"/>
    <x v="4"/>
  </r>
  <r>
    <x v="55"/>
    <x v="165"/>
    <x v="4"/>
    <x v="4"/>
    <x v="0"/>
    <x v="8"/>
    <x v="40"/>
    <x v="205"/>
    <x v="1886"/>
    <x v="0"/>
    <s v="NEGOCIOS"/>
    <x v="4"/>
  </r>
  <r>
    <x v="55"/>
    <x v="0"/>
    <x v="0"/>
    <x v="0"/>
    <x v="0"/>
    <x v="8"/>
    <x v="40"/>
    <x v="197"/>
    <x v="1887"/>
    <x v="0"/>
    <s v="NEGOCIOS"/>
    <x v="4"/>
  </r>
  <r>
    <x v="55"/>
    <x v="152"/>
    <x v="1"/>
    <x v="1"/>
    <x v="0"/>
    <x v="8"/>
    <x v="40"/>
    <x v="194"/>
    <x v="1888"/>
    <x v="0"/>
    <s v="NEGOCIOS"/>
    <x v="4"/>
  </r>
  <r>
    <x v="55"/>
    <x v="128"/>
    <x v="1"/>
    <x v="1"/>
    <x v="0"/>
    <x v="8"/>
    <x v="40"/>
    <x v="164"/>
    <x v="1889"/>
    <x v="0"/>
    <s v="NEGOCIOS"/>
    <x v="4"/>
  </r>
  <r>
    <x v="55"/>
    <x v="1"/>
    <x v="1"/>
    <x v="1"/>
    <x v="0"/>
    <x v="8"/>
    <x v="1"/>
    <x v="1"/>
    <x v="1"/>
    <x v="544"/>
    <s v="NEGOCIOS"/>
    <x v="4"/>
  </r>
  <r>
    <x v="55"/>
    <x v="107"/>
    <x v="2"/>
    <x v="2"/>
    <x v="0"/>
    <x v="9"/>
    <x v="39"/>
    <x v="158"/>
    <x v="1890"/>
    <x v="0"/>
    <s v="NEGOCIOS"/>
    <x v="4"/>
  </r>
  <r>
    <x v="55"/>
    <x v="25"/>
    <x v="2"/>
    <x v="2"/>
    <x v="0"/>
    <x v="9"/>
    <x v="40"/>
    <x v="169"/>
    <x v="1846"/>
    <x v="0"/>
    <s v="NEGOCIOS"/>
    <x v="4"/>
  </r>
  <r>
    <x v="55"/>
    <x v="144"/>
    <x v="2"/>
    <x v="2"/>
    <x v="0"/>
    <x v="9"/>
    <x v="39"/>
    <x v="162"/>
    <x v="1891"/>
    <x v="0"/>
    <s v="NEGOCIOS"/>
    <x v="4"/>
  </r>
  <r>
    <x v="55"/>
    <x v="144"/>
    <x v="2"/>
    <x v="2"/>
    <x v="0"/>
    <x v="9"/>
    <x v="40"/>
    <x v="162"/>
    <x v="816"/>
    <x v="0"/>
    <s v="NEGOCIOS"/>
    <x v="4"/>
  </r>
  <r>
    <x v="55"/>
    <x v="35"/>
    <x v="2"/>
    <x v="2"/>
    <x v="0"/>
    <x v="9"/>
    <x v="40"/>
    <x v="170"/>
    <x v="936"/>
    <x v="0"/>
    <s v="NEGOCIOS"/>
    <x v="4"/>
  </r>
  <r>
    <x v="55"/>
    <x v="87"/>
    <x v="6"/>
    <x v="6"/>
    <x v="0"/>
    <x v="9"/>
    <x v="40"/>
    <x v="189"/>
    <x v="1892"/>
    <x v="0"/>
    <s v="NEGOCIOS"/>
    <x v="4"/>
  </r>
  <r>
    <x v="55"/>
    <x v="169"/>
    <x v="6"/>
    <x v="6"/>
    <x v="0"/>
    <x v="9"/>
    <x v="40"/>
    <x v="249"/>
    <x v="874"/>
    <x v="0"/>
    <s v="NEGOCIOS"/>
    <x v="4"/>
  </r>
  <r>
    <x v="55"/>
    <x v="21"/>
    <x v="6"/>
    <x v="6"/>
    <x v="0"/>
    <x v="9"/>
    <x v="39"/>
    <x v="70"/>
    <x v="1893"/>
    <x v="0"/>
    <s v="NEGOCIOS"/>
    <x v="4"/>
  </r>
  <r>
    <x v="55"/>
    <x v="96"/>
    <x v="6"/>
    <x v="6"/>
    <x v="0"/>
    <x v="9"/>
    <x v="40"/>
    <x v="165"/>
    <x v="1894"/>
    <x v="0"/>
    <s v="NEGOCIOS"/>
    <x v="4"/>
  </r>
  <r>
    <x v="55"/>
    <x v="23"/>
    <x v="3"/>
    <x v="3"/>
    <x v="0"/>
    <x v="9"/>
    <x v="39"/>
    <x v="221"/>
    <x v="1895"/>
    <x v="0"/>
    <s v="NEGOCIOS"/>
    <x v="4"/>
  </r>
  <r>
    <x v="55"/>
    <x v="135"/>
    <x v="3"/>
    <x v="3"/>
    <x v="0"/>
    <x v="9"/>
    <x v="39"/>
    <x v="149"/>
    <x v="1896"/>
    <x v="0"/>
    <s v="NEGOCIOS"/>
    <x v="4"/>
  </r>
  <r>
    <x v="55"/>
    <x v="156"/>
    <x v="4"/>
    <x v="4"/>
    <x v="0"/>
    <x v="9"/>
    <x v="39"/>
    <x v="146"/>
    <x v="108"/>
    <x v="0"/>
    <s v="NEGOCIOS"/>
    <x v="4"/>
  </r>
  <r>
    <x v="55"/>
    <x v="154"/>
    <x v="4"/>
    <x v="4"/>
    <x v="0"/>
    <x v="9"/>
    <x v="40"/>
    <x v="143"/>
    <x v="1897"/>
    <x v="0"/>
    <s v="NEGOCIOS"/>
    <x v="4"/>
  </r>
  <r>
    <x v="55"/>
    <x v="31"/>
    <x v="4"/>
    <x v="4"/>
    <x v="0"/>
    <x v="9"/>
    <x v="39"/>
    <x v="72"/>
    <x v="1898"/>
    <x v="0"/>
    <s v="NEGOCIOS"/>
    <x v="4"/>
  </r>
  <r>
    <x v="55"/>
    <x v="0"/>
    <x v="0"/>
    <x v="0"/>
    <x v="0"/>
    <x v="9"/>
    <x v="39"/>
    <x v="197"/>
    <x v="1899"/>
    <x v="0"/>
    <s v="NEGOCIOS"/>
    <x v="4"/>
  </r>
  <r>
    <x v="55"/>
    <x v="45"/>
    <x v="0"/>
    <x v="0"/>
    <x v="0"/>
    <x v="9"/>
    <x v="40"/>
    <x v="180"/>
    <x v="1385"/>
    <x v="0"/>
    <s v="NEGOCIOS"/>
    <x v="4"/>
  </r>
  <r>
    <x v="55"/>
    <x v="72"/>
    <x v="5"/>
    <x v="5"/>
    <x v="0"/>
    <x v="9"/>
    <x v="40"/>
    <x v="38"/>
    <x v="1900"/>
    <x v="0"/>
    <s v="NEGOCIOS"/>
    <x v="4"/>
  </r>
  <r>
    <x v="55"/>
    <x v="41"/>
    <x v="1"/>
    <x v="1"/>
    <x v="0"/>
    <x v="9"/>
    <x v="40"/>
    <x v="113"/>
    <x v="1901"/>
    <x v="0"/>
    <s v="NEGOCIOS"/>
    <x v="4"/>
  </r>
  <r>
    <x v="55"/>
    <x v="22"/>
    <x v="1"/>
    <x v="1"/>
    <x v="0"/>
    <x v="9"/>
    <x v="39"/>
    <x v="211"/>
    <x v="1902"/>
    <x v="0"/>
    <s v="NEGOCIOS"/>
    <x v="4"/>
  </r>
  <r>
    <x v="55"/>
    <x v="73"/>
    <x v="1"/>
    <x v="1"/>
    <x v="0"/>
    <x v="9"/>
    <x v="40"/>
    <x v="39"/>
    <x v="1903"/>
    <x v="0"/>
    <s v="NEGOCIOS"/>
    <x v="4"/>
  </r>
  <r>
    <x v="55"/>
    <x v="98"/>
    <x v="1"/>
    <x v="1"/>
    <x v="0"/>
    <x v="9"/>
    <x v="39"/>
    <x v="198"/>
    <x v="895"/>
    <x v="0"/>
    <s v="NEGOCIOS"/>
    <x v="4"/>
  </r>
  <r>
    <x v="55"/>
    <x v="128"/>
    <x v="1"/>
    <x v="1"/>
    <x v="0"/>
    <x v="9"/>
    <x v="39"/>
    <x v="164"/>
    <x v="1169"/>
    <x v="0"/>
    <s v="NEGOCIOS"/>
    <x v="4"/>
  </r>
  <r>
    <x v="55"/>
    <x v="128"/>
    <x v="1"/>
    <x v="1"/>
    <x v="0"/>
    <x v="9"/>
    <x v="40"/>
    <x v="164"/>
    <x v="1904"/>
    <x v="0"/>
    <s v="NEGOCIOS"/>
    <x v="4"/>
  </r>
  <r>
    <x v="55"/>
    <x v="1"/>
    <x v="1"/>
    <x v="1"/>
    <x v="0"/>
    <x v="9"/>
    <x v="1"/>
    <x v="1"/>
    <x v="1"/>
    <x v="545"/>
    <s v="NEGOCIOS"/>
    <x v="4"/>
  </r>
  <r>
    <x v="55"/>
    <x v="85"/>
    <x v="2"/>
    <x v="2"/>
    <x v="0"/>
    <x v="26"/>
    <x v="40"/>
    <x v="161"/>
    <x v="951"/>
    <x v="0"/>
    <s v="NEGOCIOS"/>
    <x v="4"/>
  </r>
  <r>
    <x v="55"/>
    <x v="113"/>
    <x v="6"/>
    <x v="6"/>
    <x v="0"/>
    <x v="26"/>
    <x v="40"/>
    <x v="89"/>
    <x v="1905"/>
    <x v="0"/>
    <s v="NEGOCIOS"/>
    <x v="4"/>
  </r>
  <r>
    <x v="55"/>
    <x v="89"/>
    <x v="4"/>
    <x v="4"/>
    <x v="0"/>
    <x v="26"/>
    <x v="39"/>
    <x v="154"/>
    <x v="1906"/>
    <x v="0"/>
    <s v="NEGOCIOS"/>
    <x v="4"/>
  </r>
  <r>
    <x v="55"/>
    <x v="1"/>
    <x v="1"/>
    <x v="1"/>
    <x v="0"/>
    <x v="26"/>
    <x v="1"/>
    <x v="1"/>
    <x v="1"/>
    <x v="546"/>
    <s v="NEGOCIOS"/>
    <x v="4"/>
  </r>
  <r>
    <x v="55"/>
    <x v="47"/>
    <x v="2"/>
    <x v="2"/>
    <x v="0"/>
    <x v="10"/>
    <x v="40"/>
    <x v="68"/>
    <x v="1907"/>
    <x v="0"/>
    <s v="NEGOCIOS"/>
    <x v="4"/>
  </r>
  <r>
    <x v="55"/>
    <x v="144"/>
    <x v="2"/>
    <x v="2"/>
    <x v="0"/>
    <x v="10"/>
    <x v="40"/>
    <x v="162"/>
    <x v="1908"/>
    <x v="0"/>
    <s v="NEGOCIOS"/>
    <x v="4"/>
  </r>
  <r>
    <x v="55"/>
    <x v="169"/>
    <x v="6"/>
    <x v="6"/>
    <x v="0"/>
    <x v="10"/>
    <x v="40"/>
    <x v="249"/>
    <x v="1866"/>
    <x v="0"/>
    <s v="NEGOCIOS"/>
    <x v="4"/>
  </r>
  <r>
    <x v="55"/>
    <x v="79"/>
    <x v="3"/>
    <x v="3"/>
    <x v="0"/>
    <x v="10"/>
    <x v="40"/>
    <x v="142"/>
    <x v="1909"/>
    <x v="0"/>
    <s v="NEGOCIOS"/>
    <x v="4"/>
  </r>
  <r>
    <x v="55"/>
    <x v="132"/>
    <x v="4"/>
    <x v="4"/>
    <x v="0"/>
    <x v="10"/>
    <x v="40"/>
    <x v="95"/>
    <x v="1866"/>
    <x v="0"/>
    <s v="NEGOCIOS"/>
    <x v="4"/>
  </r>
  <r>
    <x v="55"/>
    <x v="29"/>
    <x v="4"/>
    <x v="4"/>
    <x v="0"/>
    <x v="10"/>
    <x v="40"/>
    <x v="248"/>
    <x v="1866"/>
    <x v="0"/>
    <s v="NEGOCIOS"/>
    <x v="4"/>
  </r>
  <r>
    <x v="55"/>
    <x v="142"/>
    <x v="0"/>
    <x v="0"/>
    <x v="0"/>
    <x v="10"/>
    <x v="40"/>
    <x v="119"/>
    <x v="1866"/>
    <x v="0"/>
    <s v="NEGOCIOS"/>
    <x v="4"/>
  </r>
  <r>
    <x v="55"/>
    <x v="155"/>
    <x v="1"/>
    <x v="1"/>
    <x v="0"/>
    <x v="10"/>
    <x v="39"/>
    <x v="145"/>
    <x v="1910"/>
    <x v="0"/>
    <s v="NEGOCIOS"/>
    <x v="4"/>
  </r>
  <r>
    <x v="55"/>
    <x v="1"/>
    <x v="1"/>
    <x v="1"/>
    <x v="0"/>
    <x v="10"/>
    <x v="1"/>
    <x v="1"/>
    <x v="1"/>
    <x v="547"/>
    <s v="NEGOCIOS"/>
    <x v="4"/>
  </r>
  <r>
    <x v="55"/>
    <x v="70"/>
    <x v="2"/>
    <x v="2"/>
    <x v="0"/>
    <x v="11"/>
    <x v="39"/>
    <x v="36"/>
    <x v="952"/>
    <x v="0"/>
    <s v="NEGOCIOS"/>
    <x v="4"/>
  </r>
  <r>
    <x v="55"/>
    <x v="70"/>
    <x v="2"/>
    <x v="2"/>
    <x v="0"/>
    <x v="11"/>
    <x v="40"/>
    <x v="36"/>
    <x v="1911"/>
    <x v="0"/>
    <s v="NEGOCIOS"/>
    <x v="4"/>
  </r>
  <r>
    <x v="55"/>
    <x v="47"/>
    <x v="2"/>
    <x v="2"/>
    <x v="0"/>
    <x v="11"/>
    <x v="40"/>
    <x v="68"/>
    <x v="1912"/>
    <x v="0"/>
    <s v="NEGOCIOS"/>
    <x v="4"/>
  </r>
  <r>
    <x v="55"/>
    <x v="86"/>
    <x v="6"/>
    <x v="6"/>
    <x v="0"/>
    <x v="11"/>
    <x v="39"/>
    <x v="224"/>
    <x v="1913"/>
    <x v="0"/>
    <s v="NEGOCIOS"/>
    <x v="4"/>
  </r>
  <r>
    <x v="55"/>
    <x v="134"/>
    <x v="6"/>
    <x v="6"/>
    <x v="0"/>
    <x v="11"/>
    <x v="40"/>
    <x v="226"/>
    <x v="1914"/>
    <x v="0"/>
    <s v="NEGOCIOS"/>
    <x v="4"/>
  </r>
  <r>
    <x v="55"/>
    <x v="18"/>
    <x v="3"/>
    <x v="3"/>
    <x v="0"/>
    <x v="11"/>
    <x v="40"/>
    <x v="219"/>
    <x v="1596"/>
    <x v="0"/>
    <s v="NEGOCIOS"/>
    <x v="4"/>
  </r>
  <r>
    <x v="55"/>
    <x v="28"/>
    <x v="3"/>
    <x v="3"/>
    <x v="0"/>
    <x v="11"/>
    <x v="40"/>
    <x v="245"/>
    <x v="1915"/>
    <x v="0"/>
    <s v="NEGOCIOS"/>
    <x v="4"/>
  </r>
  <r>
    <x v="55"/>
    <x v="132"/>
    <x v="4"/>
    <x v="4"/>
    <x v="0"/>
    <x v="11"/>
    <x v="40"/>
    <x v="95"/>
    <x v="1805"/>
    <x v="0"/>
    <s v="NEGOCIOS"/>
    <x v="4"/>
  </r>
  <r>
    <x v="55"/>
    <x v="162"/>
    <x v="4"/>
    <x v="4"/>
    <x v="0"/>
    <x v="11"/>
    <x v="40"/>
    <x v="192"/>
    <x v="1916"/>
    <x v="0"/>
    <s v="NEGOCIOS"/>
    <x v="4"/>
  </r>
  <r>
    <x v="55"/>
    <x v="142"/>
    <x v="0"/>
    <x v="0"/>
    <x v="0"/>
    <x v="11"/>
    <x v="40"/>
    <x v="119"/>
    <x v="816"/>
    <x v="0"/>
    <s v="NEGOCIOS"/>
    <x v="4"/>
  </r>
  <r>
    <x v="55"/>
    <x v="72"/>
    <x v="5"/>
    <x v="5"/>
    <x v="0"/>
    <x v="11"/>
    <x v="40"/>
    <x v="38"/>
    <x v="1917"/>
    <x v="0"/>
    <s v="NEGOCIOS"/>
    <x v="4"/>
  </r>
  <r>
    <x v="55"/>
    <x v="40"/>
    <x v="1"/>
    <x v="1"/>
    <x v="0"/>
    <x v="11"/>
    <x v="40"/>
    <x v="125"/>
    <x v="1918"/>
    <x v="0"/>
    <s v="NEGOCIOS"/>
    <x v="4"/>
  </r>
  <r>
    <x v="55"/>
    <x v="40"/>
    <x v="1"/>
    <x v="1"/>
    <x v="0"/>
    <x v="11"/>
    <x v="39"/>
    <x v="125"/>
    <x v="1919"/>
    <x v="0"/>
    <s v="NEGOCIOS"/>
    <x v="4"/>
  </r>
  <r>
    <x v="55"/>
    <x v="127"/>
    <x v="1"/>
    <x v="1"/>
    <x v="0"/>
    <x v="11"/>
    <x v="40"/>
    <x v="85"/>
    <x v="1920"/>
    <x v="0"/>
    <s v="NEGOCIOS"/>
    <x v="4"/>
  </r>
  <r>
    <x v="55"/>
    <x v="42"/>
    <x v="1"/>
    <x v="1"/>
    <x v="0"/>
    <x v="11"/>
    <x v="40"/>
    <x v="167"/>
    <x v="1921"/>
    <x v="0"/>
    <s v="NEGOCIOS"/>
    <x v="4"/>
  </r>
  <r>
    <x v="55"/>
    <x v="33"/>
    <x v="1"/>
    <x v="1"/>
    <x v="0"/>
    <x v="11"/>
    <x v="39"/>
    <x v="241"/>
    <x v="1922"/>
    <x v="0"/>
    <s v="NEGOCIOS"/>
    <x v="4"/>
  </r>
  <r>
    <x v="55"/>
    <x v="55"/>
    <x v="1"/>
    <x v="1"/>
    <x v="0"/>
    <x v="11"/>
    <x v="40"/>
    <x v="188"/>
    <x v="1923"/>
    <x v="0"/>
    <s v="NEGOCIOS"/>
    <x v="4"/>
  </r>
  <r>
    <x v="55"/>
    <x v="128"/>
    <x v="1"/>
    <x v="1"/>
    <x v="0"/>
    <x v="11"/>
    <x v="40"/>
    <x v="164"/>
    <x v="1924"/>
    <x v="0"/>
    <s v="NEGOCIOS"/>
    <x v="4"/>
  </r>
  <r>
    <x v="55"/>
    <x v="1"/>
    <x v="1"/>
    <x v="1"/>
    <x v="0"/>
    <x v="11"/>
    <x v="1"/>
    <x v="1"/>
    <x v="1"/>
    <x v="548"/>
    <s v="NEGOCIOS"/>
    <x v="4"/>
  </r>
  <r>
    <x v="55"/>
    <x v="167"/>
    <x v="6"/>
    <x v="6"/>
    <x v="0"/>
    <x v="36"/>
    <x v="40"/>
    <x v="218"/>
    <x v="816"/>
    <x v="0"/>
    <s v="NEGOCIOS"/>
    <x v="4"/>
  </r>
  <r>
    <x v="55"/>
    <x v="33"/>
    <x v="1"/>
    <x v="1"/>
    <x v="0"/>
    <x v="36"/>
    <x v="39"/>
    <x v="241"/>
    <x v="1209"/>
    <x v="0"/>
    <s v="NEGOCIOS"/>
    <x v="4"/>
  </r>
  <r>
    <x v="55"/>
    <x v="152"/>
    <x v="1"/>
    <x v="1"/>
    <x v="0"/>
    <x v="36"/>
    <x v="39"/>
    <x v="194"/>
    <x v="1925"/>
    <x v="0"/>
    <s v="NEGOCIOS"/>
    <x v="4"/>
  </r>
  <r>
    <x v="55"/>
    <x v="98"/>
    <x v="1"/>
    <x v="1"/>
    <x v="0"/>
    <x v="36"/>
    <x v="39"/>
    <x v="198"/>
    <x v="1926"/>
    <x v="0"/>
    <s v="NEGOCIOS"/>
    <x v="4"/>
  </r>
  <r>
    <x v="55"/>
    <x v="1"/>
    <x v="1"/>
    <x v="1"/>
    <x v="0"/>
    <x v="36"/>
    <x v="1"/>
    <x v="1"/>
    <x v="1"/>
    <x v="549"/>
    <s v="NEGOCIOS"/>
    <x v="4"/>
  </r>
  <r>
    <x v="55"/>
    <x v="106"/>
    <x v="2"/>
    <x v="2"/>
    <x v="0"/>
    <x v="12"/>
    <x v="40"/>
    <x v="223"/>
    <x v="792"/>
    <x v="0"/>
    <s v="NEGOCIOS"/>
    <x v="4"/>
  </r>
  <r>
    <x v="55"/>
    <x v="110"/>
    <x v="2"/>
    <x v="2"/>
    <x v="0"/>
    <x v="12"/>
    <x v="40"/>
    <x v="171"/>
    <x v="1927"/>
    <x v="0"/>
    <s v="NEGOCIOS"/>
    <x v="4"/>
  </r>
  <r>
    <x v="55"/>
    <x v="17"/>
    <x v="2"/>
    <x v="2"/>
    <x v="0"/>
    <x v="12"/>
    <x v="40"/>
    <x v="150"/>
    <x v="1928"/>
    <x v="0"/>
    <s v="NEGOCIOS"/>
    <x v="4"/>
  </r>
  <r>
    <x v="55"/>
    <x v="129"/>
    <x v="2"/>
    <x v="2"/>
    <x v="0"/>
    <x v="12"/>
    <x v="40"/>
    <x v="204"/>
    <x v="909"/>
    <x v="0"/>
    <s v="NEGOCIOS"/>
    <x v="4"/>
  </r>
  <r>
    <x v="55"/>
    <x v="137"/>
    <x v="6"/>
    <x v="6"/>
    <x v="0"/>
    <x v="12"/>
    <x v="40"/>
    <x v="102"/>
    <x v="782"/>
    <x v="0"/>
    <s v="NEGOCIOS"/>
    <x v="4"/>
  </r>
  <r>
    <x v="55"/>
    <x v="60"/>
    <x v="3"/>
    <x v="3"/>
    <x v="0"/>
    <x v="12"/>
    <x v="40"/>
    <x v="57"/>
    <x v="1929"/>
    <x v="0"/>
    <s v="NEGOCIOS"/>
    <x v="4"/>
  </r>
  <r>
    <x v="55"/>
    <x v="50"/>
    <x v="4"/>
    <x v="4"/>
    <x v="0"/>
    <x v="12"/>
    <x v="40"/>
    <x v="77"/>
    <x v="905"/>
    <x v="0"/>
    <s v="NEGOCIOS"/>
    <x v="4"/>
  </r>
  <r>
    <x v="55"/>
    <x v="4"/>
    <x v="4"/>
    <x v="4"/>
    <x v="0"/>
    <x v="12"/>
    <x v="40"/>
    <x v="199"/>
    <x v="800"/>
    <x v="0"/>
    <s v="NEGOCIOS"/>
    <x v="4"/>
  </r>
  <r>
    <x v="55"/>
    <x v="52"/>
    <x v="0"/>
    <x v="0"/>
    <x v="0"/>
    <x v="12"/>
    <x v="40"/>
    <x v="107"/>
    <x v="1930"/>
    <x v="0"/>
    <s v="NEGOCIOS"/>
    <x v="4"/>
  </r>
  <r>
    <x v="55"/>
    <x v="91"/>
    <x v="0"/>
    <x v="0"/>
    <x v="0"/>
    <x v="12"/>
    <x v="40"/>
    <x v="118"/>
    <x v="1931"/>
    <x v="0"/>
    <s v="NEGOCIOS"/>
    <x v="4"/>
  </r>
  <r>
    <x v="55"/>
    <x v="153"/>
    <x v="5"/>
    <x v="5"/>
    <x v="0"/>
    <x v="12"/>
    <x v="40"/>
    <x v="157"/>
    <x v="1932"/>
    <x v="0"/>
    <s v="NEGOCIOS"/>
    <x v="4"/>
  </r>
  <r>
    <x v="55"/>
    <x v="6"/>
    <x v="5"/>
    <x v="5"/>
    <x v="0"/>
    <x v="12"/>
    <x v="40"/>
    <x v="193"/>
    <x v="1933"/>
    <x v="0"/>
    <s v="NEGOCIOS"/>
    <x v="4"/>
  </r>
  <r>
    <x v="55"/>
    <x v="1"/>
    <x v="1"/>
    <x v="1"/>
    <x v="0"/>
    <x v="12"/>
    <x v="1"/>
    <x v="1"/>
    <x v="1"/>
    <x v="550"/>
    <s v="NEGOCIOS"/>
    <x v="4"/>
  </r>
  <r>
    <x v="55"/>
    <x v="66"/>
    <x v="4"/>
    <x v="4"/>
    <x v="0"/>
    <x v="13"/>
    <x v="40"/>
    <x v="78"/>
    <x v="1934"/>
    <x v="0"/>
    <s v="NEGOCIOS"/>
    <x v="4"/>
  </r>
  <r>
    <x v="55"/>
    <x v="54"/>
    <x v="5"/>
    <x v="5"/>
    <x v="0"/>
    <x v="13"/>
    <x v="40"/>
    <x v="246"/>
    <x v="1935"/>
    <x v="0"/>
    <s v="NEGOCIOS"/>
    <x v="4"/>
  </r>
  <r>
    <x v="55"/>
    <x v="22"/>
    <x v="1"/>
    <x v="1"/>
    <x v="0"/>
    <x v="13"/>
    <x v="39"/>
    <x v="211"/>
    <x v="1105"/>
    <x v="0"/>
    <s v="NEGOCIOS"/>
    <x v="4"/>
  </r>
  <r>
    <x v="55"/>
    <x v="101"/>
    <x v="1"/>
    <x v="1"/>
    <x v="0"/>
    <x v="13"/>
    <x v="39"/>
    <x v="207"/>
    <x v="1876"/>
    <x v="0"/>
    <s v="NEGOCIOS"/>
    <x v="4"/>
  </r>
  <r>
    <x v="55"/>
    <x v="152"/>
    <x v="1"/>
    <x v="1"/>
    <x v="0"/>
    <x v="13"/>
    <x v="39"/>
    <x v="194"/>
    <x v="1936"/>
    <x v="0"/>
    <s v="NEGOCIOS"/>
    <x v="4"/>
  </r>
  <r>
    <x v="55"/>
    <x v="128"/>
    <x v="1"/>
    <x v="1"/>
    <x v="0"/>
    <x v="13"/>
    <x v="40"/>
    <x v="164"/>
    <x v="909"/>
    <x v="0"/>
    <s v="NEGOCIOS"/>
    <x v="4"/>
  </r>
  <r>
    <x v="55"/>
    <x v="1"/>
    <x v="1"/>
    <x v="1"/>
    <x v="0"/>
    <x v="13"/>
    <x v="1"/>
    <x v="1"/>
    <x v="1"/>
    <x v="551"/>
    <s v="NEGOCIOS"/>
    <x v="4"/>
  </r>
  <r>
    <x v="55"/>
    <x v="144"/>
    <x v="2"/>
    <x v="2"/>
    <x v="0"/>
    <x v="14"/>
    <x v="40"/>
    <x v="162"/>
    <x v="1937"/>
    <x v="0"/>
    <s v="NEGOCIOS"/>
    <x v="4"/>
  </r>
  <r>
    <x v="55"/>
    <x v="169"/>
    <x v="6"/>
    <x v="6"/>
    <x v="0"/>
    <x v="14"/>
    <x v="40"/>
    <x v="249"/>
    <x v="1737"/>
    <x v="0"/>
    <s v="NEGOCIOS"/>
    <x v="4"/>
  </r>
  <r>
    <x v="55"/>
    <x v="108"/>
    <x v="3"/>
    <x v="3"/>
    <x v="0"/>
    <x v="14"/>
    <x v="39"/>
    <x v="63"/>
    <x v="1938"/>
    <x v="0"/>
    <s v="NEGOCIOS"/>
    <x v="4"/>
  </r>
  <r>
    <x v="55"/>
    <x v="18"/>
    <x v="3"/>
    <x v="3"/>
    <x v="0"/>
    <x v="14"/>
    <x v="40"/>
    <x v="219"/>
    <x v="899"/>
    <x v="0"/>
    <s v="NEGOCIOS"/>
    <x v="4"/>
  </r>
  <r>
    <x v="55"/>
    <x v="81"/>
    <x v="4"/>
    <x v="4"/>
    <x v="0"/>
    <x v="14"/>
    <x v="40"/>
    <x v="175"/>
    <x v="852"/>
    <x v="0"/>
    <s v="NEGOCIOS"/>
    <x v="4"/>
  </r>
  <r>
    <x v="55"/>
    <x v="156"/>
    <x v="4"/>
    <x v="4"/>
    <x v="0"/>
    <x v="14"/>
    <x v="40"/>
    <x v="146"/>
    <x v="933"/>
    <x v="0"/>
    <s v="NEGOCIOS"/>
    <x v="4"/>
  </r>
  <r>
    <x v="55"/>
    <x v="162"/>
    <x v="4"/>
    <x v="4"/>
    <x v="0"/>
    <x v="14"/>
    <x v="40"/>
    <x v="192"/>
    <x v="563"/>
    <x v="0"/>
    <s v="NEGOCIOS"/>
    <x v="4"/>
  </r>
  <r>
    <x v="55"/>
    <x v="126"/>
    <x v="4"/>
    <x v="4"/>
    <x v="0"/>
    <x v="14"/>
    <x v="40"/>
    <x v="83"/>
    <x v="1939"/>
    <x v="0"/>
    <s v="NEGOCIOS"/>
    <x v="4"/>
  </r>
  <r>
    <x v="55"/>
    <x v="78"/>
    <x v="4"/>
    <x v="4"/>
    <x v="0"/>
    <x v="14"/>
    <x v="40"/>
    <x v="160"/>
    <x v="1940"/>
    <x v="0"/>
    <s v="NEGOCIOS"/>
    <x v="4"/>
  </r>
  <r>
    <x v="55"/>
    <x v="51"/>
    <x v="4"/>
    <x v="4"/>
    <x v="0"/>
    <x v="14"/>
    <x v="40"/>
    <x v="34"/>
    <x v="1941"/>
    <x v="0"/>
    <s v="NEGOCIOS"/>
    <x v="4"/>
  </r>
  <r>
    <x v="55"/>
    <x v="90"/>
    <x v="0"/>
    <x v="0"/>
    <x v="0"/>
    <x v="14"/>
    <x v="40"/>
    <x v="79"/>
    <x v="1836"/>
    <x v="0"/>
    <s v="NEGOCIOS"/>
    <x v="4"/>
  </r>
  <r>
    <x v="55"/>
    <x v="57"/>
    <x v="0"/>
    <x v="0"/>
    <x v="0"/>
    <x v="14"/>
    <x v="40"/>
    <x v="44"/>
    <x v="1942"/>
    <x v="0"/>
    <s v="NEGOCIOS"/>
    <x v="4"/>
  </r>
  <r>
    <x v="55"/>
    <x v="32"/>
    <x v="5"/>
    <x v="5"/>
    <x v="0"/>
    <x v="14"/>
    <x v="40"/>
    <x v="81"/>
    <x v="1132"/>
    <x v="0"/>
    <s v="NEGOCIOS"/>
    <x v="4"/>
  </r>
  <r>
    <x v="55"/>
    <x v="125"/>
    <x v="5"/>
    <x v="5"/>
    <x v="0"/>
    <x v="14"/>
    <x v="39"/>
    <x v="82"/>
    <x v="1943"/>
    <x v="0"/>
    <s v="NEGOCIOS"/>
    <x v="4"/>
  </r>
  <r>
    <x v="55"/>
    <x v="41"/>
    <x v="1"/>
    <x v="1"/>
    <x v="0"/>
    <x v="14"/>
    <x v="40"/>
    <x v="113"/>
    <x v="1944"/>
    <x v="0"/>
    <s v="NEGOCIOS"/>
    <x v="4"/>
  </r>
  <r>
    <x v="55"/>
    <x v="22"/>
    <x v="1"/>
    <x v="1"/>
    <x v="0"/>
    <x v="14"/>
    <x v="39"/>
    <x v="211"/>
    <x v="1945"/>
    <x v="0"/>
    <s v="NEGOCIOS"/>
    <x v="4"/>
  </r>
  <r>
    <x v="55"/>
    <x v="152"/>
    <x v="1"/>
    <x v="1"/>
    <x v="0"/>
    <x v="14"/>
    <x v="40"/>
    <x v="194"/>
    <x v="1946"/>
    <x v="0"/>
    <s v="NEGOCIOS"/>
    <x v="4"/>
  </r>
  <r>
    <x v="55"/>
    <x v="152"/>
    <x v="1"/>
    <x v="1"/>
    <x v="0"/>
    <x v="14"/>
    <x v="39"/>
    <x v="194"/>
    <x v="1947"/>
    <x v="0"/>
    <s v="NEGOCIOS"/>
    <x v="4"/>
  </r>
  <r>
    <x v="55"/>
    <x v="55"/>
    <x v="1"/>
    <x v="1"/>
    <x v="0"/>
    <x v="14"/>
    <x v="39"/>
    <x v="188"/>
    <x v="1948"/>
    <x v="0"/>
    <s v="NEGOCIOS"/>
    <x v="4"/>
  </r>
  <r>
    <x v="55"/>
    <x v="128"/>
    <x v="1"/>
    <x v="1"/>
    <x v="0"/>
    <x v="14"/>
    <x v="40"/>
    <x v="164"/>
    <x v="1949"/>
    <x v="0"/>
    <s v="NEGOCIOS"/>
    <x v="4"/>
  </r>
  <r>
    <x v="55"/>
    <x v="1"/>
    <x v="1"/>
    <x v="1"/>
    <x v="0"/>
    <x v="14"/>
    <x v="1"/>
    <x v="1"/>
    <x v="1"/>
    <x v="552"/>
    <s v="NEGOCIOS"/>
    <x v="4"/>
  </r>
  <r>
    <x v="55"/>
    <x v="13"/>
    <x v="5"/>
    <x v="5"/>
    <x v="0"/>
    <x v="15"/>
    <x v="40"/>
    <x v="120"/>
    <x v="1950"/>
    <x v="0"/>
    <s v="NEGOCIOS"/>
    <x v="4"/>
  </r>
  <r>
    <x v="55"/>
    <x v="8"/>
    <x v="1"/>
    <x v="1"/>
    <x v="0"/>
    <x v="15"/>
    <x v="40"/>
    <x v="187"/>
    <x v="1951"/>
    <x v="0"/>
    <s v="NEGOCIOS"/>
    <x v="4"/>
  </r>
  <r>
    <x v="55"/>
    <x v="128"/>
    <x v="1"/>
    <x v="1"/>
    <x v="0"/>
    <x v="15"/>
    <x v="40"/>
    <x v="164"/>
    <x v="1588"/>
    <x v="0"/>
    <s v="NEGOCIOS"/>
    <x v="4"/>
  </r>
  <r>
    <x v="55"/>
    <x v="1"/>
    <x v="1"/>
    <x v="1"/>
    <x v="0"/>
    <x v="15"/>
    <x v="1"/>
    <x v="1"/>
    <x v="1"/>
    <x v="553"/>
    <s v="NEGOCIOS"/>
    <x v="4"/>
  </r>
  <r>
    <x v="55"/>
    <x v="129"/>
    <x v="2"/>
    <x v="2"/>
    <x v="0"/>
    <x v="28"/>
    <x v="40"/>
    <x v="204"/>
    <x v="782"/>
    <x v="0"/>
    <s v="NEGOCIOS"/>
    <x v="4"/>
  </r>
  <r>
    <x v="55"/>
    <x v="71"/>
    <x v="6"/>
    <x v="6"/>
    <x v="0"/>
    <x v="28"/>
    <x v="40"/>
    <x v="37"/>
    <x v="782"/>
    <x v="0"/>
    <s v="NEGOCIOS"/>
    <x v="4"/>
  </r>
  <r>
    <x v="55"/>
    <x v="162"/>
    <x v="4"/>
    <x v="4"/>
    <x v="0"/>
    <x v="28"/>
    <x v="40"/>
    <x v="192"/>
    <x v="966"/>
    <x v="0"/>
    <s v="NEGOCIOS"/>
    <x v="4"/>
  </r>
  <r>
    <x v="55"/>
    <x v="159"/>
    <x v="0"/>
    <x v="0"/>
    <x v="0"/>
    <x v="28"/>
    <x v="39"/>
    <x v="177"/>
    <x v="1484"/>
    <x v="0"/>
    <s v="NEGOCIOS"/>
    <x v="4"/>
  </r>
  <r>
    <x v="55"/>
    <x v="121"/>
    <x v="0"/>
    <x v="0"/>
    <x v="0"/>
    <x v="28"/>
    <x v="40"/>
    <x v="80"/>
    <x v="1566"/>
    <x v="0"/>
    <s v="NEGOCIOS"/>
    <x v="4"/>
  </r>
  <r>
    <x v="55"/>
    <x v="53"/>
    <x v="0"/>
    <x v="0"/>
    <x v="0"/>
    <x v="28"/>
    <x v="40"/>
    <x v="144"/>
    <x v="1952"/>
    <x v="0"/>
    <s v="NEGOCIOS"/>
    <x v="4"/>
  </r>
  <r>
    <x v="55"/>
    <x v="115"/>
    <x v="5"/>
    <x v="5"/>
    <x v="0"/>
    <x v="28"/>
    <x v="39"/>
    <x v="213"/>
    <x v="1641"/>
    <x v="0"/>
    <s v="NEGOCIOS"/>
    <x v="4"/>
  </r>
  <r>
    <x v="55"/>
    <x v="73"/>
    <x v="1"/>
    <x v="1"/>
    <x v="0"/>
    <x v="28"/>
    <x v="40"/>
    <x v="39"/>
    <x v="782"/>
    <x v="0"/>
    <s v="NEGOCIOS"/>
    <x v="4"/>
  </r>
  <r>
    <x v="55"/>
    <x v="98"/>
    <x v="1"/>
    <x v="1"/>
    <x v="0"/>
    <x v="28"/>
    <x v="39"/>
    <x v="198"/>
    <x v="1953"/>
    <x v="0"/>
    <s v="NEGOCIOS"/>
    <x v="4"/>
  </r>
  <r>
    <x v="55"/>
    <x v="1"/>
    <x v="1"/>
    <x v="1"/>
    <x v="0"/>
    <x v="28"/>
    <x v="1"/>
    <x v="1"/>
    <x v="1"/>
    <x v="554"/>
    <s v="NEGOCIOS"/>
    <x v="4"/>
  </r>
  <r>
    <x v="55"/>
    <x v="53"/>
    <x v="0"/>
    <x v="0"/>
    <x v="0"/>
    <x v="29"/>
    <x v="40"/>
    <x v="144"/>
    <x v="1954"/>
    <x v="0"/>
    <s v="NEGOCIOS"/>
    <x v="4"/>
  </r>
  <r>
    <x v="55"/>
    <x v="41"/>
    <x v="1"/>
    <x v="1"/>
    <x v="0"/>
    <x v="29"/>
    <x v="40"/>
    <x v="113"/>
    <x v="909"/>
    <x v="0"/>
    <s v="NEGOCIOS"/>
    <x v="4"/>
  </r>
  <r>
    <x v="55"/>
    <x v="33"/>
    <x v="1"/>
    <x v="1"/>
    <x v="0"/>
    <x v="29"/>
    <x v="39"/>
    <x v="241"/>
    <x v="1955"/>
    <x v="0"/>
    <s v="NEGOCIOS"/>
    <x v="4"/>
  </r>
  <r>
    <x v="55"/>
    <x v="98"/>
    <x v="1"/>
    <x v="1"/>
    <x v="0"/>
    <x v="29"/>
    <x v="39"/>
    <x v="198"/>
    <x v="1956"/>
    <x v="0"/>
    <s v="NEGOCIOS"/>
    <x v="4"/>
  </r>
  <r>
    <x v="55"/>
    <x v="98"/>
    <x v="1"/>
    <x v="1"/>
    <x v="0"/>
    <x v="29"/>
    <x v="40"/>
    <x v="198"/>
    <x v="1957"/>
    <x v="0"/>
    <s v="NEGOCIOS"/>
    <x v="4"/>
  </r>
  <r>
    <x v="55"/>
    <x v="1"/>
    <x v="1"/>
    <x v="1"/>
    <x v="0"/>
    <x v="29"/>
    <x v="1"/>
    <x v="1"/>
    <x v="1"/>
    <x v="555"/>
    <s v="NEGOCIOS"/>
    <x v="4"/>
  </r>
  <r>
    <x v="55"/>
    <x v="41"/>
    <x v="1"/>
    <x v="1"/>
    <x v="0"/>
    <x v="30"/>
    <x v="39"/>
    <x v="113"/>
    <x v="1958"/>
    <x v="0"/>
    <s v="NEGOCIOS"/>
    <x v="4"/>
  </r>
  <r>
    <x v="55"/>
    <x v="1"/>
    <x v="1"/>
    <x v="1"/>
    <x v="0"/>
    <x v="30"/>
    <x v="1"/>
    <x v="1"/>
    <x v="1"/>
    <x v="556"/>
    <s v="NEGOCIOS"/>
    <x v="4"/>
  </r>
  <r>
    <x v="55"/>
    <x v="107"/>
    <x v="2"/>
    <x v="2"/>
    <x v="0"/>
    <x v="17"/>
    <x v="40"/>
    <x v="158"/>
    <x v="911"/>
    <x v="0"/>
    <s v="NEGOCIOS"/>
    <x v="4"/>
  </r>
  <r>
    <x v="55"/>
    <x v="144"/>
    <x v="2"/>
    <x v="2"/>
    <x v="0"/>
    <x v="17"/>
    <x v="39"/>
    <x v="162"/>
    <x v="1959"/>
    <x v="0"/>
    <s v="NEGOCIOS"/>
    <x v="4"/>
  </r>
  <r>
    <x v="55"/>
    <x v="71"/>
    <x v="6"/>
    <x v="6"/>
    <x v="0"/>
    <x v="17"/>
    <x v="39"/>
    <x v="37"/>
    <x v="1609"/>
    <x v="0"/>
    <s v="NEGOCIOS"/>
    <x v="4"/>
  </r>
  <r>
    <x v="55"/>
    <x v="13"/>
    <x v="5"/>
    <x v="5"/>
    <x v="0"/>
    <x v="17"/>
    <x v="39"/>
    <x v="120"/>
    <x v="1960"/>
    <x v="0"/>
    <s v="NEGOCIOS"/>
    <x v="4"/>
  </r>
  <r>
    <x v="55"/>
    <x v="55"/>
    <x v="1"/>
    <x v="1"/>
    <x v="0"/>
    <x v="17"/>
    <x v="39"/>
    <x v="188"/>
    <x v="736"/>
    <x v="0"/>
    <s v="NEGOCIOS"/>
    <x v="4"/>
  </r>
  <r>
    <x v="55"/>
    <x v="98"/>
    <x v="1"/>
    <x v="1"/>
    <x v="0"/>
    <x v="17"/>
    <x v="39"/>
    <x v="198"/>
    <x v="1961"/>
    <x v="0"/>
    <s v="NEGOCIOS"/>
    <x v="4"/>
  </r>
  <r>
    <x v="55"/>
    <x v="128"/>
    <x v="1"/>
    <x v="1"/>
    <x v="0"/>
    <x v="17"/>
    <x v="39"/>
    <x v="164"/>
    <x v="780"/>
    <x v="0"/>
    <s v="NEGOCIOS"/>
    <x v="4"/>
  </r>
  <r>
    <x v="55"/>
    <x v="1"/>
    <x v="1"/>
    <x v="1"/>
    <x v="0"/>
    <x v="17"/>
    <x v="1"/>
    <x v="1"/>
    <x v="1"/>
    <x v="557"/>
    <s v="NEGOCIOS"/>
    <x v="4"/>
  </r>
  <r>
    <x v="55"/>
    <x v="114"/>
    <x v="3"/>
    <x v="3"/>
    <x v="0"/>
    <x v="32"/>
    <x v="40"/>
    <x v="76"/>
    <x v="1962"/>
    <x v="0"/>
    <s v="NEGOCIOS"/>
    <x v="4"/>
  </r>
  <r>
    <x v="55"/>
    <x v="1"/>
    <x v="1"/>
    <x v="1"/>
    <x v="0"/>
    <x v="32"/>
    <x v="1"/>
    <x v="1"/>
    <x v="1"/>
    <x v="558"/>
    <s v="NEGOCIOS"/>
    <x v="4"/>
  </r>
  <r>
    <x v="55"/>
    <x v="33"/>
    <x v="1"/>
    <x v="1"/>
    <x v="0"/>
    <x v="33"/>
    <x v="39"/>
    <x v="241"/>
    <x v="1963"/>
    <x v="0"/>
    <s v="NEGOCIOS"/>
    <x v="4"/>
  </r>
  <r>
    <x v="55"/>
    <x v="1"/>
    <x v="1"/>
    <x v="1"/>
    <x v="0"/>
    <x v="33"/>
    <x v="1"/>
    <x v="1"/>
    <x v="1"/>
    <x v="559"/>
    <s v="NEGOCIOS"/>
    <x v="4"/>
  </r>
  <r>
    <x v="55"/>
    <x v="157"/>
    <x v="2"/>
    <x v="2"/>
    <x v="0"/>
    <x v="37"/>
    <x v="40"/>
    <x v="147"/>
    <x v="1964"/>
    <x v="0"/>
    <s v="NEGOCIOS"/>
    <x v="4"/>
  </r>
  <r>
    <x v="55"/>
    <x v="132"/>
    <x v="4"/>
    <x v="4"/>
    <x v="0"/>
    <x v="37"/>
    <x v="40"/>
    <x v="95"/>
    <x v="1965"/>
    <x v="0"/>
    <s v="NEGOCIOS"/>
    <x v="4"/>
  </r>
  <r>
    <x v="55"/>
    <x v="78"/>
    <x v="4"/>
    <x v="4"/>
    <x v="0"/>
    <x v="37"/>
    <x v="40"/>
    <x v="160"/>
    <x v="1966"/>
    <x v="0"/>
    <s v="NEGOCIOS"/>
    <x v="4"/>
  </r>
  <r>
    <x v="55"/>
    <x v="1"/>
    <x v="1"/>
    <x v="1"/>
    <x v="0"/>
    <x v="37"/>
    <x v="1"/>
    <x v="1"/>
    <x v="1"/>
    <x v="560"/>
    <s v="NEGOCIOS"/>
    <x v="4"/>
  </r>
  <r>
    <x v="55"/>
    <x v="118"/>
    <x v="2"/>
    <x v="2"/>
    <x v="0"/>
    <x v="34"/>
    <x v="40"/>
    <x v="69"/>
    <x v="1967"/>
    <x v="0"/>
    <s v="NEGOCIOS"/>
    <x v="4"/>
  </r>
  <r>
    <x v="55"/>
    <x v="57"/>
    <x v="0"/>
    <x v="0"/>
    <x v="0"/>
    <x v="34"/>
    <x v="39"/>
    <x v="44"/>
    <x v="1744"/>
    <x v="0"/>
    <s v="NEGOCIOS"/>
    <x v="4"/>
  </r>
  <r>
    <x v="55"/>
    <x v="1"/>
    <x v="1"/>
    <x v="1"/>
    <x v="0"/>
    <x v="34"/>
    <x v="1"/>
    <x v="1"/>
    <x v="1"/>
    <x v="561"/>
    <s v="NEGOCIOS"/>
    <x v="4"/>
  </r>
  <r>
    <x v="55"/>
    <x v="16"/>
    <x v="2"/>
    <x v="2"/>
    <x v="0"/>
    <x v="18"/>
    <x v="40"/>
    <x v="93"/>
    <x v="1968"/>
    <x v="0"/>
    <s v="NEGOCIOS"/>
    <x v="4"/>
  </r>
  <r>
    <x v="55"/>
    <x v="146"/>
    <x v="6"/>
    <x v="6"/>
    <x v="0"/>
    <x v="18"/>
    <x v="40"/>
    <x v="172"/>
    <x v="1969"/>
    <x v="0"/>
    <s v="NEGOCIOS"/>
    <x v="4"/>
  </r>
  <r>
    <x v="55"/>
    <x v="65"/>
    <x v="6"/>
    <x v="6"/>
    <x v="0"/>
    <x v="18"/>
    <x v="40"/>
    <x v="190"/>
    <x v="1970"/>
    <x v="0"/>
    <s v="NEGOCIOS"/>
    <x v="4"/>
  </r>
  <r>
    <x v="55"/>
    <x v="65"/>
    <x v="6"/>
    <x v="6"/>
    <x v="0"/>
    <x v="18"/>
    <x v="39"/>
    <x v="190"/>
    <x v="1"/>
    <x v="562"/>
    <s v="NEGOCIOS"/>
    <x v="4"/>
  </r>
  <r>
    <x v="55"/>
    <x v="59"/>
    <x v="6"/>
    <x v="6"/>
    <x v="0"/>
    <x v="18"/>
    <x v="40"/>
    <x v="256"/>
    <x v="1971"/>
    <x v="0"/>
    <s v="NEGOCIOS"/>
    <x v="4"/>
  </r>
  <r>
    <x v="55"/>
    <x v="156"/>
    <x v="4"/>
    <x v="4"/>
    <x v="0"/>
    <x v="18"/>
    <x v="40"/>
    <x v="146"/>
    <x v="1972"/>
    <x v="0"/>
    <s v="NEGOCIOS"/>
    <x v="4"/>
  </r>
  <r>
    <x v="55"/>
    <x v="116"/>
    <x v="0"/>
    <x v="0"/>
    <x v="0"/>
    <x v="18"/>
    <x v="40"/>
    <x v="64"/>
    <x v="1973"/>
    <x v="0"/>
    <s v="NEGOCIOS"/>
    <x v="4"/>
  </r>
  <r>
    <x v="55"/>
    <x v="76"/>
    <x v="5"/>
    <x v="5"/>
    <x v="0"/>
    <x v="18"/>
    <x v="40"/>
    <x v="182"/>
    <x v="1974"/>
    <x v="0"/>
    <s v="NEGOCIOS"/>
    <x v="4"/>
  </r>
  <r>
    <x v="55"/>
    <x v="95"/>
    <x v="1"/>
    <x v="1"/>
    <x v="0"/>
    <x v="18"/>
    <x v="40"/>
    <x v="97"/>
    <x v="1975"/>
    <x v="0"/>
    <s v="NEGOCIOS"/>
    <x v="4"/>
  </r>
  <r>
    <x v="55"/>
    <x v="155"/>
    <x v="1"/>
    <x v="1"/>
    <x v="0"/>
    <x v="18"/>
    <x v="40"/>
    <x v="145"/>
    <x v="1976"/>
    <x v="0"/>
    <s v="NEGOCIOS"/>
    <x v="4"/>
  </r>
  <r>
    <x v="55"/>
    <x v="1"/>
    <x v="1"/>
    <x v="1"/>
    <x v="0"/>
    <x v="18"/>
    <x v="1"/>
    <x v="1"/>
    <x v="1"/>
    <x v="563"/>
    <s v="NEGOCIOS"/>
    <x v="4"/>
  </r>
  <r>
    <x v="56"/>
    <x v="129"/>
    <x v="2"/>
    <x v="2"/>
    <x v="0"/>
    <x v="2"/>
    <x v="40"/>
    <x v="204"/>
    <x v="1977"/>
    <x v="0"/>
    <s v="BOULEVARD EL DORADO"/>
    <x v="4"/>
  </r>
  <r>
    <x v="56"/>
    <x v="86"/>
    <x v="6"/>
    <x v="6"/>
    <x v="0"/>
    <x v="2"/>
    <x v="39"/>
    <x v="224"/>
    <x v="1978"/>
    <x v="0"/>
    <s v="BOULEVARD EL DORADO"/>
    <x v="4"/>
  </r>
  <r>
    <x v="56"/>
    <x v="71"/>
    <x v="6"/>
    <x v="6"/>
    <x v="0"/>
    <x v="2"/>
    <x v="39"/>
    <x v="37"/>
    <x v="1979"/>
    <x v="0"/>
    <s v="BOULEVARD EL DORADO"/>
    <x v="4"/>
  </r>
  <r>
    <x v="56"/>
    <x v="135"/>
    <x v="3"/>
    <x v="3"/>
    <x v="0"/>
    <x v="2"/>
    <x v="39"/>
    <x v="149"/>
    <x v="1980"/>
    <x v="0"/>
    <s v="BOULEVARD EL DORADO"/>
    <x v="4"/>
  </r>
  <r>
    <x v="56"/>
    <x v="43"/>
    <x v="3"/>
    <x v="3"/>
    <x v="0"/>
    <x v="2"/>
    <x v="40"/>
    <x v="71"/>
    <x v="782"/>
    <x v="0"/>
    <s v="BOULEVARD EL DORADO"/>
    <x v="4"/>
  </r>
  <r>
    <x v="56"/>
    <x v="50"/>
    <x v="4"/>
    <x v="4"/>
    <x v="0"/>
    <x v="2"/>
    <x v="39"/>
    <x v="77"/>
    <x v="1981"/>
    <x v="0"/>
    <s v="BOULEVARD EL DORADO"/>
    <x v="4"/>
  </r>
  <r>
    <x v="56"/>
    <x v="160"/>
    <x v="0"/>
    <x v="0"/>
    <x v="0"/>
    <x v="2"/>
    <x v="39"/>
    <x v="179"/>
    <x v="1982"/>
    <x v="0"/>
    <s v="BOULEVARD EL DORADO"/>
    <x v="4"/>
  </r>
  <r>
    <x v="56"/>
    <x v="46"/>
    <x v="0"/>
    <x v="0"/>
    <x v="0"/>
    <x v="2"/>
    <x v="39"/>
    <x v="155"/>
    <x v="1983"/>
    <x v="0"/>
    <s v="BOULEVARD EL DORADO"/>
    <x v="4"/>
  </r>
  <r>
    <x v="56"/>
    <x v="145"/>
    <x v="5"/>
    <x v="5"/>
    <x v="0"/>
    <x v="2"/>
    <x v="39"/>
    <x v="124"/>
    <x v="1984"/>
    <x v="0"/>
    <s v="BOULEVARD EL DORADO"/>
    <x v="4"/>
  </r>
  <r>
    <x v="56"/>
    <x v="77"/>
    <x v="5"/>
    <x v="5"/>
    <x v="0"/>
    <x v="2"/>
    <x v="39"/>
    <x v="156"/>
    <x v="1985"/>
    <x v="0"/>
    <s v="BOULEVARD EL DORADO"/>
    <x v="4"/>
  </r>
  <r>
    <x v="56"/>
    <x v="155"/>
    <x v="1"/>
    <x v="1"/>
    <x v="0"/>
    <x v="2"/>
    <x v="39"/>
    <x v="145"/>
    <x v="1986"/>
    <x v="0"/>
    <s v="BOULEVARD EL DORADO"/>
    <x v="4"/>
  </r>
  <r>
    <x v="56"/>
    <x v="1"/>
    <x v="1"/>
    <x v="1"/>
    <x v="0"/>
    <x v="2"/>
    <x v="1"/>
    <x v="1"/>
    <x v="1"/>
    <x v="564"/>
    <s v="BOULEVARD EL DORADO"/>
    <x v="4"/>
  </r>
  <r>
    <x v="57"/>
    <x v="50"/>
    <x v="4"/>
    <x v="4"/>
    <x v="0"/>
    <x v="2"/>
    <x v="39"/>
    <x v="77"/>
    <x v="1987"/>
    <x v="0"/>
    <s v="SAN SEBASTIAN"/>
    <x v="4"/>
  </r>
  <r>
    <x v="57"/>
    <x v="55"/>
    <x v="1"/>
    <x v="1"/>
    <x v="0"/>
    <x v="2"/>
    <x v="39"/>
    <x v="188"/>
    <x v="1988"/>
    <x v="0"/>
    <s v="SAN SEBASTIAN"/>
    <x v="4"/>
  </r>
  <r>
    <x v="57"/>
    <x v="1"/>
    <x v="1"/>
    <x v="1"/>
    <x v="0"/>
    <x v="2"/>
    <x v="1"/>
    <x v="1"/>
    <x v="1"/>
    <x v="565"/>
    <s v="SAN SEBASTIAN"/>
    <x v="4"/>
  </r>
  <r>
    <x v="58"/>
    <x v="71"/>
    <x v="6"/>
    <x v="6"/>
    <x v="0"/>
    <x v="2"/>
    <x v="39"/>
    <x v="37"/>
    <x v="1989"/>
    <x v="0"/>
    <s v="SANTIAGO INTERAMERICANA"/>
    <x v="4"/>
  </r>
  <r>
    <x v="58"/>
    <x v="23"/>
    <x v="3"/>
    <x v="3"/>
    <x v="0"/>
    <x v="2"/>
    <x v="39"/>
    <x v="221"/>
    <x v="1990"/>
    <x v="0"/>
    <s v="SANTIAGO INTERAMERICANA"/>
    <x v="4"/>
  </r>
  <r>
    <x v="58"/>
    <x v="160"/>
    <x v="0"/>
    <x v="0"/>
    <x v="0"/>
    <x v="2"/>
    <x v="39"/>
    <x v="179"/>
    <x v="1991"/>
    <x v="0"/>
    <s v="SANTIAGO INTERAMERICANA"/>
    <x v="4"/>
  </r>
  <r>
    <x v="58"/>
    <x v="77"/>
    <x v="5"/>
    <x v="5"/>
    <x v="0"/>
    <x v="2"/>
    <x v="39"/>
    <x v="156"/>
    <x v="1992"/>
    <x v="0"/>
    <s v="SANTIAGO INTERAMERICANA"/>
    <x v="4"/>
  </r>
  <r>
    <x v="58"/>
    <x v="1"/>
    <x v="1"/>
    <x v="1"/>
    <x v="0"/>
    <x v="2"/>
    <x v="1"/>
    <x v="1"/>
    <x v="1"/>
    <x v="566"/>
    <s v="SANTIAGO INTERAMERICANA"/>
    <x v="4"/>
  </r>
  <r>
    <x v="59"/>
    <x v="144"/>
    <x v="2"/>
    <x v="2"/>
    <x v="0"/>
    <x v="2"/>
    <x v="39"/>
    <x v="162"/>
    <x v="1993"/>
    <x v="0"/>
    <s v="CIUDAD DEL SABER"/>
    <x v="4"/>
  </r>
  <r>
    <x v="59"/>
    <x v="159"/>
    <x v="0"/>
    <x v="0"/>
    <x v="0"/>
    <x v="2"/>
    <x v="39"/>
    <x v="177"/>
    <x v="909"/>
    <x v="0"/>
    <s v="CIUDAD DEL SABER"/>
    <x v="4"/>
  </r>
  <r>
    <x v="59"/>
    <x v="145"/>
    <x v="5"/>
    <x v="5"/>
    <x v="0"/>
    <x v="2"/>
    <x v="39"/>
    <x v="124"/>
    <x v="1471"/>
    <x v="0"/>
    <s v="CIUDAD DEL SABER"/>
    <x v="4"/>
  </r>
  <r>
    <x v="59"/>
    <x v="1"/>
    <x v="1"/>
    <x v="1"/>
    <x v="0"/>
    <x v="2"/>
    <x v="1"/>
    <x v="1"/>
    <x v="1"/>
    <x v="567"/>
    <s v="CIUDAD DEL SABER"/>
    <x v="4"/>
  </r>
  <r>
    <x v="60"/>
    <x v="88"/>
    <x v="6"/>
    <x v="6"/>
    <x v="0"/>
    <x v="2"/>
    <x v="40"/>
    <x v="242"/>
    <x v="858"/>
    <x v="0"/>
    <s v="VILLA ZAITA"/>
    <x v="4"/>
  </r>
  <r>
    <x v="60"/>
    <x v="60"/>
    <x v="3"/>
    <x v="3"/>
    <x v="0"/>
    <x v="2"/>
    <x v="40"/>
    <x v="57"/>
    <x v="1994"/>
    <x v="0"/>
    <s v="VILLA ZAITA"/>
    <x v="4"/>
  </r>
  <r>
    <x v="60"/>
    <x v="132"/>
    <x v="4"/>
    <x v="4"/>
    <x v="0"/>
    <x v="2"/>
    <x v="40"/>
    <x v="95"/>
    <x v="1776"/>
    <x v="0"/>
    <s v="VILLA ZAITA"/>
    <x v="4"/>
  </r>
  <r>
    <x v="60"/>
    <x v="154"/>
    <x v="4"/>
    <x v="4"/>
    <x v="0"/>
    <x v="2"/>
    <x v="39"/>
    <x v="143"/>
    <x v="1995"/>
    <x v="0"/>
    <s v="VILLA ZAITA"/>
    <x v="4"/>
  </r>
  <r>
    <x v="60"/>
    <x v="51"/>
    <x v="4"/>
    <x v="4"/>
    <x v="0"/>
    <x v="2"/>
    <x v="40"/>
    <x v="34"/>
    <x v="1996"/>
    <x v="0"/>
    <s v="VILLA ZAITA"/>
    <x v="4"/>
  </r>
  <r>
    <x v="60"/>
    <x v="0"/>
    <x v="0"/>
    <x v="0"/>
    <x v="0"/>
    <x v="2"/>
    <x v="39"/>
    <x v="197"/>
    <x v="1997"/>
    <x v="0"/>
    <s v="VILLA ZAITA"/>
    <x v="4"/>
  </r>
  <r>
    <x v="60"/>
    <x v="125"/>
    <x v="5"/>
    <x v="5"/>
    <x v="0"/>
    <x v="2"/>
    <x v="40"/>
    <x v="82"/>
    <x v="1998"/>
    <x v="0"/>
    <s v="VILLA ZAITA"/>
    <x v="4"/>
  </r>
  <r>
    <x v="60"/>
    <x v="77"/>
    <x v="5"/>
    <x v="5"/>
    <x v="0"/>
    <x v="2"/>
    <x v="39"/>
    <x v="156"/>
    <x v="782"/>
    <x v="0"/>
    <s v="VILLA ZAITA"/>
    <x v="4"/>
  </r>
  <r>
    <x v="60"/>
    <x v="124"/>
    <x v="5"/>
    <x v="5"/>
    <x v="0"/>
    <x v="2"/>
    <x v="40"/>
    <x v="206"/>
    <x v="1999"/>
    <x v="0"/>
    <s v="VILLA ZAITA"/>
    <x v="4"/>
  </r>
  <r>
    <x v="60"/>
    <x v="42"/>
    <x v="1"/>
    <x v="1"/>
    <x v="0"/>
    <x v="2"/>
    <x v="40"/>
    <x v="167"/>
    <x v="1641"/>
    <x v="0"/>
    <s v="VILLA ZAITA"/>
    <x v="4"/>
  </r>
  <r>
    <x v="60"/>
    <x v="33"/>
    <x v="1"/>
    <x v="1"/>
    <x v="0"/>
    <x v="2"/>
    <x v="39"/>
    <x v="241"/>
    <x v="1723"/>
    <x v="0"/>
    <s v="VILLA ZAITA"/>
    <x v="4"/>
  </r>
  <r>
    <x v="60"/>
    <x v="1"/>
    <x v="1"/>
    <x v="1"/>
    <x v="0"/>
    <x v="2"/>
    <x v="1"/>
    <x v="1"/>
    <x v="1"/>
    <x v="568"/>
    <s v="VILLA ZAITA"/>
    <x v="4"/>
  </r>
  <r>
    <x v="61"/>
    <x v="102"/>
    <x v="6"/>
    <x v="6"/>
    <x v="0"/>
    <x v="2"/>
    <x v="39"/>
    <x v="141"/>
    <x v="1139"/>
    <x v="0"/>
    <s v="AZUERO TERMINAL PLAZA"/>
    <x v="4"/>
  </r>
  <r>
    <x v="61"/>
    <x v="79"/>
    <x v="3"/>
    <x v="3"/>
    <x v="0"/>
    <x v="2"/>
    <x v="39"/>
    <x v="142"/>
    <x v="1641"/>
    <x v="0"/>
    <s v="AZUERO TERMINAL PLAZA"/>
    <x v="4"/>
  </r>
  <r>
    <x v="61"/>
    <x v="115"/>
    <x v="5"/>
    <x v="5"/>
    <x v="0"/>
    <x v="2"/>
    <x v="39"/>
    <x v="213"/>
    <x v="1822"/>
    <x v="0"/>
    <s v="AZUERO TERMINAL PLAZA"/>
    <x v="4"/>
  </r>
  <r>
    <x v="61"/>
    <x v="1"/>
    <x v="1"/>
    <x v="1"/>
    <x v="0"/>
    <x v="2"/>
    <x v="1"/>
    <x v="1"/>
    <x v="1"/>
    <x v="569"/>
    <s v="AZUERO TERMINAL PLAZA"/>
    <x v="4"/>
  </r>
  <r>
    <x v="62"/>
    <x v="85"/>
    <x v="2"/>
    <x v="2"/>
    <x v="0"/>
    <x v="2"/>
    <x v="39"/>
    <x v="161"/>
    <x v="2000"/>
    <x v="0"/>
    <s v="TOWN CENTER COSTA DEL ESTE"/>
    <x v="4"/>
  </r>
  <r>
    <x v="62"/>
    <x v="102"/>
    <x v="6"/>
    <x v="6"/>
    <x v="0"/>
    <x v="2"/>
    <x v="39"/>
    <x v="141"/>
    <x v="1194"/>
    <x v="0"/>
    <s v="TOWN CENTER COSTA DEL ESTE"/>
    <x v="4"/>
  </r>
  <r>
    <x v="62"/>
    <x v="21"/>
    <x v="6"/>
    <x v="6"/>
    <x v="0"/>
    <x v="2"/>
    <x v="39"/>
    <x v="70"/>
    <x v="2001"/>
    <x v="0"/>
    <s v="TOWN CENTER COSTA DEL ESTE"/>
    <x v="4"/>
  </r>
  <r>
    <x v="62"/>
    <x v="135"/>
    <x v="3"/>
    <x v="3"/>
    <x v="0"/>
    <x v="2"/>
    <x v="39"/>
    <x v="149"/>
    <x v="2002"/>
    <x v="0"/>
    <s v="TOWN CENTER COSTA DEL ESTE"/>
    <x v="4"/>
  </r>
  <r>
    <x v="62"/>
    <x v="127"/>
    <x v="1"/>
    <x v="1"/>
    <x v="0"/>
    <x v="2"/>
    <x v="40"/>
    <x v="85"/>
    <x v="858"/>
    <x v="0"/>
    <s v="TOWN CENTER COSTA DEL ESTE"/>
    <x v="4"/>
  </r>
  <r>
    <x v="62"/>
    <x v="98"/>
    <x v="1"/>
    <x v="1"/>
    <x v="0"/>
    <x v="2"/>
    <x v="39"/>
    <x v="198"/>
    <x v="2003"/>
    <x v="0"/>
    <s v="TOWN CENTER COSTA DEL ESTE"/>
    <x v="4"/>
  </r>
  <r>
    <x v="62"/>
    <x v="1"/>
    <x v="1"/>
    <x v="1"/>
    <x v="0"/>
    <x v="2"/>
    <x v="1"/>
    <x v="1"/>
    <x v="1"/>
    <x v="570"/>
    <s v="TOWN CENTER COSTA DEL ESTE"/>
    <x v="4"/>
  </r>
  <r>
    <x v="63"/>
    <x v="70"/>
    <x v="2"/>
    <x v="2"/>
    <x v="0"/>
    <x v="2"/>
    <x v="39"/>
    <x v="36"/>
    <x v="171"/>
    <x v="0"/>
    <s v="COSTA VERDE"/>
    <x v="4"/>
  </r>
  <r>
    <x v="63"/>
    <x v="86"/>
    <x v="6"/>
    <x v="6"/>
    <x v="0"/>
    <x v="2"/>
    <x v="39"/>
    <x v="224"/>
    <x v="2004"/>
    <x v="0"/>
    <s v="COSTA VERDE"/>
    <x v="4"/>
  </r>
  <r>
    <x v="63"/>
    <x v="43"/>
    <x v="3"/>
    <x v="3"/>
    <x v="0"/>
    <x v="2"/>
    <x v="39"/>
    <x v="71"/>
    <x v="2005"/>
    <x v="0"/>
    <s v="COSTA VERDE"/>
    <x v="4"/>
  </r>
  <r>
    <x v="63"/>
    <x v="159"/>
    <x v="0"/>
    <x v="0"/>
    <x v="0"/>
    <x v="2"/>
    <x v="39"/>
    <x v="177"/>
    <x v="2006"/>
    <x v="0"/>
    <s v="COSTA VERDE"/>
    <x v="4"/>
  </r>
  <r>
    <x v="63"/>
    <x v="117"/>
    <x v="0"/>
    <x v="0"/>
    <x v="0"/>
    <x v="2"/>
    <x v="39"/>
    <x v="65"/>
    <x v="2007"/>
    <x v="0"/>
    <s v="COSTA VERDE"/>
    <x v="4"/>
  </r>
  <r>
    <x v="63"/>
    <x v="98"/>
    <x v="1"/>
    <x v="1"/>
    <x v="0"/>
    <x v="2"/>
    <x v="39"/>
    <x v="198"/>
    <x v="2008"/>
    <x v="0"/>
    <s v="COSTA VERDE"/>
    <x v="4"/>
  </r>
  <r>
    <x v="63"/>
    <x v="1"/>
    <x v="1"/>
    <x v="1"/>
    <x v="0"/>
    <x v="2"/>
    <x v="1"/>
    <x v="1"/>
    <x v="1"/>
    <x v="571"/>
    <s v="COSTA VERDE"/>
    <x v="4"/>
  </r>
  <r>
    <x v="64"/>
    <x v="85"/>
    <x v="2"/>
    <x v="2"/>
    <x v="0"/>
    <x v="2"/>
    <x v="39"/>
    <x v="161"/>
    <x v="2009"/>
    <x v="0"/>
    <s v="PLAZA LOS ANGELES"/>
    <x v="4"/>
  </r>
  <r>
    <x v="64"/>
    <x v="85"/>
    <x v="2"/>
    <x v="2"/>
    <x v="0"/>
    <x v="2"/>
    <x v="40"/>
    <x v="161"/>
    <x v="2010"/>
    <x v="0"/>
    <s v="PLAZA LOS ANGELES"/>
    <x v="4"/>
  </r>
  <r>
    <x v="64"/>
    <x v="0"/>
    <x v="0"/>
    <x v="0"/>
    <x v="0"/>
    <x v="2"/>
    <x v="39"/>
    <x v="197"/>
    <x v="2011"/>
    <x v="0"/>
    <s v="PLAZA LOS ANGELES"/>
    <x v="4"/>
  </r>
  <r>
    <x v="64"/>
    <x v="40"/>
    <x v="1"/>
    <x v="1"/>
    <x v="0"/>
    <x v="2"/>
    <x v="39"/>
    <x v="125"/>
    <x v="2012"/>
    <x v="0"/>
    <s v="PLAZA LOS ANGELES"/>
    <x v="4"/>
  </r>
  <r>
    <x v="64"/>
    <x v="1"/>
    <x v="1"/>
    <x v="1"/>
    <x v="0"/>
    <x v="2"/>
    <x v="1"/>
    <x v="1"/>
    <x v="1"/>
    <x v="572"/>
    <s v="PLAZA LOS ANGELES"/>
    <x v="4"/>
  </r>
  <r>
    <x v="65"/>
    <x v="135"/>
    <x v="3"/>
    <x v="3"/>
    <x v="0"/>
    <x v="2"/>
    <x v="39"/>
    <x v="149"/>
    <x v="2013"/>
    <x v="0"/>
    <s v="SAN MATEO"/>
    <x v="4"/>
  </r>
  <r>
    <x v="65"/>
    <x v="50"/>
    <x v="4"/>
    <x v="4"/>
    <x v="0"/>
    <x v="2"/>
    <x v="39"/>
    <x v="77"/>
    <x v="2014"/>
    <x v="0"/>
    <s v="SAN MATEO"/>
    <x v="4"/>
  </r>
  <r>
    <x v="65"/>
    <x v="101"/>
    <x v="1"/>
    <x v="1"/>
    <x v="0"/>
    <x v="2"/>
    <x v="39"/>
    <x v="207"/>
    <x v="2015"/>
    <x v="0"/>
    <s v="SAN MATEO"/>
    <x v="4"/>
  </r>
  <r>
    <x v="65"/>
    <x v="128"/>
    <x v="1"/>
    <x v="1"/>
    <x v="0"/>
    <x v="2"/>
    <x v="39"/>
    <x v="164"/>
    <x v="1690"/>
    <x v="0"/>
    <s v="SAN MATEO"/>
    <x v="4"/>
  </r>
  <r>
    <x v="65"/>
    <x v="1"/>
    <x v="1"/>
    <x v="1"/>
    <x v="0"/>
    <x v="2"/>
    <x v="1"/>
    <x v="1"/>
    <x v="1"/>
    <x v="573"/>
    <s v="SAN MATEO"/>
    <x v="4"/>
  </r>
  <r>
    <x v="66"/>
    <x v="86"/>
    <x v="6"/>
    <x v="6"/>
    <x v="0"/>
    <x v="2"/>
    <x v="39"/>
    <x v="224"/>
    <x v="2016"/>
    <x v="0"/>
    <s v="BRISAS DEL GOLF ARRAIJAN"/>
    <x v="4"/>
  </r>
  <r>
    <x v="66"/>
    <x v="77"/>
    <x v="5"/>
    <x v="5"/>
    <x v="0"/>
    <x v="2"/>
    <x v="39"/>
    <x v="156"/>
    <x v="2017"/>
    <x v="0"/>
    <s v="BRISAS DEL GOLF ARRAIJAN"/>
    <x v="4"/>
  </r>
  <r>
    <x v="66"/>
    <x v="41"/>
    <x v="1"/>
    <x v="1"/>
    <x v="0"/>
    <x v="2"/>
    <x v="39"/>
    <x v="113"/>
    <x v="2018"/>
    <x v="0"/>
    <s v="BRISAS DEL GOLF ARRAIJAN"/>
    <x v="4"/>
  </r>
  <r>
    <x v="66"/>
    <x v="1"/>
    <x v="1"/>
    <x v="1"/>
    <x v="0"/>
    <x v="2"/>
    <x v="1"/>
    <x v="1"/>
    <x v="1"/>
    <x v="574"/>
    <s v="BRISAS DEL GOLF ARRAIJAN"/>
    <x v="4"/>
  </r>
  <r>
    <x v="67"/>
    <x v="47"/>
    <x v="2"/>
    <x v="2"/>
    <x v="0"/>
    <x v="2"/>
    <x v="40"/>
    <x v="68"/>
    <x v="2019"/>
    <x v="0"/>
    <s v="PASEO ARRAIJAN"/>
    <x v="4"/>
  </r>
  <r>
    <x v="67"/>
    <x v="108"/>
    <x v="3"/>
    <x v="3"/>
    <x v="0"/>
    <x v="2"/>
    <x v="39"/>
    <x v="63"/>
    <x v="1212"/>
    <x v="0"/>
    <s v="PASEO ARRAIJAN"/>
    <x v="4"/>
  </r>
  <r>
    <x v="67"/>
    <x v="159"/>
    <x v="0"/>
    <x v="0"/>
    <x v="0"/>
    <x v="2"/>
    <x v="39"/>
    <x v="177"/>
    <x v="2020"/>
    <x v="0"/>
    <s v="PASEO ARRAIJAN"/>
    <x v="4"/>
  </r>
  <r>
    <x v="67"/>
    <x v="13"/>
    <x v="5"/>
    <x v="5"/>
    <x v="0"/>
    <x v="2"/>
    <x v="39"/>
    <x v="120"/>
    <x v="2021"/>
    <x v="0"/>
    <s v="PASEO ARRAIJAN"/>
    <x v="4"/>
  </r>
  <r>
    <x v="67"/>
    <x v="77"/>
    <x v="5"/>
    <x v="5"/>
    <x v="0"/>
    <x v="2"/>
    <x v="39"/>
    <x v="156"/>
    <x v="1303"/>
    <x v="0"/>
    <s v="PASEO ARRAIJAN"/>
    <x v="4"/>
  </r>
  <r>
    <x v="67"/>
    <x v="33"/>
    <x v="1"/>
    <x v="1"/>
    <x v="0"/>
    <x v="2"/>
    <x v="39"/>
    <x v="241"/>
    <x v="2022"/>
    <x v="0"/>
    <s v="PASEO ARRAIJAN"/>
    <x v="4"/>
  </r>
  <r>
    <x v="67"/>
    <x v="128"/>
    <x v="1"/>
    <x v="1"/>
    <x v="0"/>
    <x v="2"/>
    <x v="39"/>
    <x v="164"/>
    <x v="2023"/>
    <x v="0"/>
    <s v="PASEO ARRAIJAN"/>
    <x v="4"/>
  </r>
  <r>
    <x v="67"/>
    <x v="1"/>
    <x v="1"/>
    <x v="1"/>
    <x v="0"/>
    <x v="2"/>
    <x v="1"/>
    <x v="1"/>
    <x v="1"/>
    <x v="575"/>
    <s v="PASEO ARRAIJAN"/>
    <x v="4"/>
  </r>
  <r>
    <x v="68"/>
    <x v="121"/>
    <x v="0"/>
    <x v="0"/>
    <x v="0"/>
    <x v="2"/>
    <x v="40"/>
    <x v="80"/>
    <x v="146"/>
    <x v="0"/>
    <s v="PLAZA NUEVO TOCUMEN"/>
    <x v="4"/>
  </r>
  <r>
    <x v="68"/>
    <x v="160"/>
    <x v="0"/>
    <x v="0"/>
    <x v="0"/>
    <x v="2"/>
    <x v="39"/>
    <x v="179"/>
    <x v="882"/>
    <x v="0"/>
    <s v="PLAZA NUEVO TOCUMEN"/>
    <x v="4"/>
  </r>
  <r>
    <x v="68"/>
    <x v="1"/>
    <x v="1"/>
    <x v="1"/>
    <x v="0"/>
    <x v="2"/>
    <x v="1"/>
    <x v="1"/>
    <x v="1"/>
    <x v="576"/>
    <s v="PLAZA NUEVO TOCUMEN"/>
    <x v="4"/>
  </r>
  <r>
    <x v="69"/>
    <x v="107"/>
    <x v="2"/>
    <x v="2"/>
    <x v="0"/>
    <x v="2"/>
    <x v="39"/>
    <x v="158"/>
    <x v="2024"/>
    <x v="0"/>
    <s v="SANTA MARIA"/>
    <x v="4"/>
  </r>
  <r>
    <x v="69"/>
    <x v="62"/>
    <x v="4"/>
    <x v="4"/>
    <x v="0"/>
    <x v="2"/>
    <x v="39"/>
    <x v="176"/>
    <x v="2025"/>
    <x v="0"/>
    <s v="SANTA MARIA"/>
    <x v="4"/>
  </r>
  <r>
    <x v="69"/>
    <x v="57"/>
    <x v="0"/>
    <x v="0"/>
    <x v="0"/>
    <x v="2"/>
    <x v="39"/>
    <x v="44"/>
    <x v="2026"/>
    <x v="0"/>
    <s v="SANTA MARIA"/>
    <x v="4"/>
  </r>
  <r>
    <x v="69"/>
    <x v="160"/>
    <x v="0"/>
    <x v="0"/>
    <x v="0"/>
    <x v="2"/>
    <x v="39"/>
    <x v="179"/>
    <x v="1543"/>
    <x v="0"/>
    <s v="SANTA MARIA"/>
    <x v="4"/>
  </r>
  <r>
    <x v="69"/>
    <x v="1"/>
    <x v="1"/>
    <x v="1"/>
    <x v="0"/>
    <x v="2"/>
    <x v="1"/>
    <x v="1"/>
    <x v="1"/>
    <x v="577"/>
    <s v="SANTA MARIA"/>
    <x v="4"/>
  </r>
  <r>
    <x v="0"/>
    <x v="171"/>
    <x v="7"/>
    <x v="7"/>
    <x v="1"/>
    <x v="0"/>
    <x v="41"/>
    <x v="257"/>
    <x v="2027"/>
    <x v="0"/>
    <s v="CASA MATRIZ"/>
    <x v="0"/>
  </r>
  <r>
    <x v="0"/>
    <x v="172"/>
    <x v="8"/>
    <x v="8"/>
    <x v="1"/>
    <x v="1"/>
    <x v="42"/>
    <x v="258"/>
    <x v="2028"/>
    <x v="0"/>
    <s v="CASA MATRIZ"/>
    <x v="0"/>
  </r>
  <r>
    <x v="0"/>
    <x v="173"/>
    <x v="8"/>
    <x v="8"/>
    <x v="1"/>
    <x v="1"/>
    <x v="43"/>
    <x v="259"/>
    <x v="2029"/>
    <x v="0"/>
    <s v="CASA MATRIZ"/>
    <x v="0"/>
  </r>
  <r>
    <x v="0"/>
    <x v="174"/>
    <x v="6"/>
    <x v="6"/>
    <x v="1"/>
    <x v="1"/>
    <x v="44"/>
    <x v="260"/>
    <x v="2030"/>
    <x v="0"/>
    <s v="CASA MATRIZ"/>
    <x v="0"/>
  </r>
  <r>
    <x v="1"/>
    <x v="175"/>
    <x v="9"/>
    <x v="9"/>
    <x v="1"/>
    <x v="2"/>
    <x v="45"/>
    <x v="261"/>
    <x v="2031"/>
    <x v="0"/>
    <s v="PAITILLA"/>
    <x v="0"/>
  </r>
  <r>
    <x v="1"/>
    <x v="176"/>
    <x v="10"/>
    <x v="10"/>
    <x v="1"/>
    <x v="2"/>
    <x v="46"/>
    <x v="262"/>
    <x v="2032"/>
    <x v="0"/>
    <s v="PAITILLA"/>
    <x v="0"/>
  </r>
  <r>
    <x v="1"/>
    <x v="177"/>
    <x v="11"/>
    <x v="11"/>
    <x v="1"/>
    <x v="2"/>
    <x v="47"/>
    <x v="263"/>
    <x v="2032"/>
    <x v="0"/>
    <s v="PAITILLA"/>
    <x v="0"/>
  </r>
  <r>
    <x v="1"/>
    <x v="171"/>
    <x v="7"/>
    <x v="7"/>
    <x v="1"/>
    <x v="0"/>
    <x v="41"/>
    <x v="257"/>
    <x v="2033"/>
    <x v="0"/>
    <s v="PAITILLA"/>
    <x v="0"/>
  </r>
  <r>
    <x v="1"/>
    <x v="178"/>
    <x v="9"/>
    <x v="9"/>
    <x v="1"/>
    <x v="0"/>
    <x v="48"/>
    <x v="264"/>
    <x v="2034"/>
    <x v="0"/>
    <s v="PAITILLA"/>
    <x v="0"/>
  </r>
  <r>
    <x v="2"/>
    <x v="179"/>
    <x v="7"/>
    <x v="7"/>
    <x v="1"/>
    <x v="0"/>
    <x v="49"/>
    <x v="265"/>
    <x v="2035"/>
    <x v="0"/>
    <s v="EL DORADO"/>
    <x v="0"/>
  </r>
  <r>
    <x v="2"/>
    <x v="180"/>
    <x v="10"/>
    <x v="10"/>
    <x v="1"/>
    <x v="0"/>
    <x v="50"/>
    <x v="266"/>
    <x v="2036"/>
    <x v="0"/>
    <s v="EL DORADO"/>
    <x v="0"/>
  </r>
  <r>
    <x v="2"/>
    <x v="176"/>
    <x v="10"/>
    <x v="10"/>
    <x v="1"/>
    <x v="0"/>
    <x v="46"/>
    <x v="262"/>
    <x v="2037"/>
    <x v="0"/>
    <s v="EL DORADO"/>
    <x v="0"/>
  </r>
  <r>
    <x v="2"/>
    <x v="174"/>
    <x v="6"/>
    <x v="6"/>
    <x v="1"/>
    <x v="0"/>
    <x v="44"/>
    <x v="260"/>
    <x v="2038"/>
    <x v="0"/>
    <s v="EL DORADO"/>
    <x v="0"/>
  </r>
  <r>
    <x v="2"/>
    <x v="174"/>
    <x v="6"/>
    <x v="6"/>
    <x v="1"/>
    <x v="1"/>
    <x v="44"/>
    <x v="260"/>
    <x v="2039"/>
    <x v="0"/>
    <s v="EL DORADO"/>
    <x v="0"/>
  </r>
  <r>
    <x v="3"/>
    <x v="180"/>
    <x v="10"/>
    <x v="10"/>
    <x v="1"/>
    <x v="2"/>
    <x v="50"/>
    <x v="266"/>
    <x v="2040"/>
    <x v="0"/>
    <s v="VIA ARGENTINA"/>
    <x v="0"/>
  </r>
  <r>
    <x v="3"/>
    <x v="173"/>
    <x v="8"/>
    <x v="8"/>
    <x v="1"/>
    <x v="0"/>
    <x v="43"/>
    <x v="259"/>
    <x v="2041"/>
    <x v="0"/>
    <s v="VIA ARGENTINA"/>
    <x v="0"/>
  </r>
  <r>
    <x v="3"/>
    <x v="176"/>
    <x v="10"/>
    <x v="10"/>
    <x v="1"/>
    <x v="0"/>
    <x v="46"/>
    <x v="262"/>
    <x v="2042"/>
    <x v="0"/>
    <s v="VIA ARGENTINA"/>
    <x v="0"/>
  </r>
  <r>
    <x v="3"/>
    <x v="181"/>
    <x v="11"/>
    <x v="11"/>
    <x v="1"/>
    <x v="0"/>
    <x v="51"/>
    <x v="267"/>
    <x v="2043"/>
    <x v="0"/>
    <s v="VIA ARGENTINA"/>
    <x v="0"/>
  </r>
  <r>
    <x v="4"/>
    <x v="172"/>
    <x v="8"/>
    <x v="8"/>
    <x v="1"/>
    <x v="2"/>
    <x v="42"/>
    <x v="258"/>
    <x v="2044"/>
    <x v="0"/>
    <s v="VIA PORRAS"/>
    <x v="0"/>
  </r>
  <r>
    <x v="4"/>
    <x v="178"/>
    <x v="9"/>
    <x v="9"/>
    <x v="1"/>
    <x v="2"/>
    <x v="48"/>
    <x v="264"/>
    <x v="2045"/>
    <x v="0"/>
    <s v="VIA PORRAS"/>
    <x v="0"/>
  </r>
  <r>
    <x v="4"/>
    <x v="181"/>
    <x v="11"/>
    <x v="11"/>
    <x v="1"/>
    <x v="2"/>
    <x v="51"/>
    <x v="267"/>
    <x v="2046"/>
    <x v="0"/>
    <s v="VIA PORRAS"/>
    <x v="0"/>
  </r>
  <r>
    <x v="4"/>
    <x v="182"/>
    <x v="2"/>
    <x v="2"/>
    <x v="1"/>
    <x v="2"/>
    <x v="52"/>
    <x v="268"/>
    <x v="2047"/>
    <x v="0"/>
    <s v="VIA PORRAS"/>
    <x v="0"/>
  </r>
  <r>
    <x v="4"/>
    <x v="183"/>
    <x v="2"/>
    <x v="2"/>
    <x v="1"/>
    <x v="2"/>
    <x v="53"/>
    <x v="269"/>
    <x v="2048"/>
    <x v="0"/>
    <s v="VIA PORRAS"/>
    <x v="0"/>
  </r>
  <r>
    <x v="4"/>
    <x v="184"/>
    <x v="6"/>
    <x v="6"/>
    <x v="1"/>
    <x v="2"/>
    <x v="54"/>
    <x v="270"/>
    <x v="2049"/>
    <x v="0"/>
    <s v="VIA PORRAS"/>
    <x v="0"/>
  </r>
  <r>
    <x v="4"/>
    <x v="179"/>
    <x v="7"/>
    <x v="7"/>
    <x v="1"/>
    <x v="0"/>
    <x v="49"/>
    <x v="265"/>
    <x v="2050"/>
    <x v="0"/>
    <s v="VIA PORRAS"/>
    <x v="0"/>
  </r>
  <r>
    <x v="4"/>
    <x v="171"/>
    <x v="7"/>
    <x v="7"/>
    <x v="1"/>
    <x v="0"/>
    <x v="41"/>
    <x v="257"/>
    <x v="2051"/>
    <x v="0"/>
    <s v="VIA PORRAS"/>
    <x v="0"/>
  </r>
  <r>
    <x v="4"/>
    <x v="172"/>
    <x v="8"/>
    <x v="8"/>
    <x v="1"/>
    <x v="0"/>
    <x v="42"/>
    <x v="258"/>
    <x v="2052"/>
    <x v="0"/>
    <s v="VIA PORRAS"/>
    <x v="0"/>
  </r>
  <r>
    <x v="4"/>
    <x v="173"/>
    <x v="8"/>
    <x v="8"/>
    <x v="1"/>
    <x v="0"/>
    <x v="43"/>
    <x v="259"/>
    <x v="2053"/>
    <x v="0"/>
    <s v="VIA PORRAS"/>
    <x v="0"/>
  </r>
  <r>
    <x v="4"/>
    <x v="175"/>
    <x v="9"/>
    <x v="9"/>
    <x v="1"/>
    <x v="0"/>
    <x v="45"/>
    <x v="261"/>
    <x v="2054"/>
    <x v="0"/>
    <s v="VIA PORRAS"/>
    <x v="0"/>
  </r>
  <r>
    <x v="4"/>
    <x v="178"/>
    <x v="9"/>
    <x v="9"/>
    <x v="1"/>
    <x v="0"/>
    <x v="48"/>
    <x v="264"/>
    <x v="2055"/>
    <x v="0"/>
    <s v="VIA PORRAS"/>
    <x v="0"/>
  </r>
  <r>
    <x v="4"/>
    <x v="180"/>
    <x v="10"/>
    <x v="10"/>
    <x v="1"/>
    <x v="0"/>
    <x v="50"/>
    <x v="266"/>
    <x v="2056"/>
    <x v="0"/>
    <s v="VIA PORRAS"/>
    <x v="0"/>
  </r>
  <r>
    <x v="4"/>
    <x v="176"/>
    <x v="10"/>
    <x v="10"/>
    <x v="1"/>
    <x v="0"/>
    <x v="46"/>
    <x v="262"/>
    <x v="2057"/>
    <x v="0"/>
    <s v="VIA PORRAS"/>
    <x v="0"/>
  </r>
  <r>
    <x v="4"/>
    <x v="177"/>
    <x v="11"/>
    <x v="11"/>
    <x v="1"/>
    <x v="0"/>
    <x v="47"/>
    <x v="263"/>
    <x v="2058"/>
    <x v="0"/>
    <s v="VIA PORRAS"/>
    <x v="0"/>
  </r>
  <r>
    <x v="4"/>
    <x v="181"/>
    <x v="11"/>
    <x v="11"/>
    <x v="1"/>
    <x v="0"/>
    <x v="51"/>
    <x v="267"/>
    <x v="2059"/>
    <x v="0"/>
    <s v="VIA PORRAS"/>
    <x v="0"/>
  </r>
  <r>
    <x v="4"/>
    <x v="182"/>
    <x v="2"/>
    <x v="2"/>
    <x v="1"/>
    <x v="0"/>
    <x v="52"/>
    <x v="268"/>
    <x v="2060"/>
    <x v="0"/>
    <s v="VIA PORRAS"/>
    <x v="0"/>
  </r>
  <r>
    <x v="4"/>
    <x v="183"/>
    <x v="2"/>
    <x v="2"/>
    <x v="1"/>
    <x v="0"/>
    <x v="53"/>
    <x v="269"/>
    <x v="2061"/>
    <x v="0"/>
    <s v="VIA PORRAS"/>
    <x v="0"/>
  </r>
  <r>
    <x v="4"/>
    <x v="184"/>
    <x v="6"/>
    <x v="6"/>
    <x v="1"/>
    <x v="0"/>
    <x v="54"/>
    <x v="270"/>
    <x v="2062"/>
    <x v="0"/>
    <s v="VIA PORRAS"/>
    <x v="0"/>
  </r>
  <r>
    <x v="4"/>
    <x v="174"/>
    <x v="6"/>
    <x v="6"/>
    <x v="1"/>
    <x v="0"/>
    <x v="44"/>
    <x v="260"/>
    <x v="2063"/>
    <x v="0"/>
    <s v="VIA PORRAS"/>
    <x v="0"/>
  </r>
  <r>
    <x v="4"/>
    <x v="177"/>
    <x v="11"/>
    <x v="11"/>
    <x v="1"/>
    <x v="1"/>
    <x v="47"/>
    <x v="263"/>
    <x v="2064"/>
    <x v="0"/>
    <s v="VIA PORRAS"/>
    <x v="0"/>
  </r>
  <r>
    <x v="4"/>
    <x v="182"/>
    <x v="2"/>
    <x v="2"/>
    <x v="1"/>
    <x v="1"/>
    <x v="52"/>
    <x v="268"/>
    <x v="2065"/>
    <x v="0"/>
    <s v="VIA PORRAS"/>
    <x v="0"/>
  </r>
  <r>
    <x v="4"/>
    <x v="184"/>
    <x v="6"/>
    <x v="6"/>
    <x v="1"/>
    <x v="1"/>
    <x v="54"/>
    <x v="270"/>
    <x v="2066"/>
    <x v="0"/>
    <s v="VIA PORRAS"/>
    <x v="0"/>
  </r>
  <r>
    <x v="4"/>
    <x v="174"/>
    <x v="6"/>
    <x v="6"/>
    <x v="1"/>
    <x v="1"/>
    <x v="44"/>
    <x v="260"/>
    <x v="2067"/>
    <x v="0"/>
    <s v="VIA PORRAS"/>
    <x v="0"/>
  </r>
  <r>
    <x v="5"/>
    <x v="179"/>
    <x v="7"/>
    <x v="7"/>
    <x v="1"/>
    <x v="0"/>
    <x v="49"/>
    <x v="265"/>
    <x v="2068"/>
    <x v="0"/>
    <s v="EL INGENIO"/>
    <x v="0"/>
  </r>
  <r>
    <x v="5"/>
    <x v="171"/>
    <x v="7"/>
    <x v="7"/>
    <x v="1"/>
    <x v="0"/>
    <x v="41"/>
    <x v="257"/>
    <x v="2069"/>
    <x v="0"/>
    <s v="EL INGENIO"/>
    <x v="0"/>
  </r>
  <r>
    <x v="5"/>
    <x v="181"/>
    <x v="11"/>
    <x v="11"/>
    <x v="1"/>
    <x v="1"/>
    <x v="51"/>
    <x v="267"/>
    <x v="170"/>
    <x v="0"/>
    <s v="EL INGENIO"/>
    <x v="0"/>
  </r>
  <r>
    <x v="5"/>
    <x v="184"/>
    <x v="6"/>
    <x v="6"/>
    <x v="1"/>
    <x v="1"/>
    <x v="54"/>
    <x v="270"/>
    <x v="2070"/>
    <x v="0"/>
    <s v="EL INGENIO"/>
    <x v="0"/>
  </r>
  <r>
    <x v="6"/>
    <x v="180"/>
    <x v="10"/>
    <x v="10"/>
    <x v="1"/>
    <x v="0"/>
    <x v="50"/>
    <x v="266"/>
    <x v="2071"/>
    <x v="0"/>
    <s v="CHANIS"/>
    <x v="0"/>
  </r>
  <r>
    <x v="6"/>
    <x v="176"/>
    <x v="10"/>
    <x v="10"/>
    <x v="1"/>
    <x v="0"/>
    <x v="46"/>
    <x v="262"/>
    <x v="2072"/>
    <x v="0"/>
    <s v="CHANIS"/>
    <x v="0"/>
  </r>
  <r>
    <x v="7"/>
    <x v="176"/>
    <x v="10"/>
    <x v="10"/>
    <x v="1"/>
    <x v="1"/>
    <x v="46"/>
    <x v="262"/>
    <x v="2073"/>
    <x v="0"/>
    <s v="PLAZA TOCUMEN"/>
    <x v="0"/>
  </r>
  <r>
    <x v="8"/>
    <x v="175"/>
    <x v="9"/>
    <x v="9"/>
    <x v="1"/>
    <x v="0"/>
    <x v="45"/>
    <x v="261"/>
    <x v="1046"/>
    <x v="0"/>
    <s v="SANTIAGO"/>
    <x v="0"/>
  </r>
  <r>
    <x v="9"/>
    <x v="172"/>
    <x v="8"/>
    <x v="8"/>
    <x v="1"/>
    <x v="2"/>
    <x v="42"/>
    <x v="258"/>
    <x v="2074"/>
    <x v="0"/>
    <s v="OBARRIO"/>
    <x v="0"/>
  </r>
  <r>
    <x v="9"/>
    <x v="179"/>
    <x v="7"/>
    <x v="7"/>
    <x v="1"/>
    <x v="0"/>
    <x v="49"/>
    <x v="265"/>
    <x v="2075"/>
    <x v="0"/>
    <s v="OBARRIO"/>
    <x v="0"/>
  </r>
  <r>
    <x v="9"/>
    <x v="171"/>
    <x v="7"/>
    <x v="7"/>
    <x v="1"/>
    <x v="0"/>
    <x v="41"/>
    <x v="257"/>
    <x v="2076"/>
    <x v="0"/>
    <s v="OBARRIO"/>
    <x v="0"/>
  </r>
  <r>
    <x v="9"/>
    <x v="172"/>
    <x v="8"/>
    <x v="8"/>
    <x v="1"/>
    <x v="0"/>
    <x v="42"/>
    <x v="258"/>
    <x v="2077"/>
    <x v="0"/>
    <s v="OBARRIO"/>
    <x v="0"/>
  </r>
  <r>
    <x v="9"/>
    <x v="173"/>
    <x v="8"/>
    <x v="8"/>
    <x v="1"/>
    <x v="0"/>
    <x v="43"/>
    <x v="259"/>
    <x v="2078"/>
    <x v="0"/>
    <s v="OBARRIO"/>
    <x v="0"/>
  </r>
  <r>
    <x v="9"/>
    <x v="175"/>
    <x v="9"/>
    <x v="9"/>
    <x v="1"/>
    <x v="0"/>
    <x v="45"/>
    <x v="261"/>
    <x v="2079"/>
    <x v="0"/>
    <s v="OBARRIO"/>
    <x v="0"/>
  </r>
  <r>
    <x v="9"/>
    <x v="178"/>
    <x v="9"/>
    <x v="9"/>
    <x v="1"/>
    <x v="0"/>
    <x v="48"/>
    <x v="264"/>
    <x v="2080"/>
    <x v="0"/>
    <s v="OBARRIO"/>
    <x v="0"/>
  </r>
  <r>
    <x v="9"/>
    <x v="180"/>
    <x v="10"/>
    <x v="10"/>
    <x v="1"/>
    <x v="0"/>
    <x v="50"/>
    <x v="266"/>
    <x v="2081"/>
    <x v="0"/>
    <s v="OBARRIO"/>
    <x v="0"/>
  </r>
  <r>
    <x v="9"/>
    <x v="176"/>
    <x v="10"/>
    <x v="10"/>
    <x v="1"/>
    <x v="0"/>
    <x v="46"/>
    <x v="262"/>
    <x v="2082"/>
    <x v="0"/>
    <s v="OBARRIO"/>
    <x v="0"/>
  </r>
  <r>
    <x v="9"/>
    <x v="177"/>
    <x v="11"/>
    <x v="11"/>
    <x v="1"/>
    <x v="0"/>
    <x v="47"/>
    <x v="263"/>
    <x v="2083"/>
    <x v="0"/>
    <s v="OBARRIO"/>
    <x v="0"/>
  </r>
  <r>
    <x v="9"/>
    <x v="181"/>
    <x v="11"/>
    <x v="11"/>
    <x v="1"/>
    <x v="0"/>
    <x v="51"/>
    <x v="267"/>
    <x v="2084"/>
    <x v="0"/>
    <s v="OBARRIO"/>
    <x v="0"/>
  </r>
  <r>
    <x v="9"/>
    <x v="182"/>
    <x v="2"/>
    <x v="2"/>
    <x v="1"/>
    <x v="0"/>
    <x v="52"/>
    <x v="268"/>
    <x v="2085"/>
    <x v="0"/>
    <s v="OBARRIO"/>
    <x v="0"/>
  </r>
  <r>
    <x v="9"/>
    <x v="183"/>
    <x v="2"/>
    <x v="2"/>
    <x v="1"/>
    <x v="0"/>
    <x v="53"/>
    <x v="269"/>
    <x v="2086"/>
    <x v="0"/>
    <s v="OBARRIO"/>
    <x v="0"/>
  </r>
  <r>
    <x v="9"/>
    <x v="174"/>
    <x v="6"/>
    <x v="6"/>
    <x v="1"/>
    <x v="0"/>
    <x v="44"/>
    <x v="260"/>
    <x v="2087"/>
    <x v="0"/>
    <s v="OBARRIO"/>
    <x v="0"/>
  </r>
  <r>
    <x v="9"/>
    <x v="173"/>
    <x v="8"/>
    <x v="8"/>
    <x v="1"/>
    <x v="1"/>
    <x v="43"/>
    <x v="259"/>
    <x v="2088"/>
    <x v="0"/>
    <s v="OBARRIO"/>
    <x v="0"/>
  </r>
  <r>
    <x v="9"/>
    <x v="175"/>
    <x v="9"/>
    <x v="9"/>
    <x v="1"/>
    <x v="1"/>
    <x v="45"/>
    <x v="261"/>
    <x v="2089"/>
    <x v="0"/>
    <s v="OBARRIO"/>
    <x v="0"/>
  </r>
  <r>
    <x v="9"/>
    <x v="181"/>
    <x v="11"/>
    <x v="11"/>
    <x v="1"/>
    <x v="1"/>
    <x v="51"/>
    <x v="267"/>
    <x v="2088"/>
    <x v="0"/>
    <s v="OBARRIO"/>
    <x v="0"/>
  </r>
  <r>
    <x v="9"/>
    <x v="183"/>
    <x v="2"/>
    <x v="2"/>
    <x v="1"/>
    <x v="1"/>
    <x v="53"/>
    <x v="269"/>
    <x v="2090"/>
    <x v="0"/>
    <s v="OBARRIO"/>
    <x v="0"/>
  </r>
  <r>
    <x v="9"/>
    <x v="184"/>
    <x v="6"/>
    <x v="6"/>
    <x v="1"/>
    <x v="1"/>
    <x v="54"/>
    <x v="270"/>
    <x v="2091"/>
    <x v="0"/>
    <s v="OBARRIO"/>
    <x v="0"/>
  </r>
  <r>
    <x v="9"/>
    <x v="174"/>
    <x v="6"/>
    <x v="6"/>
    <x v="1"/>
    <x v="1"/>
    <x v="44"/>
    <x v="260"/>
    <x v="2065"/>
    <x v="0"/>
    <s v="OBARRIO"/>
    <x v="0"/>
  </r>
  <r>
    <x v="10"/>
    <x v="179"/>
    <x v="7"/>
    <x v="7"/>
    <x v="1"/>
    <x v="2"/>
    <x v="49"/>
    <x v="265"/>
    <x v="2092"/>
    <x v="0"/>
    <s v="HATO PINTADO"/>
    <x v="0"/>
  </r>
  <r>
    <x v="10"/>
    <x v="172"/>
    <x v="8"/>
    <x v="8"/>
    <x v="1"/>
    <x v="2"/>
    <x v="42"/>
    <x v="258"/>
    <x v="2093"/>
    <x v="0"/>
    <s v="HATO PINTADO"/>
    <x v="0"/>
  </r>
  <r>
    <x v="10"/>
    <x v="180"/>
    <x v="10"/>
    <x v="10"/>
    <x v="1"/>
    <x v="2"/>
    <x v="50"/>
    <x v="266"/>
    <x v="2094"/>
    <x v="0"/>
    <s v="HATO PINTADO"/>
    <x v="0"/>
  </r>
  <r>
    <x v="10"/>
    <x v="176"/>
    <x v="10"/>
    <x v="10"/>
    <x v="1"/>
    <x v="2"/>
    <x v="46"/>
    <x v="262"/>
    <x v="2095"/>
    <x v="0"/>
    <s v="HATO PINTADO"/>
    <x v="0"/>
  </r>
  <r>
    <x v="10"/>
    <x v="177"/>
    <x v="11"/>
    <x v="11"/>
    <x v="1"/>
    <x v="2"/>
    <x v="47"/>
    <x v="263"/>
    <x v="2096"/>
    <x v="0"/>
    <s v="HATO PINTADO"/>
    <x v="0"/>
  </r>
  <r>
    <x v="10"/>
    <x v="179"/>
    <x v="7"/>
    <x v="7"/>
    <x v="1"/>
    <x v="0"/>
    <x v="49"/>
    <x v="265"/>
    <x v="2097"/>
    <x v="0"/>
    <s v="HATO PINTADO"/>
    <x v="0"/>
  </r>
  <r>
    <x v="10"/>
    <x v="171"/>
    <x v="7"/>
    <x v="7"/>
    <x v="1"/>
    <x v="0"/>
    <x v="41"/>
    <x v="257"/>
    <x v="2098"/>
    <x v="0"/>
    <s v="HATO PINTADO"/>
    <x v="0"/>
  </r>
  <r>
    <x v="10"/>
    <x v="172"/>
    <x v="8"/>
    <x v="8"/>
    <x v="1"/>
    <x v="0"/>
    <x v="42"/>
    <x v="258"/>
    <x v="2099"/>
    <x v="0"/>
    <s v="HATO PINTADO"/>
    <x v="0"/>
  </r>
  <r>
    <x v="10"/>
    <x v="173"/>
    <x v="8"/>
    <x v="8"/>
    <x v="1"/>
    <x v="0"/>
    <x v="43"/>
    <x v="259"/>
    <x v="2100"/>
    <x v="0"/>
    <s v="HATO PINTADO"/>
    <x v="0"/>
  </r>
  <r>
    <x v="10"/>
    <x v="185"/>
    <x v="8"/>
    <x v="8"/>
    <x v="1"/>
    <x v="0"/>
    <x v="55"/>
    <x v="271"/>
    <x v="2101"/>
    <x v="0"/>
    <s v="HATO PINTADO"/>
    <x v="0"/>
  </r>
  <r>
    <x v="10"/>
    <x v="175"/>
    <x v="9"/>
    <x v="9"/>
    <x v="1"/>
    <x v="0"/>
    <x v="45"/>
    <x v="261"/>
    <x v="2102"/>
    <x v="0"/>
    <s v="HATO PINTADO"/>
    <x v="0"/>
  </r>
  <r>
    <x v="10"/>
    <x v="178"/>
    <x v="9"/>
    <x v="9"/>
    <x v="1"/>
    <x v="0"/>
    <x v="48"/>
    <x v="264"/>
    <x v="2103"/>
    <x v="0"/>
    <s v="HATO PINTADO"/>
    <x v="0"/>
  </r>
  <r>
    <x v="10"/>
    <x v="180"/>
    <x v="10"/>
    <x v="10"/>
    <x v="1"/>
    <x v="0"/>
    <x v="50"/>
    <x v="266"/>
    <x v="2104"/>
    <x v="0"/>
    <s v="HATO PINTADO"/>
    <x v="0"/>
  </r>
  <r>
    <x v="10"/>
    <x v="176"/>
    <x v="10"/>
    <x v="10"/>
    <x v="1"/>
    <x v="0"/>
    <x v="46"/>
    <x v="262"/>
    <x v="2105"/>
    <x v="0"/>
    <s v="HATO PINTADO"/>
    <x v="0"/>
  </r>
  <r>
    <x v="10"/>
    <x v="177"/>
    <x v="11"/>
    <x v="11"/>
    <x v="1"/>
    <x v="0"/>
    <x v="47"/>
    <x v="263"/>
    <x v="2106"/>
    <x v="0"/>
    <s v="HATO PINTADO"/>
    <x v="0"/>
  </r>
  <r>
    <x v="10"/>
    <x v="181"/>
    <x v="11"/>
    <x v="11"/>
    <x v="1"/>
    <x v="0"/>
    <x v="51"/>
    <x v="267"/>
    <x v="2107"/>
    <x v="0"/>
    <s v="HATO PINTADO"/>
    <x v="0"/>
  </r>
  <r>
    <x v="10"/>
    <x v="182"/>
    <x v="2"/>
    <x v="2"/>
    <x v="1"/>
    <x v="0"/>
    <x v="52"/>
    <x v="268"/>
    <x v="2108"/>
    <x v="0"/>
    <s v="HATO PINTADO"/>
    <x v="0"/>
  </r>
  <r>
    <x v="10"/>
    <x v="183"/>
    <x v="2"/>
    <x v="2"/>
    <x v="1"/>
    <x v="0"/>
    <x v="53"/>
    <x v="269"/>
    <x v="2109"/>
    <x v="0"/>
    <s v="HATO PINTADO"/>
    <x v="0"/>
  </r>
  <r>
    <x v="10"/>
    <x v="184"/>
    <x v="6"/>
    <x v="6"/>
    <x v="1"/>
    <x v="0"/>
    <x v="54"/>
    <x v="270"/>
    <x v="2110"/>
    <x v="0"/>
    <s v="HATO PINTADO"/>
    <x v="0"/>
  </r>
  <r>
    <x v="10"/>
    <x v="174"/>
    <x v="6"/>
    <x v="6"/>
    <x v="1"/>
    <x v="0"/>
    <x v="44"/>
    <x v="260"/>
    <x v="2111"/>
    <x v="0"/>
    <s v="HATO PINTADO"/>
    <x v="0"/>
  </r>
  <r>
    <x v="10"/>
    <x v="179"/>
    <x v="7"/>
    <x v="7"/>
    <x v="1"/>
    <x v="1"/>
    <x v="49"/>
    <x v="265"/>
    <x v="2112"/>
    <x v="0"/>
    <s v="HATO PINTADO"/>
    <x v="0"/>
  </r>
  <r>
    <x v="10"/>
    <x v="172"/>
    <x v="8"/>
    <x v="8"/>
    <x v="1"/>
    <x v="1"/>
    <x v="42"/>
    <x v="258"/>
    <x v="2113"/>
    <x v="0"/>
    <s v="HATO PINTADO"/>
    <x v="0"/>
  </r>
  <r>
    <x v="10"/>
    <x v="173"/>
    <x v="8"/>
    <x v="8"/>
    <x v="1"/>
    <x v="1"/>
    <x v="43"/>
    <x v="259"/>
    <x v="114"/>
    <x v="0"/>
    <s v="HATO PINTADO"/>
    <x v="0"/>
  </r>
  <r>
    <x v="10"/>
    <x v="175"/>
    <x v="9"/>
    <x v="9"/>
    <x v="1"/>
    <x v="1"/>
    <x v="45"/>
    <x v="261"/>
    <x v="2114"/>
    <x v="0"/>
    <s v="HATO PINTADO"/>
    <x v="0"/>
  </r>
  <r>
    <x v="10"/>
    <x v="180"/>
    <x v="10"/>
    <x v="10"/>
    <x v="1"/>
    <x v="1"/>
    <x v="50"/>
    <x v="266"/>
    <x v="1551"/>
    <x v="0"/>
    <s v="HATO PINTADO"/>
    <x v="0"/>
  </r>
  <r>
    <x v="10"/>
    <x v="176"/>
    <x v="10"/>
    <x v="10"/>
    <x v="1"/>
    <x v="1"/>
    <x v="46"/>
    <x v="262"/>
    <x v="2115"/>
    <x v="0"/>
    <s v="HATO PINTADO"/>
    <x v="0"/>
  </r>
  <r>
    <x v="10"/>
    <x v="177"/>
    <x v="11"/>
    <x v="11"/>
    <x v="1"/>
    <x v="1"/>
    <x v="47"/>
    <x v="263"/>
    <x v="1353"/>
    <x v="0"/>
    <s v="HATO PINTADO"/>
    <x v="0"/>
  </r>
  <r>
    <x v="10"/>
    <x v="183"/>
    <x v="2"/>
    <x v="2"/>
    <x v="1"/>
    <x v="1"/>
    <x v="53"/>
    <x v="269"/>
    <x v="2116"/>
    <x v="0"/>
    <s v="HATO PINTADO"/>
    <x v="0"/>
  </r>
  <r>
    <x v="10"/>
    <x v="184"/>
    <x v="6"/>
    <x v="6"/>
    <x v="1"/>
    <x v="1"/>
    <x v="54"/>
    <x v="270"/>
    <x v="2117"/>
    <x v="0"/>
    <s v="HATO PINTADO"/>
    <x v="0"/>
  </r>
  <r>
    <x v="10"/>
    <x v="174"/>
    <x v="6"/>
    <x v="6"/>
    <x v="1"/>
    <x v="1"/>
    <x v="44"/>
    <x v="260"/>
    <x v="2118"/>
    <x v="0"/>
    <s v="HATO PINTADO"/>
    <x v="0"/>
  </r>
  <r>
    <x v="12"/>
    <x v="171"/>
    <x v="7"/>
    <x v="7"/>
    <x v="1"/>
    <x v="2"/>
    <x v="41"/>
    <x v="257"/>
    <x v="831"/>
    <x v="0"/>
    <s v="LA CHORRERA"/>
    <x v="0"/>
  </r>
  <r>
    <x v="12"/>
    <x v="172"/>
    <x v="8"/>
    <x v="8"/>
    <x v="1"/>
    <x v="2"/>
    <x v="42"/>
    <x v="258"/>
    <x v="831"/>
    <x v="0"/>
    <s v="LA CHORRERA"/>
    <x v="0"/>
  </r>
  <r>
    <x v="12"/>
    <x v="173"/>
    <x v="8"/>
    <x v="8"/>
    <x v="1"/>
    <x v="2"/>
    <x v="43"/>
    <x v="259"/>
    <x v="831"/>
    <x v="0"/>
    <s v="LA CHORRERA"/>
    <x v="0"/>
  </r>
  <r>
    <x v="12"/>
    <x v="179"/>
    <x v="7"/>
    <x v="7"/>
    <x v="1"/>
    <x v="0"/>
    <x v="49"/>
    <x v="265"/>
    <x v="2119"/>
    <x v="0"/>
    <s v="LA CHORRERA"/>
    <x v="0"/>
  </r>
  <r>
    <x v="12"/>
    <x v="171"/>
    <x v="7"/>
    <x v="7"/>
    <x v="1"/>
    <x v="0"/>
    <x v="41"/>
    <x v="257"/>
    <x v="2120"/>
    <x v="0"/>
    <s v="LA CHORRERA"/>
    <x v="0"/>
  </r>
  <r>
    <x v="12"/>
    <x v="182"/>
    <x v="2"/>
    <x v="2"/>
    <x v="1"/>
    <x v="0"/>
    <x v="52"/>
    <x v="268"/>
    <x v="1683"/>
    <x v="0"/>
    <s v="LA CHORRERA"/>
    <x v="0"/>
  </r>
  <r>
    <x v="12"/>
    <x v="184"/>
    <x v="6"/>
    <x v="6"/>
    <x v="1"/>
    <x v="0"/>
    <x v="54"/>
    <x v="270"/>
    <x v="2121"/>
    <x v="0"/>
    <s v="LA CHORRERA"/>
    <x v="0"/>
  </r>
  <r>
    <x v="12"/>
    <x v="176"/>
    <x v="10"/>
    <x v="10"/>
    <x v="1"/>
    <x v="1"/>
    <x v="46"/>
    <x v="262"/>
    <x v="2122"/>
    <x v="0"/>
    <s v="LA CHORRERA"/>
    <x v="0"/>
  </r>
  <r>
    <x v="13"/>
    <x v="171"/>
    <x v="7"/>
    <x v="7"/>
    <x v="1"/>
    <x v="0"/>
    <x v="41"/>
    <x v="257"/>
    <x v="2123"/>
    <x v="0"/>
    <s v="AVENIDA CENTRAL"/>
    <x v="0"/>
  </r>
  <r>
    <x v="14"/>
    <x v="180"/>
    <x v="10"/>
    <x v="10"/>
    <x v="1"/>
    <x v="2"/>
    <x v="50"/>
    <x v="266"/>
    <x v="2124"/>
    <x v="0"/>
    <s v="LOS ANGELES"/>
    <x v="0"/>
  </r>
  <r>
    <x v="14"/>
    <x v="171"/>
    <x v="7"/>
    <x v="7"/>
    <x v="1"/>
    <x v="0"/>
    <x v="41"/>
    <x v="257"/>
    <x v="1694"/>
    <x v="0"/>
    <s v="LOS ANGELES"/>
    <x v="0"/>
  </r>
  <r>
    <x v="14"/>
    <x v="173"/>
    <x v="8"/>
    <x v="8"/>
    <x v="1"/>
    <x v="0"/>
    <x v="43"/>
    <x v="259"/>
    <x v="1781"/>
    <x v="0"/>
    <s v="LOS ANGELES"/>
    <x v="0"/>
  </r>
  <r>
    <x v="14"/>
    <x v="175"/>
    <x v="9"/>
    <x v="9"/>
    <x v="1"/>
    <x v="0"/>
    <x v="45"/>
    <x v="261"/>
    <x v="2125"/>
    <x v="0"/>
    <s v="LOS ANGELES"/>
    <x v="0"/>
  </r>
  <r>
    <x v="15"/>
    <x v="175"/>
    <x v="9"/>
    <x v="9"/>
    <x v="1"/>
    <x v="2"/>
    <x v="45"/>
    <x v="261"/>
    <x v="2126"/>
    <x v="0"/>
    <s v="VILLA LUCRE"/>
    <x v="0"/>
  </r>
  <r>
    <x v="15"/>
    <x v="179"/>
    <x v="7"/>
    <x v="7"/>
    <x v="1"/>
    <x v="0"/>
    <x v="49"/>
    <x v="265"/>
    <x v="2127"/>
    <x v="0"/>
    <s v="VILLA LUCRE"/>
    <x v="0"/>
  </r>
  <r>
    <x v="15"/>
    <x v="171"/>
    <x v="7"/>
    <x v="7"/>
    <x v="1"/>
    <x v="0"/>
    <x v="41"/>
    <x v="257"/>
    <x v="2128"/>
    <x v="0"/>
    <s v="VILLA LUCRE"/>
    <x v="0"/>
  </r>
  <r>
    <x v="15"/>
    <x v="172"/>
    <x v="8"/>
    <x v="8"/>
    <x v="1"/>
    <x v="0"/>
    <x v="42"/>
    <x v="258"/>
    <x v="2129"/>
    <x v="0"/>
    <s v="VILLA LUCRE"/>
    <x v="0"/>
  </r>
  <r>
    <x v="15"/>
    <x v="173"/>
    <x v="8"/>
    <x v="8"/>
    <x v="1"/>
    <x v="0"/>
    <x v="43"/>
    <x v="259"/>
    <x v="2130"/>
    <x v="0"/>
    <s v="VILLA LUCRE"/>
    <x v="0"/>
  </r>
  <r>
    <x v="15"/>
    <x v="175"/>
    <x v="9"/>
    <x v="9"/>
    <x v="1"/>
    <x v="0"/>
    <x v="45"/>
    <x v="261"/>
    <x v="2131"/>
    <x v="0"/>
    <s v="VILLA LUCRE"/>
    <x v="0"/>
  </r>
  <r>
    <x v="15"/>
    <x v="178"/>
    <x v="9"/>
    <x v="9"/>
    <x v="1"/>
    <x v="0"/>
    <x v="48"/>
    <x v="264"/>
    <x v="2132"/>
    <x v="0"/>
    <s v="VILLA LUCRE"/>
    <x v="0"/>
  </r>
  <r>
    <x v="15"/>
    <x v="180"/>
    <x v="10"/>
    <x v="10"/>
    <x v="1"/>
    <x v="0"/>
    <x v="50"/>
    <x v="266"/>
    <x v="2133"/>
    <x v="0"/>
    <s v="VILLA LUCRE"/>
    <x v="0"/>
  </r>
  <r>
    <x v="15"/>
    <x v="176"/>
    <x v="10"/>
    <x v="10"/>
    <x v="1"/>
    <x v="0"/>
    <x v="46"/>
    <x v="262"/>
    <x v="2134"/>
    <x v="0"/>
    <s v="VILLA LUCRE"/>
    <x v="0"/>
  </r>
  <r>
    <x v="15"/>
    <x v="177"/>
    <x v="11"/>
    <x v="11"/>
    <x v="1"/>
    <x v="0"/>
    <x v="47"/>
    <x v="263"/>
    <x v="2135"/>
    <x v="0"/>
    <s v="VILLA LUCRE"/>
    <x v="0"/>
  </r>
  <r>
    <x v="15"/>
    <x v="181"/>
    <x v="11"/>
    <x v="11"/>
    <x v="1"/>
    <x v="0"/>
    <x v="51"/>
    <x v="267"/>
    <x v="2136"/>
    <x v="0"/>
    <s v="VILLA LUCRE"/>
    <x v="0"/>
  </r>
  <r>
    <x v="15"/>
    <x v="182"/>
    <x v="2"/>
    <x v="2"/>
    <x v="1"/>
    <x v="0"/>
    <x v="52"/>
    <x v="268"/>
    <x v="2137"/>
    <x v="0"/>
    <s v="VILLA LUCRE"/>
    <x v="0"/>
  </r>
  <r>
    <x v="15"/>
    <x v="183"/>
    <x v="2"/>
    <x v="2"/>
    <x v="1"/>
    <x v="0"/>
    <x v="53"/>
    <x v="269"/>
    <x v="2138"/>
    <x v="0"/>
    <s v="VILLA LUCRE"/>
    <x v="0"/>
  </r>
  <r>
    <x v="15"/>
    <x v="184"/>
    <x v="6"/>
    <x v="6"/>
    <x v="1"/>
    <x v="0"/>
    <x v="54"/>
    <x v="270"/>
    <x v="2139"/>
    <x v="0"/>
    <s v="VILLA LUCRE"/>
    <x v="0"/>
  </r>
  <r>
    <x v="15"/>
    <x v="174"/>
    <x v="6"/>
    <x v="6"/>
    <x v="1"/>
    <x v="0"/>
    <x v="44"/>
    <x v="260"/>
    <x v="2140"/>
    <x v="0"/>
    <s v="VILLA LUCRE"/>
    <x v="0"/>
  </r>
  <r>
    <x v="15"/>
    <x v="177"/>
    <x v="11"/>
    <x v="11"/>
    <x v="1"/>
    <x v="1"/>
    <x v="47"/>
    <x v="263"/>
    <x v="734"/>
    <x v="0"/>
    <s v="VILLA LUCRE"/>
    <x v="0"/>
  </r>
  <r>
    <x v="15"/>
    <x v="174"/>
    <x v="6"/>
    <x v="6"/>
    <x v="1"/>
    <x v="1"/>
    <x v="44"/>
    <x v="260"/>
    <x v="2141"/>
    <x v="0"/>
    <s v="VILLA LUCRE"/>
    <x v="0"/>
  </r>
  <r>
    <x v="16"/>
    <x v="172"/>
    <x v="8"/>
    <x v="8"/>
    <x v="1"/>
    <x v="2"/>
    <x v="42"/>
    <x v="258"/>
    <x v="2142"/>
    <x v="0"/>
    <s v="LOS ANDES"/>
    <x v="0"/>
  </r>
  <r>
    <x v="16"/>
    <x v="173"/>
    <x v="8"/>
    <x v="8"/>
    <x v="1"/>
    <x v="2"/>
    <x v="43"/>
    <x v="259"/>
    <x v="2143"/>
    <x v="0"/>
    <s v="LOS ANDES"/>
    <x v="0"/>
  </r>
  <r>
    <x v="16"/>
    <x v="174"/>
    <x v="6"/>
    <x v="6"/>
    <x v="1"/>
    <x v="2"/>
    <x v="44"/>
    <x v="260"/>
    <x v="2144"/>
    <x v="0"/>
    <s v="LOS ANDES"/>
    <x v="0"/>
  </r>
  <r>
    <x v="16"/>
    <x v="179"/>
    <x v="7"/>
    <x v="7"/>
    <x v="1"/>
    <x v="0"/>
    <x v="49"/>
    <x v="265"/>
    <x v="2145"/>
    <x v="0"/>
    <s v="LOS ANDES"/>
    <x v="0"/>
  </r>
  <r>
    <x v="16"/>
    <x v="171"/>
    <x v="7"/>
    <x v="7"/>
    <x v="1"/>
    <x v="0"/>
    <x v="41"/>
    <x v="257"/>
    <x v="2146"/>
    <x v="0"/>
    <s v="LOS ANDES"/>
    <x v="0"/>
  </r>
  <r>
    <x v="16"/>
    <x v="172"/>
    <x v="8"/>
    <x v="8"/>
    <x v="1"/>
    <x v="0"/>
    <x v="42"/>
    <x v="258"/>
    <x v="2147"/>
    <x v="0"/>
    <s v="LOS ANDES"/>
    <x v="0"/>
  </r>
  <r>
    <x v="16"/>
    <x v="173"/>
    <x v="8"/>
    <x v="8"/>
    <x v="1"/>
    <x v="0"/>
    <x v="43"/>
    <x v="259"/>
    <x v="2148"/>
    <x v="0"/>
    <s v="LOS ANDES"/>
    <x v="0"/>
  </r>
  <r>
    <x v="16"/>
    <x v="175"/>
    <x v="9"/>
    <x v="9"/>
    <x v="1"/>
    <x v="0"/>
    <x v="45"/>
    <x v="261"/>
    <x v="2149"/>
    <x v="0"/>
    <s v="LOS ANDES"/>
    <x v="0"/>
  </r>
  <r>
    <x v="16"/>
    <x v="178"/>
    <x v="9"/>
    <x v="9"/>
    <x v="1"/>
    <x v="0"/>
    <x v="48"/>
    <x v="264"/>
    <x v="2150"/>
    <x v="0"/>
    <s v="LOS ANDES"/>
    <x v="0"/>
  </r>
  <r>
    <x v="16"/>
    <x v="180"/>
    <x v="10"/>
    <x v="10"/>
    <x v="1"/>
    <x v="0"/>
    <x v="50"/>
    <x v="266"/>
    <x v="2151"/>
    <x v="0"/>
    <s v="LOS ANDES"/>
    <x v="0"/>
  </r>
  <r>
    <x v="16"/>
    <x v="176"/>
    <x v="10"/>
    <x v="10"/>
    <x v="1"/>
    <x v="0"/>
    <x v="46"/>
    <x v="262"/>
    <x v="2152"/>
    <x v="0"/>
    <s v="LOS ANDES"/>
    <x v="0"/>
  </r>
  <r>
    <x v="16"/>
    <x v="177"/>
    <x v="11"/>
    <x v="11"/>
    <x v="1"/>
    <x v="0"/>
    <x v="47"/>
    <x v="263"/>
    <x v="2153"/>
    <x v="0"/>
    <s v="LOS ANDES"/>
    <x v="0"/>
  </r>
  <r>
    <x v="16"/>
    <x v="181"/>
    <x v="11"/>
    <x v="11"/>
    <x v="1"/>
    <x v="0"/>
    <x v="51"/>
    <x v="267"/>
    <x v="2154"/>
    <x v="0"/>
    <s v="LOS ANDES"/>
    <x v="0"/>
  </r>
  <r>
    <x v="16"/>
    <x v="182"/>
    <x v="2"/>
    <x v="2"/>
    <x v="1"/>
    <x v="0"/>
    <x v="52"/>
    <x v="268"/>
    <x v="2155"/>
    <x v="0"/>
    <s v="LOS ANDES"/>
    <x v="0"/>
  </r>
  <r>
    <x v="16"/>
    <x v="183"/>
    <x v="2"/>
    <x v="2"/>
    <x v="1"/>
    <x v="0"/>
    <x v="53"/>
    <x v="269"/>
    <x v="2156"/>
    <x v="0"/>
    <s v="LOS ANDES"/>
    <x v="0"/>
  </r>
  <r>
    <x v="16"/>
    <x v="184"/>
    <x v="6"/>
    <x v="6"/>
    <x v="1"/>
    <x v="0"/>
    <x v="54"/>
    <x v="270"/>
    <x v="2157"/>
    <x v="0"/>
    <s v="LOS ANDES"/>
    <x v="0"/>
  </r>
  <r>
    <x v="16"/>
    <x v="174"/>
    <x v="6"/>
    <x v="6"/>
    <x v="1"/>
    <x v="0"/>
    <x v="44"/>
    <x v="260"/>
    <x v="2158"/>
    <x v="0"/>
    <s v="LOS ANDES"/>
    <x v="0"/>
  </r>
  <r>
    <x v="16"/>
    <x v="179"/>
    <x v="7"/>
    <x v="7"/>
    <x v="1"/>
    <x v="1"/>
    <x v="49"/>
    <x v="265"/>
    <x v="2159"/>
    <x v="0"/>
    <s v="LOS ANDES"/>
    <x v="0"/>
  </r>
  <r>
    <x v="16"/>
    <x v="171"/>
    <x v="7"/>
    <x v="7"/>
    <x v="1"/>
    <x v="1"/>
    <x v="41"/>
    <x v="257"/>
    <x v="2160"/>
    <x v="0"/>
    <s v="LOS ANDES"/>
    <x v="0"/>
  </r>
  <r>
    <x v="16"/>
    <x v="173"/>
    <x v="8"/>
    <x v="8"/>
    <x v="1"/>
    <x v="1"/>
    <x v="43"/>
    <x v="259"/>
    <x v="2161"/>
    <x v="0"/>
    <s v="LOS ANDES"/>
    <x v="0"/>
  </r>
  <r>
    <x v="16"/>
    <x v="175"/>
    <x v="9"/>
    <x v="9"/>
    <x v="1"/>
    <x v="1"/>
    <x v="45"/>
    <x v="261"/>
    <x v="2162"/>
    <x v="0"/>
    <s v="LOS ANDES"/>
    <x v="0"/>
  </r>
  <r>
    <x v="16"/>
    <x v="178"/>
    <x v="9"/>
    <x v="9"/>
    <x v="1"/>
    <x v="1"/>
    <x v="48"/>
    <x v="264"/>
    <x v="2163"/>
    <x v="0"/>
    <s v="LOS ANDES"/>
    <x v="0"/>
  </r>
  <r>
    <x v="16"/>
    <x v="180"/>
    <x v="10"/>
    <x v="10"/>
    <x v="1"/>
    <x v="1"/>
    <x v="50"/>
    <x v="266"/>
    <x v="2164"/>
    <x v="0"/>
    <s v="LOS ANDES"/>
    <x v="0"/>
  </r>
  <r>
    <x v="16"/>
    <x v="177"/>
    <x v="11"/>
    <x v="11"/>
    <x v="1"/>
    <x v="1"/>
    <x v="47"/>
    <x v="263"/>
    <x v="2165"/>
    <x v="0"/>
    <s v="LOS ANDES"/>
    <x v="0"/>
  </r>
  <r>
    <x v="16"/>
    <x v="181"/>
    <x v="11"/>
    <x v="11"/>
    <x v="1"/>
    <x v="1"/>
    <x v="51"/>
    <x v="267"/>
    <x v="2166"/>
    <x v="0"/>
    <s v="LOS ANDES"/>
    <x v="0"/>
  </r>
  <r>
    <x v="16"/>
    <x v="182"/>
    <x v="2"/>
    <x v="2"/>
    <x v="1"/>
    <x v="1"/>
    <x v="52"/>
    <x v="268"/>
    <x v="2167"/>
    <x v="0"/>
    <s v="LOS ANDES"/>
    <x v="0"/>
  </r>
  <r>
    <x v="16"/>
    <x v="184"/>
    <x v="6"/>
    <x v="6"/>
    <x v="1"/>
    <x v="1"/>
    <x v="54"/>
    <x v="270"/>
    <x v="2168"/>
    <x v="0"/>
    <s v="LOS ANDES"/>
    <x v="0"/>
  </r>
  <r>
    <x v="16"/>
    <x v="174"/>
    <x v="6"/>
    <x v="6"/>
    <x v="1"/>
    <x v="1"/>
    <x v="44"/>
    <x v="260"/>
    <x v="2169"/>
    <x v="0"/>
    <s v="LOS ANDES"/>
    <x v="0"/>
  </r>
  <r>
    <x v="17"/>
    <x v="171"/>
    <x v="7"/>
    <x v="7"/>
    <x v="1"/>
    <x v="0"/>
    <x v="41"/>
    <x v="257"/>
    <x v="2170"/>
    <x v="0"/>
    <s v="VIA ESPANA"/>
    <x v="0"/>
  </r>
  <r>
    <x v="17"/>
    <x v="180"/>
    <x v="10"/>
    <x v="10"/>
    <x v="1"/>
    <x v="0"/>
    <x v="50"/>
    <x v="266"/>
    <x v="2171"/>
    <x v="0"/>
    <s v="VIA ESPANA"/>
    <x v="0"/>
  </r>
  <r>
    <x v="17"/>
    <x v="176"/>
    <x v="10"/>
    <x v="10"/>
    <x v="1"/>
    <x v="0"/>
    <x v="46"/>
    <x v="262"/>
    <x v="2172"/>
    <x v="0"/>
    <s v="VIA ESPANA"/>
    <x v="0"/>
  </r>
  <r>
    <x v="17"/>
    <x v="182"/>
    <x v="2"/>
    <x v="2"/>
    <x v="1"/>
    <x v="0"/>
    <x v="52"/>
    <x v="268"/>
    <x v="2173"/>
    <x v="0"/>
    <s v="VIA ESPANA"/>
    <x v="0"/>
  </r>
  <r>
    <x v="18"/>
    <x v="171"/>
    <x v="7"/>
    <x v="7"/>
    <x v="1"/>
    <x v="0"/>
    <x v="41"/>
    <x v="257"/>
    <x v="2174"/>
    <x v="0"/>
    <s v="AVENIDA CUBA"/>
    <x v="0"/>
  </r>
  <r>
    <x v="19"/>
    <x v="177"/>
    <x v="11"/>
    <x v="11"/>
    <x v="1"/>
    <x v="2"/>
    <x v="47"/>
    <x v="263"/>
    <x v="2175"/>
    <x v="0"/>
    <s v="CHITRE"/>
    <x v="0"/>
  </r>
  <r>
    <x v="19"/>
    <x v="179"/>
    <x v="7"/>
    <x v="7"/>
    <x v="1"/>
    <x v="0"/>
    <x v="49"/>
    <x v="265"/>
    <x v="2176"/>
    <x v="0"/>
    <s v="CHITRE"/>
    <x v="0"/>
  </r>
  <r>
    <x v="19"/>
    <x v="171"/>
    <x v="7"/>
    <x v="7"/>
    <x v="1"/>
    <x v="0"/>
    <x v="41"/>
    <x v="257"/>
    <x v="2177"/>
    <x v="0"/>
    <s v="CHITRE"/>
    <x v="0"/>
  </r>
  <r>
    <x v="19"/>
    <x v="172"/>
    <x v="8"/>
    <x v="8"/>
    <x v="1"/>
    <x v="0"/>
    <x v="42"/>
    <x v="258"/>
    <x v="2178"/>
    <x v="0"/>
    <s v="CHITRE"/>
    <x v="0"/>
  </r>
  <r>
    <x v="19"/>
    <x v="173"/>
    <x v="8"/>
    <x v="8"/>
    <x v="1"/>
    <x v="0"/>
    <x v="43"/>
    <x v="259"/>
    <x v="2179"/>
    <x v="0"/>
    <s v="CHITRE"/>
    <x v="0"/>
  </r>
  <r>
    <x v="19"/>
    <x v="175"/>
    <x v="9"/>
    <x v="9"/>
    <x v="1"/>
    <x v="0"/>
    <x v="45"/>
    <x v="261"/>
    <x v="2180"/>
    <x v="0"/>
    <s v="CHITRE"/>
    <x v="0"/>
  </r>
  <r>
    <x v="19"/>
    <x v="178"/>
    <x v="9"/>
    <x v="9"/>
    <x v="1"/>
    <x v="0"/>
    <x v="48"/>
    <x v="264"/>
    <x v="2181"/>
    <x v="0"/>
    <s v="CHITRE"/>
    <x v="0"/>
  </r>
  <r>
    <x v="19"/>
    <x v="180"/>
    <x v="10"/>
    <x v="10"/>
    <x v="1"/>
    <x v="0"/>
    <x v="50"/>
    <x v="266"/>
    <x v="2182"/>
    <x v="0"/>
    <s v="CHITRE"/>
    <x v="0"/>
  </r>
  <r>
    <x v="19"/>
    <x v="176"/>
    <x v="10"/>
    <x v="10"/>
    <x v="1"/>
    <x v="0"/>
    <x v="46"/>
    <x v="262"/>
    <x v="2183"/>
    <x v="0"/>
    <s v="CHITRE"/>
    <x v="0"/>
  </r>
  <r>
    <x v="19"/>
    <x v="177"/>
    <x v="11"/>
    <x v="11"/>
    <x v="1"/>
    <x v="0"/>
    <x v="47"/>
    <x v="263"/>
    <x v="2184"/>
    <x v="0"/>
    <s v="CHITRE"/>
    <x v="0"/>
  </r>
  <r>
    <x v="19"/>
    <x v="181"/>
    <x v="11"/>
    <x v="11"/>
    <x v="1"/>
    <x v="0"/>
    <x v="51"/>
    <x v="267"/>
    <x v="2185"/>
    <x v="0"/>
    <s v="CHITRE"/>
    <x v="0"/>
  </r>
  <r>
    <x v="19"/>
    <x v="182"/>
    <x v="2"/>
    <x v="2"/>
    <x v="1"/>
    <x v="0"/>
    <x v="52"/>
    <x v="268"/>
    <x v="2186"/>
    <x v="0"/>
    <s v="CHITRE"/>
    <x v="0"/>
  </r>
  <r>
    <x v="19"/>
    <x v="183"/>
    <x v="2"/>
    <x v="2"/>
    <x v="1"/>
    <x v="0"/>
    <x v="53"/>
    <x v="269"/>
    <x v="2187"/>
    <x v="0"/>
    <s v="CHITRE"/>
    <x v="0"/>
  </r>
  <r>
    <x v="19"/>
    <x v="184"/>
    <x v="6"/>
    <x v="6"/>
    <x v="1"/>
    <x v="0"/>
    <x v="54"/>
    <x v="270"/>
    <x v="2188"/>
    <x v="0"/>
    <s v="CHITRE"/>
    <x v="0"/>
  </r>
  <r>
    <x v="19"/>
    <x v="174"/>
    <x v="6"/>
    <x v="6"/>
    <x v="1"/>
    <x v="0"/>
    <x v="44"/>
    <x v="260"/>
    <x v="2189"/>
    <x v="0"/>
    <s v="CHITRE"/>
    <x v="0"/>
  </r>
  <r>
    <x v="19"/>
    <x v="171"/>
    <x v="7"/>
    <x v="7"/>
    <x v="1"/>
    <x v="1"/>
    <x v="41"/>
    <x v="257"/>
    <x v="2190"/>
    <x v="0"/>
    <s v="CHITRE"/>
    <x v="0"/>
  </r>
  <r>
    <x v="19"/>
    <x v="180"/>
    <x v="10"/>
    <x v="10"/>
    <x v="1"/>
    <x v="1"/>
    <x v="50"/>
    <x v="266"/>
    <x v="63"/>
    <x v="0"/>
    <s v="CHITRE"/>
    <x v="0"/>
  </r>
  <r>
    <x v="19"/>
    <x v="176"/>
    <x v="10"/>
    <x v="10"/>
    <x v="1"/>
    <x v="1"/>
    <x v="46"/>
    <x v="262"/>
    <x v="2191"/>
    <x v="0"/>
    <s v="CHITRE"/>
    <x v="0"/>
  </r>
  <r>
    <x v="19"/>
    <x v="181"/>
    <x v="11"/>
    <x v="11"/>
    <x v="1"/>
    <x v="1"/>
    <x v="51"/>
    <x v="267"/>
    <x v="2192"/>
    <x v="0"/>
    <s v="CHITRE"/>
    <x v="0"/>
  </r>
  <r>
    <x v="20"/>
    <x v="179"/>
    <x v="7"/>
    <x v="7"/>
    <x v="1"/>
    <x v="2"/>
    <x v="49"/>
    <x v="265"/>
    <x v="2193"/>
    <x v="0"/>
    <s v="LOS PUEBLOS"/>
    <x v="0"/>
  </r>
  <r>
    <x v="20"/>
    <x v="182"/>
    <x v="2"/>
    <x v="2"/>
    <x v="1"/>
    <x v="2"/>
    <x v="52"/>
    <x v="268"/>
    <x v="2194"/>
    <x v="0"/>
    <s v="LOS PUEBLOS"/>
    <x v="0"/>
  </r>
  <r>
    <x v="20"/>
    <x v="183"/>
    <x v="2"/>
    <x v="2"/>
    <x v="1"/>
    <x v="2"/>
    <x v="53"/>
    <x v="269"/>
    <x v="2195"/>
    <x v="0"/>
    <s v="LOS PUEBLOS"/>
    <x v="0"/>
  </r>
  <r>
    <x v="20"/>
    <x v="184"/>
    <x v="6"/>
    <x v="6"/>
    <x v="1"/>
    <x v="2"/>
    <x v="54"/>
    <x v="270"/>
    <x v="2196"/>
    <x v="0"/>
    <s v="LOS PUEBLOS"/>
    <x v="0"/>
  </r>
  <r>
    <x v="20"/>
    <x v="174"/>
    <x v="6"/>
    <x v="6"/>
    <x v="1"/>
    <x v="2"/>
    <x v="44"/>
    <x v="260"/>
    <x v="2197"/>
    <x v="0"/>
    <s v="LOS PUEBLOS"/>
    <x v="0"/>
  </r>
  <r>
    <x v="20"/>
    <x v="179"/>
    <x v="7"/>
    <x v="7"/>
    <x v="1"/>
    <x v="0"/>
    <x v="49"/>
    <x v="265"/>
    <x v="2198"/>
    <x v="0"/>
    <s v="LOS PUEBLOS"/>
    <x v="0"/>
  </r>
  <r>
    <x v="20"/>
    <x v="171"/>
    <x v="7"/>
    <x v="7"/>
    <x v="1"/>
    <x v="0"/>
    <x v="41"/>
    <x v="257"/>
    <x v="2199"/>
    <x v="0"/>
    <s v="LOS PUEBLOS"/>
    <x v="0"/>
  </r>
  <r>
    <x v="20"/>
    <x v="172"/>
    <x v="8"/>
    <x v="8"/>
    <x v="1"/>
    <x v="0"/>
    <x v="42"/>
    <x v="258"/>
    <x v="2200"/>
    <x v="0"/>
    <s v="LOS PUEBLOS"/>
    <x v="0"/>
  </r>
  <r>
    <x v="20"/>
    <x v="173"/>
    <x v="8"/>
    <x v="8"/>
    <x v="1"/>
    <x v="0"/>
    <x v="43"/>
    <x v="259"/>
    <x v="2201"/>
    <x v="0"/>
    <s v="LOS PUEBLOS"/>
    <x v="0"/>
  </r>
  <r>
    <x v="20"/>
    <x v="175"/>
    <x v="9"/>
    <x v="9"/>
    <x v="1"/>
    <x v="0"/>
    <x v="45"/>
    <x v="261"/>
    <x v="2202"/>
    <x v="0"/>
    <s v="LOS PUEBLOS"/>
    <x v="0"/>
  </r>
  <r>
    <x v="20"/>
    <x v="178"/>
    <x v="9"/>
    <x v="9"/>
    <x v="1"/>
    <x v="0"/>
    <x v="48"/>
    <x v="264"/>
    <x v="2203"/>
    <x v="0"/>
    <s v="LOS PUEBLOS"/>
    <x v="0"/>
  </r>
  <r>
    <x v="20"/>
    <x v="180"/>
    <x v="10"/>
    <x v="10"/>
    <x v="1"/>
    <x v="0"/>
    <x v="50"/>
    <x v="266"/>
    <x v="2204"/>
    <x v="0"/>
    <s v="LOS PUEBLOS"/>
    <x v="0"/>
  </r>
  <r>
    <x v="20"/>
    <x v="176"/>
    <x v="10"/>
    <x v="10"/>
    <x v="1"/>
    <x v="0"/>
    <x v="46"/>
    <x v="262"/>
    <x v="2205"/>
    <x v="0"/>
    <s v="LOS PUEBLOS"/>
    <x v="0"/>
  </r>
  <r>
    <x v="20"/>
    <x v="177"/>
    <x v="11"/>
    <x v="11"/>
    <x v="1"/>
    <x v="0"/>
    <x v="47"/>
    <x v="263"/>
    <x v="2206"/>
    <x v="0"/>
    <s v="LOS PUEBLOS"/>
    <x v="0"/>
  </r>
  <r>
    <x v="20"/>
    <x v="181"/>
    <x v="11"/>
    <x v="11"/>
    <x v="1"/>
    <x v="0"/>
    <x v="51"/>
    <x v="267"/>
    <x v="2207"/>
    <x v="0"/>
    <s v="LOS PUEBLOS"/>
    <x v="0"/>
  </r>
  <r>
    <x v="20"/>
    <x v="182"/>
    <x v="2"/>
    <x v="2"/>
    <x v="1"/>
    <x v="0"/>
    <x v="52"/>
    <x v="268"/>
    <x v="2208"/>
    <x v="0"/>
    <s v="LOS PUEBLOS"/>
    <x v="0"/>
  </r>
  <r>
    <x v="20"/>
    <x v="183"/>
    <x v="2"/>
    <x v="2"/>
    <x v="1"/>
    <x v="0"/>
    <x v="53"/>
    <x v="269"/>
    <x v="2209"/>
    <x v="0"/>
    <s v="LOS PUEBLOS"/>
    <x v="0"/>
  </r>
  <r>
    <x v="20"/>
    <x v="184"/>
    <x v="6"/>
    <x v="6"/>
    <x v="1"/>
    <x v="0"/>
    <x v="54"/>
    <x v="270"/>
    <x v="2210"/>
    <x v="0"/>
    <s v="LOS PUEBLOS"/>
    <x v="0"/>
  </r>
  <r>
    <x v="20"/>
    <x v="174"/>
    <x v="6"/>
    <x v="6"/>
    <x v="1"/>
    <x v="0"/>
    <x v="44"/>
    <x v="260"/>
    <x v="2211"/>
    <x v="0"/>
    <s v="LOS PUEBLOS"/>
    <x v="0"/>
  </r>
  <r>
    <x v="20"/>
    <x v="179"/>
    <x v="7"/>
    <x v="7"/>
    <x v="1"/>
    <x v="1"/>
    <x v="49"/>
    <x v="265"/>
    <x v="2212"/>
    <x v="0"/>
    <s v="LOS PUEBLOS"/>
    <x v="0"/>
  </r>
  <r>
    <x v="20"/>
    <x v="176"/>
    <x v="10"/>
    <x v="10"/>
    <x v="1"/>
    <x v="1"/>
    <x v="46"/>
    <x v="262"/>
    <x v="2213"/>
    <x v="0"/>
    <s v="LOS PUEBLOS"/>
    <x v="0"/>
  </r>
  <r>
    <x v="20"/>
    <x v="177"/>
    <x v="11"/>
    <x v="11"/>
    <x v="1"/>
    <x v="1"/>
    <x v="47"/>
    <x v="263"/>
    <x v="2214"/>
    <x v="0"/>
    <s v="LOS PUEBLOS"/>
    <x v="0"/>
  </r>
  <r>
    <x v="20"/>
    <x v="183"/>
    <x v="2"/>
    <x v="2"/>
    <x v="1"/>
    <x v="1"/>
    <x v="53"/>
    <x v="269"/>
    <x v="2215"/>
    <x v="0"/>
    <s v="LOS PUEBLOS"/>
    <x v="0"/>
  </r>
  <r>
    <x v="20"/>
    <x v="174"/>
    <x v="6"/>
    <x v="6"/>
    <x v="1"/>
    <x v="1"/>
    <x v="44"/>
    <x v="260"/>
    <x v="2216"/>
    <x v="0"/>
    <s v="LOS PUEBLOS"/>
    <x v="0"/>
  </r>
  <r>
    <x v="21"/>
    <x v="172"/>
    <x v="8"/>
    <x v="8"/>
    <x v="1"/>
    <x v="2"/>
    <x v="42"/>
    <x v="258"/>
    <x v="546"/>
    <x v="0"/>
    <s v="TRANSISTMICA"/>
    <x v="0"/>
  </r>
  <r>
    <x v="21"/>
    <x v="175"/>
    <x v="9"/>
    <x v="9"/>
    <x v="1"/>
    <x v="2"/>
    <x v="45"/>
    <x v="261"/>
    <x v="2217"/>
    <x v="0"/>
    <s v="TRANSISTMICA"/>
    <x v="0"/>
  </r>
  <r>
    <x v="21"/>
    <x v="177"/>
    <x v="11"/>
    <x v="11"/>
    <x v="1"/>
    <x v="2"/>
    <x v="47"/>
    <x v="263"/>
    <x v="2218"/>
    <x v="0"/>
    <s v="TRANSISTMICA"/>
    <x v="0"/>
  </r>
  <r>
    <x v="21"/>
    <x v="179"/>
    <x v="7"/>
    <x v="7"/>
    <x v="1"/>
    <x v="0"/>
    <x v="49"/>
    <x v="265"/>
    <x v="2219"/>
    <x v="0"/>
    <s v="TRANSISTMICA"/>
    <x v="0"/>
  </r>
  <r>
    <x v="21"/>
    <x v="171"/>
    <x v="7"/>
    <x v="7"/>
    <x v="1"/>
    <x v="0"/>
    <x v="41"/>
    <x v="257"/>
    <x v="2220"/>
    <x v="0"/>
    <s v="TRANSISTMICA"/>
    <x v="0"/>
  </r>
  <r>
    <x v="21"/>
    <x v="172"/>
    <x v="8"/>
    <x v="8"/>
    <x v="1"/>
    <x v="0"/>
    <x v="42"/>
    <x v="258"/>
    <x v="2221"/>
    <x v="0"/>
    <s v="TRANSISTMICA"/>
    <x v="0"/>
  </r>
  <r>
    <x v="21"/>
    <x v="173"/>
    <x v="8"/>
    <x v="8"/>
    <x v="1"/>
    <x v="0"/>
    <x v="43"/>
    <x v="259"/>
    <x v="2222"/>
    <x v="0"/>
    <s v="TRANSISTMICA"/>
    <x v="0"/>
  </r>
  <r>
    <x v="21"/>
    <x v="175"/>
    <x v="9"/>
    <x v="9"/>
    <x v="1"/>
    <x v="0"/>
    <x v="45"/>
    <x v="261"/>
    <x v="2223"/>
    <x v="0"/>
    <s v="TRANSISTMICA"/>
    <x v="0"/>
  </r>
  <r>
    <x v="21"/>
    <x v="178"/>
    <x v="9"/>
    <x v="9"/>
    <x v="1"/>
    <x v="0"/>
    <x v="48"/>
    <x v="264"/>
    <x v="2224"/>
    <x v="0"/>
    <s v="TRANSISTMICA"/>
    <x v="0"/>
  </r>
  <r>
    <x v="21"/>
    <x v="180"/>
    <x v="10"/>
    <x v="10"/>
    <x v="1"/>
    <x v="0"/>
    <x v="50"/>
    <x v="266"/>
    <x v="2225"/>
    <x v="0"/>
    <s v="TRANSISTMICA"/>
    <x v="0"/>
  </r>
  <r>
    <x v="21"/>
    <x v="176"/>
    <x v="10"/>
    <x v="10"/>
    <x v="1"/>
    <x v="0"/>
    <x v="46"/>
    <x v="262"/>
    <x v="2226"/>
    <x v="0"/>
    <s v="TRANSISTMICA"/>
    <x v="0"/>
  </r>
  <r>
    <x v="21"/>
    <x v="177"/>
    <x v="11"/>
    <x v="11"/>
    <x v="1"/>
    <x v="0"/>
    <x v="47"/>
    <x v="263"/>
    <x v="2227"/>
    <x v="0"/>
    <s v="TRANSISTMICA"/>
    <x v="0"/>
  </r>
  <r>
    <x v="21"/>
    <x v="181"/>
    <x v="11"/>
    <x v="11"/>
    <x v="1"/>
    <x v="0"/>
    <x v="51"/>
    <x v="267"/>
    <x v="2228"/>
    <x v="0"/>
    <s v="TRANSISTMICA"/>
    <x v="0"/>
  </r>
  <r>
    <x v="21"/>
    <x v="182"/>
    <x v="2"/>
    <x v="2"/>
    <x v="1"/>
    <x v="0"/>
    <x v="52"/>
    <x v="268"/>
    <x v="2229"/>
    <x v="0"/>
    <s v="TRANSISTMICA"/>
    <x v="0"/>
  </r>
  <r>
    <x v="21"/>
    <x v="183"/>
    <x v="2"/>
    <x v="2"/>
    <x v="1"/>
    <x v="0"/>
    <x v="53"/>
    <x v="269"/>
    <x v="2230"/>
    <x v="0"/>
    <s v="TRANSISTMICA"/>
    <x v="0"/>
  </r>
  <r>
    <x v="21"/>
    <x v="184"/>
    <x v="6"/>
    <x v="6"/>
    <x v="1"/>
    <x v="0"/>
    <x v="54"/>
    <x v="270"/>
    <x v="2231"/>
    <x v="0"/>
    <s v="TRANSISTMICA"/>
    <x v="0"/>
  </r>
  <r>
    <x v="21"/>
    <x v="174"/>
    <x v="6"/>
    <x v="6"/>
    <x v="1"/>
    <x v="0"/>
    <x v="44"/>
    <x v="260"/>
    <x v="2232"/>
    <x v="0"/>
    <s v="TRANSISTMICA"/>
    <x v="0"/>
  </r>
  <r>
    <x v="21"/>
    <x v="175"/>
    <x v="9"/>
    <x v="9"/>
    <x v="1"/>
    <x v="1"/>
    <x v="45"/>
    <x v="261"/>
    <x v="2233"/>
    <x v="0"/>
    <s v="TRANSISTMICA"/>
    <x v="0"/>
  </r>
  <r>
    <x v="21"/>
    <x v="180"/>
    <x v="10"/>
    <x v="10"/>
    <x v="1"/>
    <x v="1"/>
    <x v="50"/>
    <x v="266"/>
    <x v="2234"/>
    <x v="0"/>
    <s v="TRANSISTMICA"/>
    <x v="0"/>
  </r>
  <r>
    <x v="21"/>
    <x v="176"/>
    <x v="10"/>
    <x v="10"/>
    <x v="1"/>
    <x v="1"/>
    <x v="46"/>
    <x v="262"/>
    <x v="12"/>
    <x v="0"/>
    <s v="TRANSISTMICA"/>
    <x v="0"/>
  </r>
  <r>
    <x v="21"/>
    <x v="177"/>
    <x v="11"/>
    <x v="11"/>
    <x v="1"/>
    <x v="1"/>
    <x v="47"/>
    <x v="263"/>
    <x v="2235"/>
    <x v="0"/>
    <s v="TRANSISTMICA"/>
    <x v="0"/>
  </r>
  <r>
    <x v="21"/>
    <x v="182"/>
    <x v="2"/>
    <x v="2"/>
    <x v="1"/>
    <x v="1"/>
    <x v="52"/>
    <x v="268"/>
    <x v="2236"/>
    <x v="0"/>
    <s v="TRANSISTMICA"/>
    <x v="0"/>
  </r>
  <r>
    <x v="21"/>
    <x v="183"/>
    <x v="2"/>
    <x v="2"/>
    <x v="1"/>
    <x v="1"/>
    <x v="53"/>
    <x v="269"/>
    <x v="0"/>
    <x v="0"/>
    <s v="TRANSISTMICA"/>
    <x v="0"/>
  </r>
  <r>
    <x v="21"/>
    <x v="184"/>
    <x v="6"/>
    <x v="6"/>
    <x v="1"/>
    <x v="1"/>
    <x v="54"/>
    <x v="270"/>
    <x v="2237"/>
    <x v="0"/>
    <s v="TRANSISTMICA"/>
    <x v="0"/>
  </r>
  <r>
    <x v="21"/>
    <x v="174"/>
    <x v="6"/>
    <x v="6"/>
    <x v="1"/>
    <x v="1"/>
    <x v="44"/>
    <x v="260"/>
    <x v="2238"/>
    <x v="0"/>
    <s v="TRANSISTMICA"/>
    <x v="0"/>
  </r>
  <r>
    <x v="22"/>
    <x v="173"/>
    <x v="8"/>
    <x v="8"/>
    <x v="1"/>
    <x v="0"/>
    <x v="43"/>
    <x v="259"/>
    <x v="2239"/>
    <x v="0"/>
    <s v="PLAZA GALAPAGO"/>
    <x v="0"/>
  </r>
  <r>
    <x v="22"/>
    <x v="181"/>
    <x v="11"/>
    <x v="11"/>
    <x v="1"/>
    <x v="0"/>
    <x v="51"/>
    <x v="267"/>
    <x v="2240"/>
    <x v="0"/>
    <s v="PLAZA GALAPAGO"/>
    <x v="0"/>
  </r>
  <r>
    <x v="22"/>
    <x v="174"/>
    <x v="6"/>
    <x v="6"/>
    <x v="1"/>
    <x v="0"/>
    <x v="44"/>
    <x v="260"/>
    <x v="2241"/>
    <x v="0"/>
    <s v="PLAZA GALAPAGO"/>
    <x v="0"/>
  </r>
  <r>
    <x v="23"/>
    <x v="179"/>
    <x v="7"/>
    <x v="7"/>
    <x v="1"/>
    <x v="0"/>
    <x v="49"/>
    <x v="265"/>
    <x v="1563"/>
    <x v="0"/>
    <s v="PARQUE LEFEVRE"/>
    <x v="0"/>
  </r>
  <r>
    <x v="23"/>
    <x v="173"/>
    <x v="8"/>
    <x v="8"/>
    <x v="1"/>
    <x v="0"/>
    <x v="43"/>
    <x v="259"/>
    <x v="2242"/>
    <x v="0"/>
    <s v="PARQUE LEFEVRE"/>
    <x v="0"/>
  </r>
  <r>
    <x v="23"/>
    <x v="181"/>
    <x v="11"/>
    <x v="11"/>
    <x v="1"/>
    <x v="0"/>
    <x v="51"/>
    <x v="267"/>
    <x v="2243"/>
    <x v="0"/>
    <s v="PARQUE LEFEVRE"/>
    <x v="0"/>
  </r>
  <r>
    <x v="23"/>
    <x v="182"/>
    <x v="2"/>
    <x v="2"/>
    <x v="1"/>
    <x v="0"/>
    <x v="52"/>
    <x v="268"/>
    <x v="2244"/>
    <x v="0"/>
    <s v="PARQUE LEFEVRE"/>
    <x v="0"/>
  </r>
  <r>
    <x v="23"/>
    <x v="183"/>
    <x v="2"/>
    <x v="2"/>
    <x v="1"/>
    <x v="0"/>
    <x v="53"/>
    <x v="269"/>
    <x v="65"/>
    <x v="0"/>
    <s v="PARQUE LEFEVRE"/>
    <x v="0"/>
  </r>
  <r>
    <x v="23"/>
    <x v="174"/>
    <x v="6"/>
    <x v="6"/>
    <x v="1"/>
    <x v="0"/>
    <x v="44"/>
    <x v="260"/>
    <x v="2245"/>
    <x v="0"/>
    <s v="PARQUE LEFEVRE"/>
    <x v="0"/>
  </r>
  <r>
    <x v="23"/>
    <x v="175"/>
    <x v="9"/>
    <x v="9"/>
    <x v="1"/>
    <x v="1"/>
    <x v="45"/>
    <x v="261"/>
    <x v="2246"/>
    <x v="0"/>
    <s v="PARQUE LEFEVRE"/>
    <x v="0"/>
  </r>
  <r>
    <x v="23"/>
    <x v="181"/>
    <x v="11"/>
    <x v="11"/>
    <x v="1"/>
    <x v="1"/>
    <x v="51"/>
    <x v="267"/>
    <x v="1053"/>
    <x v="0"/>
    <s v="PARQUE LEFEVRE"/>
    <x v="0"/>
  </r>
  <r>
    <x v="23"/>
    <x v="174"/>
    <x v="6"/>
    <x v="6"/>
    <x v="1"/>
    <x v="1"/>
    <x v="44"/>
    <x v="260"/>
    <x v="2247"/>
    <x v="0"/>
    <s v="PARQUE LEFEVRE"/>
    <x v="0"/>
  </r>
  <r>
    <x v="24"/>
    <x v="179"/>
    <x v="7"/>
    <x v="7"/>
    <x v="1"/>
    <x v="2"/>
    <x v="49"/>
    <x v="265"/>
    <x v="2248"/>
    <x v="0"/>
    <s v="DAVID"/>
    <x v="0"/>
  </r>
  <r>
    <x v="24"/>
    <x v="171"/>
    <x v="7"/>
    <x v="7"/>
    <x v="1"/>
    <x v="2"/>
    <x v="41"/>
    <x v="257"/>
    <x v="2249"/>
    <x v="0"/>
    <s v="DAVID"/>
    <x v="0"/>
  </r>
  <r>
    <x v="24"/>
    <x v="172"/>
    <x v="8"/>
    <x v="8"/>
    <x v="1"/>
    <x v="2"/>
    <x v="42"/>
    <x v="258"/>
    <x v="2250"/>
    <x v="0"/>
    <s v="DAVID"/>
    <x v="0"/>
  </r>
  <r>
    <x v="24"/>
    <x v="175"/>
    <x v="9"/>
    <x v="9"/>
    <x v="1"/>
    <x v="2"/>
    <x v="45"/>
    <x v="261"/>
    <x v="2251"/>
    <x v="0"/>
    <s v="DAVID"/>
    <x v="0"/>
  </r>
  <r>
    <x v="24"/>
    <x v="180"/>
    <x v="10"/>
    <x v="10"/>
    <x v="1"/>
    <x v="2"/>
    <x v="50"/>
    <x v="266"/>
    <x v="2252"/>
    <x v="0"/>
    <s v="DAVID"/>
    <x v="0"/>
  </r>
  <r>
    <x v="24"/>
    <x v="176"/>
    <x v="10"/>
    <x v="10"/>
    <x v="1"/>
    <x v="2"/>
    <x v="46"/>
    <x v="262"/>
    <x v="2253"/>
    <x v="0"/>
    <s v="DAVID"/>
    <x v="0"/>
  </r>
  <r>
    <x v="24"/>
    <x v="177"/>
    <x v="11"/>
    <x v="11"/>
    <x v="1"/>
    <x v="2"/>
    <x v="47"/>
    <x v="263"/>
    <x v="2254"/>
    <x v="0"/>
    <s v="DAVID"/>
    <x v="0"/>
  </r>
  <r>
    <x v="24"/>
    <x v="181"/>
    <x v="11"/>
    <x v="11"/>
    <x v="1"/>
    <x v="2"/>
    <x v="51"/>
    <x v="267"/>
    <x v="2255"/>
    <x v="0"/>
    <s v="DAVID"/>
    <x v="0"/>
  </r>
  <r>
    <x v="24"/>
    <x v="182"/>
    <x v="2"/>
    <x v="2"/>
    <x v="1"/>
    <x v="2"/>
    <x v="52"/>
    <x v="268"/>
    <x v="2010"/>
    <x v="0"/>
    <s v="DAVID"/>
    <x v="0"/>
  </r>
  <r>
    <x v="24"/>
    <x v="174"/>
    <x v="6"/>
    <x v="6"/>
    <x v="1"/>
    <x v="2"/>
    <x v="44"/>
    <x v="260"/>
    <x v="2256"/>
    <x v="0"/>
    <s v="DAVID"/>
    <x v="0"/>
  </r>
  <r>
    <x v="24"/>
    <x v="179"/>
    <x v="7"/>
    <x v="7"/>
    <x v="1"/>
    <x v="0"/>
    <x v="49"/>
    <x v="265"/>
    <x v="2257"/>
    <x v="0"/>
    <s v="DAVID"/>
    <x v="0"/>
  </r>
  <r>
    <x v="24"/>
    <x v="171"/>
    <x v="7"/>
    <x v="7"/>
    <x v="1"/>
    <x v="0"/>
    <x v="41"/>
    <x v="257"/>
    <x v="2258"/>
    <x v="0"/>
    <s v="DAVID"/>
    <x v="0"/>
  </r>
  <r>
    <x v="24"/>
    <x v="172"/>
    <x v="8"/>
    <x v="8"/>
    <x v="1"/>
    <x v="0"/>
    <x v="42"/>
    <x v="258"/>
    <x v="2259"/>
    <x v="0"/>
    <s v="DAVID"/>
    <x v="0"/>
  </r>
  <r>
    <x v="24"/>
    <x v="173"/>
    <x v="8"/>
    <x v="8"/>
    <x v="1"/>
    <x v="0"/>
    <x v="43"/>
    <x v="259"/>
    <x v="2260"/>
    <x v="0"/>
    <s v="DAVID"/>
    <x v="0"/>
  </r>
  <r>
    <x v="24"/>
    <x v="175"/>
    <x v="9"/>
    <x v="9"/>
    <x v="1"/>
    <x v="0"/>
    <x v="45"/>
    <x v="261"/>
    <x v="2261"/>
    <x v="0"/>
    <s v="DAVID"/>
    <x v="0"/>
  </r>
  <r>
    <x v="24"/>
    <x v="178"/>
    <x v="9"/>
    <x v="9"/>
    <x v="1"/>
    <x v="0"/>
    <x v="48"/>
    <x v="264"/>
    <x v="2262"/>
    <x v="0"/>
    <s v="DAVID"/>
    <x v="0"/>
  </r>
  <r>
    <x v="24"/>
    <x v="180"/>
    <x v="10"/>
    <x v="10"/>
    <x v="1"/>
    <x v="0"/>
    <x v="50"/>
    <x v="266"/>
    <x v="2263"/>
    <x v="0"/>
    <s v="DAVID"/>
    <x v="0"/>
  </r>
  <r>
    <x v="24"/>
    <x v="186"/>
    <x v="10"/>
    <x v="10"/>
    <x v="1"/>
    <x v="0"/>
    <x v="56"/>
    <x v="272"/>
    <x v="2264"/>
    <x v="0"/>
    <s v="DAVID"/>
    <x v="0"/>
  </r>
  <r>
    <x v="24"/>
    <x v="176"/>
    <x v="10"/>
    <x v="10"/>
    <x v="1"/>
    <x v="0"/>
    <x v="46"/>
    <x v="262"/>
    <x v="2265"/>
    <x v="0"/>
    <s v="DAVID"/>
    <x v="0"/>
  </r>
  <r>
    <x v="24"/>
    <x v="177"/>
    <x v="11"/>
    <x v="11"/>
    <x v="1"/>
    <x v="0"/>
    <x v="47"/>
    <x v="263"/>
    <x v="2266"/>
    <x v="0"/>
    <s v="DAVID"/>
    <x v="0"/>
  </r>
  <r>
    <x v="24"/>
    <x v="181"/>
    <x v="11"/>
    <x v="11"/>
    <x v="1"/>
    <x v="0"/>
    <x v="51"/>
    <x v="267"/>
    <x v="2267"/>
    <x v="0"/>
    <s v="DAVID"/>
    <x v="0"/>
  </r>
  <r>
    <x v="24"/>
    <x v="182"/>
    <x v="2"/>
    <x v="2"/>
    <x v="1"/>
    <x v="0"/>
    <x v="52"/>
    <x v="268"/>
    <x v="2268"/>
    <x v="0"/>
    <s v="DAVID"/>
    <x v="0"/>
  </r>
  <r>
    <x v="24"/>
    <x v="183"/>
    <x v="2"/>
    <x v="2"/>
    <x v="1"/>
    <x v="0"/>
    <x v="53"/>
    <x v="269"/>
    <x v="2269"/>
    <x v="0"/>
    <s v="DAVID"/>
    <x v="0"/>
  </r>
  <r>
    <x v="24"/>
    <x v="184"/>
    <x v="6"/>
    <x v="6"/>
    <x v="1"/>
    <x v="0"/>
    <x v="54"/>
    <x v="270"/>
    <x v="2270"/>
    <x v="0"/>
    <s v="DAVID"/>
    <x v="0"/>
  </r>
  <r>
    <x v="24"/>
    <x v="174"/>
    <x v="6"/>
    <x v="6"/>
    <x v="1"/>
    <x v="0"/>
    <x v="44"/>
    <x v="260"/>
    <x v="2271"/>
    <x v="0"/>
    <s v="DAVID"/>
    <x v="0"/>
  </r>
  <r>
    <x v="24"/>
    <x v="179"/>
    <x v="7"/>
    <x v="7"/>
    <x v="1"/>
    <x v="1"/>
    <x v="49"/>
    <x v="265"/>
    <x v="2272"/>
    <x v="0"/>
    <s v="DAVID"/>
    <x v="0"/>
  </r>
  <r>
    <x v="24"/>
    <x v="173"/>
    <x v="8"/>
    <x v="8"/>
    <x v="1"/>
    <x v="1"/>
    <x v="43"/>
    <x v="259"/>
    <x v="2273"/>
    <x v="0"/>
    <s v="DAVID"/>
    <x v="0"/>
  </r>
  <r>
    <x v="24"/>
    <x v="175"/>
    <x v="9"/>
    <x v="9"/>
    <x v="1"/>
    <x v="1"/>
    <x v="45"/>
    <x v="261"/>
    <x v="2274"/>
    <x v="0"/>
    <s v="DAVID"/>
    <x v="0"/>
  </r>
  <r>
    <x v="24"/>
    <x v="182"/>
    <x v="2"/>
    <x v="2"/>
    <x v="1"/>
    <x v="1"/>
    <x v="52"/>
    <x v="268"/>
    <x v="2275"/>
    <x v="0"/>
    <s v="DAVID"/>
    <x v="0"/>
  </r>
  <r>
    <x v="24"/>
    <x v="183"/>
    <x v="2"/>
    <x v="2"/>
    <x v="1"/>
    <x v="1"/>
    <x v="53"/>
    <x v="269"/>
    <x v="2276"/>
    <x v="0"/>
    <s v="DAVID"/>
    <x v="0"/>
  </r>
  <r>
    <x v="24"/>
    <x v="184"/>
    <x v="6"/>
    <x v="6"/>
    <x v="1"/>
    <x v="1"/>
    <x v="54"/>
    <x v="270"/>
    <x v="825"/>
    <x v="0"/>
    <s v="DAVID"/>
    <x v="0"/>
  </r>
  <r>
    <x v="24"/>
    <x v="174"/>
    <x v="6"/>
    <x v="6"/>
    <x v="1"/>
    <x v="1"/>
    <x v="44"/>
    <x v="260"/>
    <x v="2277"/>
    <x v="0"/>
    <s v="DAVID"/>
    <x v="0"/>
  </r>
  <r>
    <x v="25"/>
    <x v="171"/>
    <x v="7"/>
    <x v="7"/>
    <x v="1"/>
    <x v="0"/>
    <x v="41"/>
    <x v="257"/>
    <x v="1621"/>
    <x v="0"/>
    <s v="PLAZA LAS AMERICAS"/>
    <x v="0"/>
  </r>
  <r>
    <x v="25"/>
    <x v="173"/>
    <x v="8"/>
    <x v="8"/>
    <x v="1"/>
    <x v="1"/>
    <x v="43"/>
    <x v="259"/>
    <x v="2278"/>
    <x v="0"/>
    <s v="PLAZA LAS AMERICAS"/>
    <x v="0"/>
  </r>
  <r>
    <x v="26"/>
    <x v="181"/>
    <x v="11"/>
    <x v="11"/>
    <x v="1"/>
    <x v="0"/>
    <x v="51"/>
    <x v="267"/>
    <x v="1558"/>
    <x v="0"/>
    <s v="CORONADO"/>
    <x v="0"/>
  </r>
  <r>
    <x v="26"/>
    <x v="174"/>
    <x v="6"/>
    <x v="6"/>
    <x v="1"/>
    <x v="0"/>
    <x v="44"/>
    <x v="260"/>
    <x v="2279"/>
    <x v="0"/>
    <s v="CORONADO"/>
    <x v="0"/>
  </r>
  <r>
    <x v="26"/>
    <x v="179"/>
    <x v="7"/>
    <x v="7"/>
    <x v="1"/>
    <x v="1"/>
    <x v="49"/>
    <x v="265"/>
    <x v="679"/>
    <x v="0"/>
    <s v="CORONADO"/>
    <x v="0"/>
  </r>
  <r>
    <x v="27"/>
    <x v="173"/>
    <x v="8"/>
    <x v="8"/>
    <x v="1"/>
    <x v="2"/>
    <x v="43"/>
    <x v="259"/>
    <x v="2280"/>
    <x v="0"/>
    <s v="ALBROOK MALL"/>
    <x v="0"/>
  </r>
  <r>
    <x v="27"/>
    <x v="177"/>
    <x v="11"/>
    <x v="11"/>
    <x v="1"/>
    <x v="2"/>
    <x v="47"/>
    <x v="263"/>
    <x v="2281"/>
    <x v="0"/>
    <s v="ALBROOK MALL"/>
    <x v="0"/>
  </r>
  <r>
    <x v="27"/>
    <x v="181"/>
    <x v="11"/>
    <x v="11"/>
    <x v="1"/>
    <x v="2"/>
    <x v="51"/>
    <x v="267"/>
    <x v="2282"/>
    <x v="0"/>
    <s v="ALBROOK MALL"/>
    <x v="0"/>
  </r>
  <r>
    <x v="27"/>
    <x v="182"/>
    <x v="2"/>
    <x v="2"/>
    <x v="1"/>
    <x v="2"/>
    <x v="52"/>
    <x v="268"/>
    <x v="2283"/>
    <x v="0"/>
    <s v="ALBROOK MALL"/>
    <x v="0"/>
  </r>
  <r>
    <x v="27"/>
    <x v="183"/>
    <x v="2"/>
    <x v="2"/>
    <x v="1"/>
    <x v="2"/>
    <x v="53"/>
    <x v="269"/>
    <x v="2284"/>
    <x v="0"/>
    <s v="ALBROOK MALL"/>
    <x v="0"/>
  </r>
  <r>
    <x v="27"/>
    <x v="179"/>
    <x v="7"/>
    <x v="7"/>
    <x v="1"/>
    <x v="0"/>
    <x v="49"/>
    <x v="265"/>
    <x v="2285"/>
    <x v="0"/>
    <s v="ALBROOK MALL"/>
    <x v="0"/>
  </r>
  <r>
    <x v="27"/>
    <x v="171"/>
    <x v="7"/>
    <x v="7"/>
    <x v="1"/>
    <x v="0"/>
    <x v="41"/>
    <x v="257"/>
    <x v="2286"/>
    <x v="0"/>
    <s v="ALBROOK MALL"/>
    <x v="0"/>
  </r>
  <r>
    <x v="27"/>
    <x v="172"/>
    <x v="8"/>
    <x v="8"/>
    <x v="1"/>
    <x v="0"/>
    <x v="42"/>
    <x v="258"/>
    <x v="2287"/>
    <x v="0"/>
    <s v="ALBROOK MALL"/>
    <x v="0"/>
  </r>
  <r>
    <x v="27"/>
    <x v="173"/>
    <x v="8"/>
    <x v="8"/>
    <x v="1"/>
    <x v="0"/>
    <x v="43"/>
    <x v="259"/>
    <x v="2288"/>
    <x v="0"/>
    <s v="ALBROOK MALL"/>
    <x v="0"/>
  </r>
  <r>
    <x v="27"/>
    <x v="175"/>
    <x v="9"/>
    <x v="9"/>
    <x v="1"/>
    <x v="0"/>
    <x v="45"/>
    <x v="261"/>
    <x v="2289"/>
    <x v="0"/>
    <s v="ALBROOK MALL"/>
    <x v="0"/>
  </r>
  <r>
    <x v="27"/>
    <x v="178"/>
    <x v="9"/>
    <x v="9"/>
    <x v="1"/>
    <x v="0"/>
    <x v="48"/>
    <x v="264"/>
    <x v="2290"/>
    <x v="0"/>
    <s v="ALBROOK MALL"/>
    <x v="0"/>
  </r>
  <r>
    <x v="27"/>
    <x v="180"/>
    <x v="10"/>
    <x v="10"/>
    <x v="1"/>
    <x v="0"/>
    <x v="50"/>
    <x v="266"/>
    <x v="2291"/>
    <x v="0"/>
    <s v="ALBROOK MALL"/>
    <x v="0"/>
  </r>
  <r>
    <x v="27"/>
    <x v="176"/>
    <x v="10"/>
    <x v="10"/>
    <x v="1"/>
    <x v="0"/>
    <x v="46"/>
    <x v="262"/>
    <x v="2292"/>
    <x v="0"/>
    <s v="ALBROOK MALL"/>
    <x v="0"/>
  </r>
  <r>
    <x v="27"/>
    <x v="177"/>
    <x v="11"/>
    <x v="11"/>
    <x v="1"/>
    <x v="0"/>
    <x v="47"/>
    <x v="263"/>
    <x v="2293"/>
    <x v="0"/>
    <s v="ALBROOK MALL"/>
    <x v="0"/>
  </r>
  <r>
    <x v="27"/>
    <x v="181"/>
    <x v="11"/>
    <x v="11"/>
    <x v="1"/>
    <x v="0"/>
    <x v="51"/>
    <x v="267"/>
    <x v="2294"/>
    <x v="0"/>
    <s v="ALBROOK MALL"/>
    <x v="0"/>
  </r>
  <r>
    <x v="27"/>
    <x v="182"/>
    <x v="2"/>
    <x v="2"/>
    <x v="1"/>
    <x v="0"/>
    <x v="52"/>
    <x v="268"/>
    <x v="2295"/>
    <x v="0"/>
    <s v="ALBROOK MALL"/>
    <x v="0"/>
  </r>
  <r>
    <x v="27"/>
    <x v="183"/>
    <x v="2"/>
    <x v="2"/>
    <x v="1"/>
    <x v="0"/>
    <x v="53"/>
    <x v="269"/>
    <x v="2296"/>
    <x v="0"/>
    <s v="ALBROOK MALL"/>
    <x v="0"/>
  </r>
  <r>
    <x v="27"/>
    <x v="184"/>
    <x v="6"/>
    <x v="6"/>
    <x v="1"/>
    <x v="0"/>
    <x v="54"/>
    <x v="270"/>
    <x v="2297"/>
    <x v="0"/>
    <s v="ALBROOK MALL"/>
    <x v="0"/>
  </r>
  <r>
    <x v="27"/>
    <x v="174"/>
    <x v="6"/>
    <x v="6"/>
    <x v="1"/>
    <x v="0"/>
    <x v="44"/>
    <x v="260"/>
    <x v="2298"/>
    <x v="0"/>
    <s v="ALBROOK MALL"/>
    <x v="0"/>
  </r>
  <r>
    <x v="27"/>
    <x v="179"/>
    <x v="7"/>
    <x v="7"/>
    <x v="1"/>
    <x v="1"/>
    <x v="49"/>
    <x v="265"/>
    <x v="1873"/>
    <x v="0"/>
    <s v="ALBROOK MALL"/>
    <x v="0"/>
  </r>
  <r>
    <x v="27"/>
    <x v="180"/>
    <x v="10"/>
    <x v="10"/>
    <x v="1"/>
    <x v="1"/>
    <x v="50"/>
    <x v="266"/>
    <x v="505"/>
    <x v="0"/>
    <s v="ALBROOK MALL"/>
    <x v="0"/>
  </r>
  <r>
    <x v="27"/>
    <x v="176"/>
    <x v="10"/>
    <x v="10"/>
    <x v="1"/>
    <x v="1"/>
    <x v="46"/>
    <x v="262"/>
    <x v="2299"/>
    <x v="0"/>
    <s v="ALBROOK MALL"/>
    <x v="0"/>
  </r>
  <r>
    <x v="27"/>
    <x v="177"/>
    <x v="11"/>
    <x v="11"/>
    <x v="1"/>
    <x v="1"/>
    <x v="47"/>
    <x v="263"/>
    <x v="2300"/>
    <x v="0"/>
    <s v="ALBROOK MALL"/>
    <x v="0"/>
  </r>
  <r>
    <x v="27"/>
    <x v="181"/>
    <x v="11"/>
    <x v="11"/>
    <x v="1"/>
    <x v="1"/>
    <x v="51"/>
    <x v="267"/>
    <x v="2301"/>
    <x v="0"/>
    <s v="ALBROOK MALL"/>
    <x v="0"/>
  </r>
  <r>
    <x v="27"/>
    <x v="182"/>
    <x v="2"/>
    <x v="2"/>
    <x v="1"/>
    <x v="1"/>
    <x v="52"/>
    <x v="268"/>
    <x v="2302"/>
    <x v="0"/>
    <s v="ALBROOK MALL"/>
    <x v="0"/>
  </r>
  <r>
    <x v="27"/>
    <x v="183"/>
    <x v="2"/>
    <x v="2"/>
    <x v="1"/>
    <x v="1"/>
    <x v="53"/>
    <x v="269"/>
    <x v="1317"/>
    <x v="0"/>
    <s v="ALBROOK MALL"/>
    <x v="0"/>
  </r>
  <r>
    <x v="27"/>
    <x v="184"/>
    <x v="6"/>
    <x v="6"/>
    <x v="1"/>
    <x v="1"/>
    <x v="54"/>
    <x v="270"/>
    <x v="2303"/>
    <x v="0"/>
    <s v="ALBROOK MALL"/>
    <x v="0"/>
  </r>
  <r>
    <x v="27"/>
    <x v="174"/>
    <x v="6"/>
    <x v="6"/>
    <x v="1"/>
    <x v="1"/>
    <x v="44"/>
    <x v="260"/>
    <x v="2304"/>
    <x v="0"/>
    <s v="ALBROOK MALL"/>
    <x v="0"/>
  </r>
  <r>
    <x v="28"/>
    <x v="181"/>
    <x v="11"/>
    <x v="11"/>
    <x v="1"/>
    <x v="0"/>
    <x v="51"/>
    <x v="267"/>
    <x v="2305"/>
    <x v="0"/>
    <s v="PANAMA PACIFICO"/>
    <x v="0"/>
  </r>
  <r>
    <x v="28"/>
    <x v="181"/>
    <x v="11"/>
    <x v="11"/>
    <x v="1"/>
    <x v="1"/>
    <x v="51"/>
    <x v="267"/>
    <x v="2306"/>
    <x v="0"/>
    <s v="PANAMA PACIFICO"/>
    <x v="0"/>
  </r>
  <r>
    <x v="29"/>
    <x v="179"/>
    <x v="7"/>
    <x v="7"/>
    <x v="1"/>
    <x v="0"/>
    <x v="49"/>
    <x v="265"/>
    <x v="2307"/>
    <x v="0"/>
    <s v="ALBROOK"/>
    <x v="0"/>
  </r>
  <r>
    <x v="29"/>
    <x v="171"/>
    <x v="7"/>
    <x v="7"/>
    <x v="1"/>
    <x v="0"/>
    <x v="41"/>
    <x v="257"/>
    <x v="2308"/>
    <x v="0"/>
    <s v="ALBROOK"/>
    <x v="0"/>
  </r>
  <r>
    <x v="29"/>
    <x v="172"/>
    <x v="8"/>
    <x v="8"/>
    <x v="1"/>
    <x v="0"/>
    <x v="42"/>
    <x v="258"/>
    <x v="2309"/>
    <x v="0"/>
    <s v="ALBROOK"/>
    <x v="0"/>
  </r>
  <r>
    <x v="29"/>
    <x v="173"/>
    <x v="8"/>
    <x v="8"/>
    <x v="1"/>
    <x v="0"/>
    <x v="43"/>
    <x v="259"/>
    <x v="2310"/>
    <x v="0"/>
    <s v="ALBROOK"/>
    <x v="0"/>
  </r>
  <r>
    <x v="29"/>
    <x v="175"/>
    <x v="9"/>
    <x v="9"/>
    <x v="1"/>
    <x v="0"/>
    <x v="45"/>
    <x v="261"/>
    <x v="2311"/>
    <x v="0"/>
    <s v="ALBROOK"/>
    <x v="0"/>
  </r>
  <r>
    <x v="29"/>
    <x v="178"/>
    <x v="9"/>
    <x v="9"/>
    <x v="1"/>
    <x v="0"/>
    <x v="48"/>
    <x v="264"/>
    <x v="2312"/>
    <x v="0"/>
    <s v="ALBROOK"/>
    <x v="0"/>
  </r>
  <r>
    <x v="29"/>
    <x v="180"/>
    <x v="10"/>
    <x v="10"/>
    <x v="1"/>
    <x v="0"/>
    <x v="50"/>
    <x v="266"/>
    <x v="2313"/>
    <x v="0"/>
    <s v="ALBROOK"/>
    <x v="0"/>
  </r>
  <r>
    <x v="29"/>
    <x v="186"/>
    <x v="10"/>
    <x v="10"/>
    <x v="1"/>
    <x v="0"/>
    <x v="56"/>
    <x v="272"/>
    <x v="2314"/>
    <x v="0"/>
    <s v="ALBROOK"/>
    <x v="0"/>
  </r>
  <r>
    <x v="29"/>
    <x v="176"/>
    <x v="10"/>
    <x v="10"/>
    <x v="1"/>
    <x v="0"/>
    <x v="46"/>
    <x v="262"/>
    <x v="2315"/>
    <x v="0"/>
    <s v="ALBROOK"/>
    <x v="0"/>
  </r>
  <r>
    <x v="29"/>
    <x v="177"/>
    <x v="11"/>
    <x v="11"/>
    <x v="1"/>
    <x v="0"/>
    <x v="47"/>
    <x v="263"/>
    <x v="2316"/>
    <x v="0"/>
    <s v="ALBROOK"/>
    <x v="0"/>
  </r>
  <r>
    <x v="29"/>
    <x v="181"/>
    <x v="11"/>
    <x v="11"/>
    <x v="1"/>
    <x v="0"/>
    <x v="51"/>
    <x v="267"/>
    <x v="2317"/>
    <x v="0"/>
    <s v="ALBROOK"/>
    <x v="0"/>
  </r>
  <r>
    <x v="29"/>
    <x v="182"/>
    <x v="2"/>
    <x v="2"/>
    <x v="1"/>
    <x v="0"/>
    <x v="52"/>
    <x v="268"/>
    <x v="2318"/>
    <x v="0"/>
    <s v="ALBROOK"/>
    <x v="0"/>
  </r>
  <r>
    <x v="29"/>
    <x v="183"/>
    <x v="2"/>
    <x v="2"/>
    <x v="1"/>
    <x v="0"/>
    <x v="53"/>
    <x v="269"/>
    <x v="2319"/>
    <x v="0"/>
    <s v="ALBROOK"/>
    <x v="0"/>
  </r>
  <r>
    <x v="29"/>
    <x v="184"/>
    <x v="6"/>
    <x v="6"/>
    <x v="1"/>
    <x v="0"/>
    <x v="54"/>
    <x v="270"/>
    <x v="2320"/>
    <x v="0"/>
    <s v="ALBROOK"/>
    <x v="0"/>
  </r>
  <r>
    <x v="29"/>
    <x v="174"/>
    <x v="6"/>
    <x v="6"/>
    <x v="1"/>
    <x v="0"/>
    <x v="44"/>
    <x v="260"/>
    <x v="2321"/>
    <x v="0"/>
    <s v="ALBROOK"/>
    <x v="0"/>
  </r>
  <r>
    <x v="29"/>
    <x v="172"/>
    <x v="8"/>
    <x v="8"/>
    <x v="1"/>
    <x v="1"/>
    <x v="42"/>
    <x v="258"/>
    <x v="2322"/>
    <x v="0"/>
    <s v="ALBROOK"/>
    <x v="0"/>
  </r>
  <r>
    <x v="29"/>
    <x v="175"/>
    <x v="9"/>
    <x v="9"/>
    <x v="1"/>
    <x v="1"/>
    <x v="45"/>
    <x v="261"/>
    <x v="2323"/>
    <x v="0"/>
    <s v="ALBROOK"/>
    <x v="0"/>
  </r>
  <r>
    <x v="29"/>
    <x v="177"/>
    <x v="11"/>
    <x v="11"/>
    <x v="1"/>
    <x v="1"/>
    <x v="47"/>
    <x v="263"/>
    <x v="2324"/>
    <x v="0"/>
    <s v="ALBROOK"/>
    <x v="0"/>
  </r>
  <r>
    <x v="29"/>
    <x v="174"/>
    <x v="6"/>
    <x v="6"/>
    <x v="1"/>
    <x v="1"/>
    <x v="44"/>
    <x v="260"/>
    <x v="2042"/>
    <x v="0"/>
    <s v="ALBROOK"/>
    <x v="0"/>
  </r>
  <r>
    <x v="30"/>
    <x v="181"/>
    <x v="11"/>
    <x v="11"/>
    <x v="1"/>
    <x v="2"/>
    <x v="51"/>
    <x v="267"/>
    <x v="1313"/>
    <x v="0"/>
    <s v="SUCURSAL DE VISTA ALEGRE"/>
    <x v="0"/>
  </r>
  <r>
    <x v="30"/>
    <x v="184"/>
    <x v="6"/>
    <x v="6"/>
    <x v="1"/>
    <x v="2"/>
    <x v="54"/>
    <x v="270"/>
    <x v="2325"/>
    <x v="0"/>
    <s v="SUCURSAL DE VISTA ALEGRE"/>
    <x v="0"/>
  </r>
  <r>
    <x v="30"/>
    <x v="179"/>
    <x v="7"/>
    <x v="7"/>
    <x v="1"/>
    <x v="0"/>
    <x v="49"/>
    <x v="265"/>
    <x v="2326"/>
    <x v="0"/>
    <s v="SUCURSAL DE VISTA ALEGRE"/>
    <x v="0"/>
  </r>
  <r>
    <x v="30"/>
    <x v="171"/>
    <x v="7"/>
    <x v="7"/>
    <x v="1"/>
    <x v="0"/>
    <x v="41"/>
    <x v="257"/>
    <x v="2327"/>
    <x v="0"/>
    <s v="SUCURSAL DE VISTA ALEGRE"/>
    <x v="0"/>
  </r>
  <r>
    <x v="30"/>
    <x v="172"/>
    <x v="8"/>
    <x v="8"/>
    <x v="1"/>
    <x v="0"/>
    <x v="42"/>
    <x v="258"/>
    <x v="2328"/>
    <x v="0"/>
    <s v="SUCURSAL DE VISTA ALEGRE"/>
    <x v="0"/>
  </r>
  <r>
    <x v="30"/>
    <x v="173"/>
    <x v="8"/>
    <x v="8"/>
    <x v="1"/>
    <x v="0"/>
    <x v="43"/>
    <x v="259"/>
    <x v="2329"/>
    <x v="0"/>
    <s v="SUCURSAL DE VISTA ALEGRE"/>
    <x v="0"/>
  </r>
  <r>
    <x v="30"/>
    <x v="175"/>
    <x v="9"/>
    <x v="9"/>
    <x v="1"/>
    <x v="0"/>
    <x v="45"/>
    <x v="261"/>
    <x v="2330"/>
    <x v="0"/>
    <s v="SUCURSAL DE VISTA ALEGRE"/>
    <x v="0"/>
  </r>
  <r>
    <x v="30"/>
    <x v="178"/>
    <x v="9"/>
    <x v="9"/>
    <x v="1"/>
    <x v="0"/>
    <x v="48"/>
    <x v="264"/>
    <x v="2331"/>
    <x v="0"/>
    <s v="SUCURSAL DE VISTA ALEGRE"/>
    <x v="0"/>
  </r>
  <r>
    <x v="30"/>
    <x v="180"/>
    <x v="10"/>
    <x v="10"/>
    <x v="1"/>
    <x v="0"/>
    <x v="50"/>
    <x v="266"/>
    <x v="2332"/>
    <x v="0"/>
    <s v="SUCURSAL DE VISTA ALEGRE"/>
    <x v="0"/>
  </r>
  <r>
    <x v="30"/>
    <x v="176"/>
    <x v="10"/>
    <x v="10"/>
    <x v="1"/>
    <x v="0"/>
    <x v="46"/>
    <x v="262"/>
    <x v="2333"/>
    <x v="0"/>
    <s v="SUCURSAL DE VISTA ALEGRE"/>
    <x v="0"/>
  </r>
  <r>
    <x v="30"/>
    <x v="177"/>
    <x v="11"/>
    <x v="11"/>
    <x v="1"/>
    <x v="0"/>
    <x v="47"/>
    <x v="263"/>
    <x v="2334"/>
    <x v="0"/>
    <s v="SUCURSAL DE VISTA ALEGRE"/>
    <x v="0"/>
  </r>
  <r>
    <x v="30"/>
    <x v="181"/>
    <x v="11"/>
    <x v="11"/>
    <x v="1"/>
    <x v="0"/>
    <x v="51"/>
    <x v="267"/>
    <x v="2335"/>
    <x v="0"/>
    <s v="SUCURSAL DE VISTA ALEGRE"/>
    <x v="0"/>
  </r>
  <r>
    <x v="30"/>
    <x v="182"/>
    <x v="2"/>
    <x v="2"/>
    <x v="1"/>
    <x v="0"/>
    <x v="52"/>
    <x v="268"/>
    <x v="2336"/>
    <x v="0"/>
    <s v="SUCURSAL DE VISTA ALEGRE"/>
    <x v="0"/>
  </r>
  <r>
    <x v="30"/>
    <x v="183"/>
    <x v="2"/>
    <x v="2"/>
    <x v="1"/>
    <x v="0"/>
    <x v="53"/>
    <x v="269"/>
    <x v="2337"/>
    <x v="0"/>
    <s v="SUCURSAL DE VISTA ALEGRE"/>
    <x v="0"/>
  </r>
  <r>
    <x v="30"/>
    <x v="184"/>
    <x v="6"/>
    <x v="6"/>
    <x v="1"/>
    <x v="0"/>
    <x v="54"/>
    <x v="270"/>
    <x v="476"/>
    <x v="0"/>
    <s v="SUCURSAL DE VISTA ALEGRE"/>
    <x v="0"/>
  </r>
  <r>
    <x v="30"/>
    <x v="174"/>
    <x v="6"/>
    <x v="6"/>
    <x v="1"/>
    <x v="0"/>
    <x v="44"/>
    <x v="260"/>
    <x v="2338"/>
    <x v="0"/>
    <s v="SUCURSAL DE VISTA ALEGRE"/>
    <x v="0"/>
  </r>
  <r>
    <x v="30"/>
    <x v="179"/>
    <x v="7"/>
    <x v="7"/>
    <x v="1"/>
    <x v="1"/>
    <x v="49"/>
    <x v="265"/>
    <x v="2339"/>
    <x v="0"/>
    <s v="SUCURSAL DE VISTA ALEGRE"/>
    <x v="0"/>
  </r>
  <r>
    <x v="30"/>
    <x v="173"/>
    <x v="8"/>
    <x v="8"/>
    <x v="1"/>
    <x v="1"/>
    <x v="43"/>
    <x v="259"/>
    <x v="2340"/>
    <x v="0"/>
    <s v="SUCURSAL DE VISTA ALEGRE"/>
    <x v="0"/>
  </r>
  <r>
    <x v="30"/>
    <x v="178"/>
    <x v="9"/>
    <x v="9"/>
    <x v="1"/>
    <x v="1"/>
    <x v="48"/>
    <x v="264"/>
    <x v="993"/>
    <x v="0"/>
    <s v="SUCURSAL DE VISTA ALEGRE"/>
    <x v="0"/>
  </r>
  <r>
    <x v="30"/>
    <x v="180"/>
    <x v="10"/>
    <x v="10"/>
    <x v="1"/>
    <x v="1"/>
    <x v="50"/>
    <x v="266"/>
    <x v="2341"/>
    <x v="0"/>
    <s v="SUCURSAL DE VISTA ALEGRE"/>
    <x v="0"/>
  </r>
  <r>
    <x v="30"/>
    <x v="176"/>
    <x v="10"/>
    <x v="10"/>
    <x v="1"/>
    <x v="1"/>
    <x v="46"/>
    <x v="262"/>
    <x v="1982"/>
    <x v="0"/>
    <s v="SUCURSAL DE VISTA ALEGRE"/>
    <x v="0"/>
  </r>
  <r>
    <x v="30"/>
    <x v="177"/>
    <x v="11"/>
    <x v="11"/>
    <x v="1"/>
    <x v="1"/>
    <x v="47"/>
    <x v="263"/>
    <x v="2342"/>
    <x v="0"/>
    <s v="SUCURSAL DE VISTA ALEGRE"/>
    <x v="0"/>
  </r>
  <r>
    <x v="30"/>
    <x v="181"/>
    <x v="11"/>
    <x v="11"/>
    <x v="1"/>
    <x v="1"/>
    <x v="51"/>
    <x v="267"/>
    <x v="400"/>
    <x v="0"/>
    <s v="SUCURSAL DE VISTA ALEGRE"/>
    <x v="0"/>
  </r>
  <r>
    <x v="30"/>
    <x v="183"/>
    <x v="2"/>
    <x v="2"/>
    <x v="1"/>
    <x v="1"/>
    <x v="53"/>
    <x v="269"/>
    <x v="2343"/>
    <x v="0"/>
    <s v="SUCURSAL DE VISTA ALEGRE"/>
    <x v="0"/>
  </r>
  <r>
    <x v="30"/>
    <x v="184"/>
    <x v="6"/>
    <x v="6"/>
    <x v="1"/>
    <x v="1"/>
    <x v="54"/>
    <x v="270"/>
    <x v="2344"/>
    <x v="0"/>
    <s v="SUCURSAL DE VISTA ALEGRE"/>
    <x v="0"/>
  </r>
  <r>
    <x v="30"/>
    <x v="174"/>
    <x v="6"/>
    <x v="6"/>
    <x v="1"/>
    <x v="1"/>
    <x v="44"/>
    <x v="260"/>
    <x v="2345"/>
    <x v="0"/>
    <s v="SUCURSAL DE VISTA ALEGRE"/>
    <x v="0"/>
  </r>
  <r>
    <x v="31"/>
    <x v="171"/>
    <x v="7"/>
    <x v="7"/>
    <x v="1"/>
    <x v="0"/>
    <x v="41"/>
    <x v="257"/>
    <x v="2346"/>
    <x v="0"/>
    <s v="LAS TABLAS"/>
    <x v="0"/>
  </r>
  <r>
    <x v="31"/>
    <x v="176"/>
    <x v="10"/>
    <x v="10"/>
    <x v="1"/>
    <x v="1"/>
    <x v="46"/>
    <x v="262"/>
    <x v="2347"/>
    <x v="0"/>
    <s v="LAS TABLAS"/>
    <x v="0"/>
  </r>
  <r>
    <x v="31"/>
    <x v="177"/>
    <x v="11"/>
    <x v="11"/>
    <x v="1"/>
    <x v="1"/>
    <x v="47"/>
    <x v="263"/>
    <x v="2348"/>
    <x v="0"/>
    <s v="LAS TABLAS"/>
    <x v="0"/>
  </r>
  <r>
    <x v="32"/>
    <x v="171"/>
    <x v="7"/>
    <x v="7"/>
    <x v="1"/>
    <x v="0"/>
    <x v="41"/>
    <x v="257"/>
    <x v="2349"/>
    <x v="0"/>
    <s v="24 DE DICIEMBRE"/>
    <x v="0"/>
  </r>
  <r>
    <x v="33"/>
    <x v="176"/>
    <x v="10"/>
    <x v="10"/>
    <x v="1"/>
    <x v="2"/>
    <x v="46"/>
    <x v="262"/>
    <x v="2350"/>
    <x v="0"/>
    <s v="DAVID - TERRONAL"/>
    <x v="0"/>
  </r>
  <r>
    <x v="33"/>
    <x v="174"/>
    <x v="6"/>
    <x v="6"/>
    <x v="1"/>
    <x v="0"/>
    <x v="44"/>
    <x v="260"/>
    <x v="2351"/>
    <x v="0"/>
    <s v="DAVID - TERRONAL"/>
    <x v="0"/>
  </r>
  <r>
    <x v="34"/>
    <x v="179"/>
    <x v="7"/>
    <x v="7"/>
    <x v="1"/>
    <x v="0"/>
    <x v="49"/>
    <x v="265"/>
    <x v="2352"/>
    <x v="0"/>
    <s v="COSTA DEL ESTE"/>
    <x v="0"/>
  </r>
  <r>
    <x v="34"/>
    <x v="171"/>
    <x v="7"/>
    <x v="7"/>
    <x v="1"/>
    <x v="0"/>
    <x v="41"/>
    <x v="257"/>
    <x v="2353"/>
    <x v="0"/>
    <s v="COSTA DEL ESTE"/>
    <x v="0"/>
  </r>
  <r>
    <x v="34"/>
    <x v="172"/>
    <x v="8"/>
    <x v="8"/>
    <x v="1"/>
    <x v="0"/>
    <x v="42"/>
    <x v="258"/>
    <x v="2354"/>
    <x v="0"/>
    <s v="COSTA DEL ESTE"/>
    <x v="0"/>
  </r>
  <r>
    <x v="34"/>
    <x v="173"/>
    <x v="8"/>
    <x v="8"/>
    <x v="1"/>
    <x v="0"/>
    <x v="43"/>
    <x v="259"/>
    <x v="2355"/>
    <x v="0"/>
    <s v="COSTA DEL ESTE"/>
    <x v="0"/>
  </r>
  <r>
    <x v="34"/>
    <x v="175"/>
    <x v="9"/>
    <x v="9"/>
    <x v="1"/>
    <x v="0"/>
    <x v="45"/>
    <x v="261"/>
    <x v="2356"/>
    <x v="0"/>
    <s v="COSTA DEL ESTE"/>
    <x v="0"/>
  </r>
  <r>
    <x v="34"/>
    <x v="178"/>
    <x v="9"/>
    <x v="9"/>
    <x v="1"/>
    <x v="0"/>
    <x v="48"/>
    <x v="264"/>
    <x v="2357"/>
    <x v="0"/>
    <s v="COSTA DEL ESTE"/>
    <x v="0"/>
  </r>
  <r>
    <x v="34"/>
    <x v="180"/>
    <x v="10"/>
    <x v="10"/>
    <x v="1"/>
    <x v="0"/>
    <x v="50"/>
    <x v="266"/>
    <x v="2358"/>
    <x v="0"/>
    <s v="COSTA DEL ESTE"/>
    <x v="0"/>
  </r>
  <r>
    <x v="34"/>
    <x v="176"/>
    <x v="10"/>
    <x v="10"/>
    <x v="1"/>
    <x v="0"/>
    <x v="46"/>
    <x v="262"/>
    <x v="2359"/>
    <x v="0"/>
    <s v="COSTA DEL ESTE"/>
    <x v="0"/>
  </r>
  <r>
    <x v="34"/>
    <x v="187"/>
    <x v="11"/>
    <x v="11"/>
    <x v="1"/>
    <x v="0"/>
    <x v="57"/>
    <x v="273"/>
    <x v="2360"/>
    <x v="0"/>
    <s v="COSTA DEL ESTE"/>
    <x v="0"/>
  </r>
  <r>
    <x v="34"/>
    <x v="177"/>
    <x v="11"/>
    <x v="11"/>
    <x v="1"/>
    <x v="0"/>
    <x v="47"/>
    <x v="263"/>
    <x v="2361"/>
    <x v="0"/>
    <s v="COSTA DEL ESTE"/>
    <x v="0"/>
  </r>
  <r>
    <x v="34"/>
    <x v="181"/>
    <x v="11"/>
    <x v="11"/>
    <x v="1"/>
    <x v="0"/>
    <x v="51"/>
    <x v="267"/>
    <x v="2362"/>
    <x v="0"/>
    <s v="COSTA DEL ESTE"/>
    <x v="0"/>
  </r>
  <r>
    <x v="34"/>
    <x v="182"/>
    <x v="2"/>
    <x v="2"/>
    <x v="1"/>
    <x v="0"/>
    <x v="52"/>
    <x v="268"/>
    <x v="2363"/>
    <x v="0"/>
    <s v="COSTA DEL ESTE"/>
    <x v="0"/>
  </r>
  <r>
    <x v="34"/>
    <x v="183"/>
    <x v="2"/>
    <x v="2"/>
    <x v="1"/>
    <x v="0"/>
    <x v="53"/>
    <x v="269"/>
    <x v="2364"/>
    <x v="0"/>
    <s v="COSTA DEL ESTE"/>
    <x v="0"/>
  </r>
  <r>
    <x v="34"/>
    <x v="184"/>
    <x v="6"/>
    <x v="6"/>
    <x v="1"/>
    <x v="0"/>
    <x v="54"/>
    <x v="270"/>
    <x v="2321"/>
    <x v="0"/>
    <s v="COSTA DEL ESTE"/>
    <x v="0"/>
  </r>
  <r>
    <x v="34"/>
    <x v="188"/>
    <x v="6"/>
    <x v="6"/>
    <x v="1"/>
    <x v="0"/>
    <x v="58"/>
    <x v="274"/>
    <x v="2365"/>
    <x v="0"/>
    <s v="COSTA DEL ESTE"/>
    <x v="0"/>
  </r>
  <r>
    <x v="34"/>
    <x v="174"/>
    <x v="6"/>
    <x v="6"/>
    <x v="1"/>
    <x v="0"/>
    <x v="44"/>
    <x v="260"/>
    <x v="2366"/>
    <x v="0"/>
    <s v="COSTA DEL ESTE"/>
    <x v="0"/>
  </r>
  <r>
    <x v="34"/>
    <x v="179"/>
    <x v="7"/>
    <x v="7"/>
    <x v="1"/>
    <x v="1"/>
    <x v="49"/>
    <x v="265"/>
    <x v="2367"/>
    <x v="0"/>
    <s v="COSTA DEL ESTE"/>
    <x v="0"/>
  </r>
  <r>
    <x v="34"/>
    <x v="175"/>
    <x v="9"/>
    <x v="9"/>
    <x v="1"/>
    <x v="1"/>
    <x v="45"/>
    <x v="261"/>
    <x v="2244"/>
    <x v="0"/>
    <s v="COSTA DEL ESTE"/>
    <x v="0"/>
  </r>
  <r>
    <x v="34"/>
    <x v="178"/>
    <x v="9"/>
    <x v="9"/>
    <x v="1"/>
    <x v="1"/>
    <x v="48"/>
    <x v="264"/>
    <x v="2368"/>
    <x v="0"/>
    <s v="COSTA DEL ESTE"/>
    <x v="0"/>
  </r>
  <r>
    <x v="34"/>
    <x v="180"/>
    <x v="10"/>
    <x v="10"/>
    <x v="1"/>
    <x v="1"/>
    <x v="50"/>
    <x v="266"/>
    <x v="2369"/>
    <x v="0"/>
    <s v="COSTA DEL ESTE"/>
    <x v="0"/>
  </r>
  <r>
    <x v="34"/>
    <x v="177"/>
    <x v="11"/>
    <x v="11"/>
    <x v="1"/>
    <x v="1"/>
    <x v="47"/>
    <x v="263"/>
    <x v="2370"/>
    <x v="0"/>
    <s v="COSTA DEL ESTE"/>
    <x v="0"/>
  </r>
  <r>
    <x v="34"/>
    <x v="182"/>
    <x v="2"/>
    <x v="2"/>
    <x v="1"/>
    <x v="1"/>
    <x v="52"/>
    <x v="268"/>
    <x v="2371"/>
    <x v="0"/>
    <s v="COSTA DEL ESTE"/>
    <x v="0"/>
  </r>
  <r>
    <x v="34"/>
    <x v="183"/>
    <x v="2"/>
    <x v="2"/>
    <x v="1"/>
    <x v="1"/>
    <x v="53"/>
    <x v="269"/>
    <x v="2372"/>
    <x v="0"/>
    <s v="COSTA DEL ESTE"/>
    <x v="0"/>
  </r>
  <r>
    <x v="34"/>
    <x v="184"/>
    <x v="6"/>
    <x v="6"/>
    <x v="1"/>
    <x v="1"/>
    <x v="54"/>
    <x v="270"/>
    <x v="2373"/>
    <x v="0"/>
    <s v="COSTA DEL ESTE"/>
    <x v="0"/>
  </r>
  <r>
    <x v="34"/>
    <x v="174"/>
    <x v="6"/>
    <x v="6"/>
    <x v="1"/>
    <x v="1"/>
    <x v="44"/>
    <x v="260"/>
    <x v="2374"/>
    <x v="0"/>
    <s v="COSTA DEL ESTE"/>
    <x v="0"/>
  </r>
  <r>
    <x v="35"/>
    <x v="181"/>
    <x v="11"/>
    <x v="11"/>
    <x v="1"/>
    <x v="2"/>
    <x v="51"/>
    <x v="267"/>
    <x v="2375"/>
    <x v="0"/>
    <s v="MULTI PLAZA"/>
    <x v="0"/>
  </r>
  <r>
    <x v="35"/>
    <x v="179"/>
    <x v="7"/>
    <x v="7"/>
    <x v="1"/>
    <x v="0"/>
    <x v="49"/>
    <x v="265"/>
    <x v="2376"/>
    <x v="0"/>
    <s v="MULTI PLAZA"/>
    <x v="0"/>
  </r>
  <r>
    <x v="35"/>
    <x v="171"/>
    <x v="7"/>
    <x v="7"/>
    <x v="1"/>
    <x v="0"/>
    <x v="41"/>
    <x v="257"/>
    <x v="2377"/>
    <x v="0"/>
    <s v="MULTI PLAZA"/>
    <x v="0"/>
  </r>
  <r>
    <x v="35"/>
    <x v="172"/>
    <x v="8"/>
    <x v="8"/>
    <x v="1"/>
    <x v="0"/>
    <x v="42"/>
    <x v="258"/>
    <x v="2378"/>
    <x v="0"/>
    <s v="MULTI PLAZA"/>
    <x v="0"/>
  </r>
  <r>
    <x v="35"/>
    <x v="173"/>
    <x v="8"/>
    <x v="8"/>
    <x v="1"/>
    <x v="0"/>
    <x v="43"/>
    <x v="259"/>
    <x v="2379"/>
    <x v="0"/>
    <s v="MULTI PLAZA"/>
    <x v="0"/>
  </r>
  <r>
    <x v="35"/>
    <x v="175"/>
    <x v="9"/>
    <x v="9"/>
    <x v="1"/>
    <x v="0"/>
    <x v="45"/>
    <x v="261"/>
    <x v="271"/>
    <x v="0"/>
    <s v="MULTI PLAZA"/>
    <x v="0"/>
  </r>
  <r>
    <x v="35"/>
    <x v="178"/>
    <x v="9"/>
    <x v="9"/>
    <x v="1"/>
    <x v="0"/>
    <x v="48"/>
    <x v="264"/>
    <x v="2380"/>
    <x v="0"/>
    <s v="MULTI PLAZA"/>
    <x v="0"/>
  </r>
  <r>
    <x v="35"/>
    <x v="180"/>
    <x v="10"/>
    <x v="10"/>
    <x v="1"/>
    <x v="0"/>
    <x v="50"/>
    <x v="266"/>
    <x v="2381"/>
    <x v="0"/>
    <s v="MULTI PLAZA"/>
    <x v="0"/>
  </r>
  <r>
    <x v="35"/>
    <x v="176"/>
    <x v="10"/>
    <x v="10"/>
    <x v="1"/>
    <x v="0"/>
    <x v="46"/>
    <x v="262"/>
    <x v="2382"/>
    <x v="0"/>
    <s v="MULTI PLAZA"/>
    <x v="0"/>
  </r>
  <r>
    <x v="35"/>
    <x v="177"/>
    <x v="11"/>
    <x v="11"/>
    <x v="1"/>
    <x v="0"/>
    <x v="47"/>
    <x v="263"/>
    <x v="2383"/>
    <x v="0"/>
    <s v="MULTI PLAZA"/>
    <x v="0"/>
  </r>
  <r>
    <x v="35"/>
    <x v="181"/>
    <x v="11"/>
    <x v="11"/>
    <x v="1"/>
    <x v="0"/>
    <x v="51"/>
    <x v="267"/>
    <x v="2384"/>
    <x v="0"/>
    <s v="MULTI PLAZA"/>
    <x v="0"/>
  </r>
  <r>
    <x v="35"/>
    <x v="182"/>
    <x v="2"/>
    <x v="2"/>
    <x v="1"/>
    <x v="0"/>
    <x v="52"/>
    <x v="268"/>
    <x v="2385"/>
    <x v="0"/>
    <s v="MULTI PLAZA"/>
    <x v="0"/>
  </r>
  <r>
    <x v="35"/>
    <x v="183"/>
    <x v="2"/>
    <x v="2"/>
    <x v="1"/>
    <x v="0"/>
    <x v="53"/>
    <x v="269"/>
    <x v="2386"/>
    <x v="0"/>
    <s v="MULTI PLAZA"/>
    <x v="0"/>
  </r>
  <r>
    <x v="35"/>
    <x v="184"/>
    <x v="6"/>
    <x v="6"/>
    <x v="1"/>
    <x v="0"/>
    <x v="54"/>
    <x v="270"/>
    <x v="2387"/>
    <x v="0"/>
    <s v="MULTI PLAZA"/>
    <x v="0"/>
  </r>
  <r>
    <x v="35"/>
    <x v="174"/>
    <x v="6"/>
    <x v="6"/>
    <x v="1"/>
    <x v="0"/>
    <x v="44"/>
    <x v="260"/>
    <x v="2388"/>
    <x v="0"/>
    <s v="MULTI PLAZA"/>
    <x v="0"/>
  </r>
  <r>
    <x v="35"/>
    <x v="172"/>
    <x v="8"/>
    <x v="8"/>
    <x v="1"/>
    <x v="1"/>
    <x v="42"/>
    <x v="258"/>
    <x v="2389"/>
    <x v="0"/>
    <s v="MULTI PLAZA"/>
    <x v="0"/>
  </r>
  <r>
    <x v="35"/>
    <x v="180"/>
    <x v="10"/>
    <x v="10"/>
    <x v="1"/>
    <x v="1"/>
    <x v="50"/>
    <x v="266"/>
    <x v="56"/>
    <x v="0"/>
    <s v="MULTI PLAZA"/>
    <x v="0"/>
  </r>
  <r>
    <x v="35"/>
    <x v="181"/>
    <x v="11"/>
    <x v="11"/>
    <x v="1"/>
    <x v="1"/>
    <x v="51"/>
    <x v="267"/>
    <x v="2390"/>
    <x v="0"/>
    <s v="MULTI PLAZA"/>
    <x v="0"/>
  </r>
  <r>
    <x v="35"/>
    <x v="174"/>
    <x v="6"/>
    <x v="6"/>
    <x v="1"/>
    <x v="1"/>
    <x v="44"/>
    <x v="260"/>
    <x v="2391"/>
    <x v="0"/>
    <s v="MULTI PLAZA"/>
    <x v="0"/>
  </r>
  <r>
    <x v="77"/>
    <x v="171"/>
    <x v="7"/>
    <x v="7"/>
    <x v="1"/>
    <x v="0"/>
    <x v="41"/>
    <x v="257"/>
    <x v="2392"/>
    <x v="0"/>
    <s v="HOSPITAL PUNTA PACIFICA"/>
    <x v="0"/>
  </r>
  <r>
    <x v="77"/>
    <x v="174"/>
    <x v="6"/>
    <x v="6"/>
    <x v="1"/>
    <x v="0"/>
    <x v="44"/>
    <x v="260"/>
    <x v="899"/>
    <x v="0"/>
    <s v="HOSPITAL PUNTA PACIFICA"/>
    <x v="0"/>
  </r>
  <r>
    <x v="36"/>
    <x v="178"/>
    <x v="9"/>
    <x v="9"/>
    <x v="1"/>
    <x v="2"/>
    <x v="48"/>
    <x v="264"/>
    <x v="2393"/>
    <x v="0"/>
    <s v="TERMINAL DE ALBROOK"/>
    <x v="0"/>
  </r>
  <r>
    <x v="36"/>
    <x v="182"/>
    <x v="2"/>
    <x v="2"/>
    <x v="1"/>
    <x v="2"/>
    <x v="52"/>
    <x v="268"/>
    <x v="2394"/>
    <x v="0"/>
    <s v="TERMINAL DE ALBROOK"/>
    <x v="0"/>
  </r>
  <r>
    <x v="36"/>
    <x v="174"/>
    <x v="6"/>
    <x v="6"/>
    <x v="1"/>
    <x v="2"/>
    <x v="44"/>
    <x v="260"/>
    <x v="2395"/>
    <x v="0"/>
    <s v="TERMINAL DE ALBROOK"/>
    <x v="0"/>
  </r>
  <r>
    <x v="36"/>
    <x v="179"/>
    <x v="7"/>
    <x v="7"/>
    <x v="1"/>
    <x v="0"/>
    <x v="49"/>
    <x v="265"/>
    <x v="2396"/>
    <x v="0"/>
    <s v="TERMINAL DE ALBROOK"/>
    <x v="0"/>
  </r>
  <r>
    <x v="36"/>
    <x v="171"/>
    <x v="7"/>
    <x v="7"/>
    <x v="1"/>
    <x v="0"/>
    <x v="41"/>
    <x v="257"/>
    <x v="2397"/>
    <x v="0"/>
    <s v="TERMINAL DE ALBROOK"/>
    <x v="0"/>
  </r>
  <r>
    <x v="36"/>
    <x v="172"/>
    <x v="8"/>
    <x v="8"/>
    <x v="1"/>
    <x v="0"/>
    <x v="42"/>
    <x v="258"/>
    <x v="2398"/>
    <x v="0"/>
    <s v="TERMINAL DE ALBROOK"/>
    <x v="0"/>
  </r>
  <r>
    <x v="36"/>
    <x v="173"/>
    <x v="8"/>
    <x v="8"/>
    <x v="1"/>
    <x v="0"/>
    <x v="43"/>
    <x v="259"/>
    <x v="2399"/>
    <x v="0"/>
    <s v="TERMINAL DE ALBROOK"/>
    <x v="0"/>
  </r>
  <r>
    <x v="36"/>
    <x v="175"/>
    <x v="9"/>
    <x v="9"/>
    <x v="1"/>
    <x v="0"/>
    <x v="45"/>
    <x v="261"/>
    <x v="2400"/>
    <x v="0"/>
    <s v="TERMINAL DE ALBROOK"/>
    <x v="0"/>
  </r>
  <r>
    <x v="36"/>
    <x v="178"/>
    <x v="9"/>
    <x v="9"/>
    <x v="1"/>
    <x v="0"/>
    <x v="48"/>
    <x v="264"/>
    <x v="2401"/>
    <x v="0"/>
    <s v="TERMINAL DE ALBROOK"/>
    <x v="0"/>
  </r>
  <r>
    <x v="36"/>
    <x v="180"/>
    <x v="10"/>
    <x v="10"/>
    <x v="1"/>
    <x v="0"/>
    <x v="50"/>
    <x v="266"/>
    <x v="2402"/>
    <x v="0"/>
    <s v="TERMINAL DE ALBROOK"/>
    <x v="0"/>
  </r>
  <r>
    <x v="36"/>
    <x v="176"/>
    <x v="10"/>
    <x v="10"/>
    <x v="1"/>
    <x v="0"/>
    <x v="46"/>
    <x v="262"/>
    <x v="2403"/>
    <x v="0"/>
    <s v="TERMINAL DE ALBROOK"/>
    <x v="0"/>
  </r>
  <r>
    <x v="36"/>
    <x v="177"/>
    <x v="11"/>
    <x v="11"/>
    <x v="1"/>
    <x v="0"/>
    <x v="47"/>
    <x v="263"/>
    <x v="2404"/>
    <x v="0"/>
    <s v="TERMINAL DE ALBROOK"/>
    <x v="0"/>
  </r>
  <r>
    <x v="36"/>
    <x v="181"/>
    <x v="11"/>
    <x v="11"/>
    <x v="1"/>
    <x v="0"/>
    <x v="51"/>
    <x v="267"/>
    <x v="2405"/>
    <x v="0"/>
    <s v="TERMINAL DE ALBROOK"/>
    <x v="0"/>
  </r>
  <r>
    <x v="36"/>
    <x v="182"/>
    <x v="2"/>
    <x v="2"/>
    <x v="1"/>
    <x v="0"/>
    <x v="52"/>
    <x v="268"/>
    <x v="2406"/>
    <x v="0"/>
    <s v="TERMINAL DE ALBROOK"/>
    <x v="0"/>
  </r>
  <r>
    <x v="36"/>
    <x v="183"/>
    <x v="2"/>
    <x v="2"/>
    <x v="1"/>
    <x v="0"/>
    <x v="53"/>
    <x v="269"/>
    <x v="2407"/>
    <x v="0"/>
    <s v="TERMINAL DE ALBROOK"/>
    <x v="0"/>
  </r>
  <r>
    <x v="36"/>
    <x v="184"/>
    <x v="6"/>
    <x v="6"/>
    <x v="1"/>
    <x v="0"/>
    <x v="54"/>
    <x v="270"/>
    <x v="2408"/>
    <x v="0"/>
    <s v="TERMINAL DE ALBROOK"/>
    <x v="0"/>
  </r>
  <r>
    <x v="36"/>
    <x v="174"/>
    <x v="6"/>
    <x v="6"/>
    <x v="1"/>
    <x v="0"/>
    <x v="44"/>
    <x v="260"/>
    <x v="2409"/>
    <x v="0"/>
    <s v="TERMINAL DE ALBROOK"/>
    <x v="0"/>
  </r>
  <r>
    <x v="36"/>
    <x v="171"/>
    <x v="7"/>
    <x v="7"/>
    <x v="1"/>
    <x v="1"/>
    <x v="41"/>
    <x v="257"/>
    <x v="2410"/>
    <x v="0"/>
    <s v="TERMINAL DE ALBROOK"/>
    <x v="0"/>
  </r>
  <r>
    <x v="36"/>
    <x v="172"/>
    <x v="8"/>
    <x v="8"/>
    <x v="1"/>
    <x v="1"/>
    <x v="42"/>
    <x v="258"/>
    <x v="438"/>
    <x v="0"/>
    <s v="TERMINAL DE ALBROOK"/>
    <x v="0"/>
  </r>
  <r>
    <x v="36"/>
    <x v="175"/>
    <x v="9"/>
    <x v="9"/>
    <x v="1"/>
    <x v="1"/>
    <x v="45"/>
    <x v="261"/>
    <x v="2411"/>
    <x v="0"/>
    <s v="TERMINAL DE ALBROOK"/>
    <x v="0"/>
  </r>
  <r>
    <x v="36"/>
    <x v="178"/>
    <x v="9"/>
    <x v="9"/>
    <x v="1"/>
    <x v="1"/>
    <x v="48"/>
    <x v="264"/>
    <x v="2412"/>
    <x v="0"/>
    <s v="TERMINAL DE ALBROOK"/>
    <x v="0"/>
  </r>
  <r>
    <x v="36"/>
    <x v="180"/>
    <x v="10"/>
    <x v="10"/>
    <x v="1"/>
    <x v="1"/>
    <x v="50"/>
    <x v="266"/>
    <x v="2413"/>
    <x v="0"/>
    <s v="TERMINAL DE ALBROOK"/>
    <x v="0"/>
  </r>
  <r>
    <x v="36"/>
    <x v="177"/>
    <x v="11"/>
    <x v="11"/>
    <x v="1"/>
    <x v="1"/>
    <x v="47"/>
    <x v="263"/>
    <x v="2414"/>
    <x v="0"/>
    <s v="TERMINAL DE ALBROOK"/>
    <x v="0"/>
  </r>
  <r>
    <x v="36"/>
    <x v="181"/>
    <x v="11"/>
    <x v="11"/>
    <x v="1"/>
    <x v="1"/>
    <x v="51"/>
    <x v="267"/>
    <x v="2415"/>
    <x v="0"/>
    <s v="TERMINAL DE ALBROOK"/>
    <x v="0"/>
  </r>
  <r>
    <x v="36"/>
    <x v="183"/>
    <x v="2"/>
    <x v="2"/>
    <x v="1"/>
    <x v="1"/>
    <x v="53"/>
    <x v="269"/>
    <x v="2"/>
    <x v="0"/>
    <s v="TERMINAL DE ALBROOK"/>
    <x v="0"/>
  </r>
  <r>
    <x v="36"/>
    <x v="184"/>
    <x v="6"/>
    <x v="6"/>
    <x v="1"/>
    <x v="1"/>
    <x v="54"/>
    <x v="270"/>
    <x v="2416"/>
    <x v="0"/>
    <s v="TERMINAL DE ALBROOK"/>
    <x v="0"/>
  </r>
  <r>
    <x v="36"/>
    <x v="174"/>
    <x v="6"/>
    <x v="6"/>
    <x v="1"/>
    <x v="1"/>
    <x v="44"/>
    <x v="260"/>
    <x v="2417"/>
    <x v="0"/>
    <s v="TERMINAL DE ALBROOK"/>
    <x v="0"/>
  </r>
  <r>
    <x v="37"/>
    <x v="174"/>
    <x v="6"/>
    <x v="6"/>
    <x v="1"/>
    <x v="2"/>
    <x v="44"/>
    <x v="260"/>
    <x v="2418"/>
    <x v="0"/>
    <s v="CONCEPCION"/>
    <x v="0"/>
  </r>
  <r>
    <x v="37"/>
    <x v="171"/>
    <x v="7"/>
    <x v="7"/>
    <x v="1"/>
    <x v="0"/>
    <x v="41"/>
    <x v="257"/>
    <x v="248"/>
    <x v="0"/>
    <s v="CONCEPCION"/>
    <x v="0"/>
  </r>
  <r>
    <x v="39"/>
    <x v="179"/>
    <x v="7"/>
    <x v="7"/>
    <x v="1"/>
    <x v="2"/>
    <x v="49"/>
    <x v="265"/>
    <x v="2419"/>
    <x v="0"/>
    <s v="BRISAS DEL GOLF"/>
    <x v="0"/>
  </r>
  <r>
    <x v="39"/>
    <x v="179"/>
    <x v="7"/>
    <x v="7"/>
    <x v="1"/>
    <x v="0"/>
    <x v="49"/>
    <x v="265"/>
    <x v="2420"/>
    <x v="0"/>
    <s v="BRISAS DEL GOLF"/>
    <x v="0"/>
  </r>
  <r>
    <x v="39"/>
    <x v="171"/>
    <x v="7"/>
    <x v="7"/>
    <x v="1"/>
    <x v="0"/>
    <x v="41"/>
    <x v="257"/>
    <x v="2421"/>
    <x v="0"/>
    <s v="BRISAS DEL GOLF"/>
    <x v="0"/>
  </r>
  <r>
    <x v="39"/>
    <x v="172"/>
    <x v="8"/>
    <x v="8"/>
    <x v="1"/>
    <x v="0"/>
    <x v="42"/>
    <x v="258"/>
    <x v="2422"/>
    <x v="0"/>
    <s v="BRISAS DEL GOLF"/>
    <x v="0"/>
  </r>
  <r>
    <x v="39"/>
    <x v="175"/>
    <x v="9"/>
    <x v="9"/>
    <x v="1"/>
    <x v="0"/>
    <x v="45"/>
    <x v="261"/>
    <x v="2423"/>
    <x v="0"/>
    <s v="BRISAS DEL GOLF"/>
    <x v="0"/>
  </r>
  <r>
    <x v="39"/>
    <x v="178"/>
    <x v="9"/>
    <x v="9"/>
    <x v="1"/>
    <x v="0"/>
    <x v="48"/>
    <x v="264"/>
    <x v="2424"/>
    <x v="0"/>
    <s v="BRISAS DEL GOLF"/>
    <x v="0"/>
  </r>
  <r>
    <x v="39"/>
    <x v="180"/>
    <x v="10"/>
    <x v="10"/>
    <x v="1"/>
    <x v="0"/>
    <x v="50"/>
    <x v="266"/>
    <x v="2425"/>
    <x v="0"/>
    <s v="BRISAS DEL GOLF"/>
    <x v="0"/>
  </r>
  <r>
    <x v="39"/>
    <x v="176"/>
    <x v="10"/>
    <x v="10"/>
    <x v="1"/>
    <x v="0"/>
    <x v="46"/>
    <x v="262"/>
    <x v="2426"/>
    <x v="0"/>
    <s v="BRISAS DEL GOLF"/>
    <x v="0"/>
  </r>
  <r>
    <x v="39"/>
    <x v="177"/>
    <x v="11"/>
    <x v="11"/>
    <x v="1"/>
    <x v="0"/>
    <x v="47"/>
    <x v="263"/>
    <x v="2427"/>
    <x v="0"/>
    <s v="BRISAS DEL GOLF"/>
    <x v="0"/>
  </r>
  <r>
    <x v="39"/>
    <x v="181"/>
    <x v="11"/>
    <x v="11"/>
    <x v="1"/>
    <x v="0"/>
    <x v="51"/>
    <x v="267"/>
    <x v="2428"/>
    <x v="0"/>
    <s v="BRISAS DEL GOLF"/>
    <x v="0"/>
  </r>
  <r>
    <x v="39"/>
    <x v="182"/>
    <x v="2"/>
    <x v="2"/>
    <x v="1"/>
    <x v="0"/>
    <x v="52"/>
    <x v="268"/>
    <x v="2429"/>
    <x v="0"/>
    <s v="BRISAS DEL GOLF"/>
    <x v="0"/>
  </r>
  <r>
    <x v="39"/>
    <x v="183"/>
    <x v="2"/>
    <x v="2"/>
    <x v="1"/>
    <x v="0"/>
    <x v="53"/>
    <x v="269"/>
    <x v="2430"/>
    <x v="0"/>
    <s v="BRISAS DEL GOLF"/>
    <x v="0"/>
  </r>
  <r>
    <x v="39"/>
    <x v="184"/>
    <x v="6"/>
    <x v="6"/>
    <x v="1"/>
    <x v="0"/>
    <x v="54"/>
    <x v="270"/>
    <x v="2431"/>
    <x v="0"/>
    <s v="BRISAS DEL GOLF"/>
    <x v="0"/>
  </r>
  <r>
    <x v="39"/>
    <x v="174"/>
    <x v="6"/>
    <x v="6"/>
    <x v="1"/>
    <x v="0"/>
    <x v="44"/>
    <x v="260"/>
    <x v="2432"/>
    <x v="0"/>
    <s v="BRISAS DEL GOLF"/>
    <x v="0"/>
  </r>
  <r>
    <x v="39"/>
    <x v="179"/>
    <x v="7"/>
    <x v="7"/>
    <x v="1"/>
    <x v="1"/>
    <x v="49"/>
    <x v="265"/>
    <x v="2433"/>
    <x v="0"/>
    <s v="BRISAS DEL GOLF"/>
    <x v="0"/>
  </r>
  <r>
    <x v="39"/>
    <x v="173"/>
    <x v="8"/>
    <x v="8"/>
    <x v="1"/>
    <x v="1"/>
    <x v="43"/>
    <x v="259"/>
    <x v="1079"/>
    <x v="0"/>
    <s v="BRISAS DEL GOLF"/>
    <x v="0"/>
  </r>
  <r>
    <x v="39"/>
    <x v="181"/>
    <x v="11"/>
    <x v="11"/>
    <x v="1"/>
    <x v="1"/>
    <x v="51"/>
    <x v="267"/>
    <x v="2434"/>
    <x v="0"/>
    <s v="BRISAS DEL GOLF"/>
    <x v="0"/>
  </r>
  <r>
    <x v="39"/>
    <x v="184"/>
    <x v="6"/>
    <x v="6"/>
    <x v="1"/>
    <x v="1"/>
    <x v="54"/>
    <x v="270"/>
    <x v="1757"/>
    <x v="0"/>
    <s v="BRISAS DEL GOLF"/>
    <x v="0"/>
  </r>
  <r>
    <x v="40"/>
    <x v="171"/>
    <x v="7"/>
    <x v="7"/>
    <x v="1"/>
    <x v="2"/>
    <x v="41"/>
    <x v="257"/>
    <x v="2435"/>
    <x v="0"/>
    <s v="PUENTE CENTENARIO"/>
    <x v="0"/>
  </r>
  <r>
    <x v="40"/>
    <x v="175"/>
    <x v="9"/>
    <x v="9"/>
    <x v="1"/>
    <x v="2"/>
    <x v="45"/>
    <x v="261"/>
    <x v="2436"/>
    <x v="0"/>
    <s v="PUENTE CENTENARIO"/>
    <x v="0"/>
  </r>
  <r>
    <x v="40"/>
    <x v="177"/>
    <x v="11"/>
    <x v="11"/>
    <x v="1"/>
    <x v="2"/>
    <x v="47"/>
    <x v="263"/>
    <x v="2437"/>
    <x v="0"/>
    <s v="PUENTE CENTENARIO"/>
    <x v="0"/>
  </r>
  <r>
    <x v="40"/>
    <x v="179"/>
    <x v="7"/>
    <x v="7"/>
    <x v="1"/>
    <x v="0"/>
    <x v="49"/>
    <x v="265"/>
    <x v="2438"/>
    <x v="0"/>
    <s v="PUENTE CENTENARIO"/>
    <x v="0"/>
  </r>
  <r>
    <x v="40"/>
    <x v="171"/>
    <x v="7"/>
    <x v="7"/>
    <x v="1"/>
    <x v="0"/>
    <x v="41"/>
    <x v="257"/>
    <x v="2439"/>
    <x v="0"/>
    <s v="PUENTE CENTENARIO"/>
    <x v="0"/>
  </r>
  <r>
    <x v="40"/>
    <x v="172"/>
    <x v="8"/>
    <x v="8"/>
    <x v="1"/>
    <x v="0"/>
    <x v="42"/>
    <x v="258"/>
    <x v="2440"/>
    <x v="0"/>
    <s v="PUENTE CENTENARIO"/>
    <x v="0"/>
  </r>
  <r>
    <x v="40"/>
    <x v="173"/>
    <x v="8"/>
    <x v="8"/>
    <x v="1"/>
    <x v="0"/>
    <x v="43"/>
    <x v="259"/>
    <x v="2441"/>
    <x v="0"/>
    <s v="PUENTE CENTENARIO"/>
    <x v="0"/>
  </r>
  <r>
    <x v="40"/>
    <x v="175"/>
    <x v="9"/>
    <x v="9"/>
    <x v="1"/>
    <x v="0"/>
    <x v="45"/>
    <x v="261"/>
    <x v="2442"/>
    <x v="0"/>
    <s v="PUENTE CENTENARIO"/>
    <x v="0"/>
  </r>
  <r>
    <x v="40"/>
    <x v="178"/>
    <x v="9"/>
    <x v="9"/>
    <x v="1"/>
    <x v="0"/>
    <x v="48"/>
    <x v="264"/>
    <x v="2443"/>
    <x v="0"/>
    <s v="PUENTE CENTENARIO"/>
    <x v="0"/>
  </r>
  <r>
    <x v="40"/>
    <x v="180"/>
    <x v="10"/>
    <x v="10"/>
    <x v="1"/>
    <x v="0"/>
    <x v="50"/>
    <x v="266"/>
    <x v="2444"/>
    <x v="0"/>
    <s v="PUENTE CENTENARIO"/>
    <x v="0"/>
  </r>
  <r>
    <x v="40"/>
    <x v="176"/>
    <x v="10"/>
    <x v="10"/>
    <x v="1"/>
    <x v="0"/>
    <x v="46"/>
    <x v="262"/>
    <x v="2445"/>
    <x v="0"/>
    <s v="PUENTE CENTENARIO"/>
    <x v="0"/>
  </r>
  <r>
    <x v="40"/>
    <x v="177"/>
    <x v="11"/>
    <x v="11"/>
    <x v="1"/>
    <x v="0"/>
    <x v="47"/>
    <x v="263"/>
    <x v="2446"/>
    <x v="0"/>
    <s v="PUENTE CENTENARIO"/>
    <x v="0"/>
  </r>
  <r>
    <x v="40"/>
    <x v="181"/>
    <x v="11"/>
    <x v="11"/>
    <x v="1"/>
    <x v="0"/>
    <x v="51"/>
    <x v="267"/>
    <x v="2447"/>
    <x v="0"/>
    <s v="PUENTE CENTENARIO"/>
    <x v="0"/>
  </r>
  <r>
    <x v="40"/>
    <x v="182"/>
    <x v="2"/>
    <x v="2"/>
    <x v="1"/>
    <x v="0"/>
    <x v="52"/>
    <x v="268"/>
    <x v="2448"/>
    <x v="0"/>
    <s v="PUENTE CENTENARIO"/>
    <x v="0"/>
  </r>
  <r>
    <x v="40"/>
    <x v="183"/>
    <x v="2"/>
    <x v="2"/>
    <x v="1"/>
    <x v="0"/>
    <x v="53"/>
    <x v="269"/>
    <x v="2449"/>
    <x v="0"/>
    <s v="PUENTE CENTENARIO"/>
    <x v="0"/>
  </r>
  <r>
    <x v="40"/>
    <x v="184"/>
    <x v="6"/>
    <x v="6"/>
    <x v="1"/>
    <x v="0"/>
    <x v="54"/>
    <x v="270"/>
    <x v="2450"/>
    <x v="0"/>
    <s v="PUENTE CENTENARIO"/>
    <x v="0"/>
  </r>
  <r>
    <x v="40"/>
    <x v="174"/>
    <x v="6"/>
    <x v="6"/>
    <x v="1"/>
    <x v="0"/>
    <x v="44"/>
    <x v="260"/>
    <x v="2451"/>
    <x v="0"/>
    <s v="PUENTE CENTENARIO"/>
    <x v="0"/>
  </r>
  <r>
    <x v="40"/>
    <x v="173"/>
    <x v="8"/>
    <x v="8"/>
    <x v="1"/>
    <x v="1"/>
    <x v="43"/>
    <x v="259"/>
    <x v="2452"/>
    <x v="0"/>
    <s v="PUENTE CENTENARIO"/>
    <x v="0"/>
  </r>
  <r>
    <x v="40"/>
    <x v="175"/>
    <x v="9"/>
    <x v="9"/>
    <x v="1"/>
    <x v="1"/>
    <x v="45"/>
    <x v="261"/>
    <x v="2453"/>
    <x v="0"/>
    <s v="PUENTE CENTENARIO"/>
    <x v="0"/>
  </r>
  <r>
    <x v="40"/>
    <x v="178"/>
    <x v="9"/>
    <x v="9"/>
    <x v="1"/>
    <x v="1"/>
    <x v="48"/>
    <x v="264"/>
    <x v="2454"/>
    <x v="0"/>
    <s v="PUENTE CENTENARIO"/>
    <x v="0"/>
  </r>
  <r>
    <x v="40"/>
    <x v="180"/>
    <x v="10"/>
    <x v="10"/>
    <x v="1"/>
    <x v="1"/>
    <x v="50"/>
    <x v="266"/>
    <x v="2455"/>
    <x v="0"/>
    <s v="PUENTE CENTENARIO"/>
    <x v="0"/>
  </r>
  <r>
    <x v="40"/>
    <x v="176"/>
    <x v="10"/>
    <x v="10"/>
    <x v="1"/>
    <x v="1"/>
    <x v="46"/>
    <x v="262"/>
    <x v="2456"/>
    <x v="0"/>
    <s v="PUENTE CENTENARIO"/>
    <x v="0"/>
  </r>
  <r>
    <x v="40"/>
    <x v="177"/>
    <x v="11"/>
    <x v="11"/>
    <x v="1"/>
    <x v="1"/>
    <x v="47"/>
    <x v="263"/>
    <x v="2457"/>
    <x v="0"/>
    <s v="PUENTE CENTENARIO"/>
    <x v="0"/>
  </r>
  <r>
    <x v="40"/>
    <x v="181"/>
    <x v="11"/>
    <x v="11"/>
    <x v="1"/>
    <x v="1"/>
    <x v="51"/>
    <x v="267"/>
    <x v="5"/>
    <x v="0"/>
    <s v="PUENTE CENTENARIO"/>
    <x v="0"/>
  </r>
  <r>
    <x v="40"/>
    <x v="182"/>
    <x v="2"/>
    <x v="2"/>
    <x v="1"/>
    <x v="1"/>
    <x v="52"/>
    <x v="268"/>
    <x v="2458"/>
    <x v="0"/>
    <s v="PUENTE CENTENARIO"/>
    <x v="0"/>
  </r>
  <r>
    <x v="40"/>
    <x v="183"/>
    <x v="2"/>
    <x v="2"/>
    <x v="1"/>
    <x v="1"/>
    <x v="53"/>
    <x v="269"/>
    <x v="2459"/>
    <x v="0"/>
    <s v="PUENTE CENTENARIO"/>
    <x v="0"/>
  </r>
  <r>
    <x v="40"/>
    <x v="184"/>
    <x v="6"/>
    <x v="6"/>
    <x v="1"/>
    <x v="1"/>
    <x v="54"/>
    <x v="270"/>
    <x v="2460"/>
    <x v="0"/>
    <s v="PUENTE CENTENARIO"/>
    <x v="0"/>
  </r>
  <r>
    <x v="40"/>
    <x v="174"/>
    <x v="6"/>
    <x v="6"/>
    <x v="1"/>
    <x v="1"/>
    <x v="44"/>
    <x v="260"/>
    <x v="2461"/>
    <x v="0"/>
    <s v="PUENTE CENTENARIO"/>
    <x v="0"/>
  </r>
  <r>
    <x v="41"/>
    <x v="171"/>
    <x v="7"/>
    <x v="7"/>
    <x v="1"/>
    <x v="0"/>
    <x v="41"/>
    <x v="257"/>
    <x v="2462"/>
    <x v="0"/>
    <s v="METROMALL"/>
    <x v="0"/>
  </r>
  <r>
    <x v="43"/>
    <x v="171"/>
    <x v="7"/>
    <x v="7"/>
    <x v="1"/>
    <x v="0"/>
    <x v="41"/>
    <x v="257"/>
    <x v="879"/>
    <x v="0"/>
    <s v="VERSALLES"/>
    <x v="0"/>
  </r>
  <r>
    <x v="43"/>
    <x v="180"/>
    <x v="10"/>
    <x v="10"/>
    <x v="1"/>
    <x v="0"/>
    <x v="50"/>
    <x v="266"/>
    <x v="2463"/>
    <x v="0"/>
    <s v="VERSALLES"/>
    <x v="0"/>
  </r>
  <r>
    <x v="43"/>
    <x v="176"/>
    <x v="10"/>
    <x v="10"/>
    <x v="1"/>
    <x v="0"/>
    <x v="46"/>
    <x v="262"/>
    <x v="2464"/>
    <x v="0"/>
    <s v="VERSALLES"/>
    <x v="0"/>
  </r>
  <r>
    <x v="43"/>
    <x v="177"/>
    <x v="11"/>
    <x v="11"/>
    <x v="1"/>
    <x v="0"/>
    <x v="47"/>
    <x v="263"/>
    <x v="2465"/>
    <x v="0"/>
    <s v="VERSALLES"/>
    <x v="0"/>
  </r>
  <r>
    <x v="43"/>
    <x v="182"/>
    <x v="2"/>
    <x v="2"/>
    <x v="1"/>
    <x v="0"/>
    <x v="52"/>
    <x v="268"/>
    <x v="2466"/>
    <x v="0"/>
    <s v="VERSALLES"/>
    <x v="0"/>
  </r>
  <r>
    <x v="44"/>
    <x v="184"/>
    <x v="6"/>
    <x v="6"/>
    <x v="1"/>
    <x v="1"/>
    <x v="54"/>
    <x v="270"/>
    <x v="287"/>
    <x v="0"/>
    <s v="BUSINESS PARK"/>
    <x v="0"/>
  </r>
  <r>
    <x v="45"/>
    <x v="171"/>
    <x v="7"/>
    <x v="7"/>
    <x v="1"/>
    <x v="0"/>
    <x v="41"/>
    <x v="257"/>
    <x v="676"/>
    <x v="0"/>
    <s v="SAN FRANCISCO"/>
    <x v="0"/>
  </r>
  <r>
    <x v="45"/>
    <x v="173"/>
    <x v="8"/>
    <x v="8"/>
    <x v="1"/>
    <x v="0"/>
    <x v="43"/>
    <x v="259"/>
    <x v="2467"/>
    <x v="0"/>
    <s v="SAN FRANCISCO"/>
    <x v="0"/>
  </r>
  <r>
    <x v="45"/>
    <x v="178"/>
    <x v="9"/>
    <x v="9"/>
    <x v="1"/>
    <x v="0"/>
    <x v="48"/>
    <x v="264"/>
    <x v="2468"/>
    <x v="0"/>
    <s v="SAN FRANCISCO"/>
    <x v="0"/>
  </r>
  <r>
    <x v="45"/>
    <x v="180"/>
    <x v="10"/>
    <x v="10"/>
    <x v="1"/>
    <x v="0"/>
    <x v="50"/>
    <x v="266"/>
    <x v="2469"/>
    <x v="0"/>
    <s v="SAN FRANCISCO"/>
    <x v="0"/>
  </r>
  <r>
    <x v="45"/>
    <x v="172"/>
    <x v="8"/>
    <x v="8"/>
    <x v="1"/>
    <x v="1"/>
    <x v="42"/>
    <x v="258"/>
    <x v="2470"/>
    <x v="0"/>
    <s v="SAN FRANCISCO"/>
    <x v="0"/>
  </r>
  <r>
    <x v="45"/>
    <x v="175"/>
    <x v="9"/>
    <x v="9"/>
    <x v="1"/>
    <x v="1"/>
    <x v="45"/>
    <x v="261"/>
    <x v="1505"/>
    <x v="0"/>
    <s v="SAN FRANCISCO"/>
    <x v="0"/>
  </r>
  <r>
    <x v="45"/>
    <x v="180"/>
    <x v="10"/>
    <x v="10"/>
    <x v="1"/>
    <x v="1"/>
    <x v="50"/>
    <x v="266"/>
    <x v="2161"/>
    <x v="0"/>
    <s v="SAN FRANCISCO"/>
    <x v="0"/>
  </r>
  <r>
    <x v="45"/>
    <x v="176"/>
    <x v="10"/>
    <x v="10"/>
    <x v="1"/>
    <x v="1"/>
    <x v="46"/>
    <x v="262"/>
    <x v="2471"/>
    <x v="0"/>
    <s v="SAN FRANCISCO"/>
    <x v="0"/>
  </r>
  <r>
    <x v="45"/>
    <x v="183"/>
    <x v="2"/>
    <x v="2"/>
    <x v="1"/>
    <x v="1"/>
    <x v="53"/>
    <x v="269"/>
    <x v="2472"/>
    <x v="0"/>
    <s v="SAN FRANCISCO"/>
    <x v="0"/>
  </r>
  <r>
    <x v="46"/>
    <x v="180"/>
    <x v="10"/>
    <x v="10"/>
    <x v="1"/>
    <x v="0"/>
    <x v="50"/>
    <x v="266"/>
    <x v="2473"/>
    <x v="0"/>
    <s v="PLAZA BANCO GENERAL"/>
    <x v="0"/>
  </r>
  <r>
    <x v="46"/>
    <x v="176"/>
    <x v="10"/>
    <x v="10"/>
    <x v="1"/>
    <x v="0"/>
    <x v="46"/>
    <x v="262"/>
    <x v="1980"/>
    <x v="0"/>
    <s v="PLAZA BANCO GENERAL"/>
    <x v="0"/>
  </r>
  <r>
    <x v="46"/>
    <x v="172"/>
    <x v="8"/>
    <x v="8"/>
    <x v="1"/>
    <x v="1"/>
    <x v="42"/>
    <x v="258"/>
    <x v="2474"/>
    <x v="0"/>
    <s v="PLAZA BANCO GENERAL"/>
    <x v="0"/>
  </r>
  <r>
    <x v="46"/>
    <x v="173"/>
    <x v="8"/>
    <x v="8"/>
    <x v="1"/>
    <x v="1"/>
    <x v="43"/>
    <x v="259"/>
    <x v="384"/>
    <x v="0"/>
    <s v="PLAZA BANCO GENERAL"/>
    <x v="0"/>
  </r>
  <r>
    <x v="47"/>
    <x v="175"/>
    <x v="9"/>
    <x v="9"/>
    <x v="1"/>
    <x v="2"/>
    <x v="45"/>
    <x v="261"/>
    <x v="2475"/>
    <x v="0"/>
    <s v="LA CHORRERA - PARQUE 10 DE NOV."/>
    <x v="0"/>
  </r>
  <r>
    <x v="47"/>
    <x v="178"/>
    <x v="9"/>
    <x v="9"/>
    <x v="1"/>
    <x v="2"/>
    <x v="48"/>
    <x v="264"/>
    <x v="2476"/>
    <x v="0"/>
    <s v="LA CHORRERA - PARQUE 10 DE NOV."/>
    <x v="0"/>
  </r>
  <r>
    <x v="47"/>
    <x v="180"/>
    <x v="10"/>
    <x v="10"/>
    <x v="1"/>
    <x v="2"/>
    <x v="50"/>
    <x v="266"/>
    <x v="2477"/>
    <x v="0"/>
    <s v="LA CHORRERA - PARQUE 10 DE NOV."/>
    <x v="0"/>
  </r>
  <r>
    <x v="47"/>
    <x v="176"/>
    <x v="10"/>
    <x v="10"/>
    <x v="1"/>
    <x v="2"/>
    <x v="46"/>
    <x v="262"/>
    <x v="2478"/>
    <x v="0"/>
    <s v="LA CHORRERA - PARQUE 10 DE NOV."/>
    <x v="0"/>
  </r>
  <r>
    <x v="47"/>
    <x v="177"/>
    <x v="11"/>
    <x v="11"/>
    <x v="1"/>
    <x v="2"/>
    <x v="47"/>
    <x v="263"/>
    <x v="2479"/>
    <x v="0"/>
    <s v="LA CHORRERA - PARQUE 10 DE NOV."/>
    <x v="0"/>
  </r>
  <r>
    <x v="47"/>
    <x v="183"/>
    <x v="2"/>
    <x v="2"/>
    <x v="1"/>
    <x v="2"/>
    <x v="53"/>
    <x v="269"/>
    <x v="2480"/>
    <x v="0"/>
    <s v="LA CHORRERA - PARQUE 10 DE NOV."/>
    <x v="0"/>
  </r>
  <r>
    <x v="47"/>
    <x v="184"/>
    <x v="6"/>
    <x v="6"/>
    <x v="1"/>
    <x v="2"/>
    <x v="54"/>
    <x v="270"/>
    <x v="2481"/>
    <x v="0"/>
    <s v="LA CHORRERA - PARQUE 10 DE NOV."/>
    <x v="0"/>
  </r>
  <r>
    <x v="47"/>
    <x v="174"/>
    <x v="6"/>
    <x v="6"/>
    <x v="1"/>
    <x v="2"/>
    <x v="44"/>
    <x v="260"/>
    <x v="2474"/>
    <x v="0"/>
    <s v="LA CHORRERA - PARQUE 10 DE NOV."/>
    <x v="0"/>
  </r>
  <r>
    <x v="47"/>
    <x v="179"/>
    <x v="7"/>
    <x v="7"/>
    <x v="1"/>
    <x v="0"/>
    <x v="49"/>
    <x v="265"/>
    <x v="2482"/>
    <x v="0"/>
    <s v="LA CHORRERA - PARQUE 10 DE NOV."/>
    <x v="0"/>
  </r>
  <r>
    <x v="47"/>
    <x v="171"/>
    <x v="7"/>
    <x v="7"/>
    <x v="1"/>
    <x v="0"/>
    <x v="41"/>
    <x v="257"/>
    <x v="2483"/>
    <x v="0"/>
    <s v="LA CHORRERA - PARQUE 10 DE NOV."/>
    <x v="0"/>
  </r>
  <r>
    <x v="47"/>
    <x v="172"/>
    <x v="8"/>
    <x v="8"/>
    <x v="1"/>
    <x v="0"/>
    <x v="42"/>
    <x v="258"/>
    <x v="2484"/>
    <x v="0"/>
    <s v="LA CHORRERA - PARQUE 10 DE NOV."/>
    <x v="0"/>
  </r>
  <r>
    <x v="47"/>
    <x v="173"/>
    <x v="8"/>
    <x v="8"/>
    <x v="1"/>
    <x v="0"/>
    <x v="43"/>
    <x v="259"/>
    <x v="2485"/>
    <x v="0"/>
    <s v="LA CHORRERA - PARQUE 10 DE NOV."/>
    <x v="0"/>
  </r>
  <r>
    <x v="47"/>
    <x v="175"/>
    <x v="9"/>
    <x v="9"/>
    <x v="1"/>
    <x v="0"/>
    <x v="45"/>
    <x v="261"/>
    <x v="2486"/>
    <x v="0"/>
    <s v="LA CHORRERA - PARQUE 10 DE NOV."/>
    <x v="0"/>
  </r>
  <r>
    <x v="47"/>
    <x v="178"/>
    <x v="9"/>
    <x v="9"/>
    <x v="1"/>
    <x v="0"/>
    <x v="48"/>
    <x v="264"/>
    <x v="2487"/>
    <x v="0"/>
    <s v="LA CHORRERA - PARQUE 10 DE NOV."/>
    <x v="0"/>
  </r>
  <r>
    <x v="47"/>
    <x v="180"/>
    <x v="10"/>
    <x v="10"/>
    <x v="1"/>
    <x v="0"/>
    <x v="50"/>
    <x v="266"/>
    <x v="2488"/>
    <x v="0"/>
    <s v="LA CHORRERA - PARQUE 10 DE NOV."/>
    <x v="0"/>
  </r>
  <r>
    <x v="47"/>
    <x v="176"/>
    <x v="10"/>
    <x v="10"/>
    <x v="1"/>
    <x v="0"/>
    <x v="46"/>
    <x v="262"/>
    <x v="2489"/>
    <x v="0"/>
    <s v="LA CHORRERA - PARQUE 10 DE NOV."/>
    <x v="0"/>
  </r>
  <r>
    <x v="47"/>
    <x v="177"/>
    <x v="11"/>
    <x v="11"/>
    <x v="1"/>
    <x v="0"/>
    <x v="47"/>
    <x v="263"/>
    <x v="2490"/>
    <x v="0"/>
    <s v="LA CHORRERA - PARQUE 10 DE NOV."/>
    <x v="0"/>
  </r>
  <r>
    <x v="47"/>
    <x v="181"/>
    <x v="11"/>
    <x v="11"/>
    <x v="1"/>
    <x v="0"/>
    <x v="51"/>
    <x v="267"/>
    <x v="2491"/>
    <x v="0"/>
    <s v="LA CHORRERA - PARQUE 10 DE NOV."/>
    <x v="0"/>
  </r>
  <r>
    <x v="47"/>
    <x v="182"/>
    <x v="2"/>
    <x v="2"/>
    <x v="1"/>
    <x v="0"/>
    <x v="52"/>
    <x v="268"/>
    <x v="2492"/>
    <x v="0"/>
    <s v="LA CHORRERA - PARQUE 10 DE NOV."/>
    <x v="0"/>
  </r>
  <r>
    <x v="47"/>
    <x v="183"/>
    <x v="2"/>
    <x v="2"/>
    <x v="1"/>
    <x v="0"/>
    <x v="53"/>
    <x v="269"/>
    <x v="2493"/>
    <x v="0"/>
    <s v="LA CHORRERA - PARQUE 10 DE NOV."/>
    <x v="0"/>
  </r>
  <r>
    <x v="47"/>
    <x v="184"/>
    <x v="6"/>
    <x v="6"/>
    <x v="1"/>
    <x v="0"/>
    <x v="54"/>
    <x v="270"/>
    <x v="2494"/>
    <x v="0"/>
    <s v="LA CHORRERA - PARQUE 10 DE NOV."/>
    <x v="0"/>
  </r>
  <r>
    <x v="47"/>
    <x v="174"/>
    <x v="6"/>
    <x v="6"/>
    <x v="1"/>
    <x v="0"/>
    <x v="44"/>
    <x v="260"/>
    <x v="2495"/>
    <x v="0"/>
    <s v="LA CHORRERA - PARQUE 10 DE NOV."/>
    <x v="0"/>
  </r>
  <r>
    <x v="47"/>
    <x v="171"/>
    <x v="7"/>
    <x v="7"/>
    <x v="1"/>
    <x v="1"/>
    <x v="41"/>
    <x v="257"/>
    <x v="2496"/>
    <x v="0"/>
    <s v="LA CHORRERA - PARQUE 10 DE NOV."/>
    <x v="0"/>
  </r>
  <r>
    <x v="47"/>
    <x v="172"/>
    <x v="8"/>
    <x v="8"/>
    <x v="1"/>
    <x v="1"/>
    <x v="42"/>
    <x v="258"/>
    <x v="2497"/>
    <x v="0"/>
    <s v="LA CHORRERA - PARQUE 10 DE NOV."/>
    <x v="0"/>
  </r>
  <r>
    <x v="47"/>
    <x v="173"/>
    <x v="8"/>
    <x v="8"/>
    <x v="1"/>
    <x v="1"/>
    <x v="43"/>
    <x v="259"/>
    <x v="2498"/>
    <x v="0"/>
    <s v="LA CHORRERA - PARQUE 10 DE NOV."/>
    <x v="0"/>
  </r>
  <r>
    <x v="47"/>
    <x v="175"/>
    <x v="9"/>
    <x v="9"/>
    <x v="1"/>
    <x v="1"/>
    <x v="45"/>
    <x v="261"/>
    <x v="2499"/>
    <x v="0"/>
    <s v="LA CHORRERA - PARQUE 10 DE NOV."/>
    <x v="0"/>
  </r>
  <r>
    <x v="47"/>
    <x v="178"/>
    <x v="9"/>
    <x v="9"/>
    <x v="1"/>
    <x v="1"/>
    <x v="48"/>
    <x v="264"/>
    <x v="2500"/>
    <x v="0"/>
    <s v="LA CHORRERA - PARQUE 10 DE NOV."/>
    <x v="0"/>
  </r>
  <r>
    <x v="47"/>
    <x v="180"/>
    <x v="10"/>
    <x v="10"/>
    <x v="1"/>
    <x v="1"/>
    <x v="50"/>
    <x v="266"/>
    <x v="2501"/>
    <x v="0"/>
    <s v="LA CHORRERA - PARQUE 10 DE NOV."/>
    <x v="0"/>
  </r>
  <r>
    <x v="47"/>
    <x v="176"/>
    <x v="10"/>
    <x v="10"/>
    <x v="1"/>
    <x v="1"/>
    <x v="46"/>
    <x v="262"/>
    <x v="2502"/>
    <x v="0"/>
    <s v="LA CHORRERA - PARQUE 10 DE NOV."/>
    <x v="0"/>
  </r>
  <r>
    <x v="47"/>
    <x v="177"/>
    <x v="11"/>
    <x v="11"/>
    <x v="1"/>
    <x v="1"/>
    <x v="47"/>
    <x v="263"/>
    <x v="2503"/>
    <x v="0"/>
    <s v="LA CHORRERA - PARQUE 10 DE NOV."/>
    <x v="0"/>
  </r>
  <r>
    <x v="47"/>
    <x v="181"/>
    <x v="11"/>
    <x v="11"/>
    <x v="1"/>
    <x v="1"/>
    <x v="51"/>
    <x v="267"/>
    <x v="2504"/>
    <x v="0"/>
    <s v="LA CHORRERA - PARQUE 10 DE NOV."/>
    <x v="0"/>
  </r>
  <r>
    <x v="47"/>
    <x v="182"/>
    <x v="2"/>
    <x v="2"/>
    <x v="1"/>
    <x v="1"/>
    <x v="52"/>
    <x v="268"/>
    <x v="2505"/>
    <x v="0"/>
    <s v="LA CHORRERA - PARQUE 10 DE NOV."/>
    <x v="0"/>
  </r>
  <r>
    <x v="47"/>
    <x v="183"/>
    <x v="2"/>
    <x v="2"/>
    <x v="1"/>
    <x v="1"/>
    <x v="53"/>
    <x v="269"/>
    <x v="2506"/>
    <x v="0"/>
    <s v="LA CHORRERA - PARQUE 10 DE NOV."/>
    <x v="0"/>
  </r>
  <r>
    <x v="47"/>
    <x v="184"/>
    <x v="6"/>
    <x v="6"/>
    <x v="1"/>
    <x v="1"/>
    <x v="54"/>
    <x v="270"/>
    <x v="2507"/>
    <x v="0"/>
    <s v="LA CHORRERA - PARQUE 10 DE NOV."/>
    <x v="0"/>
  </r>
  <r>
    <x v="47"/>
    <x v="174"/>
    <x v="6"/>
    <x v="6"/>
    <x v="1"/>
    <x v="1"/>
    <x v="44"/>
    <x v="260"/>
    <x v="2508"/>
    <x v="0"/>
    <s v="LA CHORRERA - PARQUE 10 DE NOV."/>
    <x v="0"/>
  </r>
  <r>
    <x v="48"/>
    <x v="171"/>
    <x v="7"/>
    <x v="7"/>
    <x v="1"/>
    <x v="0"/>
    <x v="41"/>
    <x v="257"/>
    <x v="2509"/>
    <x v="0"/>
    <s v="COSTA DEL ESTE - CENTENARIO"/>
    <x v="0"/>
  </r>
  <r>
    <x v="48"/>
    <x v="178"/>
    <x v="9"/>
    <x v="9"/>
    <x v="1"/>
    <x v="1"/>
    <x v="48"/>
    <x v="264"/>
    <x v="2510"/>
    <x v="0"/>
    <s v="COSTA DEL ESTE - CENTENARIO"/>
    <x v="0"/>
  </r>
  <r>
    <x v="48"/>
    <x v="181"/>
    <x v="11"/>
    <x v="11"/>
    <x v="1"/>
    <x v="1"/>
    <x v="51"/>
    <x v="267"/>
    <x v="2511"/>
    <x v="0"/>
    <s v="COSTA DEL ESTE - CENTENARIO"/>
    <x v="0"/>
  </r>
  <r>
    <x v="49"/>
    <x v="175"/>
    <x v="9"/>
    <x v="9"/>
    <x v="1"/>
    <x v="0"/>
    <x v="45"/>
    <x v="261"/>
    <x v="2123"/>
    <x v="0"/>
    <s v="CLAYTON"/>
    <x v="0"/>
  </r>
  <r>
    <x v="49"/>
    <x v="180"/>
    <x v="10"/>
    <x v="10"/>
    <x v="1"/>
    <x v="0"/>
    <x v="50"/>
    <x v="266"/>
    <x v="361"/>
    <x v="0"/>
    <s v="CLAYTON"/>
    <x v="0"/>
  </r>
  <r>
    <x v="49"/>
    <x v="176"/>
    <x v="10"/>
    <x v="10"/>
    <x v="1"/>
    <x v="0"/>
    <x v="46"/>
    <x v="262"/>
    <x v="2512"/>
    <x v="0"/>
    <s v="CLAYTON"/>
    <x v="0"/>
  </r>
  <r>
    <x v="49"/>
    <x v="177"/>
    <x v="11"/>
    <x v="11"/>
    <x v="1"/>
    <x v="1"/>
    <x v="47"/>
    <x v="263"/>
    <x v="2513"/>
    <x v="0"/>
    <s v="CLAYTON"/>
    <x v="0"/>
  </r>
  <r>
    <x v="50"/>
    <x v="179"/>
    <x v="7"/>
    <x v="7"/>
    <x v="1"/>
    <x v="0"/>
    <x v="49"/>
    <x v="265"/>
    <x v="2514"/>
    <x v="0"/>
    <s v="MARBELLA"/>
    <x v="0"/>
  </r>
  <r>
    <x v="50"/>
    <x v="171"/>
    <x v="7"/>
    <x v="7"/>
    <x v="1"/>
    <x v="0"/>
    <x v="41"/>
    <x v="257"/>
    <x v="2515"/>
    <x v="0"/>
    <s v="MARBELLA"/>
    <x v="0"/>
  </r>
  <r>
    <x v="50"/>
    <x v="180"/>
    <x v="10"/>
    <x v="10"/>
    <x v="1"/>
    <x v="0"/>
    <x v="50"/>
    <x v="266"/>
    <x v="2516"/>
    <x v="0"/>
    <s v="MARBELLA"/>
    <x v="0"/>
  </r>
  <r>
    <x v="50"/>
    <x v="176"/>
    <x v="10"/>
    <x v="10"/>
    <x v="1"/>
    <x v="0"/>
    <x v="46"/>
    <x v="262"/>
    <x v="2517"/>
    <x v="0"/>
    <s v="MARBELLA"/>
    <x v="0"/>
  </r>
  <r>
    <x v="50"/>
    <x v="177"/>
    <x v="11"/>
    <x v="11"/>
    <x v="1"/>
    <x v="0"/>
    <x v="47"/>
    <x v="263"/>
    <x v="2518"/>
    <x v="0"/>
    <s v="MARBELLA"/>
    <x v="0"/>
  </r>
  <r>
    <x v="51"/>
    <x v="178"/>
    <x v="9"/>
    <x v="9"/>
    <x v="1"/>
    <x v="2"/>
    <x v="48"/>
    <x v="264"/>
    <x v="2519"/>
    <x v="0"/>
    <s v="PLAZA CAROLINA"/>
    <x v="0"/>
  </r>
  <r>
    <x v="51"/>
    <x v="180"/>
    <x v="10"/>
    <x v="10"/>
    <x v="1"/>
    <x v="0"/>
    <x v="50"/>
    <x v="266"/>
    <x v="490"/>
    <x v="0"/>
    <s v="PLAZA CAROLINA"/>
    <x v="0"/>
  </r>
  <r>
    <x v="51"/>
    <x v="176"/>
    <x v="10"/>
    <x v="10"/>
    <x v="1"/>
    <x v="0"/>
    <x v="46"/>
    <x v="262"/>
    <x v="2520"/>
    <x v="0"/>
    <s v="PLAZA CAROLINA"/>
    <x v="0"/>
  </r>
  <r>
    <x v="51"/>
    <x v="184"/>
    <x v="6"/>
    <x v="6"/>
    <x v="1"/>
    <x v="0"/>
    <x v="54"/>
    <x v="270"/>
    <x v="2521"/>
    <x v="0"/>
    <s v="PLAZA CAROLINA"/>
    <x v="0"/>
  </r>
  <r>
    <x v="51"/>
    <x v="184"/>
    <x v="6"/>
    <x v="6"/>
    <x v="1"/>
    <x v="1"/>
    <x v="54"/>
    <x v="270"/>
    <x v="2522"/>
    <x v="0"/>
    <s v="PLAZA CAROLINA"/>
    <x v="0"/>
  </r>
  <r>
    <x v="52"/>
    <x v="171"/>
    <x v="7"/>
    <x v="7"/>
    <x v="1"/>
    <x v="0"/>
    <x v="41"/>
    <x v="257"/>
    <x v="1431"/>
    <x v="0"/>
    <s v="PLAZA CORDOBA"/>
    <x v="0"/>
  </r>
  <r>
    <x v="52"/>
    <x v="181"/>
    <x v="11"/>
    <x v="11"/>
    <x v="1"/>
    <x v="0"/>
    <x v="51"/>
    <x v="267"/>
    <x v="2523"/>
    <x v="0"/>
    <s v="PLAZA CORDOBA"/>
    <x v="0"/>
  </r>
  <r>
    <x v="52"/>
    <x v="174"/>
    <x v="6"/>
    <x v="6"/>
    <x v="1"/>
    <x v="0"/>
    <x v="44"/>
    <x v="260"/>
    <x v="841"/>
    <x v="0"/>
    <s v="PLAZA CORDOBA"/>
    <x v="0"/>
  </r>
  <r>
    <x v="53"/>
    <x v="179"/>
    <x v="7"/>
    <x v="7"/>
    <x v="1"/>
    <x v="0"/>
    <x v="49"/>
    <x v="265"/>
    <x v="2524"/>
    <x v="0"/>
    <s v="VIA SIMON BOLIVAR"/>
    <x v="0"/>
  </r>
  <r>
    <x v="53"/>
    <x v="171"/>
    <x v="7"/>
    <x v="7"/>
    <x v="1"/>
    <x v="0"/>
    <x v="41"/>
    <x v="257"/>
    <x v="2525"/>
    <x v="0"/>
    <s v="VIA SIMON BOLIVAR"/>
    <x v="0"/>
  </r>
  <r>
    <x v="53"/>
    <x v="172"/>
    <x v="8"/>
    <x v="8"/>
    <x v="1"/>
    <x v="0"/>
    <x v="42"/>
    <x v="258"/>
    <x v="2526"/>
    <x v="0"/>
    <s v="VIA SIMON BOLIVAR"/>
    <x v="0"/>
  </r>
  <r>
    <x v="53"/>
    <x v="173"/>
    <x v="8"/>
    <x v="8"/>
    <x v="1"/>
    <x v="0"/>
    <x v="43"/>
    <x v="259"/>
    <x v="2527"/>
    <x v="0"/>
    <s v="VIA SIMON BOLIVAR"/>
    <x v="0"/>
  </r>
  <r>
    <x v="53"/>
    <x v="175"/>
    <x v="9"/>
    <x v="9"/>
    <x v="1"/>
    <x v="0"/>
    <x v="45"/>
    <x v="261"/>
    <x v="2528"/>
    <x v="0"/>
    <s v="VIA SIMON BOLIVAR"/>
    <x v="0"/>
  </r>
  <r>
    <x v="53"/>
    <x v="178"/>
    <x v="9"/>
    <x v="9"/>
    <x v="1"/>
    <x v="0"/>
    <x v="48"/>
    <x v="264"/>
    <x v="2529"/>
    <x v="0"/>
    <s v="VIA SIMON BOLIVAR"/>
    <x v="0"/>
  </r>
  <r>
    <x v="53"/>
    <x v="180"/>
    <x v="10"/>
    <x v="10"/>
    <x v="1"/>
    <x v="0"/>
    <x v="50"/>
    <x v="266"/>
    <x v="2530"/>
    <x v="0"/>
    <s v="VIA SIMON BOLIVAR"/>
    <x v="0"/>
  </r>
  <r>
    <x v="53"/>
    <x v="176"/>
    <x v="10"/>
    <x v="10"/>
    <x v="1"/>
    <x v="0"/>
    <x v="46"/>
    <x v="262"/>
    <x v="1230"/>
    <x v="0"/>
    <s v="VIA SIMON BOLIVAR"/>
    <x v="0"/>
  </r>
  <r>
    <x v="53"/>
    <x v="177"/>
    <x v="11"/>
    <x v="11"/>
    <x v="1"/>
    <x v="0"/>
    <x v="47"/>
    <x v="263"/>
    <x v="2531"/>
    <x v="0"/>
    <s v="VIA SIMON BOLIVAR"/>
    <x v="0"/>
  </r>
  <r>
    <x v="53"/>
    <x v="181"/>
    <x v="11"/>
    <x v="11"/>
    <x v="1"/>
    <x v="0"/>
    <x v="51"/>
    <x v="267"/>
    <x v="2532"/>
    <x v="0"/>
    <s v="VIA SIMON BOLIVAR"/>
    <x v="0"/>
  </r>
  <r>
    <x v="53"/>
    <x v="182"/>
    <x v="2"/>
    <x v="2"/>
    <x v="1"/>
    <x v="0"/>
    <x v="52"/>
    <x v="268"/>
    <x v="2533"/>
    <x v="0"/>
    <s v="VIA SIMON BOLIVAR"/>
    <x v="0"/>
  </r>
  <r>
    <x v="53"/>
    <x v="183"/>
    <x v="2"/>
    <x v="2"/>
    <x v="1"/>
    <x v="0"/>
    <x v="53"/>
    <x v="269"/>
    <x v="2534"/>
    <x v="0"/>
    <s v="VIA SIMON BOLIVAR"/>
    <x v="0"/>
  </r>
  <r>
    <x v="53"/>
    <x v="184"/>
    <x v="6"/>
    <x v="6"/>
    <x v="1"/>
    <x v="0"/>
    <x v="54"/>
    <x v="270"/>
    <x v="2535"/>
    <x v="0"/>
    <s v="VIA SIMON BOLIVAR"/>
    <x v="0"/>
  </r>
  <r>
    <x v="53"/>
    <x v="174"/>
    <x v="6"/>
    <x v="6"/>
    <x v="1"/>
    <x v="0"/>
    <x v="44"/>
    <x v="260"/>
    <x v="2536"/>
    <x v="0"/>
    <s v="VIA SIMON BOLIVAR"/>
    <x v="0"/>
  </r>
  <r>
    <x v="54"/>
    <x v="172"/>
    <x v="8"/>
    <x v="8"/>
    <x v="1"/>
    <x v="2"/>
    <x v="42"/>
    <x v="258"/>
    <x v="2537"/>
    <x v="0"/>
    <s v="JUSTO AROSEMENA"/>
    <x v="0"/>
  </r>
  <r>
    <x v="54"/>
    <x v="171"/>
    <x v="7"/>
    <x v="7"/>
    <x v="1"/>
    <x v="0"/>
    <x v="41"/>
    <x v="257"/>
    <x v="2538"/>
    <x v="0"/>
    <s v="JUSTO AROSEMENA"/>
    <x v="0"/>
  </r>
  <r>
    <x v="55"/>
    <x v="176"/>
    <x v="10"/>
    <x v="10"/>
    <x v="1"/>
    <x v="3"/>
    <x v="46"/>
    <x v="262"/>
    <x v="2539"/>
    <x v="0"/>
    <s v="NEGOCIOS"/>
    <x v="0"/>
  </r>
  <r>
    <x v="55"/>
    <x v="177"/>
    <x v="11"/>
    <x v="11"/>
    <x v="1"/>
    <x v="3"/>
    <x v="47"/>
    <x v="263"/>
    <x v="2540"/>
    <x v="0"/>
    <s v="NEGOCIOS"/>
    <x v="0"/>
  </r>
  <r>
    <x v="55"/>
    <x v="179"/>
    <x v="7"/>
    <x v="7"/>
    <x v="1"/>
    <x v="4"/>
    <x v="49"/>
    <x v="265"/>
    <x v="2541"/>
    <x v="0"/>
    <s v="NEGOCIOS"/>
    <x v="0"/>
  </r>
  <r>
    <x v="55"/>
    <x v="171"/>
    <x v="7"/>
    <x v="7"/>
    <x v="1"/>
    <x v="4"/>
    <x v="41"/>
    <x v="257"/>
    <x v="2542"/>
    <x v="0"/>
    <s v="NEGOCIOS"/>
    <x v="0"/>
  </r>
  <r>
    <x v="55"/>
    <x v="172"/>
    <x v="8"/>
    <x v="8"/>
    <x v="1"/>
    <x v="4"/>
    <x v="42"/>
    <x v="258"/>
    <x v="2543"/>
    <x v="0"/>
    <s v="NEGOCIOS"/>
    <x v="0"/>
  </r>
  <r>
    <x v="55"/>
    <x v="175"/>
    <x v="9"/>
    <x v="9"/>
    <x v="1"/>
    <x v="4"/>
    <x v="45"/>
    <x v="261"/>
    <x v="2544"/>
    <x v="0"/>
    <s v="NEGOCIOS"/>
    <x v="0"/>
  </r>
  <r>
    <x v="55"/>
    <x v="178"/>
    <x v="9"/>
    <x v="9"/>
    <x v="1"/>
    <x v="4"/>
    <x v="48"/>
    <x v="264"/>
    <x v="2545"/>
    <x v="0"/>
    <s v="NEGOCIOS"/>
    <x v="0"/>
  </r>
  <r>
    <x v="55"/>
    <x v="176"/>
    <x v="10"/>
    <x v="10"/>
    <x v="1"/>
    <x v="4"/>
    <x v="46"/>
    <x v="262"/>
    <x v="2546"/>
    <x v="0"/>
    <s v="NEGOCIOS"/>
    <x v="0"/>
  </r>
  <r>
    <x v="55"/>
    <x v="177"/>
    <x v="11"/>
    <x v="11"/>
    <x v="1"/>
    <x v="4"/>
    <x v="47"/>
    <x v="263"/>
    <x v="2547"/>
    <x v="0"/>
    <s v="NEGOCIOS"/>
    <x v="0"/>
  </r>
  <r>
    <x v="55"/>
    <x v="181"/>
    <x v="11"/>
    <x v="11"/>
    <x v="1"/>
    <x v="4"/>
    <x v="51"/>
    <x v="267"/>
    <x v="2548"/>
    <x v="0"/>
    <s v="NEGOCIOS"/>
    <x v="0"/>
  </r>
  <r>
    <x v="55"/>
    <x v="182"/>
    <x v="2"/>
    <x v="2"/>
    <x v="1"/>
    <x v="4"/>
    <x v="52"/>
    <x v="268"/>
    <x v="2549"/>
    <x v="0"/>
    <s v="NEGOCIOS"/>
    <x v="0"/>
  </r>
  <r>
    <x v="55"/>
    <x v="183"/>
    <x v="2"/>
    <x v="2"/>
    <x v="1"/>
    <x v="4"/>
    <x v="53"/>
    <x v="269"/>
    <x v="2550"/>
    <x v="0"/>
    <s v="NEGOCIOS"/>
    <x v="0"/>
  </r>
  <r>
    <x v="55"/>
    <x v="184"/>
    <x v="6"/>
    <x v="6"/>
    <x v="1"/>
    <x v="4"/>
    <x v="54"/>
    <x v="270"/>
    <x v="2551"/>
    <x v="0"/>
    <s v="NEGOCIOS"/>
    <x v="0"/>
  </r>
  <r>
    <x v="55"/>
    <x v="174"/>
    <x v="6"/>
    <x v="6"/>
    <x v="1"/>
    <x v="4"/>
    <x v="44"/>
    <x v="260"/>
    <x v="2552"/>
    <x v="0"/>
    <s v="NEGOCIOS"/>
    <x v="0"/>
  </r>
  <r>
    <x v="55"/>
    <x v="177"/>
    <x v="11"/>
    <x v="11"/>
    <x v="1"/>
    <x v="5"/>
    <x v="47"/>
    <x v="263"/>
    <x v="2553"/>
    <x v="0"/>
    <s v="NEGOCIOS"/>
    <x v="0"/>
  </r>
  <r>
    <x v="55"/>
    <x v="171"/>
    <x v="7"/>
    <x v="7"/>
    <x v="1"/>
    <x v="6"/>
    <x v="41"/>
    <x v="257"/>
    <x v="2554"/>
    <x v="0"/>
    <s v="NEGOCIOS"/>
    <x v="0"/>
  </r>
  <r>
    <x v="55"/>
    <x v="172"/>
    <x v="8"/>
    <x v="8"/>
    <x v="1"/>
    <x v="6"/>
    <x v="42"/>
    <x v="258"/>
    <x v="2555"/>
    <x v="0"/>
    <s v="NEGOCIOS"/>
    <x v="0"/>
  </r>
  <r>
    <x v="55"/>
    <x v="178"/>
    <x v="9"/>
    <x v="9"/>
    <x v="1"/>
    <x v="6"/>
    <x v="48"/>
    <x v="264"/>
    <x v="2556"/>
    <x v="0"/>
    <s v="NEGOCIOS"/>
    <x v="0"/>
  </r>
  <r>
    <x v="55"/>
    <x v="180"/>
    <x v="10"/>
    <x v="10"/>
    <x v="1"/>
    <x v="6"/>
    <x v="50"/>
    <x v="266"/>
    <x v="2557"/>
    <x v="0"/>
    <s v="NEGOCIOS"/>
    <x v="0"/>
  </r>
  <r>
    <x v="55"/>
    <x v="176"/>
    <x v="10"/>
    <x v="10"/>
    <x v="1"/>
    <x v="6"/>
    <x v="46"/>
    <x v="262"/>
    <x v="2558"/>
    <x v="0"/>
    <s v="NEGOCIOS"/>
    <x v="0"/>
  </r>
  <r>
    <x v="55"/>
    <x v="189"/>
    <x v="10"/>
    <x v="10"/>
    <x v="1"/>
    <x v="6"/>
    <x v="56"/>
    <x v="275"/>
    <x v="2559"/>
    <x v="0"/>
    <s v="NEGOCIOS"/>
    <x v="0"/>
  </r>
  <r>
    <x v="55"/>
    <x v="177"/>
    <x v="11"/>
    <x v="11"/>
    <x v="1"/>
    <x v="6"/>
    <x v="47"/>
    <x v="263"/>
    <x v="2560"/>
    <x v="0"/>
    <s v="NEGOCIOS"/>
    <x v="0"/>
  </r>
  <r>
    <x v="55"/>
    <x v="183"/>
    <x v="2"/>
    <x v="2"/>
    <x v="1"/>
    <x v="6"/>
    <x v="53"/>
    <x v="269"/>
    <x v="2561"/>
    <x v="0"/>
    <s v="NEGOCIOS"/>
    <x v="0"/>
  </r>
  <r>
    <x v="55"/>
    <x v="184"/>
    <x v="6"/>
    <x v="6"/>
    <x v="1"/>
    <x v="6"/>
    <x v="54"/>
    <x v="270"/>
    <x v="51"/>
    <x v="0"/>
    <s v="NEGOCIOS"/>
    <x v="0"/>
  </r>
  <r>
    <x v="55"/>
    <x v="174"/>
    <x v="6"/>
    <x v="6"/>
    <x v="1"/>
    <x v="6"/>
    <x v="44"/>
    <x v="260"/>
    <x v="2562"/>
    <x v="0"/>
    <s v="NEGOCIOS"/>
    <x v="0"/>
  </r>
  <r>
    <x v="55"/>
    <x v="179"/>
    <x v="7"/>
    <x v="7"/>
    <x v="1"/>
    <x v="7"/>
    <x v="49"/>
    <x v="265"/>
    <x v="2563"/>
    <x v="0"/>
    <s v="NEGOCIOS"/>
    <x v="0"/>
  </r>
  <r>
    <x v="55"/>
    <x v="171"/>
    <x v="7"/>
    <x v="7"/>
    <x v="1"/>
    <x v="7"/>
    <x v="41"/>
    <x v="257"/>
    <x v="2564"/>
    <x v="0"/>
    <s v="NEGOCIOS"/>
    <x v="0"/>
  </r>
  <r>
    <x v="55"/>
    <x v="172"/>
    <x v="8"/>
    <x v="8"/>
    <x v="1"/>
    <x v="7"/>
    <x v="42"/>
    <x v="258"/>
    <x v="2565"/>
    <x v="0"/>
    <s v="NEGOCIOS"/>
    <x v="0"/>
  </r>
  <r>
    <x v="55"/>
    <x v="173"/>
    <x v="8"/>
    <x v="8"/>
    <x v="1"/>
    <x v="7"/>
    <x v="43"/>
    <x v="259"/>
    <x v="2566"/>
    <x v="0"/>
    <s v="NEGOCIOS"/>
    <x v="0"/>
  </r>
  <r>
    <x v="55"/>
    <x v="180"/>
    <x v="10"/>
    <x v="10"/>
    <x v="1"/>
    <x v="7"/>
    <x v="50"/>
    <x v="266"/>
    <x v="2567"/>
    <x v="0"/>
    <s v="NEGOCIOS"/>
    <x v="0"/>
  </r>
  <r>
    <x v="55"/>
    <x v="176"/>
    <x v="10"/>
    <x v="10"/>
    <x v="1"/>
    <x v="7"/>
    <x v="46"/>
    <x v="262"/>
    <x v="2568"/>
    <x v="0"/>
    <s v="NEGOCIOS"/>
    <x v="0"/>
  </r>
  <r>
    <x v="55"/>
    <x v="177"/>
    <x v="11"/>
    <x v="11"/>
    <x v="1"/>
    <x v="7"/>
    <x v="47"/>
    <x v="263"/>
    <x v="2569"/>
    <x v="0"/>
    <s v="NEGOCIOS"/>
    <x v="0"/>
  </r>
  <r>
    <x v="55"/>
    <x v="182"/>
    <x v="2"/>
    <x v="2"/>
    <x v="1"/>
    <x v="7"/>
    <x v="52"/>
    <x v="268"/>
    <x v="2570"/>
    <x v="0"/>
    <s v="NEGOCIOS"/>
    <x v="0"/>
  </r>
  <r>
    <x v="55"/>
    <x v="180"/>
    <x v="10"/>
    <x v="10"/>
    <x v="1"/>
    <x v="8"/>
    <x v="50"/>
    <x v="266"/>
    <x v="2571"/>
    <x v="0"/>
    <s v="NEGOCIOS"/>
    <x v="0"/>
  </r>
  <r>
    <x v="55"/>
    <x v="182"/>
    <x v="2"/>
    <x v="2"/>
    <x v="1"/>
    <x v="8"/>
    <x v="52"/>
    <x v="268"/>
    <x v="2572"/>
    <x v="0"/>
    <s v="NEGOCIOS"/>
    <x v="0"/>
  </r>
  <r>
    <x v="55"/>
    <x v="184"/>
    <x v="6"/>
    <x v="6"/>
    <x v="1"/>
    <x v="8"/>
    <x v="54"/>
    <x v="270"/>
    <x v="2573"/>
    <x v="0"/>
    <s v="NEGOCIOS"/>
    <x v="0"/>
  </r>
  <r>
    <x v="55"/>
    <x v="174"/>
    <x v="6"/>
    <x v="6"/>
    <x v="1"/>
    <x v="8"/>
    <x v="44"/>
    <x v="260"/>
    <x v="2574"/>
    <x v="0"/>
    <s v="NEGOCIOS"/>
    <x v="0"/>
  </r>
  <r>
    <x v="55"/>
    <x v="190"/>
    <x v="6"/>
    <x v="6"/>
    <x v="1"/>
    <x v="8"/>
    <x v="58"/>
    <x v="276"/>
    <x v="2575"/>
    <x v="0"/>
    <s v="NEGOCIOS"/>
    <x v="0"/>
  </r>
  <r>
    <x v="55"/>
    <x v="191"/>
    <x v="6"/>
    <x v="6"/>
    <x v="1"/>
    <x v="8"/>
    <x v="58"/>
    <x v="277"/>
    <x v="26"/>
    <x v="0"/>
    <s v="NEGOCIOS"/>
    <x v="0"/>
  </r>
  <r>
    <x v="55"/>
    <x v="173"/>
    <x v="8"/>
    <x v="8"/>
    <x v="1"/>
    <x v="9"/>
    <x v="43"/>
    <x v="259"/>
    <x v="2576"/>
    <x v="0"/>
    <s v="NEGOCIOS"/>
    <x v="0"/>
  </r>
  <r>
    <x v="55"/>
    <x v="179"/>
    <x v="7"/>
    <x v="7"/>
    <x v="1"/>
    <x v="10"/>
    <x v="49"/>
    <x v="265"/>
    <x v="2577"/>
    <x v="0"/>
    <s v="NEGOCIOS"/>
    <x v="0"/>
  </r>
  <r>
    <x v="55"/>
    <x v="172"/>
    <x v="8"/>
    <x v="8"/>
    <x v="1"/>
    <x v="10"/>
    <x v="42"/>
    <x v="258"/>
    <x v="2578"/>
    <x v="0"/>
    <s v="NEGOCIOS"/>
    <x v="0"/>
  </r>
  <r>
    <x v="55"/>
    <x v="173"/>
    <x v="8"/>
    <x v="8"/>
    <x v="1"/>
    <x v="10"/>
    <x v="43"/>
    <x v="259"/>
    <x v="2579"/>
    <x v="0"/>
    <s v="NEGOCIOS"/>
    <x v="0"/>
  </r>
  <r>
    <x v="55"/>
    <x v="180"/>
    <x v="10"/>
    <x v="10"/>
    <x v="1"/>
    <x v="10"/>
    <x v="50"/>
    <x v="266"/>
    <x v="2467"/>
    <x v="0"/>
    <s v="NEGOCIOS"/>
    <x v="0"/>
  </r>
  <r>
    <x v="55"/>
    <x v="177"/>
    <x v="11"/>
    <x v="11"/>
    <x v="1"/>
    <x v="10"/>
    <x v="47"/>
    <x v="263"/>
    <x v="2580"/>
    <x v="0"/>
    <s v="NEGOCIOS"/>
    <x v="0"/>
  </r>
  <r>
    <x v="55"/>
    <x v="181"/>
    <x v="11"/>
    <x v="11"/>
    <x v="1"/>
    <x v="10"/>
    <x v="51"/>
    <x v="267"/>
    <x v="2581"/>
    <x v="0"/>
    <s v="NEGOCIOS"/>
    <x v="0"/>
  </r>
  <r>
    <x v="55"/>
    <x v="183"/>
    <x v="2"/>
    <x v="2"/>
    <x v="1"/>
    <x v="10"/>
    <x v="53"/>
    <x v="269"/>
    <x v="2582"/>
    <x v="0"/>
    <s v="NEGOCIOS"/>
    <x v="0"/>
  </r>
  <r>
    <x v="55"/>
    <x v="184"/>
    <x v="6"/>
    <x v="6"/>
    <x v="1"/>
    <x v="10"/>
    <x v="54"/>
    <x v="270"/>
    <x v="2583"/>
    <x v="0"/>
    <s v="NEGOCIOS"/>
    <x v="0"/>
  </r>
  <r>
    <x v="55"/>
    <x v="174"/>
    <x v="6"/>
    <x v="6"/>
    <x v="1"/>
    <x v="10"/>
    <x v="44"/>
    <x v="260"/>
    <x v="2584"/>
    <x v="0"/>
    <s v="NEGOCIOS"/>
    <x v="0"/>
  </r>
  <r>
    <x v="55"/>
    <x v="179"/>
    <x v="7"/>
    <x v="7"/>
    <x v="1"/>
    <x v="11"/>
    <x v="49"/>
    <x v="265"/>
    <x v="2585"/>
    <x v="0"/>
    <s v="NEGOCIOS"/>
    <x v="0"/>
  </r>
  <r>
    <x v="55"/>
    <x v="171"/>
    <x v="7"/>
    <x v="7"/>
    <x v="1"/>
    <x v="11"/>
    <x v="41"/>
    <x v="257"/>
    <x v="2586"/>
    <x v="0"/>
    <s v="NEGOCIOS"/>
    <x v="0"/>
  </r>
  <r>
    <x v="55"/>
    <x v="192"/>
    <x v="8"/>
    <x v="8"/>
    <x v="1"/>
    <x v="11"/>
    <x v="55"/>
    <x v="278"/>
    <x v="2587"/>
    <x v="0"/>
    <s v="NEGOCIOS"/>
    <x v="0"/>
  </r>
  <r>
    <x v="55"/>
    <x v="172"/>
    <x v="8"/>
    <x v="8"/>
    <x v="1"/>
    <x v="11"/>
    <x v="42"/>
    <x v="258"/>
    <x v="2588"/>
    <x v="0"/>
    <s v="NEGOCIOS"/>
    <x v="0"/>
  </r>
  <r>
    <x v="55"/>
    <x v="173"/>
    <x v="8"/>
    <x v="8"/>
    <x v="1"/>
    <x v="11"/>
    <x v="43"/>
    <x v="259"/>
    <x v="2589"/>
    <x v="0"/>
    <s v="NEGOCIOS"/>
    <x v="0"/>
  </r>
  <r>
    <x v="55"/>
    <x v="175"/>
    <x v="9"/>
    <x v="9"/>
    <x v="1"/>
    <x v="11"/>
    <x v="45"/>
    <x v="261"/>
    <x v="2590"/>
    <x v="0"/>
    <s v="NEGOCIOS"/>
    <x v="0"/>
  </r>
  <r>
    <x v="55"/>
    <x v="178"/>
    <x v="9"/>
    <x v="9"/>
    <x v="1"/>
    <x v="11"/>
    <x v="48"/>
    <x v="264"/>
    <x v="2591"/>
    <x v="0"/>
    <s v="NEGOCIOS"/>
    <x v="0"/>
  </r>
  <r>
    <x v="55"/>
    <x v="180"/>
    <x v="10"/>
    <x v="10"/>
    <x v="1"/>
    <x v="11"/>
    <x v="50"/>
    <x v="266"/>
    <x v="2592"/>
    <x v="0"/>
    <s v="NEGOCIOS"/>
    <x v="0"/>
  </r>
  <r>
    <x v="55"/>
    <x v="186"/>
    <x v="10"/>
    <x v="10"/>
    <x v="1"/>
    <x v="11"/>
    <x v="56"/>
    <x v="272"/>
    <x v="2593"/>
    <x v="0"/>
    <s v="NEGOCIOS"/>
    <x v="0"/>
  </r>
  <r>
    <x v="55"/>
    <x v="176"/>
    <x v="10"/>
    <x v="10"/>
    <x v="1"/>
    <x v="11"/>
    <x v="46"/>
    <x v="262"/>
    <x v="2594"/>
    <x v="0"/>
    <s v="NEGOCIOS"/>
    <x v="0"/>
  </r>
  <r>
    <x v="55"/>
    <x v="177"/>
    <x v="11"/>
    <x v="11"/>
    <x v="1"/>
    <x v="11"/>
    <x v="47"/>
    <x v="263"/>
    <x v="2595"/>
    <x v="0"/>
    <s v="NEGOCIOS"/>
    <x v="0"/>
  </r>
  <r>
    <x v="55"/>
    <x v="193"/>
    <x v="11"/>
    <x v="11"/>
    <x v="1"/>
    <x v="11"/>
    <x v="57"/>
    <x v="279"/>
    <x v="2596"/>
    <x v="0"/>
    <s v="NEGOCIOS"/>
    <x v="0"/>
  </r>
  <r>
    <x v="55"/>
    <x v="181"/>
    <x v="11"/>
    <x v="11"/>
    <x v="1"/>
    <x v="11"/>
    <x v="51"/>
    <x v="267"/>
    <x v="2597"/>
    <x v="0"/>
    <s v="NEGOCIOS"/>
    <x v="0"/>
  </r>
  <r>
    <x v="55"/>
    <x v="182"/>
    <x v="2"/>
    <x v="2"/>
    <x v="1"/>
    <x v="11"/>
    <x v="52"/>
    <x v="268"/>
    <x v="2598"/>
    <x v="0"/>
    <s v="NEGOCIOS"/>
    <x v="0"/>
  </r>
  <r>
    <x v="55"/>
    <x v="183"/>
    <x v="2"/>
    <x v="2"/>
    <x v="1"/>
    <x v="11"/>
    <x v="53"/>
    <x v="269"/>
    <x v="2599"/>
    <x v="0"/>
    <s v="NEGOCIOS"/>
    <x v="0"/>
  </r>
  <r>
    <x v="55"/>
    <x v="184"/>
    <x v="6"/>
    <x v="6"/>
    <x v="1"/>
    <x v="11"/>
    <x v="54"/>
    <x v="270"/>
    <x v="2600"/>
    <x v="0"/>
    <s v="NEGOCIOS"/>
    <x v="0"/>
  </r>
  <r>
    <x v="55"/>
    <x v="174"/>
    <x v="6"/>
    <x v="6"/>
    <x v="1"/>
    <x v="11"/>
    <x v="44"/>
    <x v="260"/>
    <x v="2601"/>
    <x v="0"/>
    <s v="NEGOCIOS"/>
    <x v="0"/>
  </r>
  <r>
    <x v="55"/>
    <x v="178"/>
    <x v="9"/>
    <x v="9"/>
    <x v="1"/>
    <x v="13"/>
    <x v="48"/>
    <x v="264"/>
    <x v="2602"/>
    <x v="0"/>
    <s v="NEGOCIOS"/>
    <x v="0"/>
  </r>
  <r>
    <x v="55"/>
    <x v="180"/>
    <x v="10"/>
    <x v="10"/>
    <x v="1"/>
    <x v="13"/>
    <x v="50"/>
    <x v="266"/>
    <x v="2603"/>
    <x v="0"/>
    <s v="NEGOCIOS"/>
    <x v="0"/>
  </r>
  <r>
    <x v="55"/>
    <x v="181"/>
    <x v="11"/>
    <x v="11"/>
    <x v="1"/>
    <x v="13"/>
    <x v="51"/>
    <x v="267"/>
    <x v="2604"/>
    <x v="0"/>
    <s v="NEGOCIOS"/>
    <x v="0"/>
  </r>
  <r>
    <x v="55"/>
    <x v="183"/>
    <x v="2"/>
    <x v="2"/>
    <x v="1"/>
    <x v="13"/>
    <x v="53"/>
    <x v="269"/>
    <x v="2605"/>
    <x v="0"/>
    <s v="NEGOCIOS"/>
    <x v="0"/>
  </r>
  <r>
    <x v="55"/>
    <x v="179"/>
    <x v="7"/>
    <x v="7"/>
    <x v="1"/>
    <x v="14"/>
    <x v="49"/>
    <x v="265"/>
    <x v="2606"/>
    <x v="0"/>
    <s v="NEGOCIOS"/>
    <x v="0"/>
  </r>
  <r>
    <x v="55"/>
    <x v="171"/>
    <x v="7"/>
    <x v="7"/>
    <x v="1"/>
    <x v="14"/>
    <x v="41"/>
    <x v="257"/>
    <x v="2607"/>
    <x v="0"/>
    <s v="NEGOCIOS"/>
    <x v="0"/>
  </r>
  <r>
    <x v="55"/>
    <x v="172"/>
    <x v="8"/>
    <x v="8"/>
    <x v="1"/>
    <x v="14"/>
    <x v="42"/>
    <x v="258"/>
    <x v="2608"/>
    <x v="0"/>
    <s v="NEGOCIOS"/>
    <x v="0"/>
  </r>
  <r>
    <x v="55"/>
    <x v="173"/>
    <x v="8"/>
    <x v="8"/>
    <x v="1"/>
    <x v="14"/>
    <x v="43"/>
    <x v="259"/>
    <x v="2609"/>
    <x v="0"/>
    <s v="NEGOCIOS"/>
    <x v="0"/>
  </r>
  <r>
    <x v="55"/>
    <x v="175"/>
    <x v="9"/>
    <x v="9"/>
    <x v="1"/>
    <x v="14"/>
    <x v="45"/>
    <x v="261"/>
    <x v="2610"/>
    <x v="0"/>
    <s v="NEGOCIOS"/>
    <x v="0"/>
  </r>
  <r>
    <x v="55"/>
    <x v="178"/>
    <x v="9"/>
    <x v="9"/>
    <x v="1"/>
    <x v="14"/>
    <x v="48"/>
    <x v="264"/>
    <x v="2611"/>
    <x v="0"/>
    <s v="NEGOCIOS"/>
    <x v="0"/>
  </r>
  <r>
    <x v="55"/>
    <x v="180"/>
    <x v="10"/>
    <x v="10"/>
    <x v="1"/>
    <x v="14"/>
    <x v="50"/>
    <x v="266"/>
    <x v="2533"/>
    <x v="0"/>
    <s v="NEGOCIOS"/>
    <x v="0"/>
  </r>
  <r>
    <x v="55"/>
    <x v="176"/>
    <x v="10"/>
    <x v="10"/>
    <x v="1"/>
    <x v="14"/>
    <x v="46"/>
    <x v="262"/>
    <x v="2612"/>
    <x v="0"/>
    <s v="NEGOCIOS"/>
    <x v="0"/>
  </r>
  <r>
    <x v="55"/>
    <x v="177"/>
    <x v="11"/>
    <x v="11"/>
    <x v="1"/>
    <x v="14"/>
    <x v="47"/>
    <x v="263"/>
    <x v="2613"/>
    <x v="0"/>
    <s v="NEGOCIOS"/>
    <x v="0"/>
  </r>
  <r>
    <x v="55"/>
    <x v="181"/>
    <x v="11"/>
    <x v="11"/>
    <x v="1"/>
    <x v="14"/>
    <x v="51"/>
    <x v="267"/>
    <x v="2614"/>
    <x v="0"/>
    <s v="NEGOCIOS"/>
    <x v="0"/>
  </r>
  <r>
    <x v="55"/>
    <x v="182"/>
    <x v="2"/>
    <x v="2"/>
    <x v="1"/>
    <x v="14"/>
    <x v="52"/>
    <x v="268"/>
    <x v="2615"/>
    <x v="0"/>
    <s v="NEGOCIOS"/>
    <x v="0"/>
  </r>
  <r>
    <x v="55"/>
    <x v="183"/>
    <x v="2"/>
    <x v="2"/>
    <x v="1"/>
    <x v="14"/>
    <x v="53"/>
    <x v="269"/>
    <x v="2616"/>
    <x v="0"/>
    <s v="NEGOCIOS"/>
    <x v="0"/>
  </r>
  <r>
    <x v="55"/>
    <x v="184"/>
    <x v="6"/>
    <x v="6"/>
    <x v="1"/>
    <x v="14"/>
    <x v="54"/>
    <x v="270"/>
    <x v="2617"/>
    <x v="0"/>
    <s v="NEGOCIOS"/>
    <x v="0"/>
  </r>
  <r>
    <x v="55"/>
    <x v="174"/>
    <x v="6"/>
    <x v="6"/>
    <x v="1"/>
    <x v="14"/>
    <x v="44"/>
    <x v="260"/>
    <x v="2618"/>
    <x v="0"/>
    <s v="NEGOCIOS"/>
    <x v="0"/>
  </r>
  <r>
    <x v="55"/>
    <x v="179"/>
    <x v="7"/>
    <x v="7"/>
    <x v="1"/>
    <x v="15"/>
    <x v="49"/>
    <x v="265"/>
    <x v="2619"/>
    <x v="0"/>
    <s v="NEGOCIOS"/>
    <x v="0"/>
  </r>
  <r>
    <x v="55"/>
    <x v="172"/>
    <x v="8"/>
    <x v="8"/>
    <x v="1"/>
    <x v="15"/>
    <x v="42"/>
    <x v="258"/>
    <x v="2620"/>
    <x v="0"/>
    <s v="NEGOCIOS"/>
    <x v="0"/>
  </r>
  <r>
    <x v="55"/>
    <x v="173"/>
    <x v="8"/>
    <x v="8"/>
    <x v="1"/>
    <x v="15"/>
    <x v="43"/>
    <x v="259"/>
    <x v="2621"/>
    <x v="0"/>
    <s v="NEGOCIOS"/>
    <x v="0"/>
  </r>
  <r>
    <x v="55"/>
    <x v="175"/>
    <x v="9"/>
    <x v="9"/>
    <x v="1"/>
    <x v="15"/>
    <x v="45"/>
    <x v="261"/>
    <x v="2622"/>
    <x v="0"/>
    <s v="NEGOCIOS"/>
    <x v="0"/>
  </r>
  <r>
    <x v="55"/>
    <x v="194"/>
    <x v="9"/>
    <x v="9"/>
    <x v="1"/>
    <x v="15"/>
    <x v="59"/>
    <x v="280"/>
    <x v="2623"/>
    <x v="0"/>
    <s v="NEGOCIOS"/>
    <x v="0"/>
  </r>
  <r>
    <x v="55"/>
    <x v="180"/>
    <x v="10"/>
    <x v="10"/>
    <x v="1"/>
    <x v="15"/>
    <x v="50"/>
    <x v="266"/>
    <x v="2624"/>
    <x v="0"/>
    <s v="NEGOCIOS"/>
    <x v="0"/>
  </r>
  <r>
    <x v="55"/>
    <x v="176"/>
    <x v="10"/>
    <x v="10"/>
    <x v="1"/>
    <x v="15"/>
    <x v="46"/>
    <x v="262"/>
    <x v="2625"/>
    <x v="0"/>
    <s v="NEGOCIOS"/>
    <x v="0"/>
  </r>
  <r>
    <x v="55"/>
    <x v="177"/>
    <x v="11"/>
    <x v="11"/>
    <x v="1"/>
    <x v="15"/>
    <x v="47"/>
    <x v="263"/>
    <x v="2626"/>
    <x v="0"/>
    <s v="NEGOCIOS"/>
    <x v="0"/>
  </r>
  <r>
    <x v="55"/>
    <x v="182"/>
    <x v="2"/>
    <x v="2"/>
    <x v="1"/>
    <x v="15"/>
    <x v="52"/>
    <x v="268"/>
    <x v="2627"/>
    <x v="0"/>
    <s v="NEGOCIOS"/>
    <x v="0"/>
  </r>
  <r>
    <x v="55"/>
    <x v="183"/>
    <x v="2"/>
    <x v="2"/>
    <x v="1"/>
    <x v="15"/>
    <x v="53"/>
    <x v="269"/>
    <x v="2628"/>
    <x v="0"/>
    <s v="NEGOCIOS"/>
    <x v="0"/>
  </r>
  <r>
    <x v="55"/>
    <x v="184"/>
    <x v="6"/>
    <x v="6"/>
    <x v="1"/>
    <x v="15"/>
    <x v="54"/>
    <x v="270"/>
    <x v="2629"/>
    <x v="0"/>
    <s v="NEGOCIOS"/>
    <x v="0"/>
  </r>
  <r>
    <x v="55"/>
    <x v="179"/>
    <x v="7"/>
    <x v="7"/>
    <x v="1"/>
    <x v="18"/>
    <x v="49"/>
    <x v="265"/>
    <x v="2630"/>
    <x v="0"/>
    <s v="NEGOCIOS"/>
    <x v="0"/>
  </r>
  <r>
    <x v="55"/>
    <x v="172"/>
    <x v="8"/>
    <x v="8"/>
    <x v="1"/>
    <x v="18"/>
    <x v="42"/>
    <x v="258"/>
    <x v="2631"/>
    <x v="0"/>
    <s v="NEGOCIOS"/>
    <x v="0"/>
  </r>
  <r>
    <x v="55"/>
    <x v="175"/>
    <x v="9"/>
    <x v="9"/>
    <x v="1"/>
    <x v="18"/>
    <x v="45"/>
    <x v="261"/>
    <x v="1957"/>
    <x v="0"/>
    <s v="NEGOCIOS"/>
    <x v="0"/>
  </r>
  <r>
    <x v="55"/>
    <x v="178"/>
    <x v="9"/>
    <x v="9"/>
    <x v="1"/>
    <x v="18"/>
    <x v="48"/>
    <x v="264"/>
    <x v="2632"/>
    <x v="0"/>
    <s v="NEGOCIOS"/>
    <x v="0"/>
  </r>
  <r>
    <x v="55"/>
    <x v="176"/>
    <x v="10"/>
    <x v="10"/>
    <x v="1"/>
    <x v="18"/>
    <x v="46"/>
    <x v="262"/>
    <x v="2633"/>
    <x v="0"/>
    <s v="NEGOCIOS"/>
    <x v="0"/>
  </r>
  <r>
    <x v="55"/>
    <x v="182"/>
    <x v="2"/>
    <x v="2"/>
    <x v="1"/>
    <x v="18"/>
    <x v="52"/>
    <x v="268"/>
    <x v="2634"/>
    <x v="0"/>
    <s v="NEGOCIOS"/>
    <x v="0"/>
  </r>
  <r>
    <x v="56"/>
    <x v="171"/>
    <x v="7"/>
    <x v="7"/>
    <x v="1"/>
    <x v="2"/>
    <x v="41"/>
    <x v="257"/>
    <x v="2635"/>
    <x v="0"/>
    <s v="BOULEVARD EL DORADO"/>
    <x v="0"/>
  </r>
  <r>
    <x v="56"/>
    <x v="172"/>
    <x v="8"/>
    <x v="8"/>
    <x v="1"/>
    <x v="2"/>
    <x v="42"/>
    <x v="258"/>
    <x v="2636"/>
    <x v="0"/>
    <s v="BOULEVARD EL DORADO"/>
    <x v="0"/>
  </r>
  <r>
    <x v="56"/>
    <x v="180"/>
    <x v="10"/>
    <x v="10"/>
    <x v="1"/>
    <x v="2"/>
    <x v="50"/>
    <x v="266"/>
    <x v="2637"/>
    <x v="0"/>
    <s v="BOULEVARD EL DORADO"/>
    <x v="0"/>
  </r>
  <r>
    <x v="56"/>
    <x v="181"/>
    <x v="11"/>
    <x v="11"/>
    <x v="1"/>
    <x v="2"/>
    <x v="51"/>
    <x v="267"/>
    <x v="2638"/>
    <x v="0"/>
    <s v="BOULEVARD EL DORADO"/>
    <x v="0"/>
  </r>
  <r>
    <x v="56"/>
    <x v="182"/>
    <x v="2"/>
    <x v="2"/>
    <x v="1"/>
    <x v="2"/>
    <x v="52"/>
    <x v="268"/>
    <x v="2639"/>
    <x v="0"/>
    <s v="BOULEVARD EL DORADO"/>
    <x v="0"/>
  </r>
  <r>
    <x v="56"/>
    <x v="179"/>
    <x v="7"/>
    <x v="7"/>
    <x v="1"/>
    <x v="0"/>
    <x v="49"/>
    <x v="265"/>
    <x v="2640"/>
    <x v="0"/>
    <s v="BOULEVARD EL DORADO"/>
    <x v="0"/>
  </r>
  <r>
    <x v="56"/>
    <x v="171"/>
    <x v="7"/>
    <x v="7"/>
    <x v="1"/>
    <x v="0"/>
    <x v="41"/>
    <x v="257"/>
    <x v="2641"/>
    <x v="0"/>
    <s v="BOULEVARD EL DORADO"/>
    <x v="0"/>
  </r>
  <r>
    <x v="56"/>
    <x v="172"/>
    <x v="8"/>
    <x v="8"/>
    <x v="1"/>
    <x v="0"/>
    <x v="42"/>
    <x v="258"/>
    <x v="2642"/>
    <x v="0"/>
    <s v="BOULEVARD EL DORADO"/>
    <x v="0"/>
  </r>
  <r>
    <x v="56"/>
    <x v="173"/>
    <x v="8"/>
    <x v="8"/>
    <x v="1"/>
    <x v="0"/>
    <x v="43"/>
    <x v="259"/>
    <x v="2643"/>
    <x v="0"/>
    <s v="BOULEVARD EL DORADO"/>
    <x v="0"/>
  </r>
  <r>
    <x v="56"/>
    <x v="175"/>
    <x v="9"/>
    <x v="9"/>
    <x v="1"/>
    <x v="0"/>
    <x v="45"/>
    <x v="261"/>
    <x v="2644"/>
    <x v="0"/>
    <s v="BOULEVARD EL DORADO"/>
    <x v="0"/>
  </r>
  <r>
    <x v="56"/>
    <x v="178"/>
    <x v="9"/>
    <x v="9"/>
    <x v="1"/>
    <x v="0"/>
    <x v="48"/>
    <x v="264"/>
    <x v="2645"/>
    <x v="0"/>
    <s v="BOULEVARD EL DORADO"/>
    <x v="0"/>
  </r>
  <r>
    <x v="56"/>
    <x v="180"/>
    <x v="10"/>
    <x v="10"/>
    <x v="1"/>
    <x v="0"/>
    <x v="50"/>
    <x v="266"/>
    <x v="2646"/>
    <x v="0"/>
    <s v="BOULEVARD EL DORADO"/>
    <x v="0"/>
  </r>
  <r>
    <x v="56"/>
    <x v="176"/>
    <x v="10"/>
    <x v="10"/>
    <x v="1"/>
    <x v="0"/>
    <x v="46"/>
    <x v="262"/>
    <x v="2647"/>
    <x v="0"/>
    <s v="BOULEVARD EL DORADO"/>
    <x v="0"/>
  </r>
  <r>
    <x v="56"/>
    <x v="177"/>
    <x v="11"/>
    <x v="11"/>
    <x v="1"/>
    <x v="0"/>
    <x v="47"/>
    <x v="263"/>
    <x v="2648"/>
    <x v="0"/>
    <s v="BOULEVARD EL DORADO"/>
    <x v="0"/>
  </r>
  <r>
    <x v="56"/>
    <x v="181"/>
    <x v="11"/>
    <x v="11"/>
    <x v="1"/>
    <x v="0"/>
    <x v="51"/>
    <x v="267"/>
    <x v="476"/>
    <x v="0"/>
    <s v="BOULEVARD EL DORADO"/>
    <x v="0"/>
  </r>
  <r>
    <x v="56"/>
    <x v="182"/>
    <x v="2"/>
    <x v="2"/>
    <x v="1"/>
    <x v="0"/>
    <x v="52"/>
    <x v="268"/>
    <x v="753"/>
    <x v="0"/>
    <s v="BOULEVARD EL DORADO"/>
    <x v="0"/>
  </r>
  <r>
    <x v="56"/>
    <x v="183"/>
    <x v="2"/>
    <x v="2"/>
    <x v="1"/>
    <x v="0"/>
    <x v="53"/>
    <x v="269"/>
    <x v="2649"/>
    <x v="0"/>
    <s v="BOULEVARD EL DORADO"/>
    <x v="0"/>
  </r>
  <r>
    <x v="56"/>
    <x v="184"/>
    <x v="6"/>
    <x v="6"/>
    <x v="1"/>
    <x v="0"/>
    <x v="54"/>
    <x v="270"/>
    <x v="2650"/>
    <x v="0"/>
    <s v="BOULEVARD EL DORADO"/>
    <x v="0"/>
  </r>
  <r>
    <x v="56"/>
    <x v="174"/>
    <x v="6"/>
    <x v="6"/>
    <x v="1"/>
    <x v="0"/>
    <x v="44"/>
    <x v="260"/>
    <x v="2651"/>
    <x v="0"/>
    <s v="BOULEVARD EL DORADO"/>
    <x v="0"/>
  </r>
  <r>
    <x v="56"/>
    <x v="179"/>
    <x v="7"/>
    <x v="7"/>
    <x v="1"/>
    <x v="1"/>
    <x v="49"/>
    <x v="265"/>
    <x v="2652"/>
    <x v="0"/>
    <s v="BOULEVARD EL DORADO"/>
    <x v="0"/>
  </r>
  <r>
    <x v="56"/>
    <x v="171"/>
    <x v="7"/>
    <x v="7"/>
    <x v="1"/>
    <x v="1"/>
    <x v="41"/>
    <x v="257"/>
    <x v="1436"/>
    <x v="0"/>
    <s v="BOULEVARD EL DORADO"/>
    <x v="0"/>
  </r>
  <r>
    <x v="56"/>
    <x v="172"/>
    <x v="8"/>
    <x v="8"/>
    <x v="1"/>
    <x v="1"/>
    <x v="42"/>
    <x v="258"/>
    <x v="2653"/>
    <x v="0"/>
    <s v="BOULEVARD EL DORADO"/>
    <x v="0"/>
  </r>
  <r>
    <x v="56"/>
    <x v="173"/>
    <x v="8"/>
    <x v="8"/>
    <x v="1"/>
    <x v="1"/>
    <x v="43"/>
    <x v="259"/>
    <x v="2654"/>
    <x v="0"/>
    <s v="BOULEVARD EL DORADO"/>
    <x v="0"/>
  </r>
  <r>
    <x v="56"/>
    <x v="176"/>
    <x v="10"/>
    <x v="10"/>
    <x v="1"/>
    <x v="1"/>
    <x v="46"/>
    <x v="262"/>
    <x v="678"/>
    <x v="0"/>
    <s v="BOULEVARD EL DORADO"/>
    <x v="0"/>
  </r>
  <r>
    <x v="56"/>
    <x v="177"/>
    <x v="11"/>
    <x v="11"/>
    <x v="1"/>
    <x v="1"/>
    <x v="47"/>
    <x v="263"/>
    <x v="2655"/>
    <x v="0"/>
    <s v="BOULEVARD EL DORADO"/>
    <x v="0"/>
  </r>
  <r>
    <x v="56"/>
    <x v="181"/>
    <x v="11"/>
    <x v="11"/>
    <x v="1"/>
    <x v="1"/>
    <x v="51"/>
    <x v="267"/>
    <x v="1445"/>
    <x v="0"/>
    <s v="BOULEVARD EL DORADO"/>
    <x v="0"/>
  </r>
  <r>
    <x v="56"/>
    <x v="183"/>
    <x v="2"/>
    <x v="2"/>
    <x v="1"/>
    <x v="1"/>
    <x v="53"/>
    <x v="269"/>
    <x v="2656"/>
    <x v="0"/>
    <s v="BOULEVARD EL DORADO"/>
    <x v="0"/>
  </r>
  <r>
    <x v="57"/>
    <x v="175"/>
    <x v="9"/>
    <x v="9"/>
    <x v="1"/>
    <x v="2"/>
    <x v="45"/>
    <x v="261"/>
    <x v="2657"/>
    <x v="0"/>
    <s v="SAN SEBASTIAN"/>
    <x v="0"/>
  </r>
  <r>
    <x v="57"/>
    <x v="182"/>
    <x v="2"/>
    <x v="2"/>
    <x v="1"/>
    <x v="2"/>
    <x v="52"/>
    <x v="268"/>
    <x v="2658"/>
    <x v="0"/>
    <s v="SAN SEBASTIAN"/>
    <x v="0"/>
  </r>
  <r>
    <x v="57"/>
    <x v="183"/>
    <x v="2"/>
    <x v="2"/>
    <x v="1"/>
    <x v="2"/>
    <x v="53"/>
    <x v="269"/>
    <x v="2659"/>
    <x v="0"/>
    <s v="SAN SEBASTIAN"/>
    <x v="0"/>
  </r>
  <r>
    <x v="57"/>
    <x v="179"/>
    <x v="7"/>
    <x v="7"/>
    <x v="1"/>
    <x v="0"/>
    <x v="49"/>
    <x v="265"/>
    <x v="2660"/>
    <x v="0"/>
    <s v="SAN SEBASTIAN"/>
    <x v="0"/>
  </r>
  <r>
    <x v="57"/>
    <x v="171"/>
    <x v="7"/>
    <x v="7"/>
    <x v="1"/>
    <x v="0"/>
    <x v="41"/>
    <x v="257"/>
    <x v="2661"/>
    <x v="0"/>
    <s v="SAN SEBASTIAN"/>
    <x v="0"/>
  </r>
  <r>
    <x v="57"/>
    <x v="172"/>
    <x v="8"/>
    <x v="8"/>
    <x v="1"/>
    <x v="0"/>
    <x v="42"/>
    <x v="258"/>
    <x v="2662"/>
    <x v="0"/>
    <s v="SAN SEBASTIAN"/>
    <x v="0"/>
  </r>
  <r>
    <x v="57"/>
    <x v="173"/>
    <x v="8"/>
    <x v="8"/>
    <x v="1"/>
    <x v="0"/>
    <x v="43"/>
    <x v="259"/>
    <x v="2663"/>
    <x v="0"/>
    <s v="SAN SEBASTIAN"/>
    <x v="0"/>
  </r>
  <r>
    <x v="57"/>
    <x v="175"/>
    <x v="9"/>
    <x v="9"/>
    <x v="1"/>
    <x v="0"/>
    <x v="45"/>
    <x v="261"/>
    <x v="2664"/>
    <x v="0"/>
    <s v="SAN SEBASTIAN"/>
    <x v="0"/>
  </r>
  <r>
    <x v="57"/>
    <x v="178"/>
    <x v="9"/>
    <x v="9"/>
    <x v="1"/>
    <x v="0"/>
    <x v="48"/>
    <x v="264"/>
    <x v="2665"/>
    <x v="0"/>
    <s v="SAN SEBASTIAN"/>
    <x v="0"/>
  </r>
  <r>
    <x v="57"/>
    <x v="180"/>
    <x v="10"/>
    <x v="10"/>
    <x v="1"/>
    <x v="0"/>
    <x v="50"/>
    <x v="266"/>
    <x v="2666"/>
    <x v="0"/>
    <s v="SAN SEBASTIAN"/>
    <x v="0"/>
  </r>
  <r>
    <x v="57"/>
    <x v="176"/>
    <x v="10"/>
    <x v="10"/>
    <x v="1"/>
    <x v="0"/>
    <x v="46"/>
    <x v="262"/>
    <x v="2667"/>
    <x v="0"/>
    <s v="SAN SEBASTIAN"/>
    <x v="0"/>
  </r>
  <r>
    <x v="57"/>
    <x v="177"/>
    <x v="11"/>
    <x v="11"/>
    <x v="1"/>
    <x v="0"/>
    <x v="47"/>
    <x v="263"/>
    <x v="2668"/>
    <x v="0"/>
    <s v="SAN SEBASTIAN"/>
    <x v="0"/>
  </r>
  <r>
    <x v="57"/>
    <x v="181"/>
    <x v="11"/>
    <x v="11"/>
    <x v="1"/>
    <x v="0"/>
    <x v="51"/>
    <x v="267"/>
    <x v="2669"/>
    <x v="0"/>
    <s v="SAN SEBASTIAN"/>
    <x v="0"/>
  </r>
  <r>
    <x v="57"/>
    <x v="182"/>
    <x v="2"/>
    <x v="2"/>
    <x v="1"/>
    <x v="0"/>
    <x v="52"/>
    <x v="268"/>
    <x v="2670"/>
    <x v="0"/>
    <s v="SAN SEBASTIAN"/>
    <x v="0"/>
  </r>
  <r>
    <x v="57"/>
    <x v="183"/>
    <x v="2"/>
    <x v="2"/>
    <x v="1"/>
    <x v="0"/>
    <x v="53"/>
    <x v="269"/>
    <x v="2671"/>
    <x v="0"/>
    <s v="SAN SEBASTIAN"/>
    <x v="0"/>
  </r>
  <r>
    <x v="57"/>
    <x v="184"/>
    <x v="6"/>
    <x v="6"/>
    <x v="1"/>
    <x v="0"/>
    <x v="54"/>
    <x v="270"/>
    <x v="2672"/>
    <x v="0"/>
    <s v="SAN SEBASTIAN"/>
    <x v="0"/>
  </r>
  <r>
    <x v="57"/>
    <x v="174"/>
    <x v="6"/>
    <x v="6"/>
    <x v="1"/>
    <x v="0"/>
    <x v="44"/>
    <x v="260"/>
    <x v="2673"/>
    <x v="0"/>
    <s v="SAN SEBASTIAN"/>
    <x v="0"/>
  </r>
  <r>
    <x v="57"/>
    <x v="182"/>
    <x v="2"/>
    <x v="2"/>
    <x v="1"/>
    <x v="1"/>
    <x v="52"/>
    <x v="268"/>
    <x v="527"/>
    <x v="0"/>
    <s v="SAN SEBASTIAN"/>
    <x v="0"/>
  </r>
  <r>
    <x v="58"/>
    <x v="175"/>
    <x v="9"/>
    <x v="9"/>
    <x v="1"/>
    <x v="0"/>
    <x v="45"/>
    <x v="261"/>
    <x v="2674"/>
    <x v="0"/>
    <s v="SANTIAGO INTERAMERICANA"/>
    <x v="0"/>
  </r>
  <r>
    <x v="60"/>
    <x v="179"/>
    <x v="7"/>
    <x v="7"/>
    <x v="1"/>
    <x v="0"/>
    <x v="49"/>
    <x v="265"/>
    <x v="2509"/>
    <x v="0"/>
    <s v="VILLA ZAITA"/>
    <x v="0"/>
  </r>
  <r>
    <x v="60"/>
    <x v="171"/>
    <x v="7"/>
    <x v="7"/>
    <x v="1"/>
    <x v="0"/>
    <x v="41"/>
    <x v="257"/>
    <x v="2675"/>
    <x v="0"/>
    <s v="VILLA ZAITA"/>
    <x v="0"/>
  </r>
  <r>
    <x v="60"/>
    <x v="180"/>
    <x v="10"/>
    <x v="10"/>
    <x v="1"/>
    <x v="0"/>
    <x v="50"/>
    <x v="266"/>
    <x v="2676"/>
    <x v="0"/>
    <s v="VILLA ZAITA"/>
    <x v="0"/>
  </r>
  <r>
    <x v="60"/>
    <x v="176"/>
    <x v="10"/>
    <x v="10"/>
    <x v="1"/>
    <x v="0"/>
    <x v="46"/>
    <x v="262"/>
    <x v="2677"/>
    <x v="0"/>
    <s v="VILLA ZAITA"/>
    <x v="0"/>
  </r>
  <r>
    <x v="61"/>
    <x v="172"/>
    <x v="8"/>
    <x v="8"/>
    <x v="1"/>
    <x v="0"/>
    <x v="42"/>
    <x v="258"/>
    <x v="2678"/>
    <x v="0"/>
    <s v="AZUERO TERMINAL PLAZA"/>
    <x v="0"/>
  </r>
  <r>
    <x v="61"/>
    <x v="176"/>
    <x v="10"/>
    <x v="10"/>
    <x v="1"/>
    <x v="0"/>
    <x v="46"/>
    <x v="262"/>
    <x v="2679"/>
    <x v="0"/>
    <s v="AZUERO TERMINAL PLAZA"/>
    <x v="0"/>
  </r>
  <r>
    <x v="61"/>
    <x v="177"/>
    <x v="11"/>
    <x v="11"/>
    <x v="1"/>
    <x v="0"/>
    <x v="47"/>
    <x v="263"/>
    <x v="2680"/>
    <x v="0"/>
    <s v="AZUERO TERMINAL PLAZA"/>
    <x v="0"/>
  </r>
  <r>
    <x v="61"/>
    <x v="177"/>
    <x v="11"/>
    <x v="11"/>
    <x v="1"/>
    <x v="1"/>
    <x v="47"/>
    <x v="263"/>
    <x v="2681"/>
    <x v="0"/>
    <s v="AZUERO TERMINAL PLAZA"/>
    <x v="0"/>
  </r>
  <r>
    <x v="63"/>
    <x v="171"/>
    <x v="7"/>
    <x v="7"/>
    <x v="1"/>
    <x v="0"/>
    <x v="41"/>
    <x v="257"/>
    <x v="2682"/>
    <x v="0"/>
    <s v="COSTA VERDE"/>
    <x v="0"/>
  </r>
  <r>
    <x v="63"/>
    <x v="172"/>
    <x v="8"/>
    <x v="8"/>
    <x v="1"/>
    <x v="0"/>
    <x v="42"/>
    <x v="258"/>
    <x v="2683"/>
    <x v="0"/>
    <s v="COSTA VERDE"/>
    <x v="0"/>
  </r>
  <r>
    <x v="63"/>
    <x v="180"/>
    <x v="10"/>
    <x v="10"/>
    <x v="1"/>
    <x v="0"/>
    <x v="50"/>
    <x v="266"/>
    <x v="2684"/>
    <x v="0"/>
    <s v="COSTA VERDE"/>
    <x v="0"/>
  </r>
  <r>
    <x v="63"/>
    <x v="176"/>
    <x v="10"/>
    <x v="10"/>
    <x v="1"/>
    <x v="0"/>
    <x v="46"/>
    <x v="262"/>
    <x v="2685"/>
    <x v="0"/>
    <s v="COSTA VERDE"/>
    <x v="0"/>
  </r>
  <r>
    <x v="63"/>
    <x v="182"/>
    <x v="2"/>
    <x v="2"/>
    <x v="1"/>
    <x v="0"/>
    <x v="52"/>
    <x v="268"/>
    <x v="2686"/>
    <x v="0"/>
    <s v="COSTA VERDE"/>
    <x v="0"/>
  </r>
  <r>
    <x v="63"/>
    <x v="183"/>
    <x v="2"/>
    <x v="2"/>
    <x v="1"/>
    <x v="0"/>
    <x v="53"/>
    <x v="269"/>
    <x v="2687"/>
    <x v="0"/>
    <s v="COSTA VERDE"/>
    <x v="0"/>
  </r>
  <r>
    <x v="63"/>
    <x v="184"/>
    <x v="6"/>
    <x v="6"/>
    <x v="1"/>
    <x v="0"/>
    <x v="54"/>
    <x v="270"/>
    <x v="2688"/>
    <x v="0"/>
    <s v="COSTA VERDE"/>
    <x v="0"/>
  </r>
  <r>
    <x v="63"/>
    <x v="174"/>
    <x v="6"/>
    <x v="6"/>
    <x v="1"/>
    <x v="0"/>
    <x v="44"/>
    <x v="260"/>
    <x v="2689"/>
    <x v="0"/>
    <s v="COSTA VERDE"/>
    <x v="0"/>
  </r>
  <r>
    <x v="63"/>
    <x v="172"/>
    <x v="8"/>
    <x v="8"/>
    <x v="1"/>
    <x v="1"/>
    <x v="42"/>
    <x v="258"/>
    <x v="2690"/>
    <x v="0"/>
    <s v="COSTA VERDE"/>
    <x v="0"/>
  </r>
  <r>
    <x v="63"/>
    <x v="178"/>
    <x v="9"/>
    <x v="9"/>
    <x v="1"/>
    <x v="1"/>
    <x v="48"/>
    <x v="264"/>
    <x v="2691"/>
    <x v="0"/>
    <s v="COSTA VERDE"/>
    <x v="0"/>
  </r>
  <r>
    <x v="63"/>
    <x v="184"/>
    <x v="6"/>
    <x v="6"/>
    <x v="1"/>
    <x v="1"/>
    <x v="54"/>
    <x v="270"/>
    <x v="2692"/>
    <x v="0"/>
    <s v="COSTA VERDE"/>
    <x v="0"/>
  </r>
  <r>
    <x v="63"/>
    <x v="174"/>
    <x v="6"/>
    <x v="6"/>
    <x v="1"/>
    <x v="1"/>
    <x v="44"/>
    <x v="260"/>
    <x v="2693"/>
    <x v="0"/>
    <s v="COSTA VERDE"/>
    <x v="0"/>
  </r>
  <r>
    <x v="78"/>
    <x v="183"/>
    <x v="2"/>
    <x v="2"/>
    <x v="1"/>
    <x v="0"/>
    <x v="53"/>
    <x v="269"/>
    <x v="2694"/>
    <x v="0"/>
    <s v="CASCO VIEJO"/>
    <x v="0"/>
  </r>
  <r>
    <x v="67"/>
    <x v="171"/>
    <x v="7"/>
    <x v="7"/>
    <x v="1"/>
    <x v="0"/>
    <x v="41"/>
    <x v="257"/>
    <x v="2695"/>
    <x v="0"/>
    <s v="PASEO ARRAIJAN"/>
    <x v="0"/>
  </r>
  <r>
    <x v="67"/>
    <x v="176"/>
    <x v="10"/>
    <x v="10"/>
    <x v="1"/>
    <x v="0"/>
    <x v="46"/>
    <x v="262"/>
    <x v="2696"/>
    <x v="0"/>
    <s v="PASEO ARRAIJAN"/>
    <x v="0"/>
  </r>
  <r>
    <x v="67"/>
    <x v="174"/>
    <x v="6"/>
    <x v="6"/>
    <x v="1"/>
    <x v="0"/>
    <x v="44"/>
    <x v="260"/>
    <x v="673"/>
    <x v="0"/>
    <s v="PASEO ARRAIJAN"/>
    <x v="0"/>
  </r>
  <r>
    <x v="67"/>
    <x v="180"/>
    <x v="10"/>
    <x v="10"/>
    <x v="1"/>
    <x v="1"/>
    <x v="50"/>
    <x v="266"/>
    <x v="2697"/>
    <x v="0"/>
    <s v="PASEO ARRAIJAN"/>
    <x v="0"/>
  </r>
  <r>
    <x v="68"/>
    <x v="174"/>
    <x v="6"/>
    <x v="6"/>
    <x v="1"/>
    <x v="1"/>
    <x v="44"/>
    <x v="260"/>
    <x v="2698"/>
    <x v="0"/>
    <s v="PLAZA NUEVO TOCUMEN"/>
    <x v="0"/>
  </r>
  <r>
    <x v="69"/>
    <x v="171"/>
    <x v="7"/>
    <x v="7"/>
    <x v="1"/>
    <x v="0"/>
    <x v="41"/>
    <x v="257"/>
    <x v="2699"/>
    <x v="0"/>
    <s v="SANTA MARIA"/>
    <x v="0"/>
  </r>
  <r>
    <x v="69"/>
    <x v="172"/>
    <x v="8"/>
    <x v="8"/>
    <x v="1"/>
    <x v="1"/>
    <x v="42"/>
    <x v="258"/>
    <x v="2700"/>
    <x v="0"/>
    <s v="SANTA MARIA"/>
    <x v="0"/>
  </r>
  <r>
    <x v="0"/>
    <x v="195"/>
    <x v="8"/>
    <x v="8"/>
    <x v="1"/>
    <x v="2"/>
    <x v="20"/>
    <x v="24"/>
    <x v="813"/>
    <x v="0"/>
    <s v="CASA MATRIZ"/>
    <x v="1"/>
  </r>
  <r>
    <x v="0"/>
    <x v="196"/>
    <x v="8"/>
    <x v="8"/>
    <x v="1"/>
    <x v="2"/>
    <x v="20"/>
    <x v="24"/>
    <x v="735"/>
    <x v="0"/>
    <s v="CASA MATRIZ"/>
    <x v="1"/>
  </r>
  <r>
    <x v="0"/>
    <x v="197"/>
    <x v="9"/>
    <x v="9"/>
    <x v="1"/>
    <x v="2"/>
    <x v="20"/>
    <x v="24"/>
    <x v="735"/>
    <x v="0"/>
    <s v="CASA MATRIZ"/>
    <x v="1"/>
  </r>
  <r>
    <x v="0"/>
    <x v="198"/>
    <x v="10"/>
    <x v="10"/>
    <x v="1"/>
    <x v="2"/>
    <x v="20"/>
    <x v="24"/>
    <x v="736"/>
    <x v="0"/>
    <s v="CASA MATRIZ"/>
    <x v="1"/>
  </r>
  <r>
    <x v="0"/>
    <x v="199"/>
    <x v="10"/>
    <x v="10"/>
    <x v="1"/>
    <x v="2"/>
    <x v="20"/>
    <x v="24"/>
    <x v="735"/>
    <x v="0"/>
    <s v="CASA MATRIZ"/>
    <x v="1"/>
  </r>
  <r>
    <x v="0"/>
    <x v="200"/>
    <x v="11"/>
    <x v="11"/>
    <x v="1"/>
    <x v="2"/>
    <x v="20"/>
    <x v="24"/>
    <x v="748"/>
    <x v="0"/>
    <s v="CASA MATRIZ"/>
    <x v="1"/>
  </r>
  <r>
    <x v="0"/>
    <x v="201"/>
    <x v="11"/>
    <x v="11"/>
    <x v="1"/>
    <x v="2"/>
    <x v="20"/>
    <x v="24"/>
    <x v="742"/>
    <x v="0"/>
    <s v="CASA MATRIZ"/>
    <x v="1"/>
  </r>
  <r>
    <x v="0"/>
    <x v="202"/>
    <x v="11"/>
    <x v="11"/>
    <x v="1"/>
    <x v="2"/>
    <x v="20"/>
    <x v="24"/>
    <x v="741"/>
    <x v="0"/>
    <s v="CASA MATRIZ"/>
    <x v="1"/>
  </r>
  <r>
    <x v="0"/>
    <x v="203"/>
    <x v="6"/>
    <x v="6"/>
    <x v="1"/>
    <x v="2"/>
    <x v="20"/>
    <x v="24"/>
    <x v="1894"/>
    <x v="0"/>
    <s v="CASA MATRIZ"/>
    <x v="1"/>
  </r>
  <r>
    <x v="0"/>
    <x v="204"/>
    <x v="6"/>
    <x v="6"/>
    <x v="1"/>
    <x v="2"/>
    <x v="20"/>
    <x v="24"/>
    <x v="735"/>
    <x v="0"/>
    <s v="CASA MATRIZ"/>
    <x v="1"/>
  </r>
  <r>
    <x v="1"/>
    <x v="205"/>
    <x v="7"/>
    <x v="7"/>
    <x v="1"/>
    <x v="2"/>
    <x v="20"/>
    <x v="25"/>
    <x v="742"/>
    <x v="0"/>
    <s v="PAITILLA"/>
    <x v="1"/>
  </r>
  <r>
    <x v="1"/>
    <x v="206"/>
    <x v="7"/>
    <x v="7"/>
    <x v="1"/>
    <x v="2"/>
    <x v="20"/>
    <x v="25"/>
    <x v="742"/>
    <x v="0"/>
    <s v="PAITILLA"/>
    <x v="1"/>
  </r>
  <r>
    <x v="1"/>
    <x v="207"/>
    <x v="8"/>
    <x v="8"/>
    <x v="1"/>
    <x v="2"/>
    <x v="20"/>
    <x v="25"/>
    <x v="908"/>
    <x v="0"/>
    <s v="PAITILLA"/>
    <x v="1"/>
  </r>
  <r>
    <x v="1"/>
    <x v="208"/>
    <x v="8"/>
    <x v="8"/>
    <x v="1"/>
    <x v="2"/>
    <x v="20"/>
    <x v="25"/>
    <x v="763"/>
    <x v="0"/>
    <s v="PAITILLA"/>
    <x v="1"/>
  </r>
  <r>
    <x v="1"/>
    <x v="182"/>
    <x v="2"/>
    <x v="2"/>
    <x v="1"/>
    <x v="2"/>
    <x v="20"/>
    <x v="25"/>
    <x v="742"/>
    <x v="0"/>
    <s v="PAITILLA"/>
    <x v="1"/>
  </r>
  <r>
    <x v="2"/>
    <x v="179"/>
    <x v="7"/>
    <x v="7"/>
    <x v="1"/>
    <x v="2"/>
    <x v="20"/>
    <x v="26"/>
    <x v="776"/>
    <x v="0"/>
    <s v="EL DORADO"/>
    <x v="1"/>
  </r>
  <r>
    <x v="2"/>
    <x v="209"/>
    <x v="7"/>
    <x v="7"/>
    <x v="1"/>
    <x v="2"/>
    <x v="20"/>
    <x v="26"/>
    <x v="771"/>
    <x v="0"/>
    <s v="EL DORADO"/>
    <x v="1"/>
  </r>
  <r>
    <x v="2"/>
    <x v="210"/>
    <x v="7"/>
    <x v="7"/>
    <x v="1"/>
    <x v="2"/>
    <x v="20"/>
    <x v="26"/>
    <x v="745"/>
    <x v="0"/>
    <s v="EL DORADO"/>
    <x v="1"/>
  </r>
  <r>
    <x v="2"/>
    <x v="211"/>
    <x v="9"/>
    <x v="9"/>
    <x v="1"/>
    <x v="2"/>
    <x v="20"/>
    <x v="26"/>
    <x v="776"/>
    <x v="0"/>
    <s v="EL DORADO"/>
    <x v="1"/>
  </r>
  <r>
    <x v="2"/>
    <x v="212"/>
    <x v="10"/>
    <x v="10"/>
    <x v="1"/>
    <x v="2"/>
    <x v="20"/>
    <x v="26"/>
    <x v="777"/>
    <x v="0"/>
    <s v="EL DORADO"/>
    <x v="1"/>
  </r>
  <r>
    <x v="2"/>
    <x v="213"/>
    <x v="11"/>
    <x v="11"/>
    <x v="1"/>
    <x v="2"/>
    <x v="20"/>
    <x v="26"/>
    <x v="742"/>
    <x v="0"/>
    <s v="EL DORADO"/>
    <x v="1"/>
  </r>
  <r>
    <x v="2"/>
    <x v="214"/>
    <x v="11"/>
    <x v="11"/>
    <x v="1"/>
    <x v="2"/>
    <x v="20"/>
    <x v="26"/>
    <x v="750"/>
    <x v="0"/>
    <s v="EL DORADO"/>
    <x v="1"/>
  </r>
  <r>
    <x v="2"/>
    <x v="215"/>
    <x v="2"/>
    <x v="2"/>
    <x v="1"/>
    <x v="2"/>
    <x v="20"/>
    <x v="26"/>
    <x v="737"/>
    <x v="0"/>
    <s v="EL DORADO"/>
    <x v="1"/>
  </r>
  <r>
    <x v="2"/>
    <x v="216"/>
    <x v="2"/>
    <x v="2"/>
    <x v="1"/>
    <x v="2"/>
    <x v="20"/>
    <x v="26"/>
    <x v="2701"/>
    <x v="0"/>
    <s v="EL DORADO"/>
    <x v="1"/>
  </r>
  <r>
    <x v="2"/>
    <x v="217"/>
    <x v="6"/>
    <x v="6"/>
    <x v="1"/>
    <x v="2"/>
    <x v="20"/>
    <x v="26"/>
    <x v="745"/>
    <x v="0"/>
    <s v="EL DORADO"/>
    <x v="1"/>
  </r>
  <r>
    <x v="2"/>
    <x v="218"/>
    <x v="6"/>
    <x v="6"/>
    <x v="1"/>
    <x v="2"/>
    <x v="20"/>
    <x v="26"/>
    <x v="744"/>
    <x v="0"/>
    <s v="EL DORADO"/>
    <x v="1"/>
  </r>
  <r>
    <x v="2"/>
    <x v="190"/>
    <x v="6"/>
    <x v="6"/>
    <x v="1"/>
    <x v="2"/>
    <x v="20"/>
    <x v="26"/>
    <x v="744"/>
    <x v="0"/>
    <s v="EL DORADO"/>
    <x v="1"/>
  </r>
  <r>
    <x v="3"/>
    <x v="219"/>
    <x v="9"/>
    <x v="9"/>
    <x v="1"/>
    <x v="2"/>
    <x v="20"/>
    <x v="27"/>
    <x v="738"/>
    <x v="0"/>
    <s v="VIA ARGENTINA"/>
    <x v="1"/>
  </r>
  <r>
    <x v="3"/>
    <x v="220"/>
    <x v="11"/>
    <x v="11"/>
    <x v="1"/>
    <x v="2"/>
    <x v="20"/>
    <x v="27"/>
    <x v="744"/>
    <x v="0"/>
    <s v="VIA ARGENTINA"/>
    <x v="1"/>
  </r>
  <r>
    <x v="3"/>
    <x v="202"/>
    <x v="11"/>
    <x v="11"/>
    <x v="1"/>
    <x v="2"/>
    <x v="20"/>
    <x v="27"/>
    <x v="763"/>
    <x v="0"/>
    <s v="VIA ARGENTINA"/>
    <x v="1"/>
  </r>
  <r>
    <x v="3"/>
    <x v="221"/>
    <x v="2"/>
    <x v="2"/>
    <x v="1"/>
    <x v="2"/>
    <x v="20"/>
    <x v="27"/>
    <x v="737"/>
    <x v="0"/>
    <s v="VIA ARGENTINA"/>
    <x v="1"/>
  </r>
  <r>
    <x v="3"/>
    <x v="222"/>
    <x v="2"/>
    <x v="2"/>
    <x v="1"/>
    <x v="2"/>
    <x v="20"/>
    <x v="27"/>
    <x v="742"/>
    <x v="0"/>
    <s v="VIA ARGENTINA"/>
    <x v="1"/>
  </r>
  <r>
    <x v="3"/>
    <x v="223"/>
    <x v="2"/>
    <x v="2"/>
    <x v="1"/>
    <x v="2"/>
    <x v="20"/>
    <x v="27"/>
    <x v="737"/>
    <x v="0"/>
    <s v="VIA ARGENTINA"/>
    <x v="1"/>
  </r>
  <r>
    <x v="3"/>
    <x v="224"/>
    <x v="2"/>
    <x v="2"/>
    <x v="1"/>
    <x v="2"/>
    <x v="20"/>
    <x v="27"/>
    <x v="748"/>
    <x v="0"/>
    <s v="VIA ARGENTINA"/>
    <x v="1"/>
  </r>
  <r>
    <x v="3"/>
    <x v="204"/>
    <x v="6"/>
    <x v="6"/>
    <x v="1"/>
    <x v="2"/>
    <x v="20"/>
    <x v="27"/>
    <x v="744"/>
    <x v="0"/>
    <s v="VIA ARGENTINA"/>
    <x v="1"/>
  </r>
  <r>
    <x v="3"/>
    <x v="191"/>
    <x v="6"/>
    <x v="6"/>
    <x v="1"/>
    <x v="2"/>
    <x v="20"/>
    <x v="27"/>
    <x v="763"/>
    <x v="0"/>
    <s v="VIA ARGENTINA"/>
    <x v="1"/>
  </r>
  <r>
    <x v="4"/>
    <x v="179"/>
    <x v="7"/>
    <x v="7"/>
    <x v="1"/>
    <x v="2"/>
    <x v="20"/>
    <x v="28"/>
    <x v="744"/>
    <x v="0"/>
    <s v="VIA PORRAS"/>
    <x v="1"/>
  </r>
  <r>
    <x v="4"/>
    <x v="225"/>
    <x v="7"/>
    <x v="7"/>
    <x v="1"/>
    <x v="2"/>
    <x v="20"/>
    <x v="28"/>
    <x v="744"/>
    <x v="0"/>
    <s v="VIA PORRAS"/>
    <x v="1"/>
  </r>
  <r>
    <x v="4"/>
    <x v="206"/>
    <x v="7"/>
    <x v="7"/>
    <x v="1"/>
    <x v="2"/>
    <x v="20"/>
    <x v="28"/>
    <x v="777"/>
    <x v="0"/>
    <s v="VIA PORRAS"/>
    <x v="1"/>
  </r>
  <r>
    <x v="4"/>
    <x v="196"/>
    <x v="8"/>
    <x v="8"/>
    <x v="1"/>
    <x v="2"/>
    <x v="20"/>
    <x v="28"/>
    <x v="745"/>
    <x v="0"/>
    <s v="VIA PORRAS"/>
    <x v="1"/>
  </r>
  <r>
    <x v="4"/>
    <x v="226"/>
    <x v="8"/>
    <x v="8"/>
    <x v="1"/>
    <x v="2"/>
    <x v="20"/>
    <x v="28"/>
    <x v="2702"/>
    <x v="0"/>
    <s v="VIA PORRAS"/>
    <x v="1"/>
  </r>
  <r>
    <x v="4"/>
    <x v="208"/>
    <x v="8"/>
    <x v="8"/>
    <x v="1"/>
    <x v="2"/>
    <x v="20"/>
    <x v="28"/>
    <x v="745"/>
    <x v="0"/>
    <s v="VIA PORRAS"/>
    <x v="1"/>
  </r>
  <r>
    <x v="4"/>
    <x v="227"/>
    <x v="9"/>
    <x v="9"/>
    <x v="1"/>
    <x v="2"/>
    <x v="20"/>
    <x v="28"/>
    <x v="742"/>
    <x v="0"/>
    <s v="VIA PORRAS"/>
    <x v="1"/>
  </r>
  <r>
    <x v="4"/>
    <x v="194"/>
    <x v="9"/>
    <x v="9"/>
    <x v="1"/>
    <x v="2"/>
    <x v="20"/>
    <x v="28"/>
    <x v="744"/>
    <x v="0"/>
    <s v="VIA PORRAS"/>
    <x v="1"/>
  </r>
  <r>
    <x v="4"/>
    <x v="228"/>
    <x v="9"/>
    <x v="9"/>
    <x v="1"/>
    <x v="2"/>
    <x v="20"/>
    <x v="28"/>
    <x v="737"/>
    <x v="0"/>
    <s v="VIA PORRAS"/>
    <x v="1"/>
  </r>
  <r>
    <x v="4"/>
    <x v="229"/>
    <x v="6"/>
    <x v="6"/>
    <x v="1"/>
    <x v="2"/>
    <x v="25"/>
    <x v="281"/>
    <x v="744"/>
    <x v="0"/>
    <s v="VIA PORRAS"/>
    <x v="1"/>
  </r>
  <r>
    <x v="4"/>
    <x v="174"/>
    <x v="6"/>
    <x v="6"/>
    <x v="1"/>
    <x v="0"/>
    <x v="25"/>
    <x v="282"/>
    <x v="744"/>
    <x v="0"/>
    <s v="VIA PORRAS"/>
    <x v="1"/>
  </r>
  <r>
    <x v="4"/>
    <x v="229"/>
    <x v="6"/>
    <x v="6"/>
    <x v="1"/>
    <x v="0"/>
    <x v="25"/>
    <x v="281"/>
    <x v="739"/>
    <x v="0"/>
    <s v="VIA PORRAS"/>
    <x v="1"/>
  </r>
  <r>
    <x v="4"/>
    <x v="230"/>
    <x v="9"/>
    <x v="9"/>
    <x v="1"/>
    <x v="1"/>
    <x v="25"/>
    <x v="283"/>
    <x v="745"/>
    <x v="0"/>
    <s v="VIA PORRAS"/>
    <x v="1"/>
  </r>
  <r>
    <x v="5"/>
    <x v="226"/>
    <x v="8"/>
    <x v="8"/>
    <x v="1"/>
    <x v="2"/>
    <x v="20"/>
    <x v="29"/>
    <x v="746"/>
    <x v="0"/>
    <s v="EL INGENIO"/>
    <x v="1"/>
  </r>
  <r>
    <x v="5"/>
    <x v="198"/>
    <x v="10"/>
    <x v="10"/>
    <x v="1"/>
    <x v="2"/>
    <x v="20"/>
    <x v="29"/>
    <x v="750"/>
    <x v="0"/>
    <s v="EL INGENIO"/>
    <x v="1"/>
  </r>
  <r>
    <x v="5"/>
    <x v="231"/>
    <x v="10"/>
    <x v="10"/>
    <x v="1"/>
    <x v="2"/>
    <x v="20"/>
    <x v="29"/>
    <x v="1355"/>
    <x v="0"/>
    <s v="EL INGENIO"/>
    <x v="1"/>
  </r>
  <r>
    <x v="5"/>
    <x v="232"/>
    <x v="10"/>
    <x v="10"/>
    <x v="1"/>
    <x v="2"/>
    <x v="20"/>
    <x v="29"/>
    <x v="748"/>
    <x v="0"/>
    <s v="EL INGENIO"/>
    <x v="1"/>
  </r>
  <r>
    <x v="5"/>
    <x v="186"/>
    <x v="10"/>
    <x v="10"/>
    <x v="1"/>
    <x v="2"/>
    <x v="20"/>
    <x v="29"/>
    <x v="748"/>
    <x v="0"/>
    <s v="EL INGENIO"/>
    <x v="1"/>
  </r>
  <r>
    <x v="5"/>
    <x v="233"/>
    <x v="10"/>
    <x v="10"/>
    <x v="1"/>
    <x v="2"/>
    <x v="20"/>
    <x v="29"/>
    <x v="745"/>
    <x v="0"/>
    <s v="EL INGENIO"/>
    <x v="1"/>
  </r>
  <r>
    <x v="5"/>
    <x v="176"/>
    <x v="10"/>
    <x v="10"/>
    <x v="1"/>
    <x v="2"/>
    <x v="20"/>
    <x v="29"/>
    <x v="750"/>
    <x v="0"/>
    <s v="EL INGENIO"/>
    <x v="1"/>
  </r>
  <r>
    <x v="5"/>
    <x v="234"/>
    <x v="11"/>
    <x v="11"/>
    <x v="1"/>
    <x v="2"/>
    <x v="20"/>
    <x v="29"/>
    <x v="775"/>
    <x v="0"/>
    <s v="EL INGENIO"/>
    <x v="1"/>
  </r>
  <r>
    <x v="5"/>
    <x v="223"/>
    <x v="2"/>
    <x v="2"/>
    <x v="1"/>
    <x v="2"/>
    <x v="20"/>
    <x v="29"/>
    <x v="2703"/>
    <x v="0"/>
    <s v="EL INGENIO"/>
    <x v="1"/>
  </r>
  <r>
    <x v="5"/>
    <x v="235"/>
    <x v="2"/>
    <x v="2"/>
    <x v="1"/>
    <x v="2"/>
    <x v="20"/>
    <x v="29"/>
    <x v="777"/>
    <x v="0"/>
    <s v="EL INGENIO"/>
    <x v="1"/>
  </r>
  <r>
    <x v="5"/>
    <x v="236"/>
    <x v="6"/>
    <x v="6"/>
    <x v="1"/>
    <x v="2"/>
    <x v="20"/>
    <x v="29"/>
    <x v="748"/>
    <x v="0"/>
    <s v="EL INGENIO"/>
    <x v="1"/>
  </r>
  <r>
    <x v="5"/>
    <x v="174"/>
    <x v="6"/>
    <x v="6"/>
    <x v="1"/>
    <x v="2"/>
    <x v="20"/>
    <x v="29"/>
    <x v="748"/>
    <x v="0"/>
    <s v="EL INGENIO"/>
    <x v="1"/>
  </r>
  <r>
    <x v="6"/>
    <x v="237"/>
    <x v="7"/>
    <x v="7"/>
    <x v="1"/>
    <x v="2"/>
    <x v="20"/>
    <x v="30"/>
    <x v="752"/>
    <x v="0"/>
    <s v="CHANIS"/>
    <x v="1"/>
  </r>
  <r>
    <x v="6"/>
    <x v="196"/>
    <x v="8"/>
    <x v="8"/>
    <x v="1"/>
    <x v="2"/>
    <x v="20"/>
    <x v="30"/>
    <x v="842"/>
    <x v="0"/>
    <s v="CHANIS"/>
    <x v="1"/>
  </r>
  <r>
    <x v="6"/>
    <x v="238"/>
    <x v="9"/>
    <x v="9"/>
    <x v="1"/>
    <x v="2"/>
    <x v="20"/>
    <x v="30"/>
    <x v="2704"/>
    <x v="0"/>
    <s v="CHANIS"/>
    <x v="1"/>
  </r>
  <r>
    <x v="6"/>
    <x v="197"/>
    <x v="9"/>
    <x v="9"/>
    <x v="1"/>
    <x v="2"/>
    <x v="20"/>
    <x v="30"/>
    <x v="2704"/>
    <x v="0"/>
    <s v="CHANIS"/>
    <x v="1"/>
  </r>
  <r>
    <x v="6"/>
    <x v="239"/>
    <x v="10"/>
    <x v="10"/>
    <x v="1"/>
    <x v="2"/>
    <x v="20"/>
    <x v="30"/>
    <x v="742"/>
    <x v="0"/>
    <s v="CHANIS"/>
    <x v="1"/>
  </r>
  <r>
    <x v="6"/>
    <x v="240"/>
    <x v="2"/>
    <x v="2"/>
    <x v="1"/>
    <x v="2"/>
    <x v="20"/>
    <x v="30"/>
    <x v="191"/>
    <x v="0"/>
    <s v="CHANIS"/>
    <x v="1"/>
  </r>
  <r>
    <x v="6"/>
    <x v="224"/>
    <x v="2"/>
    <x v="2"/>
    <x v="1"/>
    <x v="2"/>
    <x v="20"/>
    <x v="30"/>
    <x v="744"/>
    <x v="0"/>
    <s v="CHANIS"/>
    <x v="1"/>
  </r>
  <r>
    <x v="6"/>
    <x v="241"/>
    <x v="6"/>
    <x v="6"/>
    <x v="1"/>
    <x v="2"/>
    <x v="20"/>
    <x v="30"/>
    <x v="842"/>
    <x v="0"/>
    <s v="CHANIS"/>
    <x v="1"/>
  </r>
  <r>
    <x v="7"/>
    <x v="242"/>
    <x v="9"/>
    <x v="9"/>
    <x v="1"/>
    <x v="2"/>
    <x v="20"/>
    <x v="31"/>
    <x v="842"/>
    <x v="0"/>
    <s v="PLAZA TOCUMEN"/>
    <x v="1"/>
  </r>
  <r>
    <x v="7"/>
    <x v="243"/>
    <x v="10"/>
    <x v="10"/>
    <x v="1"/>
    <x v="2"/>
    <x v="20"/>
    <x v="31"/>
    <x v="755"/>
    <x v="0"/>
    <s v="PLAZA TOCUMEN"/>
    <x v="1"/>
  </r>
  <r>
    <x v="7"/>
    <x v="244"/>
    <x v="10"/>
    <x v="10"/>
    <x v="1"/>
    <x v="2"/>
    <x v="20"/>
    <x v="31"/>
    <x v="756"/>
    <x v="0"/>
    <s v="PLAZA TOCUMEN"/>
    <x v="1"/>
  </r>
  <r>
    <x v="7"/>
    <x v="199"/>
    <x v="10"/>
    <x v="10"/>
    <x v="1"/>
    <x v="2"/>
    <x v="20"/>
    <x v="31"/>
    <x v="745"/>
    <x v="0"/>
    <s v="PLAZA TOCUMEN"/>
    <x v="1"/>
  </r>
  <r>
    <x v="8"/>
    <x v="206"/>
    <x v="7"/>
    <x v="7"/>
    <x v="1"/>
    <x v="2"/>
    <x v="21"/>
    <x v="284"/>
    <x v="761"/>
    <x v="0"/>
    <s v="SANTIAGO"/>
    <x v="1"/>
  </r>
  <r>
    <x v="8"/>
    <x v="245"/>
    <x v="8"/>
    <x v="8"/>
    <x v="1"/>
    <x v="2"/>
    <x v="20"/>
    <x v="33"/>
    <x v="858"/>
    <x v="0"/>
    <s v="SANTIAGO"/>
    <x v="1"/>
  </r>
  <r>
    <x v="8"/>
    <x v="245"/>
    <x v="8"/>
    <x v="8"/>
    <x v="1"/>
    <x v="2"/>
    <x v="21"/>
    <x v="285"/>
    <x v="1295"/>
    <x v="0"/>
    <s v="SANTIAGO"/>
    <x v="1"/>
  </r>
  <r>
    <x v="8"/>
    <x v="211"/>
    <x v="9"/>
    <x v="9"/>
    <x v="1"/>
    <x v="2"/>
    <x v="25"/>
    <x v="286"/>
    <x v="761"/>
    <x v="0"/>
    <s v="SANTIAGO"/>
    <x v="1"/>
  </r>
  <r>
    <x v="8"/>
    <x v="246"/>
    <x v="2"/>
    <x v="2"/>
    <x v="1"/>
    <x v="2"/>
    <x v="25"/>
    <x v="287"/>
    <x v="1596"/>
    <x v="0"/>
    <s v="SANTIAGO"/>
    <x v="1"/>
  </r>
  <r>
    <x v="8"/>
    <x v="203"/>
    <x v="6"/>
    <x v="6"/>
    <x v="1"/>
    <x v="2"/>
    <x v="25"/>
    <x v="288"/>
    <x v="2705"/>
    <x v="0"/>
    <s v="SANTIAGO"/>
    <x v="1"/>
  </r>
  <r>
    <x v="9"/>
    <x v="207"/>
    <x v="8"/>
    <x v="8"/>
    <x v="1"/>
    <x v="2"/>
    <x v="20"/>
    <x v="35"/>
    <x v="763"/>
    <x v="0"/>
    <s v="OBARRIO"/>
    <x v="1"/>
  </r>
  <r>
    <x v="9"/>
    <x v="196"/>
    <x v="8"/>
    <x v="8"/>
    <x v="1"/>
    <x v="2"/>
    <x v="20"/>
    <x v="35"/>
    <x v="763"/>
    <x v="0"/>
    <s v="OBARRIO"/>
    <x v="1"/>
  </r>
  <r>
    <x v="70"/>
    <x v="247"/>
    <x v="8"/>
    <x v="8"/>
    <x v="1"/>
    <x v="2"/>
    <x v="21"/>
    <x v="289"/>
    <x v="2706"/>
    <x v="0"/>
    <s v="COLON"/>
    <x v="1"/>
  </r>
  <r>
    <x v="70"/>
    <x v="232"/>
    <x v="10"/>
    <x v="10"/>
    <x v="1"/>
    <x v="2"/>
    <x v="25"/>
    <x v="290"/>
    <x v="2707"/>
    <x v="0"/>
    <s v="COLON"/>
    <x v="1"/>
  </r>
  <r>
    <x v="10"/>
    <x v="207"/>
    <x v="8"/>
    <x v="8"/>
    <x v="1"/>
    <x v="2"/>
    <x v="20"/>
    <x v="40"/>
    <x v="2708"/>
    <x v="0"/>
    <s v="HATO PINTADO"/>
    <x v="1"/>
  </r>
  <r>
    <x v="10"/>
    <x v="248"/>
    <x v="10"/>
    <x v="10"/>
    <x v="1"/>
    <x v="2"/>
    <x v="20"/>
    <x v="40"/>
    <x v="1301"/>
    <x v="0"/>
    <s v="HATO PINTADO"/>
    <x v="1"/>
  </r>
  <r>
    <x v="10"/>
    <x v="249"/>
    <x v="11"/>
    <x v="11"/>
    <x v="1"/>
    <x v="2"/>
    <x v="20"/>
    <x v="40"/>
    <x v="742"/>
    <x v="0"/>
    <s v="HATO PINTADO"/>
    <x v="1"/>
  </r>
  <r>
    <x v="10"/>
    <x v="250"/>
    <x v="2"/>
    <x v="2"/>
    <x v="1"/>
    <x v="2"/>
    <x v="20"/>
    <x v="40"/>
    <x v="770"/>
    <x v="0"/>
    <s v="HATO PINTADO"/>
    <x v="1"/>
  </r>
  <r>
    <x v="11"/>
    <x v="229"/>
    <x v="6"/>
    <x v="6"/>
    <x v="1"/>
    <x v="2"/>
    <x v="20"/>
    <x v="41"/>
    <x v="774"/>
    <x v="0"/>
    <s v="RIO ABAJO"/>
    <x v="1"/>
  </r>
  <r>
    <x v="11"/>
    <x v="251"/>
    <x v="8"/>
    <x v="8"/>
    <x v="1"/>
    <x v="0"/>
    <x v="21"/>
    <x v="291"/>
    <x v="823"/>
    <x v="0"/>
    <s v="RIO ABAJO"/>
    <x v="1"/>
  </r>
  <r>
    <x v="12"/>
    <x v="252"/>
    <x v="7"/>
    <x v="7"/>
    <x v="1"/>
    <x v="2"/>
    <x v="20"/>
    <x v="42"/>
    <x v="858"/>
    <x v="0"/>
    <s v="LA CHORRERA"/>
    <x v="1"/>
  </r>
  <r>
    <x v="12"/>
    <x v="253"/>
    <x v="7"/>
    <x v="7"/>
    <x v="1"/>
    <x v="2"/>
    <x v="21"/>
    <x v="292"/>
    <x v="769"/>
    <x v="0"/>
    <s v="LA CHORRERA"/>
    <x v="1"/>
  </r>
  <r>
    <x v="12"/>
    <x v="210"/>
    <x v="7"/>
    <x v="7"/>
    <x v="1"/>
    <x v="2"/>
    <x v="20"/>
    <x v="42"/>
    <x v="770"/>
    <x v="0"/>
    <s v="LA CHORRERA"/>
    <x v="1"/>
  </r>
  <r>
    <x v="12"/>
    <x v="254"/>
    <x v="8"/>
    <x v="8"/>
    <x v="1"/>
    <x v="2"/>
    <x v="20"/>
    <x v="42"/>
    <x v="748"/>
    <x v="0"/>
    <s v="LA CHORRERA"/>
    <x v="1"/>
  </r>
  <r>
    <x v="12"/>
    <x v="207"/>
    <x v="8"/>
    <x v="8"/>
    <x v="1"/>
    <x v="2"/>
    <x v="20"/>
    <x v="42"/>
    <x v="816"/>
    <x v="0"/>
    <s v="LA CHORRERA"/>
    <x v="1"/>
  </r>
  <r>
    <x v="12"/>
    <x v="173"/>
    <x v="8"/>
    <x v="8"/>
    <x v="1"/>
    <x v="2"/>
    <x v="20"/>
    <x v="42"/>
    <x v="816"/>
    <x v="0"/>
    <s v="LA CHORRERA"/>
    <x v="1"/>
  </r>
  <r>
    <x v="12"/>
    <x v="178"/>
    <x v="9"/>
    <x v="9"/>
    <x v="1"/>
    <x v="2"/>
    <x v="20"/>
    <x v="42"/>
    <x v="748"/>
    <x v="0"/>
    <s v="LA CHORRERA"/>
    <x v="1"/>
  </r>
  <r>
    <x v="12"/>
    <x v="255"/>
    <x v="9"/>
    <x v="9"/>
    <x v="1"/>
    <x v="2"/>
    <x v="25"/>
    <x v="293"/>
    <x v="769"/>
    <x v="0"/>
    <s v="LA CHORRERA"/>
    <x v="1"/>
  </r>
  <r>
    <x v="12"/>
    <x v="256"/>
    <x v="11"/>
    <x v="11"/>
    <x v="1"/>
    <x v="2"/>
    <x v="25"/>
    <x v="294"/>
    <x v="769"/>
    <x v="0"/>
    <s v="LA CHORRERA"/>
    <x v="1"/>
  </r>
  <r>
    <x v="12"/>
    <x v="257"/>
    <x v="2"/>
    <x v="2"/>
    <x v="1"/>
    <x v="2"/>
    <x v="20"/>
    <x v="42"/>
    <x v="814"/>
    <x v="0"/>
    <s v="LA CHORRERA"/>
    <x v="1"/>
  </r>
  <r>
    <x v="12"/>
    <x v="203"/>
    <x v="6"/>
    <x v="6"/>
    <x v="1"/>
    <x v="2"/>
    <x v="20"/>
    <x v="42"/>
    <x v="873"/>
    <x v="0"/>
    <s v="LA CHORRERA"/>
    <x v="1"/>
  </r>
  <r>
    <x v="13"/>
    <x v="245"/>
    <x v="8"/>
    <x v="8"/>
    <x v="1"/>
    <x v="2"/>
    <x v="20"/>
    <x v="46"/>
    <x v="2709"/>
    <x v="0"/>
    <s v="AVENIDA CENTRAL"/>
    <x v="1"/>
  </r>
  <r>
    <x v="13"/>
    <x v="174"/>
    <x v="6"/>
    <x v="6"/>
    <x v="1"/>
    <x v="2"/>
    <x v="20"/>
    <x v="46"/>
    <x v="2709"/>
    <x v="0"/>
    <s v="AVENIDA CENTRAL"/>
    <x v="1"/>
  </r>
  <r>
    <x v="14"/>
    <x v="258"/>
    <x v="7"/>
    <x v="7"/>
    <x v="1"/>
    <x v="2"/>
    <x v="20"/>
    <x v="47"/>
    <x v="737"/>
    <x v="0"/>
    <s v="LOS ANGELES"/>
    <x v="1"/>
  </r>
  <r>
    <x v="14"/>
    <x v="259"/>
    <x v="7"/>
    <x v="7"/>
    <x v="1"/>
    <x v="2"/>
    <x v="20"/>
    <x v="47"/>
    <x v="742"/>
    <x v="0"/>
    <s v="LOS ANGELES"/>
    <x v="1"/>
  </r>
  <r>
    <x v="14"/>
    <x v="260"/>
    <x v="7"/>
    <x v="7"/>
    <x v="1"/>
    <x v="2"/>
    <x v="20"/>
    <x v="47"/>
    <x v="1111"/>
    <x v="0"/>
    <s v="LOS ANGELES"/>
    <x v="1"/>
  </r>
  <r>
    <x v="14"/>
    <x v="261"/>
    <x v="8"/>
    <x v="8"/>
    <x v="1"/>
    <x v="2"/>
    <x v="20"/>
    <x v="47"/>
    <x v="737"/>
    <x v="0"/>
    <s v="LOS ANGELES"/>
    <x v="1"/>
  </r>
  <r>
    <x v="14"/>
    <x v="196"/>
    <x v="8"/>
    <x v="8"/>
    <x v="1"/>
    <x v="2"/>
    <x v="20"/>
    <x v="47"/>
    <x v="745"/>
    <x v="0"/>
    <s v="LOS ANGELES"/>
    <x v="1"/>
  </r>
  <r>
    <x v="14"/>
    <x v="227"/>
    <x v="9"/>
    <x v="9"/>
    <x v="1"/>
    <x v="2"/>
    <x v="20"/>
    <x v="47"/>
    <x v="754"/>
    <x v="0"/>
    <s v="LOS ANGELES"/>
    <x v="1"/>
  </r>
  <r>
    <x v="14"/>
    <x v="238"/>
    <x v="9"/>
    <x v="9"/>
    <x v="1"/>
    <x v="2"/>
    <x v="20"/>
    <x v="47"/>
    <x v="777"/>
    <x v="0"/>
    <s v="LOS ANGELES"/>
    <x v="1"/>
  </r>
  <r>
    <x v="14"/>
    <x v="197"/>
    <x v="9"/>
    <x v="9"/>
    <x v="1"/>
    <x v="2"/>
    <x v="20"/>
    <x v="47"/>
    <x v="742"/>
    <x v="0"/>
    <s v="LOS ANGELES"/>
    <x v="1"/>
  </r>
  <r>
    <x v="14"/>
    <x v="242"/>
    <x v="9"/>
    <x v="9"/>
    <x v="1"/>
    <x v="2"/>
    <x v="20"/>
    <x v="47"/>
    <x v="742"/>
    <x v="0"/>
    <s v="LOS ANGELES"/>
    <x v="1"/>
  </r>
  <r>
    <x v="14"/>
    <x v="262"/>
    <x v="9"/>
    <x v="9"/>
    <x v="1"/>
    <x v="2"/>
    <x v="20"/>
    <x v="47"/>
    <x v="776"/>
    <x v="0"/>
    <s v="LOS ANGELES"/>
    <x v="1"/>
  </r>
  <r>
    <x v="14"/>
    <x v="255"/>
    <x v="9"/>
    <x v="9"/>
    <x v="1"/>
    <x v="2"/>
    <x v="20"/>
    <x v="47"/>
    <x v="754"/>
    <x v="0"/>
    <s v="LOS ANGELES"/>
    <x v="1"/>
  </r>
  <r>
    <x v="14"/>
    <x v="176"/>
    <x v="10"/>
    <x v="10"/>
    <x v="1"/>
    <x v="2"/>
    <x v="20"/>
    <x v="47"/>
    <x v="737"/>
    <x v="0"/>
    <s v="LOS ANGELES"/>
    <x v="1"/>
  </r>
  <r>
    <x v="14"/>
    <x v="223"/>
    <x v="2"/>
    <x v="2"/>
    <x v="1"/>
    <x v="2"/>
    <x v="20"/>
    <x v="47"/>
    <x v="742"/>
    <x v="0"/>
    <s v="LOS ANGELES"/>
    <x v="1"/>
  </r>
  <r>
    <x v="14"/>
    <x v="174"/>
    <x v="6"/>
    <x v="6"/>
    <x v="1"/>
    <x v="2"/>
    <x v="20"/>
    <x v="47"/>
    <x v="745"/>
    <x v="0"/>
    <s v="LOS ANGELES"/>
    <x v="1"/>
  </r>
  <r>
    <x v="15"/>
    <x v="210"/>
    <x v="7"/>
    <x v="7"/>
    <x v="1"/>
    <x v="2"/>
    <x v="20"/>
    <x v="48"/>
    <x v="735"/>
    <x v="0"/>
    <s v="VILLA LUCRE"/>
    <x v="1"/>
  </r>
  <r>
    <x v="15"/>
    <x v="195"/>
    <x v="8"/>
    <x v="8"/>
    <x v="1"/>
    <x v="2"/>
    <x v="20"/>
    <x v="48"/>
    <x v="2710"/>
    <x v="0"/>
    <s v="VILLA LUCRE"/>
    <x v="1"/>
  </r>
  <r>
    <x v="15"/>
    <x v="226"/>
    <x v="8"/>
    <x v="8"/>
    <x v="1"/>
    <x v="2"/>
    <x v="20"/>
    <x v="48"/>
    <x v="2710"/>
    <x v="0"/>
    <s v="VILLA LUCRE"/>
    <x v="1"/>
  </r>
  <r>
    <x v="15"/>
    <x v="263"/>
    <x v="10"/>
    <x v="10"/>
    <x v="1"/>
    <x v="2"/>
    <x v="20"/>
    <x v="48"/>
    <x v="841"/>
    <x v="0"/>
    <s v="VILLA LUCRE"/>
    <x v="1"/>
  </r>
  <r>
    <x v="15"/>
    <x v="180"/>
    <x v="10"/>
    <x v="10"/>
    <x v="1"/>
    <x v="2"/>
    <x v="20"/>
    <x v="48"/>
    <x v="755"/>
    <x v="0"/>
    <s v="VILLA LUCRE"/>
    <x v="1"/>
  </r>
  <r>
    <x v="15"/>
    <x v="264"/>
    <x v="6"/>
    <x v="6"/>
    <x v="1"/>
    <x v="2"/>
    <x v="20"/>
    <x v="48"/>
    <x v="777"/>
    <x v="0"/>
    <s v="VILLA LUCRE"/>
    <x v="1"/>
  </r>
  <r>
    <x v="15"/>
    <x v="265"/>
    <x v="6"/>
    <x v="6"/>
    <x v="1"/>
    <x v="2"/>
    <x v="20"/>
    <x v="48"/>
    <x v="756"/>
    <x v="0"/>
    <s v="VILLA LUCRE"/>
    <x v="1"/>
  </r>
  <r>
    <x v="15"/>
    <x v="266"/>
    <x v="6"/>
    <x v="6"/>
    <x v="1"/>
    <x v="2"/>
    <x v="20"/>
    <x v="48"/>
    <x v="738"/>
    <x v="0"/>
    <s v="VILLA LUCRE"/>
    <x v="1"/>
  </r>
  <r>
    <x v="15"/>
    <x v="203"/>
    <x v="6"/>
    <x v="6"/>
    <x v="1"/>
    <x v="2"/>
    <x v="20"/>
    <x v="48"/>
    <x v="777"/>
    <x v="0"/>
    <s v="VILLA LUCRE"/>
    <x v="1"/>
  </r>
  <r>
    <x v="15"/>
    <x v="229"/>
    <x v="6"/>
    <x v="6"/>
    <x v="1"/>
    <x v="2"/>
    <x v="20"/>
    <x v="48"/>
    <x v="841"/>
    <x v="0"/>
    <s v="VILLA LUCRE"/>
    <x v="1"/>
  </r>
  <r>
    <x v="16"/>
    <x v="267"/>
    <x v="8"/>
    <x v="8"/>
    <x v="1"/>
    <x v="2"/>
    <x v="20"/>
    <x v="49"/>
    <x v="873"/>
    <x v="0"/>
    <s v="LOS ANDES"/>
    <x v="1"/>
  </r>
  <r>
    <x v="16"/>
    <x v="220"/>
    <x v="11"/>
    <x v="11"/>
    <x v="1"/>
    <x v="2"/>
    <x v="20"/>
    <x v="49"/>
    <x v="738"/>
    <x v="0"/>
    <s v="LOS ANDES"/>
    <x v="1"/>
  </r>
  <r>
    <x v="16"/>
    <x v="218"/>
    <x v="6"/>
    <x v="6"/>
    <x v="1"/>
    <x v="2"/>
    <x v="20"/>
    <x v="49"/>
    <x v="2711"/>
    <x v="0"/>
    <s v="LOS ANDES"/>
    <x v="1"/>
  </r>
  <r>
    <x v="17"/>
    <x v="208"/>
    <x v="8"/>
    <x v="8"/>
    <x v="1"/>
    <x v="2"/>
    <x v="20"/>
    <x v="50"/>
    <x v="709"/>
    <x v="0"/>
    <s v="VIA ESPANA"/>
    <x v="1"/>
  </r>
  <r>
    <x v="17"/>
    <x v="255"/>
    <x v="9"/>
    <x v="9"/>
    <x v="1"/>
    <x v="2"/>
    <x v="20"/>
    <x v="50"/>
    <x v="748"/>
    <x v="0"/>
    <s v="VIA ESPANA"/>
    <x v="1"/>
  </r>
  <r>
    <x v="17"/>
    <x v="231"/>
    <x v="10"/>
    <x v="10"/>
    <x v="1"/>
    <x v="2"/>
    <x v="20"/>
    <x v="50"/>
    <x v="737"/>
    <x v="0"/>
    <s v="VIA ESPANA"/>
    <x v="1"/>
  </r>
  <r>
    <x v="17"/>
    <x v="180"/>
    <x v="10"/>
    <x v="10"/>
    <x v="1"/>
    <x v="2"/>
    <x v="20"/>
    <x v="50"/>
    <x v="737"/>
    <x v="0"/>
    <s v="VIA ESPANA"/>
    <x v="1"/>
  </r>
  <r>
    <x v="17"/>
    <x v="268"/>
    <x v="10"/>
    <x v="10"/>
    <x v="1"/>
    <x v="2"/>
    <x v="20"/>
    <x v="50"/>
    <x v="737"/>
    <x v="0"/>
    <s v="VIA ESPANA"/>
    <x v="1"/>
  </r>
  <r>
    <x v="17"/>
    <x v="269"/>
    <x v="11"/>
    <x v="11"/>
    <x v="1"/>
    <x v="2"/>
    <x v="20"/>
    <x v="50"/>
    <x v="736"/>
    <x v="0"/>
    <s v="VIA ESPANA"/>
    <x v="1"/>
  </r>
  <r>
    <x v="17"/>
    <x v="270"/>
    <x v="2"/>
    <x v="2"/>
    <x v="1"/>
    <x v="2"/>
    <x v="20"/>
    <x v="50"/>
    <x v="763"/>
    <x v="0"/>
    <s v="VIA ESPANA"/>
    <x v="1"/>
  </r>
  <r>
    <x v="17"/>
    <x v="216"/>
    <x v="2"/>
    <x v="2"/>
    <x v="1"/>
    <x v="2"/>
    <x v="20"/>
    <x v="50"/>
    <x v="737"/>
    <x v="0"/>
    <s v="VIA ESPANA"/>
    <x v="1"/>
  </r>
  <r>
    <x v="17"/>
    <x v="246"/>
    <x v="2"/>
    <x v="2"/>
    <x v="1"/>
    <x v="2"/>
    <x v="20"/>
    <x v="50"/>
    <x v="763"/>
    <x v="0"/>
    <s v="VIA ESPANA"/>
    <x v="1"/>
  </r>
  <r>
    <x v="17"/>
    <x v="271"/>
    <x v="6"/>
    <x v="6"/>
    <x v="1"/>
    <x v="2"/>
    <x v="20"/>
    <x v="50"/>
    <x v="747"/>
    <x v="0"/>
    <s v="VIA ESPANA"/>
    <x v="1"/>
  </r>
  <r>
    <x v="18"/>
    <x v="226"/>
    <x v="8"/>
    <x v="8"/>
    <x v="1"/>
    <x v="2"/>
    <x v="20"/>
    <x v="52"/>
    <x v="742"/>
    <x v="0"/>
    <s v="AVENIDA CUBA"/>
    <x v="1"/>
  </r>
  <r>
    <x v="18"/>
    <x v="272"/>
    <x v="11"/>
    <x v="11"/>
    <x v="1"/>
    <x v="2"/>
    <x v="20"/>
    <x v="52"/>
    <x v="747"/>
    <x v="0"/>
    <s v="AVENIDA CUBA"/>
    <x v="1"/>
  </r>
  <r>
    <x v="18"/>
    <x v="273"/>
    <x v="11"/>
    <x v="11"/>
    <x v="1"/>
    <x v="2"/>
    <x v="20"/>
    <x v="52"/>
    <x v="2712"/>
    <x v="0"/>
    <s v="AVENIDA CUBA"/>
    <x v="1"/>
  </r>
  <r>
    <x v="18"/>
    <x v="274"/>
    <x v="11"/>
    <x v="11"/>
    <x v="1"/>
    <x v="2"/>
    <x v="20"/>
    <x v="52"/>
    <x v="771"/>
    <x v="0"/>
    <s v="AVENIDA CUBA"/>
    <x v="1"/>
  </r>
  <r>
    <x v="18"/>
    <x v="275"/>
    <x v="11"/>
    <x v="11"/>
    <x v="1"/>
    <x v="2"/>
    <x v="20"/>
    <x v="52"/>
    <x v="771"/>
    <x v="0"/>
    <s v="AVENIDA CUBA"/>
    <x v="1"/>
  </r>
  <r>
    <x v="18"/>
    <x v="276"/>
    <x v="2"/>
    <x v="2"/>
    <x v="1"/>
    <x v="2"/>
    <x v="20"/>
    <x v="52"/>
    <x v="743"/>
    <x v="0"/>
    <s v="AVENIDA CUBA"/>
    <x v="1"/>
  </r>
  <r>
    <x v="19"/>
    <x v="277"/>
    <x v="7"/>
    <x v="7"/>
    <x v="1"/>
    <x v="2"/>
    <x v="20"/>
    <x v="53"/>
    <x v="785"/>
    <x v="0"/>
    <s v="CHITRE"/>
    <x v="1"/>
  </r>
  <r>
    <x v="19"/>
    <x v="278"/>
    <x v="7"/>
    <x v="7"/>
    <x v="1"/>
    <x v="2"/>
    <x v="20"/>
    <x v="53"/>
    <x v="909"/>
    <x v="0"/>
    <s v="CHITRE"/>
    <x v="1"/>
  </r>
  <r>
    <x v="19"/>
    <x v="279"/>
    <x v="7"/>
    <x v="7"/>
    <x v="1"/>
    <x v="2"/>
    <x v="20"/>
    <x v="53"/>
    <x v="785"/>
    <x v="0"/>
    <s v="CHITRE"/>
    <x v="1"/>
  </r>
  <r>
    <x v="19"/>
    <x v="280"/>
    <x v="2"/>
    <x v="2"/>
    <x v="1"/>
    <x v="2"/>
    <x v="25"/>
    <x v="295"/>
    <x v="2713"/>
    <x v="0"/>
    <s v="CHITRE"/>
    <x v="1"/>
  </r>
  <r>
    <x v="19"/>
    <x v="235"/>
    <x v="2"/>
    <x v="2"/>
    <x v="1"/>
    <x v="2"/>
    <x v="20"/>
    <x v="53"/>
    <x v="785"/>
    <x v="0"/>
    <s v="CHITRE"/>
    <x v="1"/>
  </r>
  <r>
    <x v="19"/>
    <x v="281"/>
    <x v="6"/>
    <x v="6"/>
    <x v="1"/>
    <x v="2"/>
    <x v="20"/>
    <x v="53"/>
    <x v="857"/>
    <x v="0"/>
    <s v="CHITRE"/>
    <x v="1"/>
  </r>
  <r>
    <x v="19"/>
    <x v="255"/>
    <x v="9"/>
    <x v="9"/>
    <x v="1"/>
    <x v="1"/>
    <x v="25"/>
    <x v="293"/>
    <x v="2714"/>
    <x v="0"/>
    <s v="CHITRE"/>
    <x v="1"/>
  </r>
  <r>
    <x v="20"/>
    <x v="206"/>
    <x v="7"/>
    <x v="7"/>
    <x v="1"/>
    <x v="2"/>
    <x v="20"/>
    <x v="54"/>
    <x v="2273"/>
    <x v="0"/>
    <s v="LOS PUEBLOS"/>
    <x v="1"/>
  </r>
  <r>
    <x v="20"/>
    <x v="279"/>
    <x v="7"/>
    <x v="7"/>
    <x v="1"/>
    <x v="2"/>
    <x v="20"/>
    <x v="54"/>
    <x v="751"/>
    <x v="0"/>
    <s v="LOS PUEBLOS"/>
    <x v="1"/>
  </r>
  <r>
    <x v="20"/>
    <x v="192"/>
    <x v="8"/>
    <x v="8"/>
    <x v="1"/>
    <x v="2"/>
    <x v="20"/>
    <x v="54"/>
    <x v="795"/>
    <x v="0"/>
    <s v="LOS PUEBLOS"/>
    <x v="1"/>
  </r>
  <r>
    <x v="20"/>
    <x v="247"/>
    <x v="8"/>
    <x v="8"/>
    <x v="1"/>
    <x v="2"/>
    <x v="20"/>
    <x v="54"/>
    <x v="795"/>
    <x v="0"/>
    <s v="LOS PUEBLOS"/>
    <x v="1"/>
  </r>
  <r>
    <x v="20"/>
    <x v="262"/>
    <x v="9"/>
    <x v="9"/>
    <x v="1"/>
    <x v="2"/>
    <x v="20"/>
    <x v="54"/>
    <x v="751"/>
    <x v="0"/>
    <s v="LOS PUEBLOS"/>
    <x v="1"/>
  </r>
  <r>
    <x v="20"/>
    <x v="263"/>
    <x v="10"/>
    <x v="10"/>
    <x v="1"/>
    <x v="2"/>
    <x v="20"/>
    <x v="54"/>
    <x v="795"/>
    <x v="0"/>
    <s v="LOS PUEBLOS"/>
    <x v="1"/>
  </r>
  <r>
    <x v="20"/>
    <x v="282"/>
    <x v="11"/>
    <x v="11"/>
    <x v="1"/>
    <x v="2"/>
    <x v="20"/>
    <x v="54"/>
    <x v="742"/>
    <x v="0"/>
    <s v="LOS PUEBLOS"/>
    <x v="1"/>
  </r>
  <r>
    <x v="20"/>
    <x v="283"/>
    <x v="11"/>
    <x v="11"/>
    <x v="1"/>
    <x v="2"/>
    <x v="20"/>
    <x v="54"/>
    <x v="795"/>
    <x v="0"/>
    <s v="LOS PUEBLOS"/>
    <x v="1"/>
  </r>
  <r>
    <x v="20"/>
    <x v="284"/>
    <x v="2"/>
    <x v="2"/>
    <x v="1"/>
    <x v="2"/>
    <x v="20"/>
    <x v="54"/>
    <x v="756"/>
    <x v="0"/>
    <s v="LOS PUEBLOS"/>
    <x v="1"/>
  </r>
  <r>
    <x v="20"/>
    <x v="270"/>
    <x v="2"/>
    <x v="2"/>
    <x v="1"/>
    <x v="2"/>
    <x v="20"/>
    <x v="54"/>
    <x v="754"/>
    <x v="0"/>
    <s v="LOS PUEBLOS"/>
    <x v="1"/>
  </r>
  <r>
    <x v="20"/>
    <x v="257"/>
    <x v="2"/>
    <x v="2"/>
    <x v="1"/>
    <x v="2"/>
    <x v="20"/>
    <x v="54"/>
    <x v="754"/>
    <x v="0"/>
    <s v="LOS PUEBLOS"/>
    <x v="1"/>
  </r>
  <r>
    <x v="20"/>
    <x v="285"/>
    <x v="6"/>
    <x v="6"/>
    <x v="1"/>
    <x v="2"/>
    <x v="20"/>
    <x v="54"/>
    <x v="756"/>
    <x v="0"/>
    <s v="LOS PUEBLOS"/>
    <x v="1"/>
  </r>
  <r>
    <x v="21"/>
    <x v="195"/>
    <x v="8"/>
    <x v="8"/>
    <x v="1"/>
    <x v="2"/>
    <x v="20"/>
    <x v="55"/>
    <x v="745"/>
    <x v="0"/>
    <s v="TRANSISTMICA"/>
    <x v="1"/>
  </r>
  <r>
    <x v="21"/>
    <x v="198"/>
    <x v="10"/>
    <x v="10"/>
    <x v="1"/>
    <x v="2"/>
    <x v="20"/>
    <x v="55"/>
    <x v="737"/>
    <x v="0"/>
    <s v="TRANSISTMICA"/>
    <x v="1"/>
  </r>
  <r>
    <x v="21"/>
    <x v="190"/>
    <x v="6"/>
    <x v="6"/>
    <x v="1"/>
    <x v="2"/>
    <x v="20"/>
    <x v="55"/>
    <x v="745"/>
    <x v="0"/>
    <s v="TRANSISTMICA"/>
    <x v="1"/>
  </r>
  <r>
    <x v="72"/>
    <x v="185"/>
    <x v="8"/>
    <x v="8"/>
    <x v="1"/>
    <x v="2"/>
    <x v="21"/>
    <x v="296"/>
    <x v="766"/>
    <x v="0"/>
    <s v="ZONA LIBRE"/>
    <x v="1"/>
  </r>
  <r>
    <x v="72"/>
    <x v="230"/>
    <x v="9"/>
    <x v="9"/>
    <x v="1"/>
    <x v="2"/>
    <x v="25"/>
    <x v="283"/>
    <x v="835"/>
    <x v="0"/>
    <s v="ZONA LIBRE"/>
    <x v="1"/>
  </r>
  <r>
    <x v="72"/>
    <x v="286"/>
    <x v="10"/>
    <x v="10"/>
    <x v="1"/>
    <x v="2"/>
    <x v="25"/>
    <x v="297"/>
    <x v="790"/>
    <x v="0"/>
    <s v="ZONA LIBRE"/>
    <x v="1"/>
  </r>
  <r>
    <x v="72"/>
    <x v="199"/>
    <x v="10"/>
    <x v="10"/>
    <x v="1"/>
    <x v="2"/>
    <x v="25"/>
    <x v="298"/>
    <x v="2715"/>
    <x v="0"/>
    <s v="ZONA LIBRE"/>
    <x v="1"/>
  </r>
  <r>
    <x v="72"/>
    <x v="246"/>
    <x v="2"/>
    <x v="2"/>
    <x v="1"/>
    <x v="2"/>
    <x v="25"/>
    <x v="287"/>
    <x v="765"/>
    <x v="0"/>
    <s v="ZONA LIBRE"/>
    <x v="1"/>
  </r>
  <r>
    <x v="72"/>
    <x v="229"/>
    <x v="6"/>
    <x v="6"/>
    <x v="1"/>
    <x v="2"/>
    <x v="25"/>
    <x v="281"/>
    <x v="1183"/>
    <x v="0"/>
    <s v="ZONA LIBRE"/>
    <x v="1"/>
  </r>
  <r>
    <x v="72"/>
    <x v="246"/>
    <x v="2"/>
    <x v="2"/>
    <x v="1"/>
    <x v="0"/>
    <x v="25"/>
    <x v="287"/>
    <x v="765"/>
    <x v="0"/>
    <s v="ZONA LIBRE"/>
    <x v="1"/>
  </r>
  <r>
    <x v="72"/>
    <x v="246"/>
    <x v="2"/>
    <x v="2"/>
    <x v="1"/>
    <x v="1"/>
    <x v="25"/>
    <x v="287"/>
    <x v="1132"/>
    <x v="0"/>
    <s v="ZONA LIBRE"/>
    <x v="1"/>
  </r>
  <r>
    <x v="22"/>
    <x v="245"/>
    <x v="8"/>
    <x v="8"/>
    <x v="1"/>
    <x v="2"/>
    <x v="20"/>
    <x v="60"/>
    <x v="2710"/>
    <x v="0"/>
    <s v="PLAZA GALAPAGO"/>
    <x v="1"/>
  </r>
  <r>
    <x v="22"/>
    <x v="287"/>
    <x v="10"/>
    <x v="10"/>
    <x v="1"/>
    <x v="2"/>
    <x v="20"/>
    <x v="60"/>
    <x v="777"/>
    <x v="0"/>
    <s v="PLAZA GALAPAGO"/>
    <x v="1"/>
  </r>
  <r>
    <x v="22"/>
    <x v="217"/>
    <x v="6"/>
    <x v="6"/>
    <x v="1"/>
    <x v="2"/>
    <x v="20"/>
    <x v="60"/>
    <x v="2716"/>
    <x v="0"/>
    <s v="PLAZA GALAPAGO"/>
    <x v="1"/>
  </r>
  <r>
    <x v="23"/>
    <x v="288"/>
    <x v="7"/>
    <x v="7"/>
    <x v="1"/>
    <x v="2"/>
    <x v="20"/>
    <x v="61"/>
    <x v="2717"/>
    <x v="0"/>
    <s v="PARQUE LEFEVRE"/>
    <x v="1"/>
  </r>
  <r>
    <x v="23"/>
    <x v="192"/>
    <x v="8"/>
    <x v="8"/>
    <x v="1"/>
    <x v="2"/>
    <x v="20"/>
    <x v="61"/>
    <x v="737"/>
    <x v="0"/>
    <s v="PARQUE LEFEVRE"/>
    <x v="1"/>
  </r>
  <r>
    <x v="23"/>
    <x v="226"/>
    <x v="8"/>
    <x v="8"/>
    <x v="1"/>
    <x v="2"/>
    <x v="20"/>
    <x v="61"/>
    <x v="737"/>
    <x v="0"/>
    <s v="PARQUE LEFEVRE"/>
    <x v="1"/>
  </r>
  <r>
    <x v="23"/>
    <x v="184"/>
    <x v="6"/>
    <x v="6"/>
    <x v="1"/>
    <x v="2"/>
    <x v="20"/>
    <x v="61"/>
    <x v="737"/>
    <x v="0"/>
    <s v="PARQUE LEFEVRE"/>
    <x v="1"/>
  </r>
  <r>
    <x v="24"/>
    <x v="205"/>
    <x v="7"/>
    <x v="7"/>
    <x v="1"/>
    <x v="2"/>
    <x v="21"/>
    <x v="299"/>
    <x v="720"/>
    <x v="0"/>
    <s v="DAVID"/>
    <x v="1"/>
  </r>
  <r>
    <x v="24"/>
    <x v="192"/>
    <x v="8"/>
    <x v="8"/>
    <x v="1"/>
    <x v="2"/>
    <x v="21"/>
    <x v="300"/>
    <x v="2718"/>
    <x v="0"/>
    <s v="DAVID"/>
    <x v="1"/>
  </r>
  <r>
    <x v="24"/>
    <x v="289"/>
    <x v="8"/>
    <x v="8"/>
    <x v="1"/>
    <x v="2"/>
    <x v="21"/>
    <x v="301"/>
    <x v="816"/>
    <x v="0"/>
    <s v="DAVID"/>
    <x v="1"/>
  </r>
  <r>
    <x v="24"/>
    <x v="245"/>
    <x v="8"/>
    <x v="8"/>
    <x v="1"/>
    <x v="2"/>
    <x v="21"/>
    <x v="285"/>
    <x v="1798"/>
    <x v="0"/>
    <s v="DAVID"/>
    <x v="1"/>
  </r>
  <r>
    <x v="24"/>
    <x v="290"/>
    <x v="9"/>
    <x v="9"/>
    <x v="1"/>
    <x v="2"/>
    <x v="25"/>
    <x v="302"/>
    <x v="843"/>
    <x v="0"/>
    <s v="DAVID"/>
    <x v="1"/>
  </r>
  <r>
    <x v="24"/>
    <x v="291"/>
    <x v="9"/>
    <x v="9"/>
    <x v="1"/>
    <x v="2"/>
    <x v="25"/>
    <x v="303"/>
    <x v="2719"/>
    <x v="0"/>
    <s v="DAVID"/>
    <x v="1"/>
  </r>
  <r>
    <x v="24"/>
    <x v="248"/>
    <x v="10"/>
    <x v="10"/>
    <x v="1"/>
    <x v="2"/>
    <x v="25"/>
    <x v="304"/>
    <x v="1441"/>
    <x v="0"/>
    <s v="DAVID"/>
    <x v="1"/>
  </r>
  <r>
    <x v="24"/>
    <x v="202"/>
    <x v="11"/>
    <x v="11"/>
    <x v="1"/>
    <x v="2"/>
    <x v="25"/>
    <x v="305"/>
    <x v="2720"/>
    <x v="0"/>
    <s v="DAVID"/>
    <x v="1"/>
  </r>
  <r>
    <x v="24"/>
    <x v="214"/>
    <x v="11"/>
    <x v="11"/>
    <x v="1"/>
    <x v="2"/>
    <x v="25"/>
    <x v="306"/>
    <x v="2720"/>
    <x v="0"/>
    <s v="DAVID"/>
    <x v="1"/>
  </r>
  <r>
    <x v="24"/>
    <x v="275"/>
    <x v="11"/>
    <x v="11"/>
    <x v="1"/>
    <x v="2"/>
    <x v="26"/>
    <x v="307"/>
    <x v="1"/>
    <x v="578"/>
    <s v="DAVID"/>
    <x v="1"/>
  </r>
  <r>
    <x v="24"/>
    <x v="246"/>
    <x v="2"/>
    <x v="2"/>
    <x v="1"/>
    <x v="0"/>
    <x v="25"/>
    <x v="287"/>
    <x v="911"/>
    <x v="0"/>
    <s v="DAVID"/>
    <x v="1"/>
  </r>
  <r>
    <x v="24"/>
    <x v="290"/>
    <x v="9"/>
    <x v="9"/>
    <x v="1"/>
    <x v="1"/>
    <x v="25"/>
    <x v="302"/>
    <x v="982"/>
    <x v="0"/>
    <s v="DAVID"/>
    <x v="1"/>
  </r>
  <r>
    <x v="25"/>
    <x v="251"/>
    <x v="8"/>
    <x v="8"/>
    <x v="1"/>
    <x v="2"/>
    <x v="20"/>
    <x v="66"/>
    <x v="2721"/>
    <x v="0"/>
    <s v="PLAZA LAS AMERICAS"/>
    <x v="1"/>
  </r>
  <r>
    <x v="25"/>
    <x v="272"/>
    <x v="11"/>
    <x v="11"/>
    <x v="1"/>
    <x v="2"/>
    <x v="20"/>
    <x v="66"/>
    <x v="2722"/>
    <x v="0"/>
    <s v="PLAZA LAS AMERICAS"/>
    <x v="1"/>
  </r>
  <r>
    <x v="25"/>
    <x v="273"/>
    <x v="11"/>
    <x v="11"/>
    <x v="1"/>
    <x v="2"/>
    <x v="20"/>
    <x v="66"/>
    <x v="1301"/>
    <x v="0"/>
    <s v="PLAZA LAS AMERICAS"/>
    <x v="1"/>
  </r>
  <r>
    <x v="26"/>
    <x v="261"/>
    <x v="8"/>
    <x v="8"/>
    <x v="1"/>
    <x v="2"/>
    <x v="20"/>
    <x v="67"/>
    <x v="770"/>
    <x v="0"/>
    <s v="CORONADO"/>
    <x v="1"/>
  </r>
  <r>
    <x v="26"/>
    <x v="245"/>
    <x v="8"/>
    <x v="8"/>
    <x v="1"/>
    <x v="2"/>
    <x v="20"/>
    <x v="67"/>
    <x v="800"/>
    <x v="0"/>
    <s v="CORONADO"/>
    <x v="1"/>
  </r>
  <r>
    <x v="26"/>
    <x v="292"/>
    <x v="9"/>
    <x v="9"/>
    <x v="1"/>
    <x v="2"/>
    <x v="20"/>
    <x v="67"/>
    <x v="800"/>
    <x v="0"/>
    <s v="CORONADO"/>
    <x v="1"/>
  </r>
  <r>
    <x v="26"/>
    <x v="293"/>
    <x v="9"/>
    <x v="9"/>
    <x v="1"/>
    <x v="2"/>
    <x v="20"/>
    <x v="67"/>
    <x v="800"/>
    <x v="0"/>
    <s v="CORONADO"/>
    <x v="1"/>
  </r>
  <r>
    <x v="26"/>
    <x v="262"/>
    <x v="9"/>
    <x v="9"/>
    <x v="1"/>
    <x v="2"/>
    <x v="20"/>
    <x v="67"/>
    <x v="800"/>
    <x v="0"/>
    <s v="CORONADO"/>
    <x v="1"/>
  </r>
  <r>
    <x v="26"/>
    <x v="219"/>
    <x v="9"/>
    <x v="9"/>
    <x v="1"/>
    <x v="2"/>
    <x v="25"/>
    <x v="308"/>
    <x v="804"/>
    <x v="0"/>
    <s v="CORONADO"/>
    <x v="1"/>
  </r>
  <r>
    <x v="26"/>
    <x v="255"/>
    <x v="9"/>
    <x v="9"/>
    <x v="1"/>
    <x v="2"/>
    <x v="20"/>
    <x v="67"/>
    <x v="800"/>
    <x v="0"/>
    <s v="CORONADO"/>
    <x v="1"/>
  </r>
  <r>
    <x v="26"/>
    <x v="248"/>
    <x v="10"/>
    <x v="10"/>
    <x v="1"/>
    <x v="2"/>
    <x v="20"/>
    <x v="67"/>
    <x v="800"/>
    <x v="0"/>
    <s v="CORONADO"/>
    <x v="1"/>
  </r>
  <r>
    <x v="26"/>
    <x v="244"/>
    <x v="10"/>
    <x v="10"/>
    <x v="1"/>
    <x v="2"/>
    <x v="20"/>
    <x v="67"/>
    <x v="800"/>
    <x v="0"/>
    <s v="CORONADO"/>
    <x v="1"/>
  </r>
  <r>
    <x v="26"/>
    <x v="287"/>
    <x v="10"/>
    <x v="10"/>
    <x v="1"/>
    <x v="2"/>
    <x v="20"/>
    <x v="67"/>
    <x v="800"/>
    <x v="0"/>
    <s v="CORONADO"/>
    <x v="1"/>
  </r>
  <r>
    <x v="26"/>
    <x v="220"/>
    <x v="11"/>
    <x v="11"/>
    <x v="1"/>
    <x v="2"/>
    <x v="25"/>
    <x v="309"/>
    <x v="891"/>
    <x v="0"/>
    <s v="CORONADO"/>
    <x v="1"/>
  </r>
  <r>
    <x v="26"/>
    <x v="201"/>
    <x v="11"/>
    <x v="11"/>
    <x v="1"/>
    <x v="2"/>
    <x v="20"/>
    <x v="67"/>
    <x v="800"/>
    <x v="0"/>
    <s v="CORONADO"/>
    <x v="1"/>
  </r>
  <r>
    <x v="26"/>
    <x v="213"/>
    <x v="11"/>
    <x v="11"/>
    <x v="1"/>
    <x v="2"/>
    <x v="20"/>
    <x v="67"/>
    <x v="800"/>
    <x v="0"/>
    <s v="CORONADO"/>
    <x v="1"/>
  </r>
  <r>
    <x v="26"/>
    <x v="275"/>
    <x v="11"/>
    <x v="11"/>
    <x v="1"/>
    <x v="2"/>
    <x v="20"/>
    <x v="67"/>
    <x v="770"/>
    <x v="0"/>
    <s v="CORONADO"/>
    <x v="1"/>
  </r>
  <r>
    <x v="26"/>
    <x v="294"/>
    <x v="11"/>
    <x v="11"/>
    <x v="1"/>
    <x v="2"/>
    <x v="20"/>
    <x v="67"/>
    <x v="770"/>
    <x v="0"/>
    <s v="CORONADO"/>
    <x v="1"/>
  </r>
  <r>
    <x v="26"/>
    <x v="295"/>
    <x v="2"/>
    <x v="2"/>
    <x v="1"/>
    <x v="2"/>
    <x v="25"/>
    <x v="310"/>
    <x v="800"/>
    <x v="0"/>
    <s v="CORONADO"/>
    <x v="1"/>
  </r>
  <r>
    <x v="26"/>
    <x v="276"/>
    <x v="2"/>
    <x v="2"/>
    <x v="1"/>
    <x v="2"/>
    <x v="20"/>
    <x v="67"/>
    <x v="1849"/>
    <x v="0"/>
    <s v="CORONADO"/>
    <x v="1"/>
  </r>
  <r>
    <x v="26"/>
    <x v="264"/>
    <x v="6"/>
    <x v="6"/>
    <x v="1"/>
    <x v="2"/>
    <x v="25"/>
    <x v="311"/>
    <x v="951"/>
    <x v="0"/>
    <s v="CORONADO"/>
    <x v="1"/>
  </r>
  <r>
    <x v="26"/>
    <x v="296"/>
    <x v="6"/>
    <x v="6"/>
    <x v="1"/>
    <x v="2"/>
    <x v="25"/>
    <x v="312"/>
    <x v="800"/>
    <x v="0"/>
    <s v="CORONADO"/>
    <x v="1"/>
  </r>
  <r>
    <x v="26"/>
    <x v="204"/>
    <x v="6"/>
    <x v="6"/>
    <x v="1"/>
    <x v="2"/>
    <x v="20"/>
    <x v="67"/>
    <x v="800"/>
    <x v="0"/>
    <s v="CORONADO"/>
    <x v="1"/>
  </r>
  <r>
    <x v="26"/>
    <x v="297"/>
    <x v="6"/>
    <x v="6"/>
    <x v="1"/>
    <x v="2"/>
    <x v="25"/>
    <x v="313"/>
    <x v="804"/>
    <x v="0"/>
    <s v="CORONADO"/>
    <x v="1"/>
  </r>
  <r>
    <x v="26"/>
    <x v="298"/>
    <x v="10"/>
    <x v="10"/>
    <x v="1"/>
    <x v="0"/>
    <x v="25"/>
    <x v="314"/>
    <x v="2723"/>
    <x v="0"/>
    <s v="CORONADO"/>
    <x v="1"/>
  </r>
  <r>
    <x v="26"/>
    <x v="299"/>
    <x v="11"/>
    <x v="11"/>
    <x v="1"/>
    <x v="0"/>
    <x v="25"/>
    <x v="315"/>
    <x v="2723"/>
    <x v="0"/>
    <s v="CORONADO"/>
    <x v="1"/>
  </r>
  <r>
    <x v="26"/>
    <x v="300"/>
    <x v="2"/>
    <x v="2"/>
    <x v="1"/>
    <x v="0"/>
    <x v="25"/>
    <x v="316"/>
    <x v="803"/>
    <x v="0"/>
    <s v="CORONADO"/>
    <x v="1"/>
  </r>
  <r>
    <x v="26"/>
    <x v="280"/>
    <x v="2"/>
    <x v="2"/>
    <x v="1"/>
    <x v="0"/>
    <x v="25"/>
    <x v="295"/>
    <x v="2724"/>
    <x v="0"/>
    <s v="CORONADO"/>
    <x v="1"/>
  </r>
  <r>
    <x v="26"/>
    <x v="264"/>
    <x v="6"/>
    <x v="6"/>
    <x v="1"/>
    <x v="0"/>
    <x v="25"/>
    <x v="311"/>
    <x v="803"/>
    <x v="0"/>
    <s v="CORONADO"/>
    <x v="1"/>
  </r>
  <r>
    <x v="26"/>
    <x v="204"/>
    <x v="6"/>
    <x v="6"/>
    <x v="1"/>
    <x v="0"/>
    <x v="25"/>
    <x v="317"/>
    <x v="803"/>
    <x v="0"/>
    <s v="CORONADO"/>
    <x v="1"/>
  </r>
  <r>
    <x v="26"/>
    <x v="191"/>
    <x v="6"/>
    <x v="6"/>
    <x v="1"/>
    <x v="0"/>
    <x v="25"/>
    <x v="318"/>
    <x v="2725"/>
    <x v="0"/>
    <s v="CORONADO"/>
    <x v="1"/>
  </r>
  <r>
    <x v="26"/>
    <x v="212"/>
    <x v="10"/>
    <x v="10"/>
    <x v="1"/>
    <x v="1"/>
    <x v="25"/>
    <x v="319"/>
    <x v="832"/>
    <x v="0"/>
    <s v="CORONADO"/>
    <x v="1"/>
  </r>
  <r>
    <x v="27"/>
    <x v="252"/>
    <x v="7"/>
    <x v="7"/>
    <x v="1"/>
    <x v="2"/>
    <x v="20"/>
    <x v="86"/>
    <x v="742"/>
    <x v="0"/>
    <s v="ALBROOK MALL"/>
    <x v="1"/>
  </r>
  <r>
    <x v="27"/>
    <x v="261"/>
    <x v="8"/>
    <x v="8"/>
    <x v="1"/>
    <x v="2"/>
    <x v="21"/>
    <x v="320"/>
    <x v="814"/>
    <x v="0"/>
    <s v="ALBROOK MALL"/>
    <x v="1"/>
  </r>
  <r>
    <x v="27"/>
    <x v="186"/>
    <x v="10"/>
    <x v="10"/>
    <x v="1"/>
    <x v="2"/>
    <x v="25"/>
    <x v="321"/>
    <x v="814"/>
    <x v="0"/>
    <s v="ALBROOK MALL"/>
    <x v="1"/>
  </r>
  <r>
    <x v="28"/>
    <x v="207"/>
    <x v="8"/>
    <x v="8"/>
    <x v="1"/>
    <x v="2"/>
    <x v="20"/>
    <x v="87"/>
    <x v="899"/>
    <x v="0"/>
    <s v="PANAMA PACIFICO"/>
    <x v="1"/>
  </r>
  <r>
    <x v="28"/>
    <x v="176"/>
    <x v="10"/>
    <x v="10"/>
    <x v="1"/>
    <x v="2"/>
    <x v="20"/>
    <x v="87"/>
    <x v="900"/>
    <x v="0"/>
    <s v="PANAMA PACIFICO"/>
    <x v="1"/>
  </r>
  <r>
    <x v="28"/>
    <x v="177"/>
    <x v="11"/>
    <x v="11"/>
    <x v="1"/>
    <x v="2"/>
    <x v="20"/>
    <x v="87"/>
    <x v="815"/>
    <x v="0"/>
    <s v="PANAMA PACIFICO"/>
    <x v="1"/>
  </r>
  <r>
    <x v="28"/>
    <x v="223"/>
    <x v="2"/>
    <x v="2"/>
    <x v="1"/>
    <x v="2"/>
    <x v="20"/>
    <x v="87"/>
    <x v="849"/>
    <x v="0"/>
    <s v="PANAMA PACIFICO"/>
    <x v="1"/>
  </r>
  <r>
    <x v="28"/>
    <x v="264"/>
    <x v="6"/>
    <x v="6"/>
    <x v="1"/>
    <x v="2"/>
    <x v="20"/>
    <x v="87"/>
    <x v="900"/>
    <x v="0"/>
    <s v="PANAMA PACIFICO"/>
    <x v="1"/>
  </r>
  <r>
    <x v="73"/>
    <x v="290"/>
    <x v="9"/>
    <x v="9"/>
    <x v="1"/>
    <x v="2"/>
    <x v="20"/>
    <x v="88"/>
    <x v="748"/>
    <x v="0"/>
    <s v="PENONOME"/>
    <x v="1"/>
  </r>
  <r>
    <x v="73"/>
    <x v="299"/>
    <x v="11"/>
    <x v="11"/>
    <x v="1"/>
    <x v="2"/>
    <x v="25"/>
    <x v="315"/>
    <x v="2726"/>
    <x v="0"/>
    <s v="PENONOME"/>
    <x v="1"/>
  </r>
  <r>
    <x v="73"/>
    <x v="215"/>
    <x v="2"/>
    <x v="2"/>
    <x v="1"/>
    <x v="2"/>
    <x v="26"/>
    <x v="322"/>
    <x v="1"/>
    <x v="579"/>
    <s v="PENONOME"/>
    <x v="1"/>
  </r>
  <r>
    <x v="73"/>
    <x v="270"/>
    <x v="2"/>
    <x v="2"/>
    <x v="1"/>
    <x v="2"/>
    <x v="20"/>
    <x v="88"/>
    <x v="2727"/>
    <x v="0"/>
    <s v="PENONOME"/>
    <x v="1"/>
  </r>
  <r>
    <x v="73"/>
    <x v="217"/>
    <x v="6"/>
    <x v="6"/>
    <x v="1"/>
    <x v="2"/>
    <x v="20"/>
    <x v="88"/>
    <x v="740"/>
    <x v="0"/>
    <s v="PENONOME"/>
    <x v="1"/>
  </r>
  <r>
    <x v="73"/>
    <x v="217"/>
    <x v="6"/>
    <x v="6"/>
    <x v="1"/>
    <x v="2"/>
    <x v="25"/>
    <x v="323"/>
    <x v="2728"/>
    <x v="0"/>
    <s v="PENONOME"/>
    <x v="1"/>
  </r>
  <r>
    <x v="73"/>
    <x v="191"/>
    <x v="6"/>
    <x v="6"/>
    <x v="1"/>
    <x v="2"/>
    <x v="25"/>
    <x v="318"/>
    <x v="2726"/>
    <x v="0"/>
    <s v="PENONOME"/>
    <x v="1"/>
  </r>
  <r>
    <x v="73"/>
    <x v="298"/>
    <x v="10"/>
    <x v="10"/>
    <x v="1"/>
    <x v="0"/>
    <x v="25"/>
    <x v="314"/>
    <x v="2726"/>
    <x v="0"/>
    <s v="PENONOME"/>
    <x v="1"/>
  </r>
  <r>
    <x v="73"/>
    <x v="300"/>
    <x v="2"/>
    <x v="2"/>
    <x v="1"/>
    <x v="0"/>
    <x v="25"/>
    <x v="316"/>
    <x v="819"/>
    <x v="0"/>
    <s v="PENONOME"/>
    <x v="1"/>
  </r>
  <r>
    <x v="73"/>
    <x v="280"/>
    <x v="2"/>
    <x v="2"/>
    <x v="1"/>
    <x v="0"/>
    <x v="25"/>
    <x v="295"/>
    <x v="822"/>
    <x v="0"/>
    <s v="PENONOME"/>
    <x v="1"/>
  </r>
  <r>
    <x v="73"/>
    <x v="217"/>
    <x v="6"/>
    <x v="6"/>
    <x v="1"/>
    <x v="1"/>
    <x v="25"/>
    <x v="323"/>
    <x v="861"/>
    <x v="0"/>
    <s v="PENONOME"/>
    <x v="1"/>
  </r>
  <r>
    <x v="29"/>
    <x v="253"/>
    <x v="7"/>
    <x v="7"/>
    <x v="1"/>
    <x v="2"/>
    <x v="20"/>
    <x v="92"/>
    <x v="826"/>
    <x v="0"/>
    <s v="ALBROOK"/>
    <x v="1"/>
  </r>
  <r>
    <x v="29"/>
    <x v="245"/>
    <x v="8"/>
    <x v="8"/>
    <x v="1"/>
    <x v="2"/>
    <x v="21"/>
    <x v="285"/>
    <x v="814"/>
    <x v="0"/>
    <s v="ALBROOK"/>
    <x v="1"/>
  </r>
  <r>
    <x v="29"/>
    <x v="208"/>
    <x v="8"/>
    <x v="8"/>
    <x v="1"/>
    <x v="2"/>
    <x v="20"/>
    <x v="92"/>
    <x v="2582"/>
    <x v="0"/>
    <s v="ALBROOK"/>
    <x v="1"/>
  </r>
  <r>
    <x v="29"/>
    <x v="301"/>
    <x v="9"/>
    <x v="9"/>
    <x v="1"/>
    <x v="2"/>
    <x v="20"/>
    <x v="92"/>
    <x v="2729"/>
    <x v="0"/>
    <s v="ALBROOK"/>
    <x v="1"/>
  </r>
  <r>
    <x v="29"/>
    <x v="255"/>
    <x v="9"/>
    <x v="9"/>
    <x v="1"/>
    <x v="2"/>
    <x v="20"/>
    <x v="92"/>
    <x v="826"/>
    <x v="0"/>
    <s v="ALBROOK"/>
    <x v="1"/>
  </r>
  <r>
    <x v="29"/>
    <x v="302"/>
    <x v="11"/>
    <x v="11"/>
    <x v="1"/>
    <x v="2"/>
    <x v="25"/>
    <x v="324"/>
    <x v="814"/>
    <x v="0"/>
    <s v="ALBROOK"/>
    <x v="1"/>
  </r>
  <r>
    <x v="29"/>
    <x v="273"/>
    <x v="11"/>
    <x v="11"/>
    <x v="1"/>
    <x v="2"/>
    <x v="20"/>
    <x v="92"/>
    <x v="2730"/>
    <x v="0"/>
    <s v="ALBROOK"/>
    <x v="1"/>
  </r>
  <r>
    <x v="29"/>
    <x v="277"/>
    <x v="7"/>
    <x v="7"/>
    <x v="1"/>
    <x v="0"/>
    <x v="21"/>
    <x v="325"/>
    <x v="2731"/>
    <x v="0"/>
    <s v="ALBROOK"/>
    <x v="1"/>
  </r>
  <r>
    <x v="29"/>
    <x v="251"/>
    <x v="8"/>
    <x v="8"/>
    <x v="1"/>
    <x v="0"/>
    <x v="21"/>
    <x v="291"/>
    <x v="858"/>
    <x v="0"/>
    <s v="ALBROOK"/>
    <x v="1"/>
  </r>
  <r>
    <x v="29"/>
    <x v="254"/>
    <x v="8"/>
    <x v="8"/>
    <x v="1"/>
    <x v="0"/>
    <x v="21"/>
    <x v="326"/>
    <x v="2731"/>
    <x v="0"/>
    <s v="ALBROOK"/>
    <x v="1"/>
  </r>
  <r>
    <x v="29"/>
    <x v="303"/>
    <x v="9"/>
    <x v="9"/>
    <x v="1"/>
    <x v="0"/>
    <x v="21"/>
    <x v="327"/>
    <x v="2731"/>
    <x v="0"/>
    <s v="ALBROOK"/>
    <x v="1"/>
  </r>
  <r>
    <x v="29"/>
    <x v="187"/>
    <x v="11"/>
    <x v="11"/>
    <x v="1"/>
    <x v="0"/>
    <x v="25"/>
    <x v="328"/>
    <x v="828"/>
    <x v="0"/>
    <s v="ALBROOK"/>
    <x v="1"/>
  </r>
  <r>
    <x v="29"/>
    <x v="304"/>
    <x v="2"/>
    <x v="2"/>
    <x v="1"/>
    <x v="0"/>
    <x v="25"/>
    <x v="329"/>
    <x v="830"/>
    <x v="0"/>
    <s v="ALBROOK"/>
    <x v="1"/>
  </r>
  <r>
    <x v="29"/>
    <x v="183"/>
    <x v="2"/>
    <x v="2"/>
    <x v="1"/>
    <x v="0"/>
    <x v="25"/>
    <x v="330"/>
    <x v="2732"/>
    <x v="0"/>
    <s v="ALBROOK"/>
    <x v="1"/>
  </r>
  <r>
    <x v="29"/>
    <x v="305"/>
    <x v="6"/>
    <x v="6"/>
    <x v="1"/>
    <x v="0"/>
    <x v="25"/>
    <x v="331"/>
    <x v="2731"/>
    <x v="0"/>
    <s v="ALBROOK"/>
    <x v="1"/>
  </r>
  <r>
    <x v="29"/>
    <x v="229"/>
    <x v="6"/>
    <x v="6"/>
    <x v="1"/>
    <x v="0"/>
    <x v="25"/>
    <x v="281"/>
    <x v="744"/>
    <x v="0"/>
    <s v="ALBROOK"/>
    <x v="1"/>
  </r>
  <r>
    <x v="30"/>
    <x v="277"/>
    <x v="7"/>
    <x v="7"/>
    <x v="1"/>
    <x v="2"/>
    <x v="20"/>
    <x v="98"/>
    <x v="815"/>
    <x v="0"/>
    <s v="SUCURSAL DE VISTA ALEGRE"/>
    <x v="1"/>
  </r>
  <r>
    <x v="30"/>
    <x v="255"/>
    <x v="9"/>
    <x v="9"/>
    <x v="1"/>
    <x v="2"/>
    <x v="25"/>
    <x v="293"/>
    <x v="2714"/>
    <x v="0"/>
    <s v="SUCURSAL DE VISTA ALEGRE"/>
    <x v="1"/>
  </r>
  <r>
    <x v="30"/>
    <x v="198"/>
    <x v="10"/>
    <x v="10"/>
    <x v="1"/>
    <x v="2"/>
    <x v="20"/>
    <x v="98"/>
    <x v="770"/>
    <x v="0"/>
    <s v="SUCURSAL DE VISTA ALEGRE"/>
    <x v="1"/>
  </r>
  <r>
    <x v="31"/>
    <x v="252"/>
    <x v="7"/>
    <x v="7"/>
    <x v="1"/>
    <x v="2"/>
    <x v="20"/>
    <x v="99"/>
    <x v="785"/>
    <x v="0"/>
    <s v="LAS TABLAS"/>
    <x v="1"/>
  </r>
  <r>
    <x v="31"/>
    <x v="251"/>
    <x v="8"/>
    <x v="8"/>
    <x v="1"/>
    <x v="2"/>
    <x v="20"/>
    <x v="99"/>
    <x v="779"/>
    <x v="0"/>
    <s v="LAS TABLAS"/>
    <x v="1"/>
  </r>
  <r>
    <x v="31"/>
    <x v="185"/>
    <x v="8"/>
    <x v="8"/>
    <x v="1"/>
    <x v="2"/>
    <x v="20"/>
    <x v="99"/>
    <x v="187"/>
    <x v="0"/>
    <s v="LAS TABLAS"/>
    <x v="1"/>
  </r>
  <r>
    <x v="31"/>
    <x v="306"/>
    <x v="9"/>
    <x v="9"/>
    <x v="1"/>
    <x v="2"/>
    <x v="20"/>
    <x v="99"/>
    <x v="785"/>
    <x v="0"/>
    <s v="LAS TABLAS"/>
    <x v="1"/>
  </r>
  <r>
    <x v="31"/>
    <x v="293"/>
    <x v="9"/>
    <x v="9"/>
    <x v="1"/>
    <x v="2"/>
    <x v="20"/>
    <x v="99"/>
    <x v="785"/>
    <x v="0"/>
    <s v="LAS TABLAS"/>
    <x v="1"/>
  </r>
  <r>
    <x v="31"/>
    <x v="231"/>
    <x v="10"/>
    <x v="10"/>
    <x v="1"/>
    <x v="2"/>
    <x v="20"/>
    <x v="99"/>
    <x v="785"/>
    <x v="0"/>
    <s v="LAS TABLAS"/>
    <x v="1"/>
  </r>
  <r>
    <x v="31"/>
    <x v="300"/>
    <x v="2"/>
    <x v="2"/>
    <x v="1"/>
    <x v="2"/>
    <x v="25"/>
    <x v="316"/>
    <x v="1951"/>
    <x v="0"/>
    <s v="LAS TABLAS"/>
    <x v="1"/>
  </r>
  <r>
    <x v="31"/>
    <x v="307"/>
    <x v="2"/>
    <x v="2"/>
    <x v="1"/>
    <x v="2"/>
    <x v="20"/>
    <x v="99"/>
    <x v="785"/>
    <x v="0"/>
    <s v="LAS TABLAS"/>
    <x v="1"/>
  </r>
  <r>
    <x v="31"/>
    <x v="216"/>
    <x v="2"/>
    <x v="2"/>
    <x v="1"/>
    <x v="2"/>
    <x v="25"/>
    <x v="332"/>
    <x v="2733"/>
    <x v="0"/>
    <s v="LAS TABLAS"/>
    <x v="1"/>
  </r>
  <r>
    <x v="31"/>
    <x v="280"/>
    <x v="2"/>
    <x v="2"/>
    <x v="1"/>
    <x v="2"/>
    <x v="25"/>
    <x v="295"/>
    <x v="807"/>
    <x v="0"/>
    <s v="LAS TABLAS"/>
    <x v="1"/>
  </r>
  <r>
    <x v="31"/>
    <x v="246"/>
    <x v="2"/>
    <x v="2"/>
    <x v="1"/>
    <x v="2"/>
    <x v="25"/>
    <x v="287"/>
    <x v="898"/>
    <x v="0"/>
    <s v="LAS TABLAS"/>
    <x v="1"/>
  </r>
  <r>
    <x v="31"/>
    <x v="305"/>
    <x v="6"/>
    <x v="6"/>
    <x v="1"/>
    <x v="2"/>
    <x v="26"/>
    <x v="331"/>
    <x v="1"/>
    <x v="580"/>
    <s v="LAS TABLAS"/>
    <x v="1"/>
  </r>
  <r>
    <x v="31"/>
    <x v="203"/>
    <x v="6"/>
    <x v="6"/>
    <x v="1"/>
    <x v="2"/>
    <x v="20"/>
    <x v="99"/>
    <x v="785"/>
    <x v="0"/>
    <s v="LAS TABLAS"/>
    <x v="1"/>
  </r>
  <r>
    <x v="31"/>
    <x v="190"/>
    <x v="6"/>
    <x v="6"/>
    <x v="1"/>
    <x v="2"/>
    <x v="20"/>
    <x v="99"/>
    <x v="779"/>
    <x v="0"/>
    <s v="LAS TABLAS"/>
    <x v="1"/>
  </r>
  <r>
    <x v="31"/>
    <x v="191"/>
    <x v="6"/>
    <x v="6"/>
    <x v="1"/>
    <x v="2"/>
    <x v="25"/>
    <x v="318"/>
    <x v="839"/>
    <x v="0"/>
    <s v="LAS TABLAS"/>
    <x v="1"/>
  </r>
  <r>
    <x v="31"/>
    <x v="308"/>
    <x v="7"/>
    <x v="7"/>
    <x v="1"/>
    <x v="0"/>
    <x v="21"/>
    <x v="333"/>
    <x v="2734"/>
    <x v="0"/>
    <s v="LAS TABLAS"/>
    <x v="1"/>
  </r>
  <r>
    <x v="31"/>
    <x v="309"/>
    <x v="7"/>
    <x v="7"/>
    <x v="1"/>
    <x v="0"/>
    <x v="21"/>
    <x v="334"/>
    <x v="885"/>
    <x v="0"/>
    <s v="LAS TABLAS"/>
    <x v="1"/>
  </r>
  <r>
    <x v="31"/>
    <x v="310"/>
    <x v="10"/>
    <x v="10"/>
    <x v="1"/>
    <x v="0"/>
    <x v="25"/>
    <x v="335"/>
    <x v="1588"/>
    <x v="0"/>
    <s v="LAS TABLAS"/>
    <x v="1"/>
  </r>
  <r>
    <x v="31"/>
    <x v="298"/>
    <x v="10"/>
    <x v="10"/>
    <x v="1"/>
    <x v="0"/>
    <x v="25"/>
    <x v="314"/>
    <x v="839"/>
    <x v="0"/>
    <s v="LAS TABLAS"/>
    <x v="1"/>
  </r>
  <r>
    <x v="31"/>
    <x v="264"/>
    <x v="6"/>
    <x v="6"/>
    <x v="1"/>
    <x v="0"/>
    <x v="25"/>
    <x v="311"/>
    <x v="839"/>
    <x v="0"/>
    <s v="LAS TABLAS"/>
    <x v="1"/>
  </r>
  <r>
    <x v="31"/>
    <x v="204"/>
    <x v="6"/>
    <x v="6"/>
    <x v="1"/>
    <x v="0"/>
    <x v="25"/>
    <x v="317"/>
    <x v="839"/>
    <x v="0"/>
    <s v="LAS TABLAS"/>
    <x v="1"/>
  </r>
  <r>
    <x v="31"/>
    <x v="306"/>
    <x v="9"/>
    <x v="9"/>
    <x v="1"/>
    <x v="1"/>
    <x v="21"/>
    <x v="336"/>
    <x v="2533"/>
    <x v="0"/>
    <s v="LAS TABLAS"/>
    <x v="1"/>
  </r>
  <r>
    <x v="31"/>
    <x v="293"/>
    <x v="9"/>
    <x v="9"/>
    <x v="1"/>
    <x v="1"/>
    <x v="21"/>
    <x v="337"/>
    <x v="840"/>
    <x v="0"/>
    <s v="LAS TABLAS"/>
    <x v="1"/>
  </r>
  <r>
    <x v="31"/>
    <x v="255"/>
    <x v="9"/>
    <x v="9"/>
    <x v="1"/>
    <x v="1"/>
    <x v="25"/>
    <x v="293"/>
    <x v="819"/>
    <x v="0"/>
    <s v="LAS TABLAS"/>
    <x v="1"/>
  </r>
  <r>
    <x v="31"/>
    <x v="198"/>
    <x v="10"/>
    <x v="10"/>
    <x v="1"/>
    <x v="1"/>
    <x v="25"/>
    <x v="338"/>
    <x v="838"/>
    <x v="0"/>
    <s v="LAS TABLAS"/>
    <x v="1"/>
  </r>
  <r>
    <x v="31"/>
    <x v="268"/>
    <x v="10"/>
    <x v="10"/>
    <x v="1"/>
    <x v="1"/>
    <x v="25"/>
    <x v="339"/>
    <x v="839"/>
    <x v="0"/>
    <s v="LAS TABLAS"/>
    <x v="1"/>
  </r>
  <r>
    <x v="31"/>
    <x v="299"/>
    <x v="11"/>
    <x v="11"/>
    <x v="1"/>
    <x v="1"/>
    <x v="25"/>
    <x v="315"/>
    <x v="839"/>
    <x v="0"/>
    <s v="LAS TABLAS"/>
    <x v="1"/>
  </r>
  <r>
    <x v="31"/>
    <x v="300"/>
    <x v="2"/>
    <x v="2"/>
    <x v="1"/>
    <x v="1"/>
    <x v="25"/>
    <x v="316"/>
    <x v="2735"/>
    <x v="0"/>
    <s v="LAS TABLAS"/>
    <x v="1"/>
  </r>
  <r>
    <x v="32"/>
    <x v="268"/>
    <x v="10"/>
    <x v="10"/>
    <x v="1"/>
    <x v="2"/>
    <x v="20"/>
    <x v="101"/>
    <x v="841"/>
    <x v="0"/>
    <s v="24 DE DICIEMBRE"/>
    <x v="1"/>
  </r>
  <r>
    <x v="32"/>
    <x v="199"/>
    <x v="10"/>
    <x v="10"/>
    <x v="1"/>
    <x v="2"/>
    <x v="20"/>
    <x v="101"/>
    <x v="1301"/>
    <x v="0"/>
    <s v="24 DE DICIEMBRE"/>
    <x v="1"/>
  </r>
  <r>
    <x v="32"/>
    <x v="311"/>
    <x v="11"/>
    <x v="11"/>
    <x v="1"/>
    <x v="2"/>
    <x v="20"/>
    <x v="101"/>
    <x v="1301"/>
    <x v="0"/>
    <s v="24 DE DICIEMBRE"/>
    <x v="1"/>
  </r>
  <r>
    <x v="32"/>
    <x v="174"/>
    <x v="6"/>
    <x v="6"/>
    <x v="1"/>
    <x v="2"/>
    <x v="20"/>
    <x v="101"/>
    <x v="1301"/>
    <x v="0"/>
    <s v="24 DE DICIEMBRE"/>
    <x v="1"/>
  </r>
  <r>
    <x v="33"/>
    <x v="312"/>
    <x v="2"/>
    <x v="2"/>
    <x v="1"/>
    <x v="2"/>
    <x v="20"/>
    <x v="340"/>
    <x v="759"/>
    <x v="0"/>
    <s v="DAVID - TERRONAL"/>
    <x v="1"/>
  </r>
  <r>
    <x v="33"/>
    <x v="313"/>
    <x v="6"/>
    <x v="6"/>
    <x v="1"/>
    <x v="2"/>
    <x v="25"/>
    <x v="341"/>
    <x v="899"/>
    <x v="0"/>
    <s v="DAVID - TERRONAL"/>
    <x v="1"/>
  </r>
  <r>
    <x v="33"/>
    <x v="190"/>
    <x v="6"/>
    <x v="6"/>
    <x v="1"/>
    <x v="2"/>
    <x v="26"/>
    <x v="342"/>
    <x v="1"/>
    <x v="355"/>
    <s v="DAVID - TERRONAL"/>
    <x v="1"/>
  </r>
  <r>
    <x v="34"/>
    <x v="209"/>
    <x v="7"/>
    <x v="7"/>
    <x v="1"/>
    <x v="2"/>
    <x v="20"/>
    <x v="103"/>
    <x v="748"/>
    <x v="0"/>
    <s v="COSTA DEL ESTE"/>
    <x v="1"/>
  </r>
  <r>
    <x v="34"/>
    <x v="195"/>
    <x v="8"/>
    <x v="8"/>
    <x v="1"/>
    <x v="2"/>
    <x v="20"/>
    <x v="103"/>
    <x v="842"/>
    <x v="0"/>
    <s v="COSTA DEL ESTE"/>
    <x v="1"/>
  </r>
  <r>
    <x v="34"/>
    <x v="293"/>
    <x v="9"/>
    <x v="9"/>
    <x v="1"/>
    <x v="2"/>
    <x v="20"/>
    <x v="103"/>
    <x v="842"/>
    <x v="0"/>
    <s v="COSTA DEL ESTE"/>
    <x v="1"/>
  </r>
  <r>
    <x v="34"/>
    <x v="180"/>
    <x v="10"/>
    <x v="10"/>
    <x v="1"/>
    <x v="2"/>
    <x v="20"/>
    <x v="103"/>
    <x v="776"/>
    <x v="0"/>
    <s v="COSTA DEL ESTE"/>
    <x v="1"/>
  </r>
  <r>
    <x v="34"/>
    <x v="200"/>
    <x v="11"/>
    <x v="11"/>
    <x v="1"/>
    <x v="2"/>
    <x v="20"/>
    <x v="103"/>
    <x v="743"/>
    <x v="0"/>
    <s v="COSTA DEL ESTE"/>
    <x v="1"/>
  </r>
  <r>
    <x v="34"/>
    <x v="215"/>
    <x v="2"/>
    <x v="2"/>
    <x v="1"/>
    <x v="2"/>
    <x v="20"/>
    <x v="103"/>
    <x v="842"/>
    <x v="0"/>
    <s v="COSTA DEL ESTE"/>
    <x v="1"/>
  </r>
  <r>
    <x v="34"/>
    <x v="314"/>
    <x v="6"/>
    <x v="6"/>
    <x v="1"/>
    <x v="2"/>
    <x v="20"/>
    <x v="103"/>
    <x v="744"/>
    <x v="0"/>
    <s v="COSTA DEL ESTE"/>
    <x v="1"/>
  </r>
  <r>
    <x v="34"/>
    <x v="229"/>
    <x v="6"/>
    <x v="6"/>
    <x v="1"/>
    <x v="2"/>
    <x v="20"/>
    <x v="103"/>
    <x v="842"/>
    <x v="0"/>
    <s v="COSTA DEL ESTE"/>
    <x v="1"/>
  </r>
  <r>
    <x v="35"/>
    <x v="207"/>
    <x v="8"/>
    <x v="8"/>
    <x v="1"/>
    <x v="2"/>
    <x v="20"/>
    <x v="104"/>
    <x v="745"/>
    <x v="0"/>
    <s v="MULTI PLAZA"/>
    <x v="1"/>
  </r>
  <r>
    <x v="35"/>
    <x v="226"/>
    <x v="8"/>
    <x v="8"/>
    <x v="1"/>
    <x v="2"/>
    <x v="20"/>
    <x v="104"/>
    <x v="745"/>
    <x v="0"/>
    <s v="MULTI PLAZA"/>
    <x v="1"/>
  </r>
  <r>
    <x v="35"/>
    <x v="315"/>
    <x v="2"/>
    <x v="2"/>
    <x v="1"/>
    <x v="2"/>
    <x v="20"/>
    <x v="104"/>
    <x v="748"/>
    <x v="0"/>
    <s v="MULTI PLAZA"/>
    <x v="1"/>
  </r>
  <r>
    <x v="77"/>
    <x v="244"/>
    <x v="10"/>
    <x v="10"/>
    <x v="1"/>
    <x v="2"/>
    <x v="20"/>
    <x v="343"/>
    <x v="737"/>
    <x v="0"/>
    <s v="HOSPITAL PUNTA PACIFICA"/>
    <x v="1"/>
  </r>
  <r>
    <x v="36"/>
    <x v="261"/>
    <x v="8"/>
    <x v="8"/>
    <x v="1"/>
    <x v="2"/>
    <x v="21"/>
    <x v="320"/>
    <x v="814"/>
    <x v="0"/>
    <s v="TERMINAL DE ALBROOK"/>
    <x v="1"/>
  </r>
  <r>
    <x v="36"/>
    <x v="208"/>
    <x v="8"/>
    <x v="8"/>
    <x v="1"/>
    <x v="2"/>
    <x v="20"/>
    <x v="105"/>
    <x v="742"/>
    <x v="0"/>
    <s v="TERMINAL DE ALBROOK"/>
    <x v="1"/>
  </r>
  <r>
    <x v="36"/>
    <x v="233"/>
    <x v="10"/>
    <x v="10"/>
    <x v="1"/>
    <x v="2"/>
    <x v="25"/>
    <x v="344"/>
    <x v="814"/>
    <x v="0"/>
    <s v="TERMINAL DE ALBROOK"/>
    <x v="1"/>
  </r>
  <r>
    <x v="36"/>
    <x v="189"/>
    <x v="10"/>
    <x v="10"/>
    <x v="1"/>
    <x v="2"/>
    <x v="25"/>
    <x v="345"/>
    <x v="814"/>
    <x v="0"/>
    <s v="TERMINAL DE ALBROOK"/>
    <x v="1"/>
  </r>
  <r>
    <x v="36"/>
    <x v="177"/>
    <x v="11"/>
    <x v="11"/>
    <x v="1"/>
    <x v="2"/>
    <x v="25"/>
    <x v="346"/>
    <x v="814"/>
    <x v="0"/>
    <s v="TERMINAL DE ALBROOK"/>
    <x v="1"/>
  </r>
  <r>
    <x v="36"/>
    <x v="221"/>
    <x v="2"/>
    <x v="2"/>
    <x v="1"/>
    <x v="2"/>
    <x v="25"/>
    <x v="347"/>
    <x v="814"/>
    <x v="0"/>
    <s v="TERMINAL DE ALBROOK"/>
    <x v="1"/>
  </r>
  <r>
    <x v="36"/>
    <x v="316"/>
    <x v="2"/>
    <x v="2"/>
    <x v="1"/>
    <x v="2"/>
    <x v="25"/>
    <x v="348"/>
    <x v="814"/>
    <x v="0"/>
    <s v="TERMINAL DE ALBROOK"/>
    <x v="1"/>
  </r>
  <r>
    <x v="36"/>
    <x v="204"/>
    <x v="6"/>
    <x v="6"/>
    <x v="1"/>
    <x v="2"/>
    <x v="25"/>
    <x v="317"/>
    <x v="814"/>
    <x v="0"/>
    <s v="TERMINAL DE ALBROOK"/>
    <x v="1"/>
  </r>
  <r>
    <x v="36"/>
    <x v="229"/>
    <x v="6"/>
    <x v="6"/>
    <x v="1"/>
    <x v="2"/>
    <x v="25"/>
    <x v="281"/>
    <x v="814"/>
    <x v="0"/>
    <s v="TERMINAL DE ALBROOK"/>
    <x v="1"/>
  </r>
  <r>
    <x v="37"/>
    <x v="237"/>
    <x v="7"/>
    <x v="7"/>
    <x v="1"/>
    <x v="2"/>
    <x v="20"/>
    <x v="108"/>
    <x v="849"/>
    <x v="0"/>
    <s v="CONCEPCION"/>
    <x v="1"/>
  </r>
  <r>
    <x v="37"/>
    <x v="293"/>
    <x v="9"/>
    <x v="9"/>
    <x v="1"/>
    <x v="2"/>
    <x v="20"/>
    <x v="108"/>
    <x v="849"/>
    <x v="0"/>
    <s v="CONCEPCION"/>
    <x v="1"/>
  </r>
  <r>
    <x v="37"/>
    <x v="317"/>
    <x v="10"/>
    <x v="10"/>
    <x v="1"/>
    <x v="2"/>
    <x v="20"/>
    <x v="108"/>
    <x v="849"/>
    <x v="0"/>
    <s v="CONCEPCION"/>
    <x v="1"/>
  </r>
  <r>
    <x v="37"/>
    <x v="299"/>
    <x v="11"/>
    <x v="11"/>
    <x v="1"/>
    <x v="2"/>
    <x v="20"/>
    <x v="108"/>
    <x v="849"/>
    <x v="0"/>
    <s v="CONCEPCION"/>
    <x v="1"/>
  </r>
  <r>
    <x v="37"/>
    <x v="193"/>
    <x v="11"/>
    <x v="11"/>
    <x v="1"/>
    <x v="2"/>
    <x v="20"/>
    <x v="108"/>
    <x v="849"/>
    <x v="0"/>
    <s v="CONCEPCION"/>
    <x v="1"/>
  </r>
  <r>
    <x v="37"/>
    <x v="246"/>
    <x v="2"/>
    <x v="2"/>
    <x v="1"/>
    <x v="2"/>
    <x v="25"/>
    <x v="287"/>
    <x v="736"/>
    <x v="0"/>
    <s v="CONCEPCION"/>
    <x v="1"/>
  </r>
  <r>
    <x v="38"/>
    <x v="308"/>
    <x v="7"/>
    <x v="7"/>
    <x v="1"/>
    <x v="2"/>
    <x v="21"/>
    <x v="333"/>
    <x v="2736"/>
    <x v="0"/>
    <s v="BOQUETE"/>
    <x v="1"/>
  </r>
  <r>
    <x v="38"/>
    <x v="258"/>
    <x v="7"/>
    <x v="7"/>
    <x v="1"/>
    <x v="2"/>
    <x v="26"/>
    <x v="349"/>
    <x v="1"/>
    <x v="581"/>
    <s v="BOQUETE"/>
    <x v="1"/>
  </r>
  <r>
    <x v="38"/>
    <x v="192"/>
    <x v="8"/>
    <x v="8"/>
    <x v="1"/>
    <x v="2"/>
    <x v="21"/>
    <x v="300"/>
    <x v="851"/>
    <x v="0"/>
    <s v="BOQUETE"/>
    <x v="1"/>
  </r>
  <r>
    <x v="38"/>
    <x v="192"/>
    <x v="8"/>
    <x v="8"/>
    <x v="1"/>
    <x v="2"/>
    <x v="26"/>
    <x v="300"/>
    <x v="1"/>
    <x v="582"/>
    <s v="BOQUETE"/>
    <x v="1"/>
  </r>
  <r>
    <x v="38"/>
    <x v="247"/>
    <x v="8"/>
    <x v="8"/>
    <x v="1"/>
    <x v="2"/>
    <x v="21"/>
    <x v="289"/>
    <x v="2737"/>
    <x v="0"/>
    <s v="BOQUETE"/>
    <x v="1"/>
  </r>
  <r>
    <x v="38"/>
    <x v="318"/>
    <x v="8"/>
    <x v="8"/>
    <x v="1"/>
    <x v="2"/>
    <x v="20"/>
    <x v="114"/>
    <x v="852"/>
    <x v="0"/>
    <s v="BOQUETE"/>
    <x v="1"/>
  </r>
  <r>
    <x v="38"/>
    <x v="261"/>
    <x v="8"/>
    <x v="8"/>
    <x v="1"/>
    <x v="2"/>
    <x v="20"/>
    <x v="114"/>
    <x v="852"/>
    <x v="0"/>
    <s v="BOQUETE"/>
    <x v="1"/>
  </r>
  <r>
    <x v="38"/>
    <x v="319"/>
    <x v="8"/>
    <x v="8"/>
    <x v="1"/>
    <x v="2"/>
    <x v="21"/>
    <x v="350"/>
    <x v="851"/>
    <x v="0"/>
    <s v="BOQUETE"/>
    <x v="1"/>
  </r>
  <r>
    <x v="38"/>
    <x v="292"/>
    <x v="9"/>
    <x v="9"/>
    <x v="1"/>
    <x v="2"/>
    <x v="20"/>
    <x v="114"/>
    <x v="743"/>
    <x v="0"/>
    <s v="BOQUETE"/>
    <x v="1"/>
  </r>
  <r>
    <x v="38"/>
    <x v="290"/>
    <x v="9"/>
    <x v="9"/>
    <x v="1"/>
    <x v="2"/>
    <x v="20"/>
    <x v="114"/>
    <x v="779"/>
    <x v="0"/>
    <s v="BOQUETE"/>
    <x v="1"/>
  </r>
  <r>
    <x v="38"/>
    <x v="211"/>
    <x v="9"/>
    <x v="9"/>
    <x v="1"/>
    <x v="2"/>
    <x v="25"/>
    <x v="286"/>
    <x v="2738"/>
    <x v="0"/>
    <s v="BOQUETE"/>
    <x v="1"/>
  </r>
  <r>
    <x v="38"/>
    <x v="180"/>
    <x v="10"/>
    <x v="10"/>
    <x v="1"/>
    <x v="2"/>
    <x v="20"/>
    <x v="114"/>
    <x v="2015"/>
    <x v="0"/>
    <s v="BOQUETE"/>
    <x v="1"/>
  </r>
  <r>
    <x v="38"/>
    <x v="282"/>
    <x v="11"/>
    <x v="11"/>
    <x v="1"/>
    <x v="2"/>
    <x v="20"/>
    <x v="114"/>
    <x v="852"/>
    <x v="0"/>
    <s v="BOQUETE"/>
    <x v="1"/>
  </r>
  <r>
    <x v="38"/>
    <x v="187"/>
    <x v="11"/>
    <x v="11"/>
    <x v="1"/>
    <x v="2"/>
    <x v="20"/>
    <x v="114"/>
    <x v="852"/>
    <x v="0"/>
    <s v="BOQUETE"/>
    <x v="1"/>
  </r>
  <r>
    <x v="38"/>
    <x v="202"/>
    <x v="11"/>
    <x v="11"/>
    <x v="1"/>
    <x v="2"/>
    <x v="20"/>
    <x v="114"/>
    <x v="852"/>
    <x v="0"/>
    <s v="BOQUETE"/>
    <x v="1"/>
  </r>
  <r>
    <x v="38"/>
    <x v="246"/>
    <x v="2"/>
    <x v="2"/>
    <x v="1"/>
    <x v="2"/>
    <x v="20"/>
    <x v="114"/>
    <x v="852"/>
    <x v="0"/>
    <s v="BOQUETE"/>
    <x v="1"/>
  </r>
  <r>
    <x v="38"/>
    <x v="271"/>
    <x v="6"/>
    <x v="6"/>
    <x v="1"/>
    <x v="2"/>
    <x v="20"/>
    <x v="114"/>
    <x v="2015"/>
    <x v="0"/>
    <s v="BOQUETE"/>
    <x v="1"/>
  </r>
  <r>
    <x v="38"/>
    <x v="308"/>
    <x v="7"/>
    <x v="7"/>
    <x v="1"/>
    <x v="0"/>
    <x v="21"/>
    <x v="333"/>
    <x v="2736"/>
    <x v="0"/>
    <s v="BOQUETE"/>
    <x v="1"/>
  </r>
  <r>
    <x v="38"/>
    <x v="309"/>
    <x v="7"/>
    <x v="7"/>
    <x v="1"/>
    <x v="0"/>
    <x v="21"/>
    <x v="334"/>
    <x v="848"/>
    <x v="0"/>
    <s v="BOQUETE"/>
    <x v="1"/>
  </r>
  <r>
    <x v="38"/>
    <x v="306"/>
    <x v="9"/>
    <x v="9"/>
    <x v="1"/>
    <x v="1"/>
    <x v="21"/>
    <x v="336"/>
    <x v="2739"/>
    <x v="0"/>
    <s v="BOQUETE"/>
    <x v="1"/>
  </r>
  <r>
    <x v="38"/>
    <x v="293"/>
    <x v="9"/>
    <x v="9"/>
    <x v="1"/>
    <x v="1"/>
    <x v="21"/>
    <x v="337"/>
    <x v="2740"/>
    <x v="0"/>
    <s v="BOQUETE"/>
    <x v="1"/>
  </r>
  <r>
    <x v="39"/>
    <x v="253"/>
    <x v="7"/>
    <x v="7"/>
    <x v="1"/>
    <x v="2"/>
    <x v="21"/>
    <x v="292"/>
    <x v="856"/>
    <x v="0"/>
    <s v="BRISAS DEL GOLF"/>
    <x v="1"/>
  </r>
  <r>
    <x v="39"/>
    <x v="200"/>
    <x v="11"/>
    <x v="11"/>
    <x v="1"/>
    <x v="2"/>
    <x v="25"/>
    <x v="351"/>
    <x v="2741"/>
    <x v="0"/>
    <s v="BRISAS DEL GOLF"/>
    <x v="1"/>
  </r>
  <r>
    <x v="39"/>
    <x v="296"/>
    <x v="6"/>
    <x v="6"/>
    <x v="1"/>
    <x v="2"/>
    <x v="25"/>
    <x v="312"/>
    <x v="2741"/>
    <x v="0"/>
    <s v="BRISAS DEL GOLF"/>
    <x v="1"/>
  </r>
  <r>
    <x v="39"/>
    <x v="303"/>
    <x v="9"/>
    <x v="9"/>
    <x v="1"/>
    <x v="1"/>
    <x v="21"/>
    <x v="327"/>
    <x v="856"/>
    <x v="0"/>
    <s v="BRISAS DEL GOLF"/>
    <x v="1"/>
  </r>
  <r>
    <x v="40"/>
    <x v="290"/>
    <x v="9"/>
    <x v="9"/>
    <x v="1"/>
    <x v="2"/>
    <x v="20"/>
    <x v="121"/>
    <x v="754"/>
    <x v="0"/>
    <s v="PUENTE CENTENARIO"/>
    <x v="1"/>
  </r>
  <r>
    <x v="40"/>
    <x v="282"/>
    <x v="11"/>
    <x v="11"/>
    <x v="1"/>
    <x v="2"/>
    <x v="20"/>
    <x v="121"/>
    <x v="754"/>
    <x v="0"/>
    <s v="PUENTE CENTENARIO"/>
    <x v="1"/>
  </r>
  <r>
    <x v="40"/>
    <x v="220"/>
    <x v="11"/>
    <x v="11"/>
    <x v="1"/>
    <x v="2"/>
    <x v="25"/>
    <x v="309"/>
    <x v="749"/>
    <x v="0"/>
    <s v="PUENTE CENTENARIO"/>
    <x v="1"/>
  </r>
  <r>
    <x v="40"/>
    <x v="246"/>
    <x v="2"/>
    <x v="2"/>
    <x v="1"/>
    <x v="2"/>
    <x v="20"/>
    <x v="121"/>
    <x v="795"/>
    <x v="0"/>
    <s v="PUENTE CENTENARIO"/>
    <x v="1"/>
  </r>
  <r>
    <x v="74"/>
    <x v="171"/>
    <x v="7"/>
    <x v="7"/>
    <x v="1"/>
    <x v="2"/>
    <x v="20"/>
    <x v="122"/>
    <x v="1303"/>
    <x v="0"/>
    <s v="AGUADULCE"/>
    <x v="1"/>
  </r>
  <r>
    <x v="74"/>
    <x v="237"/>
    <x v="7"/>
    <x v="7"/>
    <x v="1"/>
    <x v="2"/>
    <x v="20"/>
    <x v="122"/>
    <x v="781"/>
    <x v="0"/>
    <s v="AGUADULCE"/>
    <x v="1"/>
  </r>
  <r>
    <x v="74"/>
    <x v="251"/>
    <x v="8"/>
    <x v="8"/>
    <x v="1"/>
    <x v="2"/>
    <x v="21"/>
    <x v="291"/>
    <x v="2726"/>
    <x v="0"/>
    <s v="AGUADULCE"/>
    <x v="1"/>
  </r>
  <r>
    <x v="74"/>
    <x v="247"/>
    <x v="8"/>
    <x v="8"/>
    <x v="1"/>
    <x v="2"/>
    <x v="20"/>
    <x v="122"/>
    <x v="858"/>
    <x v="0"/>
    <s v="AGUADULCE"/>
    <x v="1"/>
  </r>
  <r>
    <x v="74"/>
    <x v="320"/>
    <x v="8"/>
    <x v="8"/>
    <x v="1"/>
    <x v="2"/>
    <x v="20"/>
    <x v="122"/>
    <x v="858"/>
    <x v="0"/>
    <s v="AGUADULCE"/>
    <x v="1"/>
  </r>
  <r>
    <x v="74"/>
    <x v="173"/>
    <x v="8"/>
    <x v="8"/>
    <x v="1"/>
    <x v="2"/>
    <x v="20"/>
    <x v="122"/>
    <x v="2742"/>
    <x v="0"/>
    <s v="AGUADULCE"/>
    <x v="1"/>
  </r>
  <r>
    <x v="74"/>
    <x v="306"/>
    <x v="9"/>
    <x v="9"/>
    <x v="1"/>
    <x v="2"/>
    <x v="20"/>
    <x v="122"/>
    <x v="858"/>
    <x v="0"/>
    <s v="AGUADULCE"/>
    <x v="1"/>
  </r>
  <r>
    <x v="74"/>
    <x v="175"/>
    <x v="9"/>
    <x v="9"/>
    <x v="1"/>
    <x v="2"/>
    <x v="20"/>
    <x v="122"/>
    <x v="858"/>
    <x v="0"/>
    <s v="AGUADULCE"/>
    <x v="1"/>
  </r>
  <r>
    <x v="74"/>
    <x v="303"/>
    <x v="9"/>
    <x v="9"/>
    <x v="1"/>
    <x v="2"/>
    <x v="20"/>
    <x v="122"/>
    <x v="858"/>
    <x v="0"/>
    <s v="AGUADULCE"/>
    <x v="1"/>
  </r>
  <r>
    <x v="74"/>
    <x v="178"/>
    <x v="9"/>
    <x v="9"/>
    <x v="1"/>
    <x v="2"/>
    <x v="20"/>
    <x v="122"/>
    <x v="782"/>
    <x v="0"/>
    <s v="AGUADULCE"/>
    <x v="1"/>
  </r>
  <r>
    <x v="74"/>
    <x v="255"/>
    <x v="9"/>
    <x v="9"/>
    <x v="1"/>
    <x v="2"/>
    <x v="25"/>
    <x v="293"/>
    <x v="1584"/>
    <x v="0"/>
    <s v="AGUADULCE"/>
    <x v="1"/>
  </r>
  <r>
    <x v="74"/>
    <x v="230"/>
    <x v="9"/>
    <x v="9"/>
    <x v="1"/>
    <x v="2"/>
    <x v="20"/>
    <x v="122"/>
    <x v="874"/>
    <x v="0"/>
    <s v="AGUADULCE"/>
    <x v="1"/>
  </r>
  <r>
    <x v="74"/>
    <x v="263"/>
    <x v="10"/>
    <x v="10"/>
    <x v="1"/>
    <x v="2"/>
    <x v="20"/>
    <x v="122"/>
    <x v="770"/>
    <x v="0"/>
    <s v="AGUADULCE"/>
    <x v="1"/>
  </r>
  <r>
    <x v="74"/>
    <x v="176"/>
    <x v="10"/>
    <x v="10"/>
    <x v="1"/>
    <x v="2"/>
    <x v="20"/>
    <x v="122"/>
    <x v="874"/>
    <x v="0"/>
    <s v="AGUADULCE"/>
    <x v="1"/>
  </r>
  <r>
    <x v="74"/>
    <x v="274"/>
    <x v="11"/>
    <x v="11"/>
    <x v="1"/>
    <x v="2"/>
    <x v="20"/>
    <x v="122"/>
    <x v="146"/>
    <x v="0"/>
    <s v="AGUADULCE"/>
    <x v="1"/>
  </r>
  <r>
    <x v="74"/>
    <x v="240"/>
    <x v="2"/>
    <x v="2"/>
    <x v="1"/>
    <x v="2"/>
    <x v="20"/>
    <x v="122"/>
    <x v="858"/>
    <x v="0"/>
    <s v="AGUADULCE"/>
    <x v="1"/>
  </r>
  <r>
    <x v="74"/>
    <x v="223"/>
    <x v="2"/>
    <x v="2"/>
    <x v="1"/>
    <x v="2"/>
    <x v="20"/>
    <x v="122"/>
    <x v="146"/>
    <x v="0"/>
    <s v="AGUADULCE"/>
    <x v="1"/>
  </r>
  <r>
    <x v="74"/>
    <x v="246"/>
    <x v="2"/>
    <x v="2"/>
    <x v="1"/>
    <x v="2"/>
    <x v="25"/>
    <x v="287"/>
    <x v="936"/>
    <x v="0"/>
    <s v="AGUADULCE"/>
    <x v="1"/>
  </r>
  <r>
    <x v="74"/>
    <x v="312"/>
    <x v="2"/>
    <x v="2"/>
    <x v="1"/>
    <x v="2"/>
    <x v="20"/>
    <x v="122"/>
    <x v="858"/>
    <x v="0"/>
    <s v="AGUADULCE"/>
    <x v="1"/>
  </r>
  <r>
    <x v="74"/>
    <x v="314"/>
    <x v="6"/>
    <x v="6"/>
    <x v="1"/>
    <x v="2"/>
    <x v="20"/>
    <x v="122"/>
    <x v="735"/>
    <x v="0"/>
    <s v="AGUADULCE"/>
    <x v="1"/>
  </r>
  <r>
    <x v="74"/>
    <x v="255"/>
    <x v="9"/>
    <x v="9"/>
    <x v="1"/>
    <x v="0"/>
    <x v="25"/>
    <x v="293"/>
    <x v="819"/>
    <x v="0"/>
    <s v="AGUADULCE"/>
    <x v="1"/>
  </r>
  <r>
    <x v="74"/>
    <x v="268"/>
    <x v="10"/>
    <x v="10"/>
    <x v="1"/>
    <x v="0"/>
    <x v="25"/>
    <x v="339"/>
    <x v="819"/>
    <x v="0"/>
    <s v="AGUADULCE"/>
    <x v="1"/>
  </r>
  <r>
    <x v="74"/>
    <x v="204"/>
    <x v="6"/>
    <x v="6"/>
    <x v="1"/>
    <x v="0"/>
    <x v="25"/>
    <x v="317"/>
    <x v="861"/>
    <x v="0"/>
    <s v="AGUADULCE"/>
    <x v="1"/>
  </r>
  <r>
    <x v="74"/>
    <x v="308"/>
    <x v="7"/>
    <x v="7"/>
    <x v="1"/>
    <x v="1"/>
    <x v="21"/>
    <x v="333"/>
    <x v="2743"/>
    <x v="0"/>
    <s v="AGUADULCE"/>
    <x v="1"/>
  </r>
  <r>
    <x v="75"/>
    <x v="309"/>
    <x v="7"/>
    <x v="7"/>
    <x v="1"/>
    <x v="2"/>
    <x v="21"/>
    <x v="334"/>
    <x v="1849"/>
    <x v="0"/>
    <s v="SABANITAS"/>
    <x v="1"/>
  </r>
  <r>
    <x v="75"/>
    <x v="319"/>
    <x v="8"/>
    <x v="8"/>
    <x v="1"/>
    <x v="2"/>
    <x v="21"/>
    <x v="350"/>
    <x v="764"/>
    <x v="0"/>
    <s v="SABANITAS"/>
    <x v="1"/>
  </r>
  <r>
    <x v="75"/>
    <x v="292"/>
    <x v="9"/>
    <x v="9"/>
    <x v="1"/>
    <x v="2"/>
    <x v="21"/>
    <x v="352"/>
    <x v="835"/>
    <x v="0"/>
    <s v="SABANITAS"/>
    <x v="1"/>
  </r>
  <r>
    <x v="75"/>
    <x v="178"/>
    <x v="9"/>
    <x v="9"/>
    <x v="1"/>
    <x v="2"/>
    <x v="25"/>
    <x v="353"/>
    <x v="764"/>
    <x v="0"/>
    <s v="SABANITAS"/>
    <x v="1"/>
  </r>
  <r>
    <x v="75"/>
    <x v="189"/>
    <x v="10"/>
    <x v="10"/>
    <x v="1"/>
    <x v="2"/>
    <x v="25"/>
    <x v="345"/>
    <x v="765"/>
    <x v="0"/>
    <s v="SABANITAS"/>
    <x v="1"/>
  </r>
  <r>
    <x v="75"/>
    <x v="273"/>
    <x v="11"/>
    <x v="11"/>
    <x v="1"/>
    <x v="2"/>
    <x v="25"/>
    <x v="354"/>
    <x v="764"/>
    <x v="0"/>
    <s v="SABANITAS"/>
    <x v="1"/>
  </r>
  <r>
    <x v="75"/>
    <x v="259"/>
    <x v="7"/>
    <x v="7"/>
    <x v="1"/>
    <x v="0"/>
    <x v="21"/>
    <x v="355"/>
    <x v="2744"/>
    <x v="0"/>
    <s v="SABANITAS"/>
    <x v="1"/>
  </r>
  <r>
    <x v="41"/>
    <x v="192"/>
    <x v="8"/>
    <x v="8"/>
    <x v="1"/>
    <x v="2"/>
    <x v="20"/>
    <x v="356"/>
    <x v="795"/>
    <x v="0"/>
    <s v="METROMALL"/>
    <x v="1"/>
  </r>
  <r>
    <x v="41"/>
    <x v="196"/>
    <x v="8"/>
    <x v="8"/>
    <x v="1"/>
    <x v="2"/>
    <x v="20"/>
    <x v="356"/>
    <x v="786"/>
    <x v="0"/>
    <s v="METROMALL"/>
    <x v="1"/>
  </r>
  <r>
    <x v="41"/>
    <x v="244"/>
    <x v="10"/>
    <x v="10"/>
    <x v="1"/>
    <x v="2"/>
    <x v="20"/>
    <x v="356"/>
    <x v="756"/>
    <x v="0"/>
    <s v="METROMALL"/>
    <x v="1"/>
  </r>
  <r>
    <x v="41"/>
    <x v="273"/>
    <x v="11"/>
    <x v="11"/>
    <x v="1"/>
    <x v="2"/>
    <x v="20"/>
    <x v="356"/>
    <x v="2745"/>
    <x v="0"/>
    <s v="METROMALL"/>
    <x v="1"/>
  </r>
  <r>
    <x v="42"/>
    <x v="239"/>
    <x v="10"/>
    <x v="10"/>
    <x v="1"/>
    <x v="2"/>
    <x v="20"/>
    <x v="357"/>
    <x v="777"/>
    <x v="0"/>
    <s v="ALTOS DE PANAMA"/>
    <x v="1"/>
  </r>
  <r>
    <x v="42"/>
    <x v="287"/>
    <x v="10"/>
    <x v="10"/>
    <x v="1"/>
    <x v="2"/>
    <x v="20"/>
    <x v="357"/>
    <x v="857"/>
    <x v="0"/>
    <s v="ALTOS DE PANAMA"/>
    <x v="1"/>
  </r>
  <r>
    <x v="43"/>
    <x v="194"/>
    <x v="9"/>
    <x v="9"/>
    <x v="1"/>
    <x v="2"/>
    <x v="20"/>
    <x v="127"/>
    <x v="755"/>
    <x v="0"/>
    <s v="VERSALLES"/>
    <x v="1"/>
  </r>
  <r>
    <x v="43"/>
    <x v="176"/>
    <x v="10"/>
    <x v="10"/>
    <x v="1"/>
    <x v="2"/>
    <x v="20"/>
    <x v="127"/>
    <x v="774"/>
    <x v="0"/>
    <s v="VERSALLES"/>
    <x v="1"/>
  </r>
  <r>
    <x v="43"/>
    <x v="199"/>
    <x v="10"/>
    <x v="10"/>
    <x v="1"/>
    <x v="2"/>
    <x v="20"/>
    <x v="127"/>
    <x v="745"/>
    <x v="0"/>
    <s v="VERSALLES"/>
    <x v="1"/>
  </r>
  <r>
    <x v="43"/>
    <x v="273"/>
    <x v="11"/>
    <x v="11"/>
    <x v="1"/>
    <x v="2"/>
    <x v="20"/>
    <x v="127"/>
    <x v="745"/>
    <x v="0"/>
    <s v="VERSALLES"/>
    <x v="1"/>
  </r>
  <r>
    <x v="43"/>
    <x v="285"/>
    <x v="6"/>
    <x v="6"/>
    <x v="1"/>
    <x v="2"/>
    <x v="20"/>
    <x v="127"/>
    <x v="756"/>
    <x v="0"/>
    <s v="VERSALLES"/>
    <x v="1"/>
  </r>
  <r>
    <x v="43"/>
    <x v="174"/>
    <x v="6"/>
    <x v="6"/>
    <x v="1"/>
    <x v="2"/>
    <x v="20"/>
    <x v="127"/>
    <x v="745"/>
    <x v="0"/>
    <s v="VERSALLES"/>
    <x v="1"/>
  </r>
  <r>
    <x v="43"/>
    <x v="191"/>
    <x v="6"/>
    <x v="6"/>
    <x v="1"/>
    <x v="2"/>
    <x v="20"/>
    <x v="127"/>
    <x v="745"/>
    <x v="0"/>
    <s v="VERSALLES"/>
    <x v="1"/>
  </r>
  <r>
    <x v="44"/>
    <x v="321"/>
    <x v="8"/>
    <x v="8"/>
    <x v="1"/>
    <x v="2"/>
    <x v="20"/>
    <x v="128"/>
    <x v="748"/>
    <x v="0"/>
    <s v="BUSINESS PARK"/>
    <x v="1"/>
  </r>
  <r>
    <x v="44"/>
    <x v="208"/>
    <x v="8"/>
    <x v="8"/>
    <x v="1"/>
    <x v="2"/>
    <x v="20"/>
    <x v="128"/>
    <x v="747"/>
    <x v="0"/>
    <s v="BUSINESS PARK"/>
    <x v="1"/>
  </r>
  <r>
    <x v="44"/>
    <x v="186"/>
    <x v="10"/>
    <x v="10"/>
    <x v="1"/>
    <x v="2"/>
    <x v="20"/>
    <x v="128"/>
    <x v="778"/>
    <x v="0"/>
    <s v="BUSINESS PARK"/>
    <x v="1"/>
  </r>
  <r>
    <x v="44"/>
    <x v="284"/>
    <x v="2"/>
    <x v="2"/>
    <x v="1"/>
    <x v="2"/>
    <x v="20"/>
    <x v="128"/>
    <x v="744"/>
    <x v="0"/>
    <s v="BUSINESS PARK"/>
    <x v="1"/>
  </r>
  <r>
    <x v="44"/>
    <x v="305"/>
    <x v="6"/>
    <x v="6"/>
    <x v="1"/>
    <x v="2"/>
    <x v="20"/>
    <x v="128"/>
    <x v="737"/>
    <x v="0"/>
    <s v="BUSINESS PARK"/>
    <x v="1"/>
  </r>
  <r>
    <x v="44"/>
    <x v="314"/>
    <x v="6"/>
    <x v="6"/>
    <x v="1"/>
    <x v="2"/>
    <x v="20"/>
    <x v="128"/>
    <x v="737"/>
    <x v="0"/>
    <s v="BUSINESS PARK"/>
    <x v="1"/>
  </r>
  <r>
    <x v="44"/>
    <x v="236"/>
    <x v="6"/>
    <x v="6"/>
    <x v="1"/>
    <x v="2"/>
    <x v="20"/>
    <x v="128"/>
    <x v="744"/>
    <x v="0"/>
    <s v="BUSINESS PARK"/>
    <x v="1"/>
  </r>
  <r>
    <x v="44"/>
    <x v="190"/>
    <x v="6"/>
    <x v="6"/>
    <x v="1"/>
    <x v="2"/>
    <x v="20"/>
    <x v="128"/>
    <x v="842"/>
    <x v="0"/>
    <s v="BUSINESS PARK"/>
    <x v="1"/>
  </r>
  <r>
    <x v="44"/>
    <x v="191"/>
    <x v="6"/>
    <x v="6"/>
    <x v="1"/>
    <x v="2"/>
    <x v="20"/>
    <x v="128"/>
    <x v="799"/>
    <x v="0"/>
    <s v="BUSINESS PARK"/>
    <x v="1"/>
  </r>
  <r>
    <x v="45"/>
    <x v="179"/>
    <x v="7"/>
    <x v="7"/>
    <x v="1"/>
    <x v="2"/>
    <x v="20"/>
    <x v="129"/>
    <x v="742"/>
    <x v="0"/>
    <s v="SAN FRANCISCO"/>
    <x v="1"/>
  </r>
  <r>
    <x v="45"/>
    <x v="254"/>
    <x v="8"/>
    <x v="8"/>
    <x v="1"/>
    <x v="2"/>
    <x v="20"/>
    <x v="129"/>
    <x v="737"/>
    <x v="0"/>
    <s v="SAN FRANCISCO"/>
    <x v="1"/>
  </r>
  <r>
    <x v="45"/>
    <x v="227"/>
    <x v="9"/>
    <x v="9"/>
    <x v="1"/>
    <x v="2"/>
    <x v="20"/>
    <x v="129"/>
    <x v="744"/>
    <x v="0"/>
    <s v="SAN FRANCISCO"/>
    <x v="1"/>
  </r>
  <r>
    <x v="45"/>
    <x v="175"/>
    <x v="9"/>
    <x v="9"/>
    <x v="1"/>
    <x v="2"/>
    <x v="20"/>
    <x v="129"/>
    <x v="737"/>
    <x v="0"/>
    <s v="SAN FRANCISCO"/>
    <x v="1"/>
  </r>
  <r>
    <x v="45"/>
    <x v="303"/>
    <x v="9"/>
    <x v="9"/>
    <x v="1"/>
    <x v="2"/>
    <x v="20"/>
    <x v="129"/>
    <x v="744"/>
    <x v="0"/>
    <s v="SAN FRANCISCO"/>
    <x v="1"/>
  </r>
  <r>
    <x v="45"/>
    <x v="197"/>
    <x v="9"/>
    <x v="9"/>
    <x v="1"/>
    <x v="2"/>
    <x v="20"/>
    <x v="129"/>
    <x v="744"/>
    <x v="0"/>
    <s v="SAN FRANCISCO"/>
    <x v="1"/>
  </r>
  <r>
    <x v="45"/>
    <x v="228"/>
    <x v="9"/>
    <x v="9"/>
    <x v="1"/>
    <x v="2"/>
    <x v="20"/>
    <x v="129"/>
    <x v="744"/>
    <x v="0"/>
    <s v="SAN FRANCISCO"/>
    <x v="1"/>
  </r>
  <r>
    <x v="45"/>
    <x v="214"/>
    <x v="11"/>
    <x v="11"/>
    <x v="1"/>
    <x v="2"/>
    <x v="20"/>
    <x v="129"/>
    <x v="737"/>
    <x v="0"/>
    <s v="SAN FRANCISCO"/>
    <x v="1"/>
  </r>
  <r>
    <x v="45"/>
    <x v="218"/>
    <x v="6"/>
    <x v="6"/>
    <x v="1"/>
    <x v="2"/>
    <x v="20"/>
    <x v="129"/>
    <x v="744"/>
    <x v="0"/>
    <s v="SAN FRANCISCO"/>
    <x v="1"/>
  </r>
  <r>
    <x v="45"/>
    <x v="271"/>
    <x v="6"/>
    <x v="6"/>
    <x v="1"/>
    <x v="2"/>
    <x v="20"/>
    <x v="129"/>
    <x v="744"/>
    <x v="0"/>
    <s v="SAN FRANCISCO"/>
    <x v="1"/>
  </r>
  <r>
    <x v="46"/>
    <x v="288"/>
    <x v="7"/>
    <x v="7"/>
    <x v="1"/>
    <x v="2"/>
    <x v="20"/>
    <x v="130"/>
    <x v="744"/>
    <x v="0"/>
    <s v="PLAZA BANCO GENERAL"/>
    <x v="1"/>
  </r>
  <r>
    <x v="46"/>
    <x v="258"/>
    <x v="7"/>
    <x v="7"/>
    <x v="1"/>
    <x v="2"/>
    <x v="20"/>
    <x v="130"/>
    <x v="744"/>
    <x v="0"/>
    <s v="PLAZA BANCO GENERAL"/>
    <x v="1"/>
  </r>
  <r>
    <x v="46"/>
    <x v="252"/>
    <x v="7"/>
    <x v="7"/>
    <x v="1"/>
    <x v="2"/>
    <x v="20"/>
    <x v="130"/>
    <x v="744"/>
    <x v="0"/>
    <s v="PLAZA BANCO GENERAL"/>
    <x v="1"/>
  </r>
  <r>
    <x v="46"/>
    <x v="271"/>
    <x v="6"/>
    <x v="6"/>
    <x v="1"/>
    <x v="2"/>
    <x v="20"/>
    <x v="130"/>
    <x v="2746"/>
    <x v="0"/>
    <s v="PLAZA BANCO GENERAL"/>
    <x v="1"/>
  </r>
  <r>
    <x v="47"/>
    <x v="206"/>
    <x v="7"/>
    <x v="7"/>
    <x v="1"/>
    <x v="2"/>
    <x v="20"/>
    <x v="131"/>
    <x v="814"/>
    <x v="0"/>
    <s v="LA CHORRERA - PARQUE 10 DE NOV."/>
    <x v="1"/>
  </r>
  <r>
    <x v="47"/>
    <x v="322"/>
    <x v="7"/>
    <x v="7"/>
    <x v="1"/>
    <x v="2"/>
    <x v="20"/>
    <x v="131"/>
    <x v="771"/>
    <x v="0"/>
    <s v="LA CHORRERA - PARQUE 10 DE NOV."/>
    <x v="1"/>
  </r>
  <r>
    <x v="47"/>
    <x v="289"/>
    <x v="8"/>
    <x v="8"/>
    <x v="1"/>
    <x v="2"/>
    <x v="20"/>
    <x v="131"/>
    <x v="748"/>
    <x v="0"/>
    <s v="LA CHORRERA - PARQUE 10 DE NOV."/>
    <x v="1"/>
  </r>
  <r>
    <x v="47"/>
    <x v="320"/>
    <x v="8"/>
    <x v="8"/>
    <x v="1"/>
    <x v="2"/>
    <x v="20"/>
    <x v="131"/>
    <x v="771"/>
    <x v="0"/>
    <s v="LA CHORRERA - PARQUE 10 DE NOV."/>
    <x v="1"/>
  </r>
  <r>
    <x v="47"/>
    <x v="303"/>
    <x v="9"/>
    <x v="9"/>
    <x v="1"/>
    <x v="2"/>
    <x v="20"/>
    <x v="131"/>
    <x v="748"/>
    <x v="0"/>
    <s v="LA CHORRERA - PARQUE 10 DE NOV."/>
    <x v="1"/>
  </r>
  <r>
    <x v="47"/>
    <x v="290"/>
    <x v="9"/>
    <x v="9"/>
    <x v="1"/>
    <x v="2"/>
    <x v="20"/>
    <x v="131"/>
    <x v="814"/>
    <x v="0"/>
    <s v="LA CHORRERA - PARQUE 10 DE NOV."/>
    <x v="1"/>
  </r>
  <r>
    <x v="47"/>
    <x v="238"/>
    <x v="9"/>
    <x v="9"/>
    <x v="1"/>
    <x v="2"/>
    <x v="20"/>
    <x v="131"/>
    <x v="873"/>
    <x v="0"/>
    <s v="LA CHORRERA - PARQUE 10 DE NOV."/>
    <x v="1"/>
  </r>
  <r>
    <x v="47"/>
    <x v="299"/>
    <x v="11"/>
    <x v="11"/>
    <x v="1"/>
    <x v="2"/>
    <x v="20"/>
    <x v="131"/>
    <x v="735"/>
    <x v="0"/>
    <s v="LA CHORRERA - PARQUE 10 DE NOV."/>
    <x v="1"/>
  </r>
  <r>
    <x v="47"/>
    <x v="214"/>
    <x v="11"/>
    <x v="11"/>
    <x v="1"/>
    <x v="2"/>
    <x v="20"/>
    <x v="131"/>
    <x v="814"/>
    <x v="0"/>
    <s v="LA CHORRERA - PARQUE 10 DE NOV."/>
    <x v="1"/>
  </r>
  <r>
    <x v="47"/>
    <x v="275"/>
    <x v="11"/>
    <x v="11"/>
    <x v="1"/>
    <x v="2"/>
    <x v="26"/>
    <x v="307"/>
    <x v="1"/>
    <x v="583"/>
    <s v="LA CHORRERA - PARQUE 10 DE NOV."/>
    <x v="1"/>
  </r>
  <r>
    <x v="47"/>
    <x v="282"/>
    <x v="11"/>
    <x v="11"/>
    <x v="1"/>
    <x v="0"/>
    <x v="25"/>
    <x v="358"/>
    <x v="2747"/>
    <x v="0"/>
    <s v="LA CHORRERA - PARQUE 10 DE NOV."/>
    <x v="1"/>
  </r>
  <r>
    <x v="47"/>
    <x v="249"/>
    <x v="11"/>
    <x v="11"/>
    <x v="1"/>
    <x v="0"/>
    <x v="25"/>
    <x v="359"/>
    <x v="1283"/>
    <x v="0"/>
    <s v="LA CHORRERA - PARQUE 10 DE NOV."/>
    <x v="1"/>
  </r>
  <r>
    <x v="47"/>
    <x v="255"/>
    <x v="9"/>
    <x v="9"/>
    <x v="1"/>
    <x v="1"/>
    <x v="25"/>
    <x v="293"/>
    <x v="2748"/>
    <x v="0"/>
    <s v="LA CHORRERA - PARQUE 10 DE NOV."/>
    <x v="1"/>
  </r>
  <r>
    <x v="47"/>
    <x v="268"/>
    <x v="10"/>
    <x v="10"/>
    <x v="1"/>
    <x v="1"/>
    <x v="25"/>
    <x v="339"/>
    <x v="803"/>
    <x v="0"/>
    <s v="LA CHORRERA - PARQUE 10 DE NOV."/>
    <x v="1"/>
  </r>
  <r>
    <x v="48"/>
    <x v="323"/>
    <x v="8"/>
    <x v="8"/>
    <x v="1"/>
    <x v="2"/>
    <x v="20"/>
    <x v="133"/>
    <x v="842"/>
    <x v="0"/>
    <s v="COSTA DEL ESTE - CENTENARIO"/>
    <x v="1"/>
  </r>
  <r>
    <x v="48"/>
    <x v="196"/>
    <x v="8"/>
    <x v="8"/>
    <x v="1"/>
    <x v="2"/>
    <x v="20"/>
    <x v="133"/>
    <x v="842"/>
    <x v="0"/>
    <s v="COSTA DEL ESTE - CENTENARIO"/>
    <x v="1"/>
  </r>
  <r>
    <x v="48"/>
    <x v="208"/>
    <x v="8"/>
    <x v="8"/>
    <x v="1"/>
    <x v="2"/>
    <x v="20"/>
    <x v="133"/>
    <x v="778"/>
    <x v="0"/>
    <s v="COSTA DEL ESTE - CENTENARIO"/>
    <x v="1"/>
  </r>
  <r>
    <x v="48"/>
    <x v="173"/>
    <x v="8"/>
    <x v="8"/>
    <x v="1"/>
    <x v="2"/>
    <x v="20"/>
    <x v="133"/>
    <x v="2749"/>
    <x v="0"/>
    <s v="COSTA DEL ESTE - CENTENARIO"/>
    <x v="1"/>
  </r>
  <r>
    <x v="48"/>
    <x v="244"/>
    <x v="10"/>
    <x v="10"/>
    <x v="1"/>
    <x v="2"/>
    <x v="20"/>
    <x v="133"/>
    <x v="744"/>
    <x v="0"/>
    <s v="COSTA DEL ESTE - CENTENARIO"/>
    <x v="1"/>
  </r>
  <r>
    <x v="48"/>
    <x v="324"/>
    <x v="6"/>
    <x v="6"/>
    <x v="1"/>
    <x v="2"/>
    <x v="20"/>
    <x v="133"/>
    <x v="1277"/>
    <x v="0"/>
    <s v="COSTA DEL ESTE - CENTENARIO"/>
    <x v="1"/>
  </r>
  <r>
    <x v="49"/>
    <x v="195"/>
    <x v="8"/>
    <x v="8"/>
    <x v="1"/>
    <x v="2"/>
    <x v="20"/>
    <x v="134"/>
    <x v="795"/>
    <x v="0"/>
    <s v="CLAYTON"/>
    <x v="1"/>
  </r>
  <r>
    <x v="49"/>
    <x v="323"/>
    <x v="8"/>
    <x v="8"/>
    <x v="1"/>
    <x v="2"/>
    <x v="20"/>
    <x v="134"/>
    <x v="784"/>
    <x v="0"/>
    <s v="CLAYTON"/>
    <x v="1"/>
  </r>
  <r>
    <x v="49"/>
    <x v="194"/>
    <x v="9"/>
    <x v="9"/>
    <x v="1"/>
    <x v="2"/>
    <x v="20"/>
    <x v="134"/>
    <x v="754"/>
    <x v="0"/>
    <s v="CLAYTON"/>
    <x v="1"/>
  </r>
  <r>
    <x v="49"/>
    <x v="232"/>
    <x v="10"/>
    <x v="10"/>
    <x v="1"/>
    <x v="2"/>
    <x v="20"/>
    <x v="134"/>
    <x v="776"/>
    <x v="0"/>
    <s v="CLAYTON"/>
    <x v="1"/>
  </r>
  <r>
    <x v="49"/>
    <x v="325"/>
    <x v="11"/>
    <x v="11"/>
    <x v="1"/>
    <x v="2"/>
    <x v="20"/>
    <x v="134"/>
    <x v="762"/>
    <x v="0"/>
    <s v="CLAYTON"/>
    <x v="1"/>
  </r>
  <r>
    <x v="49"/>
    <x v="272"/>
    <x v="11"/>
    <x v="11"/>
    <x v="1"/>
    <x v="2"/>
    <x v="25"/>
    <x v="360"/>
    <x v="814"/>
    <x v="0"/>
    <s v="CLAYTON"/>
    <x v="1"/>
  </r>
  <r>
    <x v="49"/>
    <x v="213"/>
    <x v="11"/>
    <x v="11"/>
    <x v="1"/>
    <x v="2"/>
    <x v="25"/>
    <x v="361"/>
    <x v="814"/>
    <x v="0"/>
    <s v="CLAYTON"/>
    <x v="1"/>
  </r>
  <r>
    <x v="49"/>
    <x v="249"/>
    <x v="11"/>
    <x v="11"/>
    <x v="1"/>
    <x v="2"/>
    <x v="20"/>
    <x v="134"/>
    <x v="784"/>
    <x v="0"/>
    <s v="CLAYTON"/>
    <x v="1"/>
  </r>
  <r>
    <x v="49"/>
    <x v="181"/>
    <x v="11"/>
    <x v="11"/>
    <x v="1"/>
    <x v="2"/>
    <x v="20"/>
    <x v="134"/>
    <x v="2746"/>
    <x v="0"/>
    <s v="CLAYTON"/>
    <x v="1"/>
  </r>
  <r>
    <x v="49"/>
    <x v="181"/>
    <x v="11"/>
    <x v="11"/>
    <x v="1"/>
    <x v="2"/>
    <x v="25"/>
    <x v="362"/>
    <x v="814"/>
    <x v="0"/>
    <s v="CLAYTON"/>
    <x v="1"/>
  </r>
  <r>
    <x v="49"/>
    <x v="270"/>
    <x v="2"/>
    <x v="2"/>
    <x v="1"/>
    <x v="2"/>
    <x v="25"/>
    <x v="363"/>
    <x v="814"/>
    <x v="0"/>
    <s v="CLAYTON"/>
    <x v="1"/>
  </r>
  <r>
    <x v="49"/>
    <x v="250"/>
    <x v="2"/>
    <x v="2"/>
    <x v="1"/>
    <x v="2"/>
    <x v="20"/>
    <x v="134"/>
    <x v="784"/>
    <x v="0"/>
    <s v="CLAYTON"/>
    <x v="1"/>
  </r>
  <r>
    <x v="49"/>
    <x v="297"/>
    <x v="6"/>
    <x v="6"/>
    <x v="1"/>
    <x v="2"/>
    <x v="25"/>
    <x v="313"/>
    <x v="814"/>
    <x v="0"/>
    <s v="CLAYTON"/>
    <x v="1"/>
  </r>
  <r>
    <x v="49"/>
    <x v="324"/>
    <x v="6"/>
    <x v="6"/>
    <x v="1"/>
    <x v="2"/>
    <x v="20"/>
    <x v="134"/>
    <x v="2701"/>
    <x v="0"/>
    <s v="CLAYTON"/>
    <x v="1"/>
  </r>
  <r>
    <x v="50"/>
    <x v="243"/>
    <x v="10"/>
    <x v="10"/>
    <x v="1"/>
    <x v="2"/>
    <x v="20"/>
    <x v="135"/>
    <x v="744"/>
    <x v="0"/>
    <s v="MARBELLA"/>
    <x v="1"/>
  </r>
  <r>
    <x v="50"/>
    <x v="316"/>
    <x v="2"/>
    <x v="2"/>
    <x v="1"/>
    <x v="2"/>
    <x v="20"/>
    <x v="135"/>
    <x v="744"/>
    <x v="0"/>
    <s v="MARBELLA"/>
    <x v="1"/>
  </r>
  <r>
    <x v="50"/>
    <x v="246"/>
    <x v="2"/>
    <x v="2"/>
    <x v="1"/>
    <x v="2"/>
    <x v="20"/>
    <x v="135"/>
    <x v="744"/>
    <x v="0"/>
    <s v="MARBELLA"/>
    <x v="1"/>
  </r>
  <r>
    <x v="51"/>
    <x v="254"/>
    <x v="8"/>
    <x v="8"/>
    <x v="1"/>
    <x v="2"/>
    <x v="20"/>
    <x v="136"/>
    <x v="1140"/>
    <x v="0"/>
    <s v="PLAZA CAROLINA"/>
    <x v="1"/>
  </r>
  <r>
    <x v="51"/>
    <x v="261"/>
    <x v="8"/>
    <x v="8"/>
    <x v="1"/>
    <x v="2"/>
    <x v="20"/>
    <x v="136"/>
    <x v="748"/>
    <x v="0"/>
    <s v="PLAZA CAROLINA"/>
    <x v="1"/>
  </r>
  <r>
    <x v="51"/>
    <x v="323"/>
    <x v="8"/>
    <x v="8"/>
    <x v="1"/>
    <x v="2"/>
    <x v="20"/>
    <x v="136"/>
    <x v="842"/>
    <x v="0"/>
    <s v="PLAZA CAROLINA"/>
    <x v="1"/>
  </r>
  <r>
    <x v="51"/>
    <x v="207"/>
    <x v="8"/>
    <x v="8"/>
    <x v="1"/>
    <x v="2"/>
    <x v="20"/>
    <x v="136"/>
    <x v="842"/>
    <x v="0"/>
    <s v="PLAZA CAROLINA"/>
    <x v="1"/>
  </r>
  <r>
    <x v="51"/>
    <x v="221"/>
    <x v="2"/>
    <x v="2"/>
    <x v="1"/>
    <x v="2"/>
    <x v="20"/>
    <x v="136"/>
    <x v="751"/>
    <x v="0"/>
    <s v="PLAZA CAROLINA"/>
    <x v="1"/>
  </r>
  <r>
    <x v="51"/>
    <x v="270"/>
    <x v="2"/>
    <x v="2"/>
    <x v="1"/>
    <x v="2"/>
    <x v="20"/>
    <x v="136"/>
    <x v="739"/>
    <x v="0"/>
    <s v="PLAZA CAROLINA"/>
    <x v="1"/>
  </r>
  <r>
    <x v="51"/>
    <x v="188"/>
    <x v="6"/>
    <x v="6"/>
    <x v="1"/>
    <x v="2"/>
    <x v="20"/>
    <x v="136"/>
    <x v="842"/>
    <x v="0"/>
    <s v="PLAZA CAROLINA"/>
    <x v="1"/>
  </r>
  <r>
    <x v="52"/>
    <x v="206"/>
    <x v="7"/>
    <x v="7"/>
    <x v="1"/>
    <x v="2"/>
    <x v="20"/>
    <x v="137"/>
    <x v="2750"/>
    <x v="0"/>
    <s v="PLAZA CORDOBA"/>
    <x v="1"/>
  </r>
  <r>
    <x v="52"/>
    <x v="237"/>
    <x v="7"/>
    <x v="7"/>
    <x v="1"/>
    <x v="2"/>
    <x v="20"/>
    <x v="137"/>
    <x v="742"/>
    <x v="0"/>
    <s v="PLAZA CORDOBA"/>
    <x v="1"/>
  </r>
  <r>
    <x v="52"/>
    <x v="326"/>
    <x v="8"/>
    <x v="8"/>
    <x v="1"/>
    <x v="2"/>
    <x v="20"/>
    <x v="137"/>
    <x v="737"/>
    <x v="0"/>
    <s v="PLAZA CORDOBA"/>
    <x v="1"/>
  </r>
  <r>
    <x v="52"/>
    <x v="244"/>
    <x v="10"/>
    <x v="10"/>
    <x v="1"/>
    <x v="2"/>
    <x v="20"/>
    <x v="137"/>
    <x v="742"/>
    <x v="0"/>
    <s v="PLAZA CORDOBA"/>
    <x v="1"/>
  </r>
  <r>
    <x v="52"/>
    <x v="234"/>
    <x v="11"/>
    <x v="11"/>
    <x v="1"/>
    <x v="2"/>
    <x v="20"/>
    <x v="137"/>
    <x v="748"/>
    <x v="0"/>
    <s v="PLAZA CORDOBA"/>
    <x v="1"/>
  </r>
  <r>
    <x v="53"/>
    <x v="261"/>
    <x v="8"/>
    <x v="8"/>
    <x v="1"/>
    <x v="2"/>
    <x v="20"/>
    <x v="364"/>
    <x v="745"/>
    <x v="0"/>
    <s v="VIA SIMON BOLIVAR"/>
    <x v="1"/>
  </r>
  <r>
    <x v="53"/>
    <x v="216"/>
    <x v="2"/>
    <x v="2"/>
    <x v="1"/>
    <x v="2"/>
    <x v="25"/>
    <x v="332"/>
    <x v="814"/>
    <x v="0"/>
    <s v="VIA SIMON BOLIVAR"/>
    <x v="1"/>
  </r>
  <r>
    <x v="53"/>
    <x v="296"/>
    <x v="6"/>
    <x v="6"/>
    <x v="1"/>
    <x v="2"/>
    <x v="25"/>
    <x v="312"/>
    <x v="814"/>
    <x v="0"/>
    <s v="VIA SIMON BOLIVAR"/>
    <x v="1"/>
  </r>
  <r>
    <x v="53"/>
    <x v="310"/>
    <x v="10"/>
    <x v="10"/>
    <x v="1"/>
    <x v="0"/>
    <x v="25"/>
    <x v="335"/>
    <x v="828"/>
    <x v="0"/>
    <s v="VIA SIMON BOLIVAR"/>
    <x v="1"/>
  </r>
  <r>
    <x v="54"/>
    <x v="327"/>
    <x v="7"/>
    <x v="7"/>
    <x v="1"/>
    <x v="2"/>
    <x v="20"/>
    <x v="138"/>
    <x v="1293"/>
    <x v="0"/>
    <s v="JUSTO AROSEMENA"/>
    <x v="1"/>
  </r>
  <r>
    <x v="54"/>
    <x v="288"/>
    <x v="7"/>
    <x v="7"/>
    <x v="1"/>
    <x v="2"/>
    <x v="20"/>
    <x v="138"/>
    <x v="737"/>
    <x v="0"/>
    <s v="JUSTO AROSEMENA"/>
    <x v="1"/>
  </r>
  <r>
    <x v="54"/>
    <x v="260"/>
    <x v="7"/>
    <x v="7"/>
    <x v="1"/>
    <x v="2"/>
    <x v="20"/>
    <x v="138"/>
    <x v="742"/>
    <x v="0"/>
    <s v="JUSTO AROSEMENA"/>
    <x v="1"/>
  </r>
  <r>
    <x v="54"/>
    <x v="207"/>
    <x v="8"/>
    <x v="8"/>
    <x v="1"/>
    <x v="2"/>
    <x v="20"/>
    <x v="138"/>
    <x v="813"/>
    <x v="0"/>
    <s v="JUSTO AROSEMENA"/>
    <x v="1"/>
  </r>
  <r>
    <x v="54"/>
    <x v="194"/>
    <x v="9"/>
    <x v="9"/>
    <x v="1"/>
    <x v="2"/>
    <x v="20"/>
    <x v="138"/>
    <x v="742"/>
    <x v="0"/>
    <s v="JUSTO AROSEMENA"/>
    <x v="1"/>
  </r>
  <r>
    <x v="54"/>
    <x v="290"/>
    <x v="9"/>
    <x v="9"/>
    <x v="1"/>
    <x v="2"/>
    <x v="20"/>
    <x v="138"/>
    <x v="742"/>
    <x v="0"/>
    <s v="JUSTO AROSEMENA"/>
    <x v="1"/>
  </r>
  <r>
    <x v="54"/>
    <x v="262"/>
    <x v="9"/>
    <x v="9"/>
    <x v="1"/>
    <x v="2"/>
    <x v="60"/>
    <x v="365"/>
    <x v="813"/>
    <x v="0"/>
    <s v="JUSTO AROSEMENA"/>
    <x v="1"/>
  </r>
  <r>
    <x v="54"/>
    <x v="232"/>
    <x v="10"/>
    <x v="10"/>
    <x v="1"/>
    <x v="2"/>
    <x v="25"/>
    <x v="290"/>
    <x v="735"/>
    <x v="0"/>
    <s v="JUSTO AROSEMENA"/>
    <x v="1"/>
  </r>
  <r>
    <x v="54"/>
    <x v="174"/>
    <x v="6"/>
    <x v="6"/>
    <x v="1"/>
    <x v="2"/>
    <x v="20"/>
    <x v="138"/>
    <x v="813"/>
    <x v="0"/>
    <s v="JUSTO AROSEMENA"/>
    <x v="1"/>
  </r>
  <r>
    <x v="55"/>
    <x v="328"/>
    <x v="7"/>
    <x v="7"/>
    <x v="1"/>
    <x v="20"/>
    <x v="26"/>
    <x v="366"/>
    <x v="2751"/>
    <x v="0"/>
    <s v="NEGOCIOS"/>
    <x v="1"/>
  </r>
  <r>
    <x v="55"/>
    <x v="323"/>
    <x v="8"/>
    <x v="8"/>
    <x v="1"/>
    <x v="20"/>
    <x v="26"/>
    <x v="367"/>
    <x v="881"/>
    <x v="0"/>
    <s v="NEGOCIOS"/>
    <x v="1"/>
  </r>
  <r>
    <x v="55"/>
    <x v="262"/>
    <x v="9"/>
    <x v="9"/>
    <x v="1"/>
    <x v="20"/>
    <x v="26"/>
    <x v="368"/>
    <x v="2752"/>
    <x v="0"/>
    <s v="NEGOCIOS"/>
    <x v="1"/>
  </r>
  <r>
    <x v="55"/>
    <x v="219"/>
    <x v="9"/>
    <x v="9"/>
    <x v="1"/>
    <x v="20"/>
    <x v="25"/>
    <x v="308"/>
    <x v="2753"/>
    <x v="0"/>
    <s v="NEGOCIOS"/>
    <x v="1"/>
  </r>
  <r>
    <x v="55"/>
    <x v="255"/>
    <x v="9"/>
    <x v="9"/>
    <x v="1"/>
    <x v="20"/>
    <x v="25"/>
    <x v="293"/>
    <x v="2754"/>
    <x v="0"/>
    <s v="NEGOCIOS"/>
    <x v="1"/>
  </r>
  <r>
    <x v="55"/>
    <x v="248"/>
    <x v="10"/>
    <x v="10"/>
    <x v="1"/>
    <x v="20"/>
    <x v="25"/>
    <x v="304"/>
    <x v="2755"/>
    <x v="0"/>
    <s v="NEGOCIOS"/>
    <x v="1"/>
  </r>
  <r>
    <x v="55"/>
    <x v="200"/>
    <x v="11"/>
    <x v="11"/>
    <x v="1"/>
    <x v="20"/>
    <x v="26"/>
    <x v="351"/>
    <x v="789"/>
    <x v="0"/>
    <s v="NEGOCIOS"/>
    <x v="1"/>
  </r>
  <r>
    <x v="55"/>
    <x v="299"/>
    <x v="11"/>
    <x v="11"/>
    <x v="1"/>
    <x v="20"/>
    <x v="26"/>
    <x v="315"/>
    <x v="1"/>
    <x v="236"/>
    <s v="NEGOCIOS"/>
    <x v="1"/>
  </r>
  <r>
    <x v="55"/>
    <x v="193"/>
    <x v="11"/>
    <x v="11"/>
    <x v="1"/>
    <x v="20"/>
    <x v="26"/>
    <x v="369"/>
    <x v="1183"/>
    <x v="0"/>
    <s v="NEGOCIOS"/>
    <x v="1"/>
  </r>
  <r>
    <x v="55"/>
    <x v="316"/>
    <x v="2"/>
    <x v="2"/>
    <x v="1"/>
    <x v="20"/>
    <x v="26"/>
    <x v="348"/>
    <x v="2756"/>
    <x v="0"/>
    <s v="NEGOCIOS"/>
    <x v="1"/>
  </r>
  <r>
    <x v="55"/>
    <x v="266"/>
    <x v="6"/>
    <x v="6"/>
    <x v="1"/>
    <x v="20"/>
    <x v="26"/>
    <x v="370"/>
    <x v="2757"/>
    <x v="0"/>
    <s v="NEGOCIOS"/>
    <x v="1"/>
  </r>
  <r>
    <x v="55"/>
    <x v="236"/>
    <x v="6"/>
    <x v="6"/>
    <x v="1"/>
    <x v="20"/>
    <x v="26"/>
    <x v="371"/>
    <x v="879"/>
    <x v="0"/>
    <s v="NEGOCIOS"/>
    <x v="1"/>
  </r>
  <r>
    <x v="55"/>
    <x v="314"/>
    <x v="6"/>
    <x v="6"/>
    <x v="1"/>
    <x v="21"/>
    <x v="26"/>
    <x v="372"/>
    <x v="1225"/>
    <x v="0"/>
    <s v="NEGOCIOS"/>
    <x v="1"/>
  </r>
  <r>
    <x v="55"/>
    <x v="215"/>
    <x v="2"/>
    <x v="2"/>
    <x v="1"/>
    <x v="22"/>
    <x v="25"/>
    <x v="322"/>
    <x v="824"/>
    <x v="0"/>
    <s v="NEGOCIOS"/>
    <x v="1"/>
  </r>
  <r>
    <x v="55"/>
    <x v="316"/>
    <x v="2"/>
    <x v="2"/>
    <x v="1"/>
    <x v="22"/>
    <x v="26"/>
    <x v="348"/>
    <x v="2758"/>
    <x v="0"/>
    <s v="NEGOCIOS"/>
    <x v="1"/>
  </r>
  <r>
    <x v="55"/>
    <x v="328"/>
    <x v="7"/>
    <x v="7"/>
    <x v="1"/>
    <x v="23"/>
    <x v="26"/>
    <x v="366"/>
    <x v="2759"/>
    <x v="0"/>
    <s v="NEGOCIOS"/>
    <x v="1"/>
  </r>
  <r>
    <x v="55"/>
    <x v="323"/>
    <x v="8"/>
    <x v="8"/>
    <x v="1"/>
    <x v="23"/>
    <x v="26"/>
    <x v="367"/>
    <x v="2760"/>
    <x v="0"/>
    <s v="NEGOCIOS"/>
    <x v="1"/>
  </r>
  <r>
    <x v="55"/>
    <x v="293"/>
    <x v="9"/>
    <x v="9"/>
    <x v="1"/>
    <x v="23"/>
    <x v="21"/>
    <x v="337"/>
    <x v="2756"/>
    <x v="0"/>
    <s v="NEGOCIOS"/>
    <x v="1"/>
  </r>
  <r>
    <x v="55"/>
    <x v="262"/>
    <x v="9"/>
    <x v="9"/>
    <x v="1"/>
    <x v="23"/>
    <x v="26"/>
    <x v="368"/>
    <x v="2761"/>
    <x v="0"/>
    <s v="NEGOCIOS"/>
    <x v="1"/>
  </r>
  <r>
    <x v="55"/>
    <x v="199"/>
    <x v="10"/>
    <x v="10"/>
    <x v="1"/>
    <x v="23"/>
    <x v="26"/>
    <x v="298"/>
    <x v="2762"/>
    <x v="0"/>
    <s v="NEGOCIOS"/>
    <x v="1"/>
  </r>
  <r>
    <x v="55"/>
    <x v="299"/>
    <x v="11"/>
    <x v="11"/>
    <x v="1"/>
    <x v="23"/>
    <x v="26"/>
    <x v="315"/>
    <x v="1"/>
    <x v="584"/>
    <s v="NEGOCIOS"/>
    <x v="1"/>
  </r>
  <r>
    <x v="55"/>
    <x v="193"/>
    <x v="11"/>
    <x v="11"/>
    <x v="1"/>
    <x v="23"/>
    <x v="26"/>
    <x v="369"/>
    <x v="2763"/>
    <x v="0"/>
    <s v="NEGOCIOS"/>
    <x v="1"/>
  </r>
  <r>
    <x v="55"/>
    <x v="316"/>
    <x v="2"/>
    <x v="2"/>
    <x v="1"/>
    <x v="23"/>
    <x v="26"/>
    <x v="348"/>
    <x v="2764"/>
    <x v="0"/>
    <s v="NEGOCIOS"/>
    <x v="1"/>
  </r>
  <r>
    <x v="55"/>
    <x v="246"/>
    <x v="2"/>
    <x v="2"/>
    <x v="1"/>
    <x v="23"/>
    <x v="25"/>
    <x v="287"/>
    <x v="765"/>
    <x v="0"/>
    <s v="NEGOCIOS"/>
    <x v="1"/>
  </r>
  <r>
    <x v="55"/>
    <x v="266"/>
    <x v="6"/>
    <x v="6"/>
    <x v="1"/>
    <x v="23"/>
    <x v="26"/>
    <x v="370"/>
    <x v="2765"/>
    <x v="0"/>
    <s v="NEGOCIOS"/>
    <x v="1"/>
  </r>
  <r>
    <x v="55"/>
    <x v="259"/>
    <x v="7"/>
    <x v="7"/>
    <x v="1"/>
    <x v="3"/>
    <x v="25"/>
    <x v="355"/>
    <x v="816"/>
    <x v="0"/>
    <s v="NEGOCIOS"/>
    <x v="1"/>
  </r>
  <r>
    <x v="55"/>
    <x v="309"/>
    <x v="7"/>
    <x v="7"/>
    <x v="1"/>
    <x v="3"/>
    <x v="21"/>
    <x v="334"/>
    <x v="146"/>
    <x v="0"/>
    <s v="NEGOCIOS"/>
    <x v="1"/>
  </r>
  <r>
    <x v="55"/>
    <x v="206"/>
    <x v="7"/>
    <x v="7"/>
    <x v="1"/>
    <x v="3"/>
    <x v="21"/>
    <x v="284"/>
    <x v="911"/>
    <x v="0"/>
    <s v="NEGOCIOS"/>
    <x v="1"/>
  </r>
  <r>
    <x v="55"/>
    <x v="254"/>
    <x v="8"/>
    <x v="8"/>
    <x v="1"/>
    <x v="3"/>
    <x v="21"/>
    <x v="326"/>
    <x v="736"/>
    <x v="0"/>
    <s v="NEGOCIOS"/>
    <x v="1"/>
  </r>
  <r>
    <x v="55"/>
    <x v="195"/>
    <x v="8"/>
    <x v="8"/>
    <x v="1"/>
    <x v="3"/>
    <x v="21"/>
    <x v="373"/>
    <x v="736"/>
    <x v="0"/>
    <s v="NEGOCIOS"/>
    <x v="1"/>
  </r>
  <r>
    <x v="55"/>
    <x v="323"/>
    <x v="8"/>
    <x v="8"/>
    <x v="1"/>
    <x v="3"/>
    <x v="21"/>
    <x v="367"/>
    <x v="2766"/>
    <x v="0"/>
    <s v="NEGOCIOS"/>
    <x v="1"/>
  </r>
  <r>
    <x v="55"/>
    <x v="207"/>
    <x v="8"/>
    <x v="8"/>
    <x v="1"/>
    <x v="3"/>
    <x v="25"/>
    <x v="374"/>
    <x v="2767"/>
    <x v="0"/>
    <s v="NEGOCIOS"/>
    <x v="1"/>
  </r>
  <r>
    <x v="55"/>
    <x v="207"/>
    <x v="8"/>
    <x v="8"/>
    <x v="1"/>
    <x v="3"/>
    <x v="21"/>
    <x v="374"/>
    <x v="1132"/>
    <x v="0"/>
    <s v="NEGOCIOS"/>
    <x v="1"/>
  </r>
  <r>
    <x v="55"/>
    <x v="196"/>
    <x v="8"/>
    <x v="8"/>
    <x v="1"/>
    <x v="3"/>
    <x v="25"/>
    <x v="375"/>
    <x v="2768"/>
    <x v="0"/>
    <s v="NEGOCIOS"/>
    <x v="1"/>
  </r>
  <r>
    <x v="55"/>
    <x v="196"/>
    <x v="8"/>
    <x v="8"/>
    <x v="1"/>
    <x v="3"/>
    <x v="21"/>
    <x v="375"/>
    <x v="874"/>
    <x v="0"/>
    <s v="NEGOCIOS"/>
    <x v="1"/>
  </r>
  <r>
    <x v="55"/>
    <x v="226"/>
    <x v="8"/>
    <x v="8"/>
    <x v="1"/>
    <x v="3"/>
    <x v="26"/>
    <x v="376"/>
    <x v="1"/>
    <x v="585"/>
    <s v="NEGOCIOS"/>
    <x v="1"/>
  </r>
  <r>
    <x v="55"/>
    <x v="208"/>
    <x v="8"/>
    <x v="8"/>
    <x v="1"/>
    <x v="3"/>
    <x v="21"/>
    <x v="377"/>
    <x v="1999"/>
    <x v="0"/>
    <s v="NEGOCIOS"/>
    <x v="1"/>
  </r>
  <r>
    <x v="55"/>
    <x v="173"/>
    <x v="8"/>
    <x v="8"/>
    <x v="1"/>
    <x v="3"/>
    <x v="21"/>
    <x v="378"/>
    <x v="2769"/>
    <x v="0"/>
    <s v="NEGOCIOS"/>
    <x v="1"/>
  </r>
  <r>
    <x v="55"/>
    <x v="292"/>
    <x v="9"/>
    <x v="9"/>
    <x v="1"/>
    <x v="3"/>
    <x v="21"/>
    <x v="352"/>
    <x v="146"/>
    <x v="0"/>
    <s v="NEGOCIOS"/>
    <x v="1"/>
  </r>
  <r>
    <x v="55"/>
    <x v="293"/>
    <x v="9"/>
    <x v="9"/>
    <x v="1"/>
    <x v="3"/>
    <x v="25"/>
    <x v="337"/>
    <x v="905"/>
    <x v="0"/>
    <s v="NEGOCIOS"/>
    <x v="1"/>
  </r>
  <r>
    <x v="55"/>
    <x v="238"/>
    <x v="9"/>
    <x v="9"/>
    <x v="1"/>
    <x v="3"/>
    <x v="21"/>
    <x v="379"/>
    <x v="800"/>
    <x v="0"/>
    <s v="NEGOCIOS"/>
    <x v="1"/>
  </r>
  <r>
    <x v="55"/>
    <x v="262"/>
    <x v="9"/>
    <x v="9"/>
    <x v="1"/>
    <x v="3"/>
    <x v="21"/>
    <x v="368"/>
    <x v="782"/>
    <x v="0"/>
    <s v="NEGOCIOS"/>
    <x v="1"/>
  </r>
  <r>
    <x v="55"/>
    <x v="310"/>
    <x v="10"/>
    <x v="10"/>
    <x v="1"/>
    <x v="3"/>
    <x v="25"/>
    <x v="335"/>
    <x v="816"/>
    <x v="0"/>
    <s v="NEGOCIOS"/>
    <x v="1"/>
  </r>
  <r>
    <x v="55"/>
    <x v="329"/>
    <x v="10"/>
    <x v="10"/>
    <x v="1"/>
    <x v="3"/>
    <x v="25"/>
    <x v="380"/>
    <x v="2770"/>
    <x v="0"/>
    <s v="NEGOCIOS"/>
    <x v="1"/>
  </r>
  <r>
    <x v="55"/>
    <x v="233"/>
    <x v="10"/>
    <x v="10"/>
    <x v="1"/>
    <x v="3"/>
    <x v="25"/>
    <x v="344"/>
    <x v="934"/>
    <x v="0"/>
    <s v="NEGOCIOS"/>
    <x v="1"/>
  </r>
  <r>
    <x v="55"/>
    <x v="213"/>
    <x v="11"/>
    <x v="11"/>
    <x v="1"/>
    <x v="3"/>
    <x v="25"/>
    <x v="361"/>
    <x v="816"/>
    <x v="0"/>
    <s v="NEGOCIOS"/>
    <x v="1"/>
  </r>
  <r>
    <x v="55"/>
    <x v="193"/>
    <x v="11"/>
    <x v="11"/>
    <x v="1"/>
    <x v="3"/>
    <x v="25"/>
    <x v="369"/>
    <x v="2771"/>
    <x v="0"/>
    <s v="NEGOCIOS"/>
    <x v="1"/>
  </r>
  <r>
    <x v="55"/>
    <x v="256"/>
    <x v="11"/>
    <x v="11"/>
    <x v="1"/>
    <x v="3"/>
    <x v="26"/>
    <x v="294"/>
    <x v="1"/>
    <x v="178"/>
    <s v="NEGOCIOS"/>
    <x v="1"/>
  </r>
  <r>
    <x v="55"/>
    <x v="330"/>
    <x v="11"/>
    <x v="11"/>
    <x v="1"/>
    <x v="3"/>
    <x v="25"/>
    <x v="381"/>
    <x v="736"/>
    <x v="0"/>
    <s v="NEGOCIOS"/>
    <x v="1"/>
  </r>
  <r>
    <x v="55"/>
    <x v="181"/>
    <x v="11"/>
    <x v="11"/>
    <x v="1"/>
    <x v="3"/>
    <x v="25"/>
    <x v="362"/>
    <x v="736"/>
    <x v="0"/>
    <s v="NEGOCIOS"/>
    <x v="1"/>
  </r>
  <r>
    <x v="55"/>
    <x v="214"/>
    <x v="11"/>
    <x v="11"/>
    <x v="1"/>
    <x v="3"/>
    <x v="25"/>
    <x v="306"/>
    <x v="146"/>
    <x v="0"/>
    <s v="NEGOCIOS"/>
    <x v="1"/>
  </r>
  <r>
    <x v="55"/>
    <x v="294"/>
    <x v="11"/>
    <x v="11"/>
    <x v="1"/>
    <x v="3"/>
    <x v="21"/>
    <x v="382"/>
    <x v="911"/>
    <x v="0"/>
    <s v="NEGOCIOS"/>
    <x v="1"/>
  </r>
  <r>
    <x v="55"/>
    <x v="284"/>
    <x v="2"/>
    <x v="2"/>
    <x v="1"/>
    <x v="3"/>
    <x v="25"/>
    <x v="383"/>
    <x v="146"/>
    <x v="0"/>
    <s v="NEGOCIOS"/>
    <x v="1"/>
  </r>
  <r>
    <x v="55"/>
    <x v="222"/>
    <x v="2"/>
    <x v="2"/>
    <x v="1"/>
    <x v="3"/>
    <x v="25"/>
    <x v="384"/>
    <x v="911"/>
    <x v="0"/>
    <s v="NEGOCIOS"/>
    <x v="1"/>
  </r>
  <r>
    <x v="55"/>
    <x v="270"/>
    <x v="2"/>
    <x v="2"/>
    <x v="1"/>
    <x v="3"/>
    <x v="25"/>
    <x v="363"/>
    <x v="2772"/>
    <x v="0"/>
    <s v="NEGOCIOS"/>
    <x v="1"/>
  </r>
  <r>
    <x v="55"/>
    <x v="276"/>
    <x v="2"/>
    <x v="2"/>
    <x v="1"/>
    <x v="3"/>
    <x v="25"/>
    <x v="385"/>
    <x v="816"/>
    <x v="0"/>
    <s v="NEGOCIOS"/>
    <x v="1"/>
  </r>
  <r>
    <x v="55"/>
    <x v="183"/>
    <x v="2"/>
    <x v="2"/>
    <x v="1"/>
    <x v="3"/>
    <x v="25"/>
    <x v="330"/>
    <x v="1007"/>
    <x v="0"/>
    <s v="NEGOCIOS"/>
    <x v="1"/>
  </r>
  <r>
    <x v="55"/>
    <x v="246"/>
    <x v="2"/>
    <x v="2"/>
    <x v="1"/>
    <x v="3"/>
    <x v="25"/>
    <x v="287"/>
    <x v="816"/>
    <x v="0"/>
    <s v="NEGOCIOS"/>
    <x v="1"/>
  </r>
  <r>
    <x v="55"/>
    <x v="217"/>
    <x v="6"/>
    <x v="6"/>
    <x v="1"/>
    <x v="3"/>
    <x v="25"/>
    <x v="323"/>
    <x v="736"/>
    <x v="0"/>
    <s v="NEGOCIOS"/>
    <x v="1"/>
  </r>
  <r>
    <x v="55"/>
    <x v="265"/>
    <x v="6"/>
    <x v="6"/>
    <x v="1"/>
    <x v="3"/>
    <x v="25"/>
    <x v="386"/>
    <x v="911"/>
    <x v="0"/>
    <s v="NEGOCIOS"/>
    <x v="1"/>
  </r>
  <r>
    <x v="55"/>
    <x v="266"/>
    <x v="6"/>
    <x v="6"/>
    <x v="1"/>
    <x v="3"/>
    <x v="25"/>
    <x v="370"/>
    <x v="816"/>
    <x v="0"/>
    <s v="NEGOCIOS"/>
    <x v="1"/>
  </r>
  <r>
    <x v="55"/>
    <x v="191"/>
    <x v="6"/>
    <x v="6"/>
    <x v="1"/>
    <x v="3"/>
    <x v="25"/>
    <x v="318"/>
    <x v="900"/>
    <x v="0"/>
    <s v="NEGOCIOS"/>
    <x v="1"/>
  </r>
  <r>
    <x v="55"/>
    <x v="251"/>
    <x v="8"/>
    <x v="8"/>
    <x v="1"/>
    <x v="24"/>
    <x v="21"/>
    <x v="291"/>
    <x v="735"/>
    <x v="0"/>
    <s v="NEGOCIOS"/>
    <x v="1"/>
  </r>
  <r>
    <x v="55"/>
    <x v="327"/>
    <x v="7"/>
    <x v="7"/>
    <x v="1"/>
    <x v="4"/>
    <x v="21"/>
    <x v="387"/>
    <x v="146"/>
    <x v="0"/>
    <s v="NEGOCIOS"/>
    <x v="1"/>
  </r>
  <r>
    <x v="55"/>
    <x v="206"/>
    <x v="7"/>
    <x v="7"/>
    <x v="1"/>
    <x v="4"/>
    <x v="21"/>
    <x v="284"/>
    <x v="814"/>
    <x v="0"/>
    <s v="NEGOCIOS"/>
    <x v="1"/>
  </r>
  <r>
    <x v="55"/>
    <x v="254"/>
    <x v="8"/>
    <x v="8"/>
    <x v="1"/>
    <x v="4"/>
    <x v="21"/>
    <x v="326"/>
    <x v="874"/>
    <x v="0"/>
    <s v="NEGOCIOS"/>
    <x v="1"/>
  </r>
  <r>
    <x v="55"/>
    <x v="318"/>
    <x v="8"/>
    <x v="8"/>
    <x v="1"/>
    <x v="4"/>
    <x v="21"/>
    <x v="388"/>
    <x v="146"/>
    <x v="0"/>
    <s v="NEGOCIOS"/>
    <x v="1"/>
  </r>
  <r>
    <x v="55"/>
    <x v="196"/>
    <x v="8"/>
    <x v="8"/>
    <x v="1"/>
    <x v="4"/>
    <x v="21"/>
    <x v="375"/>
    <x v="1355"/>
    <x v="0"/>
    <s v="NEGOCIOS"/>
    <x v="1"/>
  </r>
  <r>
    <x v="55"/>
    <x v="291"/>
    <x v="9"/>
    <x v="9"/>
    <x v="1"/>
    <x v="4"/>
    <x v="25"/>
    <x v="303"/>
    <x v="1580"/>
    <x v="0"/>
    <s v="NEGOCIOS"/>
    <x v="1"/>
  </r>
  <r>
    <x v="55"/>
    <x v="268"/>
    <x v="10"/>
    <x v="10"/>
    <x v="1"/>
    <x v="4"/>
    <x v="25"/>
    <x v="339"/>
    <x v="2773"/>
    <x v="0"/>
    <s v="NEGOCIOS"/>
    <x v="1"/>
  </r>
  <r>
    <x v="55"/>
    <x v="220"/>
    <x v="11"/>
    <x v="11"/>
    <x v="1"/>
    <x v="4"/>
    <x v="26"/>
    <x v="309"/>
    <x v="2774"/>
    <x v="0"/>
    <s v="NEGOCIOS"/>
    <x v="1"/>
  </r>
  <r>
    <x v="55"/>
    <x v="193"/>
    <x v="11"/>
    <x v="11"/>
    <x v="1"/>
    <x v="4"/>
    <x v="25"/>
    <x v="369"/>
    <x v="146"/>
    <x v="0"/>
    <s v="NEGOCIOS"/>
    <x v="1"/>
  </r>
  <r>
    <x v="55"/>
    <x v="330"/>
    <x v="11"/>
    <x v="11"/>
    <x v="1"/>
    <x v="4"/>
    <x v="25"/>
    <x v="381"/>
    <x v="2775"/>
    <x v="0"/>
    <s v="NEGOCIOS"/>
    <x v="1"/>
  </r>
  <r>
    <x v="55"/>
    <x v="284"/>
    <x v="2"/>
    <x v="2"/>
    <x v="1"/>
    <x v="4"/>
    <x v="25"/>
    <x v="383"/>
    <x v="1010"/>
    <x v="0"/>
    <s v="NEGOCIOS"/>
    <x v="1"/>
  </r>
  <r>
    <x v="55"/>
    <x v="276"/>
    <x v="2"/>
    <x v="2"/>
    <x v="1"/>
    <x v="4"/>
    <x v="25"/>
    <x v="385"/>
    <x v="2776"/>
    <x v="0"/>
    <s v="NEGOCIOS"/>
    <x v="1"/>
  </r>
  <r>
    <x v="55"/>
    <x v="314"/>
    <x v="6"/>
    <x v="6"/>
    <x v="1"/>
    <x v="4"/>
    <x v="26"/>
    <x v="372"/>
    <x v="736"/>
    <x v="0"/>
    <s v="NEGOCIOS"/>
    <x v="1"/>
  </r>
  <r>
    <x v="55"/>
    <x v="266"/>
    <x v="6"/>
    <x v="6"/>
    <x v="1"/>
    <x v="4"/>
    <x v="26"/>
    <x v="370"/>
    <x v="2777"/>
    <x v="0"/>
    <s v="NEGOCIOS"/>
    <x v="1"/>
  </r>
  <r>
    <x v="55"/>
    <x v="308"/>
    <x v="7"/>
    <x v="7"/>
    <x v="1"/>
    <x v="5"/>
    <x v="21"/>
    <x v="333"/>
    <x v="2778"/>
    <x v="0"/>
    <s v="NEGOCIOS"/>
    <x v="1"/>
  </r>
  <r>
    <x v="55"/>
    <x v="258"/>
    <x v="7"/>
    <x v="7"/>
    <x v="1"/>
    <x v="5"/>
    <x v="21"/>
    <x v="349"/>
    <x v="2779"/>
    <x v="0"/>
    <s v="NEGOCIOS"/>
    <x v="1"/>
  </r>
  <r>
    <x v="55"/>
    <x v="192"/>
    <x v="8"/>
    <x v="8"/>
    <x v="1"/>
    <x v="5"/>
    <x v="25"/>
    <x v="300"/>
    <x v="2780"/>
    <x v="0"/>
    <s v="NEGOCIOS"/>
    <x v="1"/>
  </r>
  <r>
    <x v="55"/>
    <x v="175"/>
    <x v="9"/>
    <x v="9"/>
    <x v="1"/>
    <x v="5"/>
    <x v="26"/>
    <x v="389"/>
    <x v="2781"/>
    <x v="0"/>
    <s v="NEGOCIOS"/>
    <x v="1"/>
  </r>
  <r>
    <x v="55"/>
    <x v="194"/>
    <x v="9"/>
    <x v="9"/>
    <x v="1"/>
    <x v="5"/>
    <x v="21"/>
    <x v="390"/>
    <x v="2782"/>
    <x v="0"/>
    <s v="NEGOCIOS"/>
    <x v="1"/>
  </r>
  <r>
    <x v="55"/>
    <x v="211"/>
    <x v="9"/>
    <x v="9"/>
    <x v="1"/>
    <x v="5"/>
    <x v="25"/>
    <x v="286"/>
    <x v="2783"/>
    <x v="0"/>
    <s v="NEGOCIOS"/>
    <x v="1"/>
  </r>
  <r>
    <x v="55"/>
    <x v="331"/>
    <x v="9"/>
    <x v="9"/>
    <x v="1"/>
    <x v="5"/>
    <x v="25"/>
    <x v="391"/>
    <x v="2784"/>
    <x v="0"/>
    <s v="NEGOCIOS"/>
    <x v="1"/>
  </r>
  <r>
    <x v="55"/>
    <x v="255"/>
    <x v="9"/>
    <x v="9"/>
    <x v="1"/>
    <x v="5"/>
    <x v="21"/>
    <x v="293"/>
    <x v="2785"/>
    <x v="0"/>
    <s v="NEGOCIOS"/>
    <x v="1"/>
  </r>
  <r>
    <x v="55"/>
    <x v="248"/>
    <x v="10"/>
    <x v="10"/>
    <x v="1"/>
    <x v="5"/>
    <x v="25"/>
    <x v="304"/>
    <x v="2786"/>
    <x v="0"/>
    <s v="NEGOCIOS"/>
    <x v="1"/>
  </r>
  <r>
    <x v="55"/>
    <x v="233"/>
    <x v="10"/>
    <x v="10"/>
    <x v="1"/>
    <x v="5"/>
    <x v="21"/>
    <x v="344"/>
    <x v="2787"/>
    <x v="0"/>
    <s v="NEGOCIOS"/>
    <x v="1"/>
  </r>
  <r>
    <x v="55"/>
    <x v="182"/>
    <x v="2"/>
    <x v="2"/>
    <x v="1"/>
    <x v="5"/>
    <x v="26"/>
    <x v="392"/>
    <x v="2788"/>
    <x v="0"/>
    <s v="NEGOCIOS"/>
    <x v="1"/>
  </r>
  <r>
    <x v="55"/>
    <x v="295"/>
    <x v="2"/>
    <x v="2"/>
    <x v="1"/>
    <x v="5"/>
    <x v="25"/>
    <x v="310"/>
    <x v="2782"/>
    <x v="0"/>
    <s v="NEGOCIOS"/>
    <x v="1"/>
  </r>
  <r>
    <x v="55"/>
    <x v="235"/>
    <x v="2"/>
    <x v="2"/>
    <x v="1"/>
    <x v="5"/>
    <x v="25"/>
    <x v="393"/>
    <x v="2789"/>
    <x v="0"/>
    <s v="NEGOCIOS"/>
    <x v="1"/>
  </r>
  <r>
    <x v="55"/>
    <x v="246"/>
    <x v="2"/>
    <x v="2"/>
    <x v="1"/>
    <x v="5"/>
    <x v="25"/>
    <x v="287"/>
    <x v="2790"/>
    <x v="0"/>
    <s v="NEGOCIOS"/>
    <x v="1"/>
  </r>
  <r>
    <x v="55"/>
    <x v="312"/>
    <x v="2"/>
    <x v="2"/>
    <x v="1"/>
    <x v="5"/>
    <x v="26"/>
    <x v="394"/>
    <x v="1"/>
    <x v="586"/>
    <s v="NEGOCIOS"/>
    <x v="1"/>
  </r>
  <r>
    <x v="55"/>
    <x v="281"/>
    <x v="6"/>
    <x v="6"/>
    <x v="1"/>
    <x v="5"/>
    <x v="26"/>
    <x v="395"/>
    <x v="2791"/>
    <x v="0"/>
    <s v="NEGOCIOS"/>
    <x v="1"/>
  </r>
  <r>
    <x v="55"/>
    <x v="277"/>
    <x v="7"/>
    <x v="7"/>
    <x v="1"/>
    <x v="6"/>
    <x v="25"/>
    <x v="325"/>
    <x v="925"/>
    <x v="0"/>
    <s v="NEGOCIOS"/>
    <x v="1"/>
  </r>
  <r>
    <x v="55"/>
    <x v="259"/>
    <x v="7"/>
    <x v="7"/>
    <x v="1"/>
    <x v="6"/>
    <x v="21"/>
    <x v="355"/>
    <x v="966"/>
    <x v="0"/>
    <s v="NEGOCIOS"/>
    <x v="1"/>
  </r>
  <r>
    <x v="55"/>
    <x v="252"/>
    <x v="7"/>
    <x v="7"/>
    <x v="1"/>
    <x v="6"/>
    <x v="21"/>
    <x v="396"/>
    <x v="759"/>
    <x v="0"/>
    <s v="NEGOCIOS"/>
    <x v="1"/>
  </r>
  <r>
    <x v="55"/>
    <x v="332"/>
    <x v="7"/>
    <x v="7"/>
    <x v="1"/>
    <x v="6"/>
    <x v="21"/>
    <x v="397"/>
    <x v="907"/>
    <x v="0"/>
    <s v="NEGOCIOS"/>
    <x v="1"/>
  </r>
  <r>
    <x v="55"/>
    <x v="192"/>
    <x v="8"/>
    <x v="8"/>
    <x v="1"/>
    <x v="6"/>
    <x v="25"/>
    <x v="300"/>
    <x v="925"/>
    <x v="0"/>
    <s v="NEGOCIOS"/>
    <x v="1"/>
  </r>
  <r>
    <x v="55"/>
    <x v="320"/>
    <x v="8"/>
    <x v="8"/>
    <x v="1"/>
    <x v="6"/>
    <x v="25"/>
    <x v="398"/>
    <x v="2792"/>
    <x v="0"/>
    <s v="NEGOCIOS"/>
    <x v="1"/>
  </r>
  <r>
    <x v="55"/>
    <x v="207"/>
    <x v="8"/>
    <x v="8"/>
    <x v="1"/>
    <x v="6"/>
    <x v="26"/>
    <x v="374"/>
    <x v="2793"/>
    <x v="0"/>
    <s v="NEGOCIOS"/>
    <x v="1"/>
  </r>
  <r>
    <x v="55"/>
    <x v="196"/>
    <x v="8"/>
    <x v="8"/>
    <x v="1"/>
    <x v="6"/>
    <x v="21"/>
    <x v="375"/>
    <x v="1165"/>
    <x v="0"/>
    <s v="NEGOCIOS"/>
    <x v="1"/>
  </r>
  <r>
    <x v="55"/>
    <x v="208"/>
    <x v="8"/>
    <x v="8"/>
    <x v="1"/>
    <x v="6"/>
    <x v="25"/>
    <x v="377"/>
    <x v="953"/>
    <x v="0"/>
    <s v="NEGOCIOS"/>
    <x v="1"/>
  </r>
  <r>
    <x v="55"/>
    <x v="319"/>
    <x v="8"/>
    <x v="8"/>
    <x v="1"/>
    <x v="6"/>
    <x v="21"/>
    <x v="350"/>
    <x v="2794"/>
    <x v="0"/>
    <s v="NEGOCIOS"/>
    <x v="1"/>
  </r>
  <r>
    <x v="55"/>
    <x v="319"/>
    <x v="8"/>
    <x v="8"/>
    <x v="1"/>
    <x v="6"/>
    <x v="26"/>
    <x v="350"/>
    <x v="2795"/>
    <x v="0"/>
    <s v="NEGOCIOS"/>
    <x v="1"/>
  </r>
  <r>
    <x v="55"/>
    <x v="306"/>
    <x v="9"/>
    <x v="9"/>
    <x v="1"/>
    <x v="6"/>
    <x v="25"/>
    <x v="336"/>
    <x v="925"/>
    <x v="0"/>
    <s v="NEGOCIOS"/>
    <x v="1"/>
  </r>
  <r>
    <x v="55"/>
    <x v="227"/>
    <x v="9"/>
    <x v="9"/>
    <x v="1"/>
    <x v="6"/>
    <x v="21"/>
    <x v="399"/>
    <x v="2796"/>
    <x v="0"/>
    <s v="NEGOCIOS"/>
    <x v="1"/>
  </r>
  <r>
    <x v="55"/>
    <x v="238"/>
    <x v="9"/>
    <x v="9"/>
    <x v="1"/>
    <x v="6"/>
    <x v="21"/>
    <x v="379"/>
    <x v="843"/>
    <x v="0"/>
    <s v="NEGOCIOS"/>
    <x v="1"/>
  </r>
  <r>
    <x v="55"/>
    <x v="333"/>
    <x v="9"/>
    <x v="9"/>
    <x v="1"/>
    <x v="6"/>
    <x v="21"/>
    <x v="400"/>
    <x v="1931"/>
    <x v="0"/>
    <s v="NEGOCIOS"/>
    <x v="1"/>
  </r>
  <r>
    <x v="55"/>
    <x v="211"/>
    <x v="9"/>
    <x v="9"/>
    <x v="1"/>
    <x v="6"/>
    <x v="25"/>
    <x v="286"/>
    <x v="2797"/>
    <x v="0"/>
    <s v="NEGOCIOS"/>
    <x v="1"/>
  </r>
  <r>
    <x v="55"/>
    <x v="331"/>
    <x v="9"/>
    <x v="9"/>
    <x v="1"/>
    <x v="6"/>
    <x v="25"/>
    <x v="391"/>
    <x v="2798"/>
    <x v="0"/>
    <s v="NEGOCIOS"/>
    <x v="1"/>
  </r>
  <r>
    <x v="55"/>
    <x v="331"/>
    <x v="9"/>
    <x v="9"/>
    <x v="1"/>
    <x v="6"/>
    <x v="26"/>
    <x v="391"/>
    <x v="2799"/>
    <x v="0"/>
    <s v="NEGOCIOS"/>
    <x v="1"/>
  </r>
  <r>
    <x v="55"/>
    <x v="255"/>
    <x v="9"/>
    <x v="9"/>
    <x v="1"/>
    <x v="6"/>
    <x v="25"/>
    <x v="293"/>
    <x v="2800"/>
    <x v="0"/>
    <s v="NEGOCIOS"/>
    <x v="1"/>
  </r>
  <r>
    <x v="55"/>
    <x v="255"/>
    <x v="9"/>
    <x v="9"/>
    <x v="1"/>
    <x v="6"/>
    <x v="21"/>
    <x v="293"/>
    <x v="1024"/>
    <x v="0"/>
    <s v="NEGOCIOS"/>
    <x v="1"/>
  </r>
  <r>
    <x v="55"/>
    <x v="230"/>
    <x v="9"/>
    <x v="9"/>
    <x v="1"/>
    <x v="6"/>
    <x v="25"/>
    <x v="283"/>
    <x v="1220"/>
    <x v="0"/>
    <s v="NEGOCIOS"/>
    <x v="1"/>
  </r>
  <r>
    <x v="55"/>
    <x v="286"/>
    <x v="10"/>
    <x v="10"/>
    <x v="1"/>
    <x v="6"/>
    <x v="25"/>
    <x v="297"/>
    <x v="925"/>
    <x v="0"/>
    <s v="NEGOCIOS"/>
    <x v="1"/>
  </r>
  <r>
    <x v="55"/>
    <x v="310"/>
    <x v="10"/>
    <x v="10"/>
    <x v="1"/>
    <x v="6"/>
    <x v="26"/>
    <x v="335"/>
    <x v="852"/>
    <x v="0"/>
    <s v="NEGOCIOS"/>
    <x v="1"/>
  </r>
  <r>
    <x v="55"/>
    <x v="317"/>
    <x v="10"/>
    <x v="10"/>
    <x v="1"/>
    <x v="6"/>
    <x v="25"/>
    <x v="401"/>
    <x v="2801"/>
    <x v="0"/>
    <s v="NEGOCIOS"/>
    <x v="1"/>
  </r>
  <r>
    <x v="55"/>
    <x v="231"/>
    <x v="10"/>
    <x v="10"/>
    <x v="1"/>
    <x v="6"/>
    <x v="21"/>
    <x v="402"/>
    <x v="2802"/>
    <x v="0"/>
    <s v="NEGOCIOS"/>
    <x v="1"/>
  </r>
  <r>
    <x v="55"/>
    <x v="248"/>
    <x v="10"/>
    <x v="10"/>
    <x v="1"/>
    <x v="6"/>
    <x v="25"/>
    <x v="304"/>
    <x v="2803"/>
    <x v="0"/>
    <s v="NEGOCIOS"/>
    <x v="1"/>
  </r>
  <r>
    <x v="55"/>
    <x v="199"/>
    <x v="10"/>
    <x v="10"/>
    <x v="1"/>
    <x v="6"/>
    <x v="25"/>
    <x v="298"/>
    <x v="848"/>
    <x v="0"/>
    <s v="NEGOCIOS"/>
    <x v="1"/>
  </r>
  <r>
    <x v="55"/>
    <x v="269"/>
    <x v="11"/>
    <x v="11"/>
    <x v="1"/>
    <x v="6"/>
    <x v="25"/>
    <x v="403"/>
    <x v="413"/>
    <x v="0"/>
    <s v="NEGOCIOS"/>
    <x v="1"/>
  </r>
  <r>
    <x v="55"/>
    <x v="200"/>
    <x v="11"/>
    <x v="11"/>
    <x v="1"/>
    <x v="6"/>
    <x v="25"/>
    <x v="351"/>
    <x v="2804"/>
    <x v="0"/>
    <s v="NEGOCIOS"/>
    <x v="1"/>
  </r>
  <r>
    <x v="55"/>
    <x v="193"/>
    <x v="11"/>
    <x v="11"/>
    <x v="1"/>
    <x v="6"/>
    <x v="25"/>
    <x v="369"/>
    <x v="146"/>
    <x v="0"/>
    <s v="NEGOCIOS"/>
    <x v="1"/>
  </r>
  <r>
    <x v="55"/>
    <x v="330"/>
    <x v="11"/>
    <x v="11"/>
    <x v="1"/>
    <x v="6"/>
    <x v="25"/>
    <x v="381"/>
    <x v="2805"/>
    <x v="0"/>
    <s v="NEGOCIOS"/>
    <x v="1"/>
  </r>
  <r>
    <x v="55"/>
    <x v="214"/>
    <x v="11"/>
    <x v="11"/>
    <x v="1"/>
    <x v="6"/>
    <x v="25"/>
    <x v="306"/>
    <x v="2806"/>
    <x v="0"/>
    <s v="NEGOCIOS"/>
    <x v="1"/>
  </r>
  <r>
    <x v="55"/>
    <x v="274"/>
    <x v="11"/>
    <x v="11"/>
    <x v="1"/>
    <x v="6"/>
    <x v="25"/>
    <x v="404"/>
    <x v="761"/>
    <x v="0"/>
    <s v="NEGOCIOS"/>
    <x v="1"/>
  </r>
  <r>
    <x v="55"/>
    <x v="315"/>
    <x v="2"/>
    <x v="2"/>
    <x v="1"/>
    <x v="6"/>
    <x v="25"/>
    <x v="405"/>
    <x v="810"/>
    <x v="0"/>
    <s v="NEGOCIOS"/>
    <x v="1"/>
  </r>
  <r>
    <x v="55"/>
    <x v="334"/>
    <x v="2"/>
    <x v="2"/>
    <x v="1"/>
    <x v="6"/>
    <x v="26"/>
    <x v="406"/>
    <x v="2807"/>
    <x v="0"/>
    <s v="NEGOCIOS"/>
    <x v="1"/>
  </r>
  <r>
    <x v="55"/>
    <x v="222"/>
    <x v="2"/>
    <x v="2"/>
    <x v="1"/>
    <x v="6"/>
    <x v="25"/>
    <x v="384"/>
    <x v="891"/>
    <x v="0"/>
    <s v="NEGOCIOS"/>
    <x v="1"/>
  </r>
  <r>
    <x v="55"/>
    <x v="182"/>
    <x v="2"/>
    <x v="2"/>
    <x v="1"/>
    <x v="6"/>
    <x v="25"/>
    <x v="392"/>
    <x v="2808"/>
    <x v="0"/>
    <s v="NEGOCIOS"/>
    <x v="1"/>
  </r>
  <r>
    <x v="55"/>
    <x v="270"/>
    <x v="2"/>
    <x v="2"/>
    <x v="1"/>
    <x v="6"/>
    <x v="25"/>
    <x v="363"/>
    <x v="772"/>
    <x v="0"/>
    <s v="NEGOCIOS"/>
    <x v="1"/>
  </r>
  <r>
    <x v="55"/>
    <x v="276"/>
    <x v="2"/>
    <x v="2"/>
    <x v="1"/>
    <x v="6"/>
    <x v="25"/>
    <x v="385"/>
    <x v="899"/>
    <x v="0"/>
    <s v="NEGOCIOS"/>
    <x v="1"/>
  </r>
  <r>
    <x v="55"/>
    <x v="276"/>
    <x v="2"/>
    <x v="2"/>
    <x v="1"/>
    <x v="6"/>
    <x v="21"/>
    <x v="385"/>
    <x v="1024"/>
    <x v="0"/>
    <s v="NEGOCIOS"/>
    <x v="1"/>
  </r>
  <r>
    <x v="55"/>
    <x v="304"/>
    <x v="2"/>
    <x v="2"/>
    <x v="1"/>
    <x v="6"/>
    <x v="25"/>
    <x v="329"/>
    <x v="782"/>
    <x v="0"/>
    <s v="NEGOCIOS"/>
    <x v="1"/>
  </r>
  <r>
    <x v="55"/>
    <x v="183"/>
    <x v="2"/>
    <x v="2"/>
    <x v="1"/>
    <x v="6"/>
    <x v="25"/>
    <x v="330"/>
    <x v="2809"/>
    <x v="0"/>
    <s v="NEGOCIOS"/>
    <x v="1"/>
  </r>
  <r>
    <x v="55"/>
    <x v="246"/>
    <x v="2"/>
    <x v="2"/>
    <x v="1"/>
    <x v="6"/>
    <x v="25"/>
    <x v="287"/>
    <x v="840"/>
    <x v="0"/>
    <s v="NEGOCIOS"/>
    <x v="1"/>
  </r>
  <r>
    <x v="55"/>
    <x v="264"/>
    <x v="6"/>
    <x v="6"/>
    <x v="1"/>
    <x v="6"/>
    <x v="25"/>
    <x v="311"/>
    <x v="1849"/>
    <x v="0"/>
    <s v="NEGOCIOS"/>
    <x v="1"/>
  </r>
  <r>
    <x v="55"/>
    <x v="265"/>
    <x v="6"/>
    <x v="6"/>
    <x v="1"/>
    <x v="6"/>
    <x v="25"/>
    <x v="386"/>
    <x v="824"/>
    <x v="0"/>
    <s v="NEGOCIOS"/>
    <x v="1"/>
  </r>
  <r>
    <x v="55"/>
    <x v="305"/>
    <x v="6"/>
    <x v="6"/>
    <x v="1"/>
    <x v="6"/>
    <x v="21"/>
    <x v="331"/>
    <x v="2810"/>
    <x v="0"/>
    <s v="NEGOCIOS"/>
    <x v="1"/>
  </r>
  <r>
    <x v="55"/>
    <x v="305"/>
    <x v="6"/>
    <x v="6"/>
    <x v="1"/>
    <x v="6"/>
    <x v="25"/>
    <x v="331"/>
    <x v="801"/>
    <x v="0"/>
    <s v="NEGOCIOS"/>
    <x v="1"/>
  </r>
  <r>
    <x v="55"/>
    <x v="236"/>
    <x v="6"/>
    <x v="6"/>
    <x v="1"/>
    <x v="6"/>
    <x v="26"/>
    <x v="371"/>
    <x v="2811"/>
    <x v="0"/>
    <s v="NEGOCIOS"/>
    <x v="1"/>
  </r>
  <r>
    <x v="55"/>
    <x v="236"/>
    <x v="6"/>
    <x v="6"/>
    <x v="1"/>
    <x v="6"/>
    <x v="25"/>
    <x v="371"/>
    <x v="899"/>
    <x v="0"/>
    <s v="NEGOCIOS"/>
    <x v="1"/>
  </r>
  <r>
    <x v="55"/>
    <x v="188"/>
    <x v="6"/>
    <x v="6"/>
    <x v="1"/>
    <x v="6"/>
    <x v="26"/>
    <x v="407"/>
    <x v="2812"/>
    <x v="0"/>
    <s v="NEGOCIOS"/>
    <x v="1"/>
  </r>
  <r>
    <x v="55"/>
    <x v="313"/>
    <x v="6"/>
    <x v="6"/>
    <x v="1"/>
    <x v="6"/>
    <x v="25"/>
    <x v="341"/>
    <x v="759"/>
    <x v="0"/>
    <s v="NEGOCIOS"/>
    <x v="1"/>
  </r>
  <r>
    <x v="55"/>
    <x v="335"/>
    <x v="6"/>
    <x v="6"/>
    <x v="1"/>
    <x v="6"/>
    <x v="25"/>
    <x v="408"/>
    <x v="1132"/>
    <x v="0"/>
    <s v="NEGOCIOS"/>
    <x v="1"/>
  </r>
  <r>
    <x v="55"/>
    <x v="174"/>
    <x v="6"/>
    <x v="6"/>
    <x v="1"/>
    <x v="6"/>
    <x v="25"/>
    <x v="282"/>
    <x v="2813"/>
    <x v="0"/>
    <s v="NEGOCIOS"/>
    <x v="1"/>
  </r>
  <r>
    <x v="55"/>
    <x v="229"/>
    <x v="6"/>
    <x v="6"/>
    <x v="1"/>
    <x v="6"/>
    <x v="25"/>
    <x v="281"/>
    <x v="1021"/>
    <x v="0"/>
    <s v="NEGOCIOS"/>
    <x v="1"/>
  </r>
  <r>
    <x v="55"/>
    <x v="190"/>
    <x v="6"/>
    <x v="6"/>
    <x v="1"/>
    <x v="6"/>
    <x v="26"/>
    <x v="342"/>
    <x v="1"/>
    <x v="355"/>
    <s v="NEGOCIOS"/>
    <x v="1"/>
  </r>
  <r>
    <x v="55"/>
    <x v="191"/>
    <x v="6"/>
    <x v="6"/>
    <x v="1"/>
    <x v="6"/>
    <x v="25"/>
    <x v="318"/>
    <x v="765"/>
    <x v="0"/>
    <s v="NEGOCIOS"/>
    <x v="1"/>
  </r>
  <r>
    <x v="55"/>
    <x v="200"/>
    <x v="11"/>
    <x v="11"/>
    <x v="1"/>
    <x v="2"/>
    <x v="21"/>
    <x v="351"/>
    <x v="846"/>
    <x v="0"/>
    <s v="NEGOCIOS"/>
    <x v="1"/>
  </r>
  <r>
    <x v="55"/>
    <x v="216"/>
    <x v="2"/>
    <x v="2"/>
    <x v="1"/>
    <x v="2"/>
    <x v="25"/>
    <x v="332"/>
    <x v="187"/>
    <x v="0"/>
    <s v="NEGOCIOS"/>
    <x v="1"/>
  </r>
  <r>
    <x v="55"/>
    <x v="175"/>
    <x v="9"/>
    <x v="9"/>
    <x v="1"/>
    <x v="38"/>
    <x v="21"/>
    <x v="389"/>
    <x v="925"/>
    <x v="0"/>
    <s v="NEGOCIOS"/>
    <x v="1"/>
  </r>
  <r>
    <x v="55"/>
    <x v="193"/>
    <x v="11"/>
    <x v="11"/>
    <x v="1"/>
    <x v="7"/>
    <x v="25"/>
    <x v="369"/>
    <x v="2814"/>
    <x v="0"/>
    <s v="NEGOCIOS"/>
    <x v="1"/>
  </r>
  <r>
    <x v="55"/>
    <x v="276"/>
    <x v="2"/>
    <x v="2"/>
    <x v="1"/>
    <x v="7"/>
    <x v="25"/>
    <x v="385"/>
    <x v="2815"/>
    <x v="0"/>
    <s v="NEGOCIOS"/>
    <x v="1"/>
  </r>
  <r>
    <x v="55"/>
    <x v="217"/>
    <x v="6"/>
    <x v="6"/>
    <x v="1"/>
    <x v="7"/>
    <x v="26"/>
    <x v="323"/>
    <x v="2816"/>
    <x v="0"/>
    <s v="NEGOCIOS"/>
    <x v="1"/>
  </r>
  <r>
    <x v="55"/>
    <x v="314"/>
    <x v="6"/>
    <x v="6"/>
    <x v="1"/>
    <x v="7"/>
    <x v="25"/>
    <x v="372"/>
    <x v="782"/>
    <x v="0"/>
    <s v="NEGOCIOS"/>
    <x v="1"/>
  </r>
  <r>
    <x v="55"/>
    <x v="266"/>
    <x v="6"/>
    <x v="6"/>
    <x v="1"/>
    <x v="7"/>
    <x v="26"/>
    <x v="370"/>
    <x v="2817"/>
    <x v="0"/>
    <s v="NEGOCIOS"/>
    <x v="1"/>
  </r>
  <r>
    <x v="55"/>
    <x v="296"/>
    <x v="6"/>
    <x v="6"/>
    <x v="1"/>
    <x v="7"/>
    <x v="25"/>
    <x v="312"/>
    <x v="1455"/>
    <x v="0"/>
    <s v="NEGOCIOS"/>
    <x v="1"/>
  </r>
  <r>
    <x v="55"/>
    <x v="297"/>
    <x v="6"/>
    <x v="6"/>
    <x v="1"/>
    <x v="7"/>
    <x v="25"/>
    <x v="313"/>
    <x v="2818"/>
    <x v="0"/>
    <s v="NEGOCIOS"/>
    <x v="1"/>
  </r>
  <r>
    <x v="55"/>
    <x v="285"/>
    <x v="6"/>
    <x v="6"/>
    <x v="1"/>
    <x v="39"/>
    <x v="21"/>
    <x v="409"/>
    <x v="2819"/>
    <x v="0"/>
    <s v="NEGOCIOS"/>
    <x v="1"/>
  </r>
  <r>
    <x v="55"/>
    <x v="257"/>
    <x v="2"/>
    <x v="2"/>
    <x v="1"/>
    <x v="35"/>
    <x v="26"/>
    <x v="410"/>
    <x v="2820"/>
    <x v="0"/>
    <s v="NEGOCIOS"/>
    <x v="1"/>
  </r>
  <r>
    <x v="55"/>
    <x v="285"/>
    <x v="6"/>
    <x v="6"/>
    <x v="1"/>
    <x v="35"/>
    <x v="26"/>
    <x v="409"/>
    <x v="1"/>
    <x v="587"/>
    <s v="NEGOCIOS"/>
    <x v="1"/>
  </r>
  <r>
    <x v="55"/>
    <x v="292"/>
    <x v="9"/>
    <x v="9"/>
    <x v="1"/>
    <x v="8"/>
    <x v="21"/>
    <x v="352"/>
    <x v="146"/>
    <x v="0"/>
    <s v="NEGOCIOS"/>
    <x v="1"/>
  </r>
  <r>
    <x v="55"/>
    <x v="238"/>
    <x v="9"/>
    <x v="9"/>
    <x v="1"/>
    <x v="8"/>
    <x v="21"/>
    <x v="379"/>
    <x v="2821"/>
    <x v="0"/>
    <s v="NEGOCIOS"/>
    <x v="1"/>
  </r>
  <r>
    <x v="55"/>
    <x v="211"/>
    <x v="9"/>
    <x v="9"/>
    <x v="1"/>
    <x v="8"/>
    <x v="25"/>
    <x v="286"/>
    <x v="1245"/>
    <x v="0"/>
    <s v="NEGOCIOS"/>
    <x v="1"/>
  </r>
  <r>
    <x v="55"/>
    <x v="198"/>
    <x v="10"/>
    <x v="10"/>
    <x v="1"/>
    <x v="8"/>
    <x v="25"/>
    <x v="338"/>
    <x v="2822"/>
    <x v="0"/>
    <s v="NEGOCIOS"/>
    <x v="1"/>
  </r>
  <r>
    <x v="55"/>
    <x v="243"/>
    <x v="10"/>
    <x v="10"/>
    <x v="1"/>
    <x v="8"/>
    <x v="25"/>
    <x v="411"/>
    <x v="2823"/>
    <x v="0"/>
    <s v="NEGOCIOS"/>
    <x v="1"/>
  </r>
  <r>
    <x v="55"/>
    <x v="248"/>
    <x v="10"/>
    <x v="10"/>
    <x v="1"/>
    <x v="8"/>
    <x v="25"/>
    <x v="304"/>
    <x v="2824"/>
    <x v="0"/>
    <s v="NEGOCIOS"/>
    <x v="1"/>
  </r>
  <r>
    <x v="55"/>
    <x v="248"/>
    <x v="10"/>
    <x v="10"/>
    <x v="1"/>
    <x v="8"/>
    <x v="21"/>
    <x v="304"/>
    <x v="2825"/>
    <x v="0"/>
    <s v="NEGOCIOS"/>
    <x v="1"/>
  </r>
  <r>
    <x v="55"/>
    <x v="176"/>
    <x v="10"/>
    <x v="10"/>
    <x v="1"/>
    <x v="8"/>
    <x v="25"/>
    <x v="412"/>
    <x v="2826"/>
    <x v="0"/>
    <s v="NEGOCIOS"/>
    <x v="1"/>
  </r>
  <r>
    <x v="55"/>
    <x v="200"/>
    <x v="11"/>
    <x v="11"/>
    <x v="1"/>
    <x v="8"/>
    <x v="25"/>
    <x v="351"/>
    <x v="1925"/>
    <x v="0"/>
    <s v="NEGOCIOS"/>
    <x v="1"/>
  </r>
  <r>
    <x v="55"/>
    <x v="200"/>
    <x v="11"/>
    <x v="11"/>
    <x v="1"/>
    <x v="8"/>
    <x v="26"/>
    <x v="351"/>
    <x v="2827"/>
    <x v="0"/>
    <s v="NEGOCIOS"/>
    <x v="1"/>
  </r>
  <r>
    <x v="55"/>
    <x v="187"/>
    <x v="11"/>
    <x v="11"/>
    <x v="1"/>
    <x v="8"/>
    <x v="25"/>
    <x v="328"/>
    <x v="2826"/>
    <x v="0"/>
    <s v="NEGOCIOS"/>
    <x v="1"/>
  </r>
  <r>
    <x v="55"/>
    <x v="330"/>
    <x v="11"/>
    <x v="11"/>
    <x v="1"/>
    <x v="8"/>
    <x v="25"/>
    <x v="381"/>
    <x v="736"/>
    <x v="0"/>
    <s v="NEGOCIOS"/>
    <x v="1"/>
  </r>
  <r>
    <x v="55"/>
    <x v="274"/>
    <x v="11"/>
    <x v="11"/>
    <x v="1"/>
    <x v="8"/>
    <x v="25"/>
    <x v="404"/>
    <x v="1013"/>
    <x v="0"/>
    <s v="NEGOCIOS"/>
    <x v="1"/>
  </r>
  <r>
    <x v="55"/>
    <x v="284"/>
    <x v="2"/>
    <x v="2"/>
    <x v="1"/>
    <x v="8"/>
    <x v="25"/>
    <x v="383"/>
    <x v="2828"/>
    <x v="0"/>
    <s v="NEGOCIOS"/>
    <x v="1"/>
  </r>
  <r>
    <x v="55"/>
    <x v="183"/>
    <x v="2"/>
    <x v="2"/>
    <x v="1"/>
    <x v="8"/>
    <x v="25"/>
    <x v="330"/>
    <x v="783"/>
    <x v="0"/>
    <s v="NEGOCIOS"/>
    <x v="1"/>
  </r>
  <r>
    <x v="55"/>
    <x v="312"/>
    <x v="2"/>
    <x v="2"/>
    <x v="1"/>
    <x v="8"/>
    <x v="21"/>
    <x v="394"/>
    <x v="1819"/>
    <x v="0"/>
    <s v="NEGOCIOS"/>
    <x v="1"/>
  </r>
  <r>
    <x v="55"/>
    <x v="184"/>
    <x v="6"/>
    <x v="6"/>
    <x v="1"/>
    <x v="8"/>
    <x v="25"/>
    <x v="413"/>
    <x v="2829"/>
    <x v="0"/>
    <s v="NEGOCIOS"/>
    <x v="1"/>
  </r>
  <r>
    <x v="55"/>
    <x v="314"/>
    <x v="6"/>
    <x v="6"/>
    <x v="1"/>
    <x v="8"/>
    <x v="26"/>
    <x v="372"/>
    <x v="736"/>
    <x v="0"/>
    <s v="NEGOCIOS"/>
    <x v="1"/>
  </r>
  <r>
    <x v="55"/>
    <x v="335"/>
    <x v="6"/>
    <x v="6"/>
    <x v="1"/>
    <x v="8"/>
    <x v="25"/>
    <x v="408"/>
    <x v="2830"/>
    <x v="0"/>
    <s v="NEGOCIOS"/>
    <x v="1"/>
  </r>
  <r>
    <x v="55"/>
    <x v="229"/>
    <x v="6"/>
    <x v="6"/>
    <x v="1"/>
    <x v="8"/>
    <x v="25"/>
    <x v="281"/>
    <x v="1693"/>
    <x v="0"/>
    <s v="NEGOCIOS"/>
    <x v="1"/>
  </r>
  <r>
    <x v="55"/>
    <x v="328"/>
    <x v="7"/>
    <x v="7"/>
    <x v="1"/>
    <x v="9"/>
    <x v="26"/>
    <x v="366"/>
    <x v="2831"/>
    <x v="0"/>
    <s v="NEGOCIOS"/>
    <x v="1"/>
  </r>
  <r>
    <x v="55"/>
    <x v="323"/>
    <x v="8"/>
    <x v="8"/>
    <x v="1"/>
    <x v="9"/>
    <x v="26"/>
    <x v="367"/>
    <x v="2832"/>
    <x v="0"/>
    <s v="NEGOCIOS"/>
    <x v="1"/>
  </r>
  <r>
    <x v="55"/>
    <x v="211"/>
    <x v="9"/>
    <x v="9"/>
    <x v="1"/>
    <x v="9"/>
    <x v="25"/>
    <x v="286"/>
    <x v="746"/>
    <x v="0"/>
    <s v="NEGOCIOS"/>
    <x v="1"/>
  </r>
  <r>
    <x v="55"/>
    <x v="262"/>
    <x v="9"/>
    <x v="9"/>
    <x v="1"/>
    <x v="9"/>
    <x v="26"/>
    <x v="368"/>
    <x v="2833"/>
    <x v="0"/>
    <s v="NEGOCIOS"/>
    <x v="1"/>
  </r>
  <r>
    <x v="55"/>
    <x v="255"/>
    <x v="9"/>
    <x v="9"/>
    <x v="1"/>
    <x v="9"/>
    <x v="25"/>
    <x v="293"/>
    <x v="2834"/>
    <x v="0"/>
    <s v="NEGOCIOS"/>
    <x v="1"/>
  </r>
  <r>
    <x v="55"/>
    <x v="310"/>
    <x v="10"/>
    <x v="10"/>
    <x v="1"/>
    <x v="9"/>
    <x v="25"/>
    <x v="335"/>
    <x v="2835"/>
    <x v="0"/>
    <s v="NEGOCIOS"/>
    <x v="1"/>
  </r>
  <r>
    <x v="55"/>
    <x v="232"/>
    <x v="10"/>
    <x v="10"/>
    <x v="1"/>
    <x v="9"/>
    <x v="25"/>
    <x v="290"/>
    <x v="2836"/>
    <x v="0"/>
    <s v="NEGOCIOS"/>
    <x v="1"/>
  </r>
  <r>
    <x v="55"/>
    <x v="199"/>
    <x v="10"/>
    <x v="10"/>
    <x v="1"/>
    <x v="9"/>
    <x v="26"/>
    <x v="298"/>
    <x v="2837"/>
    <x v="0"/>
    <s v="NEGOCIOS"/>
    <x v="1"/>
  </r>
  <r>
    <x v="55"/>
    <x v="249"/>
    <x v="11"/>
    <x v="11"/>
    <x v="1"/>
    <x v="9"/>
    <x v="25"/>
    <x v="359"/>
    <x v="768"/>
    <x v="0"/>
    <s v="NEGOCIOS"/>
    <x v="1"/>
  </r>
  <r>
    <x v="55"/>
    <x v="299"/>
    <x v="11"/>
    <x v="11"/>
    <x v="1"/>
    <x v="9"/>
    <x v="26"/>
    <x v="315"/>
    <x v="1"/>
    <x v="588"/>
    <s v="NEGOCIOS"/>
    <x v="1"/>
  </r>
  <r>
    <x v="55"/>
    <x v="193"/>
    <x v="11"/>
    <x v="11"/>
    <x v="1"/>
    <x v="9"/>
    <x v="26"/>
    <x v="369"/>
    <x v="2838"/>
    <x v="0"/>
    <s v="NEGOCIOS"/>
    <x v="1"/>
  </r>
  <r>
    <x v="55"/>
    <x v="221"/>
    <x v="2"/>
    <x v="2"/>
    <x v="1"/>
    <x v="9"/>
    <x v="25"/>
    <x v="347"/>
    <x v="773"/>
    <x v="0"/>
    <s v="NEGOCIOS"/>
    <x v="1"/>
  </r>
  <r>
    <x v="55"/>
    <x v="216"/>
    <x v="2"/>
    <x v="2"/>
    <x v="1"/>
    <x v="9"/>
    <x v="25"/>
    <x v="332"/>
    <x v="2839"/>
    <x v="0"/>
    <s v="NEGOCIOS"/>
    <x v="1"/>
  </r>
  <r>
    <x v="55"/>
    <x v="316"/>
    <x v="2"/>
    <x v="2"/>
    <x v="1"/>
    <x v="9"/>
    <x v="26"/>
    <x v="348"/>
    <x v="2840"/>
    <x v="0"/>
    <s v="NEGOCIOS"/>
    <x v="1"/>
  </r>
  <r>
    <x v="55"/>
    <x v="304"/>
    <x v="2"/>
    <x v="2"/>
    <x v="1"/>
    <x v="9"/>
    <x v="25"/>
    <x v="329"/>
    <x v="2841"/>
    <x v="0"/>
    <s v="NEGOCIOS"/>
    <x v="1"/>
  </r>
  <r>
    <x v="55"/>
    <x v="224"/>
    <x v="2"/>
    <x v="2"/>
    <x v="1"/>
    <x v="9"/>
    <x v="25"/>
    <x v="414"/>
    <x v="768"/>
    <x v="0"/>
    <s v="NEGOCIOS"/>
    <x v="1"/>
  </r>
  <r>
    <x v="55"/>
    <x v="281"/>
    <x v="6"/>
    <x v="6"/>
    <x v="1"/>
    <x v="9"/>
    <x v="25"/>
    <x v="395"/>
    <x v="2839"/>
    <x v="0"/>
    <s v="NEGOCIOS"/>
    <x v="1"/>
  </r>
  <r>
    <x v="55"/>
    <x v="266"/>
    <x v="6"/>
    <x v="6"/>
    <x v="1"/>
    <x v="9"/>
    <x v="26"/>
    <x v="370"/>
    <x v="2842"/>
    <x v="0"/>
    <s v="NEGOCIOS"/>
    <x v="1"/>
  </r>
  <r>
    <x v="55"/>
    <x v="296"/>
    <x v="6"/>
    <x v="6"/>
    <x v="1"/>
    <x v="9"/>
    <x v="25"/>
    <x v="312"/>
    <x v="2839"/>
    <x v="0"/>
    <s v="NEGOCIOS"/>
    <x v="1"/>
  </r>
  <r>
    <x v="55"/>
    <x v="204"/>
    <x v="6"/>
    <x v="6"/>
    <x v="1"/>
    <x v="9"/>
    <x v="25"/>
    <x v="317"/>
    <x v="2839"/>
    <x v="0"/>
    <s v="NEGOCIOS"/>
    <x v="1"/>
  </r>
  <r>
    <x v="55"/>
    <x v="277"/>
    <x v="7"/>
    <x v="7"/>
    <x v="1"/>
    <x v="10"/>
    <x v="21"/>
    <x v="325"/>
    <x v="736"/>
    <x v="0"/>
    <s v="NEGOCIOS"/>
    <x v="1"/>
  </r>
  <r>
    <x v="55"/>
    <x v="327"/>
    <x v="7"/>
    <x v="7"/>
    <x v="1"/>
    <x v="10"/>
    <x v="25"/>
    <x v="387"/>
    <x v="2756"/>
    <x v="0"/>
    <s v="NEGOCIOS"/>
    <x v="1"/>
  </r>
  <r>
    <x v="55"/>
    <x v="179"/>
    <x v="7"/>
    <x v="7"/>
    <x v="1"/>
    <x v="10"/>
    <x v="21"/>
    <x v="415"/>
    <x v="1157"/>
    <x v="0"/>
    <s v="NEGOCIOS"/>
    <x v="1"/>
  </r>
  <r>
    <x v="55"/>
    <x v="225"/>
    <x v="7"/>
    <x v="7"/>
    <x v="1"/>
    <x v="10"/>
    <x v="25"/>
    <x v="416"/>
    <x v="911"/>
    <x v="0"/>
    <s v="NEGOCIOS"/>
    <x v="1"/>
  </r>
  <r>
    <x v="55"/>
    <x v="206"/>
    <x v="7"/>
    <x v="7"/>
    <x v="1"/>
    <x v="10"/>
    <x v="21"/>
    <x v="284"/>
    <x v="2843"/>
    <x v="0"/>
    <s v="NEGOCIOS"/>
    <x v="1"/>
  </r>
  <r>
    <x v="55"/>
    <x v="328"/>
    <x v="7"/>
    <x v="7"/>
    <x v="1"/>
    <x v="10"/>
    <x v="26"/>
    <x v="366"/>
    <x v="2844"/>
    <x v="0"/>
    <s v="NEGOCIOS"/>
    <x v="1"/>
  </r>
  <r>
    <x v="55"/>
    <x v="332"/>
    <x v="7"/>
    <x v="7"/>
    <x v="1"/>
    <x v="10"/>
    <x v="21"/>
    <x v="397"/>
    <x v="736"/>
    <x v="0"/>
    <s v="NEGOCIOS"/>
    <x v="1"/>
  </r>
  <r>
    <x v="55"/>
    <x v="253"/>
    <x v="7"/>
    <x v="7"/>
    <x v="1"/>
    <x v="10"/>
    <x v="21"/>
    <x v="292"/>
    <x v="1132"/>
    <x v="0"/>
    <s v="NEGOCIOS"/>
    <x v="1"/>
  </r>
  <r>
    <x v="55"/>
    <x v="237"/>
    <x v="7"/>
    <x v="7"/>
    <x v="1"/>
    <x v="10"/>
    <x v="21"/>
    <x v="417"/>
    <x v="2845"/>
    <x v="0"/>
    <s v="NEGOCIOS"/>
    <x v="1"/>
  </r>
  <r>
    <x v="55"/>
    <x v="210"/>
    <x v="7"/>
    <x v="7"/>
    <x v="1"/>
    <x v="10"/>
    <x v="21"/>
    <x v="418"/>
    <x v="1170"/>
    <x v="0"/>
    <s v="NEGOCIOS"/>
    <x v="1"/>
  </r>
  <r>
    <x v="55"/>
    <x v="254"/>
    <x v="8"/>
    <x v="8"/>
    <x v="1"/>
    <x v="10"/>
    <x v="21"/>
    <x v="326"/>
    <x v="1795"/>
    <x v="0"/>
    <s v="NEGOCIOS"/>
    <x v="1"/>
  </r>
  <r>
    <x v="55"/>
    <x v="261"/>
    <x v="8"/>
    <x v="8"/>
    <x v="1"/>
    <x v="10"/>
    <x v="21"/>
    <x v="320"/>
    <x v="911"/>
    <x v="0"/>
    <s v="NEGOCIOS"/>
    <x v="1"/>
  </r>
  <r>
    <x v="55"/>
    <x v="323"/>
    <x v="8"/>
    <x v="8"/>
    <x v="1"/>
    <x v="10"/>
    <x v="26"/>
    <x v="367"/>
    <x v="2846"/>
    <x v="0"/>
    <s v="NEGOCIOS"/>
    <x v="1"/>
  </r>
  <r>
    <x v="55"/>
    <x v="292"/>
    <x v="9"/>
    <x v="9"/>
    <x v="1"/>
    <x v="10"/>
    <x v="21"/>
    <x v="352"/>
    <x v="745"/>
    <x v="0"/>
    <s v="NEGOCIOS"/>
    <x v="1"/>
  </r>
  <r>
    <x v="55"/>
    <x v="303"/>
    <x v="9"/>
    <x v="9"/>
    <x v="1"/>
    <x v="10"/>
    <x v="21"/>
    <x v="327"/>
    <x v="2847"/>
    <x v="0"/>
    <s v="NEGOCIOS"/>
    <x v="1"/>
  </r>
  <r>
    <x v="55"/>
    <x v="238"/>
    <x v="9"/>
    <x v="9"/>
    <x v="1"/>
    <x v="10"/>
    <x v="21"/>
    <x v="379"/>
    <x v="815"/>
    <x v="0"/>
    <s v="NEGOCIOS"/>
    <x v="1"/>
  </r>
  <r>
    <x v="55"/>
    <x v="262"/>
    <x v="9"/>
    <x v="9"/>
    <x v="1"/>
    <x v="10"/>
    <x v="26"/>
    <x v="368"/>
    <x v="2848"/>
    <x v="0"/>
    <s v="NEGOCIOS"/>
    <x v="1"/>
  </r>
  <r>
    <x v="55"/>
    <x v="331"/>
    <x v="9"/>
    <x v="9"/>
    <x v="1"/>
    <x v="10"/>
    <x v="25"/>
    <x v="391"/>
    <x v="736"/>
    <x v="0"/>
    <s v="NEGOCIOS"/>
    <x v="1"/>
  </r>
  <r>
    <x v="55"/>
    <x v="255"/>
    <x v="9"/>
    <x v="9"/>
    <x v="1"/>
    <x v="10"/>
    <x v="25"/>
    <x v="293"/>
    <x v="1032"/>
    <x v="0"/>
    <s v="NEGOCIOS"/>
    <x v="1"/>
  </r>
  <r>
    <x v="55"/>
    <x v="317"/>
    <x v="10"/>
    <x v="10"/>
    <x v="1"/>
    <x v="10"/>
    <x v="25"/>
    <x v="401"/>
    <x v="736"/>
    <x v="0"/>
    <s v="NEGOCIOS"/>
    <x v="1"/>
  </r>
  <r>
    <x v="55"/>
    <x v="239"/>
    <x v="10"/>
    <x v="10"/>
    <x v="1"/>
    <x v="10"/>
    <x v="25"/>
    <x v="419"/>
    <x v="816"/>
    <x v="0"/>
    <s v="NEGOCIOS"/>
    <x v="1"/>
  </r>
  <r>
    <x v="55"/>
    <x v="268"/>
    <x v="10"/>
    <x v="10"/>
    <x v="1"/>
    <x v="10"/>
    <x v="25"/>
    <x v="339"/>
    <x v="816"/>
    <x v="0"/>
    <s v="NEGOCIOS"/>
    <x v="1"/>
  </r>
  <r>
    <x v="55"/>
    <x v="336"/>
    <x v="10"/>
    <x v="10"/>
    <x v="1"/>
    <x v="10"/>
    <x v="26"/>
    <x v="420"/>
    <x v="1"/>
    <x v="221"/>
    <s v="NEGOCIOS"/>
    <x v="1"/>
  </r>
  <r>
    <x v="55"/>
    <x v="186"/>
    <x v="10"/>
    <x v="10"/>
    <x v="1"/>
    <x v="10"/>
    <x v="25"/>
    <x v="321"/>
    <x v="2756"/>
    <x v="0"/>
    <s v="NEGOCIOS"/>
    <x v="1"/>
  </r>
  <r>
    <x v="55"/>
    <x v="248"/>
    <x v="10"/>
    <x v="10"/>
    <x v="1"/>
    <x v="10"/>
    <x v="25"/>
    <x v="304"/>
    <x v="2847"/>
    <x v="0"/>
    <s v="NEGOCIOS"/>
    <x v="1"/>
  </r>
  <r>
    <x v="55"/>
    <x v="199"/>
    <x v="10"/>
    <x v="10"/>
    <x v="1"/>
    <x v="10"/>
    <x v="26"/>
    <x v="298"/>
    <x v="2714"/>
    <x v="0"/>
    <s v="NEGOCIOS"/>
    <x v="1"/>
  </r>
  <r>
    <x v="55"/>
    <x v="189"/>
    <x v="10"/>
    <x v="10"/>
    <x v="1"/>
    <x v="10"/>
    <x v="25"/>
    <x v="345"/>
    <x v="1537"/>
    <x v="0"/>
    <s v="NEGOCIOS"/>
    <x v="1"/>
  </r>
  <r>
    <x v="55"/>
    <x v="269"/>
    <x v="11"/>
    <x v="11"/>
    <x v="1"/>
    <x v="10"/>
    <x v="25"/>
    <x v="403"/>
    <x v="1537"/>
    <x v="0"/>
    <s v="NEGOCIOS"/>
    <x v="1"/>
  </r>
  <r>
    <x v="55"/>
    <x v="200"/>
    <x v="11"/>
    <x v="11"/>
    <x v="1"/>
    <x v="10"/>
    <x v="21"/>
    <x v="351"/>
    <x v="1024"/>
    <x v="0"/>
    <s v="NEGOCIOS"/>
    <x v="1"/>
  </r>
  <r>
    <x v="55"/>
    <x v="325"/>
    <x v="11"/>
    <x v="11"/>
    <x v="1"/>
    <x v="10"/>
    <x v="25"/>
    <x v="421"/>
    <x v="2756"/>
    <x v="0"/>
    <s v="NEGOCIOS"/>
    <x v="1"/>
  </r>
  <r>
    <x v="55"/>
    <x v="282"/>
    <x v="11"/>
    <x v="11"/>
    <x v="1"/>
    <x v="10"/>
    <x v="25"/>
    <x v="358"/>
    <x v="2849"/>
    <x v="0"/>
    <s v="NEGOCIOS"/>
    <x v="1"/>
  </r>
  <r>
    <x v="55"/>
    <x v="272"/>
    <x v="11"/>
    <x v="11"/>
    <x v="1"/>
    <x v="10"/>
    <x v="25"/>
    <x v="360"/>
    <x v="146"/>
    <x v="0"/>
    <s v="NEGOCIOS"/>
    <x v="1"/>
  </r>
  <r>
    <x v="55"/>
    <x v="177"/>
    <x v="11"/>
    <x v="11"/>
    <x v="1"/>
    <x v="10"/>
    <x v="25"/>
    <x v="346"/>
    <x v="2850"/>
    <x v="0"/>
    <s v="NEGOCIOS"/>
    <x v="1"/>
  </r>
  <r>
    <x v="55"/>
    <x v="201"/>
    <x v="11"/>
    <x v="11"/>
    <x v="1"/>
    <x v="10"/>
    <x v="25"/>
    <x v="422"/>
    <x v="1580"/>
    <x v="0"/>
    <s v="NEGOCIOS"/>
    <x v="1"/>
  </r>
  <r>
    <x v="55"/>
    <x v="213"/>
    <x v="11"/>
    <x v="11"/>
    <x v="1"/>
    <x v="10"/>
    <x v="25"/>
    <x v="361"/>
    <x v="2851"/>
    <x v="0"/>
    <s v="NEGOCIOS"/>
    <x v="1"/>
  </r>
  <r>
    <x v="55"/>
    <x v="299"/>
    <x v="11"/>
    <x v="11"/>
    <x v="1"/>
    <x v="10"/>
    <x v="26"/>
    <x v="315"/>
    <x v="1"/>
    <x v="589"/>
    <s v="NEGOCIOS"/>
    <x v="1"/>
  </r>
  <r>
    <x v="55"/>
    <x v="193"/>
    <x v="11"/>
    <x v="11"/>
    <x v="1"/>
    <x v="10"/>
    <x v="25"/>
    <x v="369"/>
    <x v="2852"/>
    <x v="0"/>
    <s v="NEGOCIOS"/>
    <x v="1"/>
  </r>
  <r>
    <x v="55"/>
    <x v="193"/>
    <x v="11"/>
    <x v="11"/>
    <x v="1"/>
    <x v="10"/>
    <x v="26"/>
    <x v="369"/>
    <x v="2853"/>
    <x v="0"/>
    <s v="NEGOCIOS"/>
    <x v="1"/>
  </r>
  <r>
    <x v="55"/>
    <x v="202"/>
    <x v="11"/>
    <x v="11"/>
    <x v="1"/>
    <x v="10"/>
    <x v="25"/>
    <x v="305"/>
    <x v="2854"/>
    <x v="0"/>
    <s v="NEGOCIOS"/>
    <x v="1"/>
  </r>
  <r>
    <x v="55"/>
    <x v="273"/>
    <x v="11"/>
    <x v="11"/>
    <x v="1"/>
    <x v="10"/>
    <x v="25"/>
    <x v="354"/>
    <x v="736"/>
    <x v="0"/>
    <s v="NEGOCIOS"/>
    <x v="1"/>
  </r>
  <r>
    <x v="55"/>
    <x v="181"/>
    <x v="11"/>
    <x v="11"/>
    <x v="1"/>
    <x v="10"/>
    <x v="25"/>
    <x v="362"/>
    <x v="2855"/>
    <x v="0"/>
    <s v="NEGOCIOS"/>
    <x v="1"/>
  </r>
  <r>
    <x v="55"/>
    <x v="275"/>
    <x v="11"/>
    <x v="11"/>
    <x v="1"/>
    <x v="10"/>
    <x v="25"/>
    <x v="307"/>
    <x v="735"/>
    <x v="0"/>
    <s v="NEGOCIOS"/>
    <x v="1"/>
  </r>
  <r>
    <x v="55"/>
    <x v="300"/>
    <x v="2"/>
    <x v="2"/>
    <x v="1"/>
    <x v="10"/>
    <x v="25"/>
    <x v="316"/>
    <x v="736"/>
    <x v="0"/>
    <s v="NEGOCIOS"/>
    <x v="1"/>
  </r>
  <r>
    <x v="55"/>
    <x v="280"/>
    <x v="2"/>
    <x v="2"/>
    <x v="1"/>
    <x v="10"/>
    <x v="25"/>
    <x v="295"/>
    <x v="2856"/>
    <x v="0"/>
    <s v="NEGOCIOS"/>
    <x v="1"/>
  </r>
  <r>
    <x v="55"/>
    <x v="316"/>
    <x v="2"/>
    <x v="2"/>
    <x v="1"/>
    <x v="10"/>
    <x v="26"/>
    <x v="348"/>
    <x v="2857"/>
    <x v="0"/>
    <s v="NEGOCIOS"/>
    <x v="1"/>
  </r>
  <r>
    <x v="55"/>
    <x v="276"/>
    <x v="2"/>
    <x v="2"/>
    <x v="1"/>
    <x v="10"/>
    <x v="25"/>
    <x v="385"/>
    <x v="896"/>
    <x v="0"/>
    <s v="NEGOCIOS"/>
    <x v="1"/>
  </r>
  <r>
    <x v="55"/>
    <x v="264"/>
    <x v="6"/>
    <x v="6"/>
    <x v="1"/>
    <x v="10"/>
    <x v="25"/>
    <x v="311"/>
    <x v="2858"/>
    <x v="0"/>
    <s v="NEGOCIOS"/>
    <x v="1"/>
  </r>
  <r>
    <x v="55"/>
    <x v="265"/>
    <x v="6"/>
    <x v="6"/>
    <x v="1"/>
    <x v="10"/>
    <x v="25"/>
    <x v="386"/>
    <x v="736"/>
    <x v="0"/>
    <s v="NEGOCIOS"/>
    <x v="1"/>
  </r>
  <r>
    <x v="55"/>
    <x v="184"/>
    <x v="6"/>
    <x v="6"/>
    <x v="1"/>
    <x v="10"/>
    <x v="25"/>
    <x v="413"/>
    <x v="814"/>
    <x v="0"/>
    <s v="NEGOCIOS"/>
    <x v="1"/>
  </r>
  <r>
    <x v="55"/>
    <x v="314"/>
    <x v="6"/>
    <x v="6"/>
    <x v="1"/>
    <x v="10"/>
    <x v="26"/>
    <x v="372"/>
    <x v="782"/>
    <x v="0"/>
    <s v="NEGOCIOS"/>
    <x v="1"/>
  </r>
  <r>
    <x v="55"/>
    <x v="266"/>
    <x v="6"/>
    <x v="6"/>
    <x v="1"/>
    <x v="10"/>
    <x v="26"/>
    <x v="370"/>
    <x v="2859"/>
    <x v="0"/>
    <s v="NEGOCIOS"/>
    <x v="1"/>
  </r>
  <r>
    <x v="55"/>
    <x v="297"/>
    <x v="6"/>
    <x v="6"/>
    <x v="1"/>
    <x v="10"/>
    <x v="25"/>
    <x v="313"/>
    <x v="2860"/>
    <x v="0"/>
    <s v="NEGOCIOS"/>
    <x v="1"/>
  </r>
  <r>
    <x v="55"/>
    <x v="335"/>
    <x v="6"/>
    <x v="6"/>
    <x v="1"/>
    <x v="10"/>
    <x v="25"/>
    <x v="408"/>
    <x v="736"/>
    <x v="0"/>
    <s v="NEGOCIOS"/>
    <x v="1"/>
  </r>
  <r>
    <x v="55"/>
    <x v="335"/>
    <x v="6"/>
    <x v="6"/>
    <x v="1"/>
    <x v="10"/>
    <x v="21"/>
    <x v="408"/>
    <x v="982"/>
    <x v="0"/>
    <s v="NEGOCIOS"/>
    <x v="1"/>
  </r>
  <r>
    <x v="55"/>
    <x v="174"/>
    <x v="6"/>
    <x v="6"/>
    <x v="1"/>
    <x v="10"/>
    <x v="25"/>
    <x v="282"/>
    <x v="879"/>
    <x v="0"/>
    <s v="NEGOCIOS"/>
    <x v="1"/>
  </r>
  <r>
    <x v="55"/>
    <x v="191"/>
    <x v="6"/>
    <x v="6"/>
    <x v="1"/>
    <x v="10"/>
    <x v="25"/>
    <x v="318"/>
    <x v="2861"/>
    <x v="0"/>
    <s v="NEGOCIOS"/>
    <x v="1"/>
  </r>
  <r>
    <x v="55"/>
    <x v="328"/>
    <x v="7"/>
    <x v="7"/>
    <x v="1"/>
    <x v="11"/>
    <x v="26"/>
    <x v="366"/>
    <x v="2862"/>
    <x v="0"/>
    <s v="NEGOCIOS"/>
    <x v="1"/>
  </r>
  <r>
    <x v="55"/>
    <x v="323"/>
    <x v="8"/>
    <x v="8"/>
    <x v="1"/>
    <x v="11"/>
    <x v="26"/>
    <x v="367"/>
    <x v="2863"/>
    <x v="0"/>
    <s v="NEGOCIOS"/>
    <x v="1"/>
  </r>
  <r>
    <x v="55"/>
    <x v="262"/>
    <x v="9"/>
    <x v="9"/>
    <x v="1"/>
    <x v="11"/>
    <x v="26"/>
    <x v="368"/>
    <x v="2864"/>
    <x v="0"/>
    <s v="NEGOCIOS"/>
    <x v="1"/>
  </r>
  <r>
    <x v="55"/>
    <x v="199"/>
    <x v="10"/>
    <x v="10"/>
    <x v="1"/>
    <x v="11"/>
    <x v="26"/>
    <x v="298"/>
    <x v="2865"/>
    <x v="0"/>
    <s v="NEGOCIOS"/>
    <x v="1"/>
  </r>
  <r>
    <x v="55"/>
    <x v="299"/>
    <x v="11"/>
    <x v="11"/>
    <x v="1"/>
    <x v="11"/>
    <x v="26"/>
    <x v="315"/>
    <x v="1"/>
    <x v="590"/>
    <s v="NEGOCIOS"/>
    <x v="1"/>
  </r>
  <r>
    <x v="55"/>
    <x v="193"/>
    <x v="11"/>
    <x v="11"/>
    <x v="1"/>
    <x v="11"/>
    <x v="26"/>
    <x v="369"/>
    <x v="2866"/>
    <x v="0"/>
    <s v="NEGOCIOS"/>
    <x v="1"/>
  </r>
  <r>
    <x v="55"/>
    <x v="300"/>
    <x v="2"/>
    <x v="2"/>
    <x v="1"/>
    <x v="11"/>
    <x v="26"/>
    <x v="316"/>
    <x v="2867"/>
    <x v="0"/>
    <s v="NEGOCIOS"/>
    <x v="1"/>
  </r>
  <r>
    <x v="55"/>
    <x v="316"/>
    <x v="2"/>
    <x v="2"/>
    <x v="1"/>
    <x v="11"/>
    <x v="26"/>
    <x v="348"/>
    <x v="2868"/>
    <x v="0"/>
    <s v="NEGOCIOS"/>
    <x v="1"/>
  </r>
  <r>
    <x v="55"/>
    <x v="266"/>
    <x v="6"/>
    <x v="6"/>
    <x v="1"/>
    <x v="11"/>
    <x v="26"/>
    <x v="370"/>
    <x v="2869"/>
    <x v="0"/>
    <s v="NEGOCIOS"/>
    <x v="1"/>
  </r>
  <r>
    <x v="55"/>
    <x v="258"/>
    <x v="7"/>
    <x v="7"/>
    <x v="1"/>
    <x v="12"/>
    <x v="21"/>
    <x v="349"/>
    <x v="2870"/>
    <x v="0"/>
    <s v="NEGOCIOS"/>
    <x v="1"/>
  </r>
  <r>
    <x v="55"/>
    <x v="259"/>
    <x v="7"/>
    <x v="7"/>
    <x v="1"/>
    <x v="12"/>
    <x v="21"/>
    <x v="355"/>
    <x v="781"/>
    <x v="0"/>
    <s v="NEGOCIOS"/>
    <x v="1"/>
  </r>
  <r>
    <x v="55"/>
    <x v="247"/>
    <x v="8"/>
    <x v="8"/>
    <x v="1"/>
    <x v="12"/>
    <x v="21"/>
    <x v="289"/>
    <x v="835"/>
    <x v="0"/>
    <s v="NEGOCIOS"/>
    <x v="1"/>
  </r>
  <r>
    <x v="55"/>
    <x v="326"/>
    <x v="8"/>
    <x v="8"/>
    <x v="1"/>
    <x v="12"/>
    <x v="26"/>
    <x v="423"/>
    <x v="2871"/>
    <x v="0"/>
    <s v="NEGOCIOS"/>
    <x v="1"/>
  </r>
  <r>
    <x v="55"/>
    <x v="320"/>
    <x v="8"/>
    <x v="8"/>
    <x v="1"/>
    <x v="12"/>
    <x v="21"/>
    <x v="398"/>
    <x v="2872"/>
    <x v="0"/>
    <s v="NEGOCIOS"/>
    <x v="1"/>
  </r>
  <r>
    <x v="55"/>
    <x v="261"/>
    <x v="8"/>
    <x v="8"/>
    <x v="1"/>
    <x v="12"/>
    <x v="21"/>
    <x v="320"/>
    <x v="933"/>
    <x v="0"/>
    <s v="NEGOCIOS"/>
    <x v="1"/>
  </r>
  <r>
    <x v="55"/>
    <x v="245"/>
    <x v="8"/>
    <x v="8"/>
    <x v="1"/>
    <x v="12"/>
    <x v="25"/>
    <x v="285"/>
    <x v="1182"/>
    <x v="0"/>
    <s v="NEGOCIOS"/>
    <x v="1"/>
  </r>
  <r>
    <x v="55"/>
    <x v="173"/>
    <x v="8"/>
    <x v="8"/>
    <x v="1"/>
    <x v="12"/>
    <x v="21"/>
    <x v="378"/>
    <x v="2873"/>
    <x v="0"/>
    <s v="NEGOCIOS"/>
    <x v="1"/>
  </r>
  <r>
    <x v="55"/>
    <x v="319"/>
    <x v="8"/>
    <x v="8"/>
    <x v="1"/>
    <x v="12"/>
    <x v="21"/>
    <x v="350"/>
    <x v="763"/>
    <x v="0"/>
    <s v="NEGOCIOS"/>
    <x v="1"/>
  </r>
  <r>
    <x v="55"/>
    <x v="306"/>
    <x v="9"/>
    <x v="9"/>
    <x v="1"/>
    <x v="12"/>
    <x v="21"/>
    <x v="336"/>
    <x v="2774"/>
    <x v="0"/>
    <s v="NEGOCIOS"/>
    <x v="1"/>
  </r>
  <r>
    <x v="55"/>
    <x v="337"/>
    <x v="9"/>
    <x v="9"/>
    <x v="1"/>
    <x v="12"/>
    <x v="21"/>
    <x v="424"/>
    <x v="2874"/>
    <x v="0"/>
    <s v="NEGOCIOS"/>
    <x v="1"/>
  </r>
  <r>
    <x v="55"/>
    <x v="194"/>
    <x v="9"/>
    <x v="9"/>
    <x v="1"/>
    <x v="12"/>
    <x v="21"/>
    <x v="390"/>
    <x v="2875"/>
    <x v="0"/>
    <s v="NEGOCIOS"/>
    <x v="1"/>
  </r>
  <r>
    <x v="55"/>
    <x v="338"/>
    <x v="9"/>
    <x v="9"/>
    <x v="1"/>
    <x v="12"/>
    <x v="25"/>
    <x v="425"/>
    <x v="346"/>
    <x v="0"/>
    <s v="NEGOCIOS"/>
    <x v="1"/>
  </r>
  <r>
    <x v="55"/>
    <x v="255"/>
    <x v="9"/>
    <x v="9"/>
    <x v="1"/>
    <x v="12"/>
    <x v="26"/>
    <x v="293"/>
    <x v="2876"/>
    <x v="0"/>
    <s v="NEGOCIOS"/>
    <x v="1"/>
  </r>
  <r>
    <x v="55"/>
    <x v="231"/>
    <x v="10"/>
    <x v="10"/>
    <x v="1"/>
    <x v="12"/>
    <x v="25"/>
    <x v="402"/>
    <x v="1347"/>
    <x v="0"/>
    <s v="NEGOCIOS"/>
    <x v="1"/>
  </r>
  <r>
    <x v="55"/>
    <x v="248"/>
    <x v="10"/>
    <x v="10"/>
    <x v="1"/>
    <x v="12"/>
    <x v="21"/>
    <x v="304"/>
    <x v="2877"/>
    <x v="0"/>
    <s v="NEGOCIOS"/>
    <x v="1"/>
  </r>
  <r>
    <x v="55"/>
    <x v="248"/>
    <x v="10"/>
    <x v="10"/>
    <x v="1"/>
    <x v="12"/>
    <x v="25"/>
    <x v="304"/>
    <x v="2878"/>
    <x v="0"/>
    <s v="NEGOCIOS"/>
    <x v="1"/>
  </r>
  <r>
    <x v="55"/>
    <x v="200"/>
    <x v="11"/>
    <x v="11"/>
    <x v="1"/>
    <x v="12"/>
    <x v="25"/>
    <x v="351"/>
    <x v="2879"/>
    <x v="0"/>
    <s v="NEGOCIOS"/>
    <x v="1"/>
  </r>
  <r>
    <x v="55"/>
    <x v="187"/>
    <x v="11"/>
    <x v="11"/>
    <x v="1"/>
    <x v="12"/>
    <x v="25"/>
    <x v="328"/>
    <x v="2582"/>
    <x v="0"/>
    <s v="NEGOCIOS"/>
    <x v="1"/>
  </r>
  <r>
    <x v="55"/>
    <x v="193"/>
    <x v="11"/>
    <x v="11"/>
    <x v="1"/>
    <x v="12"/>
    <x v="21"/>
    <x v="369"/>
    <x v="990"/>
    <x v="0"/>
    <s v="NEGOCIOS"/>
    <x v="1"/>
  </r>
  <r>
    <x v="55"/>
    <x v="315"/>
    <x v="2"/>
    <x v="2"/>
    <x v="1"/>
    <x v="12"/>
    <x v="26"/>
    <x v="405"/>
    <x v="1"/>
    <x v="591"/>
    <s v="NEGOCIOS"/>
    <x v="1"/>
  </r>
  <r>
    <x v="55"/>
    <x v="184"/>
    <x v="6"/>
    <x v="6"/>
    <x v="1"/>
    <x v="12"/>
    <x v="25"/>
    <x v="413"/>
    <x v="2880"/>
    <x v="0"/>
    <s v="NEGOCIOS"/>
    <x v="1"/>
  </r>
  <r>
    <x v="55"/>
    <x v="314"/>
    <x v="6"/>
    <x v="6"/>
    <x v="1"/>
    <x v="12"/>
    <x v="25"/>
    <x v="372"/>
    <x v="2872"/>
    <x v="0"/>
    <s v="NEGOCIOS"/>
    <x v="1"/>
  </r>
  <r>
    <x v="55"/>
    <x v="271"/>
    <x v="6"/>
    <x v="6"/>
    <x v="1"/>
    <x v="12"/>
    <x v="21"/>
    <x v="426"/>
    <x v="2881"/>
    <x v="0"/>
    <s v="NEGOCIOS"/>
    <x v="1"/>
  </r>
  <r>
    <x v="55"/>
    <x v="328"/>
    <x v="7"/>
    <x v="7"/>
    <x v="1"/>
    <x v="13"/>
    <x v="26"/>
    <x v="366"/>
    <x v="2882"/>
    <x v="0"/>
    <s v="NEGOCIOS"/>
    <x v="1"/>
  </r>
  <r>
    <x v="55"/>
    <x v="323"/>
    <x v="8"/>
    <x v="8"/>
    <x v="1"/>
    <x v="13"/>
    <x v="26"/>
    <x v="367"/>
    <x v="2883"/>
    <x v="0"/>
    <s v="NEGOCIOS"/>
    <x v="1"/>
  </r>
  <r>
    <x v="55"/>
    <x v="208"/>
    <x v="8"/>
    <x v="8"/>
    <x v="1"/>
    <x v="13"/>
    <x v="26"/>
    <x v="377"/>
    <x v="2884"/>
    <x v="0"/>
    <s v="NEGOCIOS"/>
    <x v="1"/>
  </r>
  <r>
    <x v="55"/>
    <x v="262"/>
    <x v="9"/>
    <x v="9"/>
    <x v="1"/>
    <x v="13"/>
    <x v="26"/>
    <x v="368"/>
    <x v="2885"/>
    <x v="0"/>
    <s v="NEGOCIOS"/>
    <x v="1"/>
  </r>
  <r>
    <x v="55"/>
    <x v="329"/>
    <x v="10"/>
    <x v="10"/>
    <x v="1"/>
    <x v="13"/>
    <x v="25"/>
    <x v="380"/>
    <x v="2886"/>
    <x v="0"/>
    <s v="NEGOCIOS"/>
    <x v="1"/>
  </r>
  <r>
    <x v="55"/>
    <x v="339"/>
    <x v="10"/>
    <x v="10"/>
    <x v="1"/>
    <x v="13"/>
    <x v="26"/>
    <x v="427"/>
    <x v="2887"/>
    <x v="0"/>
    <s v="NEGOCIOS"/>
    <x v="1"/>
  </r>
  <r>
    <x v="55"/>
    <x v="177"/>
    <x v="11"/>
    <x v="11"/>
    <x v="1"/>
    <x v="13"/>
    <x v="25"/>
    <x v="346"/>
    <x v="763"/>
    <x v="0"/>
    <s v="NEGOCIOS"/>
    <x v="1"/>
  </r>
  <r>
    <x v="55"/>
    <x v="294"/>
    <x v="11"/>
    <x v="11"/>
    <x v="1"/>
    <x v="13"/>
    <x v="25"/>
    <x v="382"/>
    <x v="2888"/>
    <x v="0"/>
    <s v="NEGOCIOS"/>
    <x v="1"/>
  </r>
  <r>
    <x v="55"/>
    <x v="334"/>
    <x v="2"/>
    <x v="2"/>
    <x v="1"/>
    <x v="13"/>
    <x v="26"/>
    <x v="406"/>
    <x v="1067"/>
    <x v="0"/>
    <s v="NEGOCIOS"/>
    <x v="1"/>
  </r>
  <r>
    <x v="55"/>
    <x v="184"/>
    <x v="6"/>
    <x v="6"/>
    <x v="1"/>
    <x v="13"/>
    <x v="25"/>
    <x v="413"/>
    <x v="2889"/>
    <x v="0"/>
    <s v="NEGOCIOS"/>
    <x v="1"/>
  </r>
  <r>
    <x v="55"/>
    <x v="314"/>
    <x v="6"/>
    <x v="6"/>
    <x v="1"/>
    <x v="13"/>
    <x v="26"/>
    <x v="372"/>
    <x v="2247"/>
    <x v="0"/>
    <s v="NEGOCIOS"/>
    <x v="1"/>
  </r>
  <r>
    <x v="55"/>
    <x v="188"/>
    <x v="6"/>
    <x v="6"/>
    <x v="1"/>
    <x v="13"/>
    <x v="25"/>
    <x v="407"/>
    <x v="2890"/>
    <x v="0"/>
    <s v="NEGOCIOS"/>
    <x v="1"/>
  </r>
  <r>
    <x v="55"/>
    <x v="277"/>
    <x v="7"/>
    <x v="7"/>
    <x v="1"/>
    <x v="14"/>
    <x v="25"/>
    <x v="325"/>
    <x v="1104"/>
    <x v="0"/>
    <s v="NEGOCIOS"/>
    <x v="1"/>
  </r>
  <r>
    <x v="55"/>
    <x v="225"/>
    <x v="7"/>
    <x v="7"/>
    <x v="1"/>
    <x v="14"/>
    <x v="21"/>
    <x v="416"/>
    <x v="2891"/>
    <x v="0"/>
    <s v="NEGOCIOS"/>
    <x v="1"/>
  </r>
  <r>
    <x v="55"/>
    <x v="309"/>
    <x v="7"/>
    <x v="7"/>
    <x v="1"/>
    <x v="14"/>
    <x v="21"/>
    <x v="334"/>
    <x v="2574"/>
    <x v="0"/>
    <s v="NEGOCIOS"/>
    <x v="1"/>
  </r>
  <r>
    <x v="55"/>
    <x v="252"/>
    <x v="7"/>
    <x v="7"/>
    <x v="1"/>
    <x v="14"/>
    <x v="21"/>
    <x v="396"/>
    <x v="1095"/>
    <x v="0"/>
    <s v="NEGOCIOS"/>
    <x v="1"/>
  </r>
  <r>
    <x v="55"/>
    <x v="209"/>
    <x v="7"/>
    <x v="7"/>
    <x v="1"/>
    <x v="14"/>
    <x v="21"/>
    <x v="428"/>
    <x v="2892"/>
    <x v="0"/>
    <s v="NEGOCIOS"/>
    <x v="1"/>
  </r>
  <r>
    <x v="55"/>
    <x v="253"/>
    <x v="7"/>
    <x v="7"/>
    <x v="1"/>
    <x v="14"/>
    <x v="21"/>
    <x v="292"/>
    <x v="2893"/>
    <x v="0"/>
    <s v="NEGOCIOS"/>
    <x v="1"/>
  </r>
  <r>
    <x v="55"/>
    <x v="171"/>
    <x v="7"/>
    <x v="7"/>
    <x v="1"/>
    <x v="14"/>
    <x v="21"/>
    <x v="429"/>
    <x v="2894"/>
    <x v="0"/>
    <s v="NEGOCIOS"/>
    <x v="1"/>
  </r>
  <r>
    <x v="55"/>
    <x v="321"/>
    <x v="8"/>
    <x v="8"/>
    <x v="1"/>
    <x v="14"/>
    <x v="21"/>
    <x v="430"/>
    <x v="2895"/>
    <x v="0"/>
    <s v="NEGOCIOS"/>
    <x v="1"/>
  </r>
  <r>
    <x v="55"/>
    <x v="192"/>
    <x v="8"/>
    <x v="8"/>
    <x v="1"/>
    <x v="14"/>
    <x v="25"/>
    <x v="300"/>
    <x v="1112"/>
    <x v="0"/>
    <s v="NEGOCIOS"/>
    <x v="1"/>
  </r>
  <r>
    <x v="55"/>
    <x v="289"/>
    <x v="8"/>
    <x v="8"/>
    <x v="1"/>
    <x v="14"/>
    <x v="21"/>
    <x v="301"/>
    <x v="2896"/>
    <x v="0"/>
    <s v="NEGOCIOS"/>
    <x v="1"/>
  </r>
  <r>
    <x v="55"/>
    <x v="254"/>
    <x v="8"/>
    <x v="8"/>
    <x v="1"/>
    <x v="14"/>
    <x v="21"/>
    <x v="326"/>
    <x v="2897"/>
    <x v="0"/>
    <s v="NEGOCIOS"/>
    <x v="1"/>
  </r>
  <r>
    <x v="55"/>
    <x v="172"/>
    <x v="8"/>
    <x v="8"/>
    <x v="1"/>
    <x v="14"/>
    <x v="21"/>
    <x v="431"/>
    <x v="2898"/>
    <x v="0"/>
    <s v="NEGOCIOS"/>
    <x v="1"/>
  </r>
  <r>
    <x v="55"/>
    <x v="323"/>
    <x v="8"/>
    <x v="8"/>
    <x v="1"/>
    <x v="14"/>
    <x v="21"/>
    <x v="367"/>
    <x v="2899"/>
    <x v="0"/>
    <s v="NEGOCIOS"/>
    <x v="1"/>
  </r>
  <r>
    <x v="55"/>
    <x v="245"/>
    <x v="8"/>
    <x v="8"/>
    <x v="1"/>
    <x v="14"/>
    <x v="21"/>
    <x v="285"/>
    <x v="2900"/>
    <x v="0"/>
    <s v="NEGOCIOS"/>
    <x v="1"/>
  </r>
  <r>
    <x v="55"/>
    <x v="173"/>
    <x v="8"/>
    <x v="8"/>
    <x v="1"/>
    <x v="14"/>
    <x v="21"/>
    <x v="378"/>
    <x v="2901"/>
    <x v="0"/>
    <s v="NEGOCIOS"/>
    <x v="1"/>
  </r>
  <r>
    <x v="55"/>
    <x v="306"/>
    <x v="9"/>
    <x v="9"/>
    <x v="1"/>
    <x v="14"/>
    <x v="25"/>
    <x v="336"/>
    <x v="2902"/>
    <x v="0"/>
    <s v="NEGOCIOS"/>
    <x v="1"/>
  </r>
  <r>
    <x v="55"/>
    <x v="337"/>
    <x v="9"/>
    <x v="9"/>
    <x v="1"/>
    <x v="14"/>
    <x v="21"/>
    <x v="424"/>
    <x v="2903"/>
    <x v="0"/>
    <s v="NEGOCIOS"/>
    <x v="1"/>
  </r>
  <r>
    <x v="55"/>
    <x v="303"/>
    <x v="9"/>
    <x v="9"/>
    <x v="1"/>
    <x v="14"/>
    <x v="21"/>
    <x v="327"/>
    <x v="2904"/>
    <x v="0"/>
    <s v="NEGOCIOS"/>
    <x v="1"/>
  </r>
  <r>
    <x v="55"/>
    <x v="238"/>
    <x v="9"/>
    <x v="9"/>
    <x v="1"/>
    <x v="14"/>
    <x v="21"/>
    <x v="379"/>
    <x v="2905"/>
    <x v="0"/>
    <s v="NEGOCIOS"/>
    <x v="1"/>
  </r>
  <r>
    <x v="55"/>
    <x v="197"/>
    <x v="9"/>
    <x v="9"/>
    <x v="1"/>
    <x v="14"/>
    <x v="21"/>
    <x v="432"/>
    <x v="2906"/>
    <x v="0"/>
    <s v="NEGOCIOS"/>
    <x v="1"/>
  </r>
  <r>
    <x v="55"/>
    <x v="211"/>
    <x v="9"/>
    <x v="9"/>
    <x v="1"/>
    <x v="14"/>
    <x v="25"/>
    <x v="286"/>
    <x v="2907"/>
    <x v="0"/>
    <s v="NEGOCIOS"/>
    <x v="1"/>
  </r>
  <r>
    <x v="55"/>
    <x v="286"/>
    <x v="10"/>
    <x v="10"/>
    <x v="1"/>
    <x v="14"/>
    <x v="25"/>
    <x v="297"/>
    <x v="1104"/>
    <x v="0"/>
    <s v="NEGOCIOS"/>
    <x v="1"/>
  </r>
  <r>
    <x v="55"/>
    <x v="212"/>
    <x v="10"/>
    <x v="10"/>
    <x v="1"/>
    <x v="14"/>
    <x v="25"/>
    <x v="319"/>
    <x v="146"/>
    <x v="0"/>
    <s v="NEGOCIOS"/>
    <x v="1"/>
  </r>
  <r>
    <x v="55"/>
    <x v="310"/>
    <x v="10"/>
    <x v="10"/>
    <x v="1"/>
    <x v="14"/>
    <x v="25"/>
    <x v="335"/>
    <x v="2908"/>
    <x v="0"/>
    <s v="NEGOCIOS"/>
    <x v="1"/>
  </r>
  <r>
    <x v="55"/>
    <x v="317"/>
    <x v="10"/>
    <x v="10"/>
    <x v="1"/>
    <x v="14"/>
    <x v="25"/>
    <x v="401"/>
    <x v="2909"/>
    <x v="0"/>
    <s v="NEGOCIOS"/>
    <x v="1"/>
  </r>
  <r>
    <x v="55"/>
    <x v="243"/>
    <x v="10"/>
    <x v="10"/>
    <x v="1"/>
    <x v="14"/>
    <x v="25"/>
    <x v="411"/>
    <x v="611"/>
    <x v="0"/>
    <s v="NEGOCIOS"/>
    <x v="1"/>
  </r>
  <r>
    <x v="55"/>
    <x v="232"/>
    <x v="10"/>
    <x v="10"/>
    <x v="1"/>
    <x v="14"/>
    <x v="25"/>
    <x v="290"/>
    <x v="2513"/>
    <x v="0"/>
    <s v="NEGOCIOS"/>
    <x v="1"/>
  </r>
  <r>
    <x v="55"/>
    <x v="244"/>
    <x v="10"/>
    <x v="10"/>
    <x v="1"/>
    <x v="14"/>
    <x v="25"/>
    <x v="433"/>
    <x v="2910"/>
    <x v="0"/>
    <s v="NEGOCIOS"/>
    <x v="1"/>
  </r>
  <r>
    <x v="55"/>
    <x v="199"/>
    <x v="10"/>
    <x v="10"/>
    <x v="1"/>
    <x v="14"/>
    <x v="25"/>
    <x v="298"/>
    <x v="2911"/>
    <x v="0"/>
    <s v="NEGOCIOS"/>
    <x v="1"/>
  </r>
  <r>
    <x v="55"/>
    <x v="189"/>
    <x v="10"/>
    <x v="10"/>
    <x v="1"/>
    <x v="14"/>
    <x v="25"/>
    <x v="345"/>
    <x v="874"/>
    <x v="0"/>
    <s v="NEGOCIOS"/>
    <x v="1"/>
  </r>
  <r>
    <x v="55"/>
    <x v="269"/>
    <x v="11"/>
    <x v="11"/>
    <x v="1"/>
    <x v="14"/>
    <x v="25"/>
    <x v="403"/>
    <x v="736"/>
    <x v="0"/>
    <s v="NEGOCIOS"/>
    <x v="1"/>
  </r>
  <r>
    <x v="55"/>
    <x v="200"/>
    <x v="11"/>
    <x v="11"/>
    <x v="1"/>
    <x v="14"/>
    <x v="25"/>
    <x v="351"/>
    <x v="1104"/>
    <x v="0"/>
    <s v="NEGOCIOS"/>
    <x v="1"/>
  </r>
  <r>
    <x v="55"/>
    <x v="325"/>
    <x v="11"/>
    <x v="11"/>
    <x v="1"/>
    <x v="14"/>
    <x v="25"/>
    <x v="421"/>
    <x v="2850"/>
    <x v="0"/>
    <s v="NEGOCIOS"/>
    <x v="1"/>
  </r>
  <r>
    <x v="55"/>
    <x v="177"/>
    <x v="11"/>
    <x v="11"/>
    <x v="1"/>
    <x v="14"/>
    <x v="25"/>
    <x v="346"/>
    <x v="2912"/>
    <x v="0"/>
    <s v="NEGOCIOS"/>
    <x v="1"/>
  </r>
  <r>
    <x v="55"/>
    <x v="299"/>
    <x v="11"/>
    <x v="11"/>
    <x v="1"/>
    <x v="14"/>
    <x v="25"/>
    <x v="315"/>
    <x v="2913"/>
    <x v="0"/>
    <s v="NEGOCIOS"/>
    <x v="1"/>
  </r>
  <r>
    <x v="55"/>
    <x v="202"/>
    <x v="11"/>
    <x v="11"/>
    <x v="1"/>
    <x v="14"/>
    <x v="25"/>
    <x v="305"/>
    <x v="1203"/>
    <x v="0"/>
    <s v="NEGOCIOS"/>
    <x v="1"/>
  </r>
  <r>
    <x v="55"/>
    <x v="273"/>
    <x v="11"/>
    <x v="11"/>
    <x v="1"/>
    <x v="14"/>
    <x v="25"/>
    <x v="354"/>
    <x v="2914"/>
    <x v="0"/>
    <s v="NEGOCIOS"/>
    <x v="1"/>
  </r>
  <r>
    <x v="55"/>
    <x v="215"/>
    <x v="2"/>
    <x v="2"/>
    <x v="1"/>
    <x v="14"/>
    <x v="25"/>
    <x v="322"/>
    <x v="2915"/>
    <x v="0"/>
    <s v="NEGOCIOS"/>
    <x v="1"/>
  </r>
  <r>
    <x v="55"/>
    <x v="221"/>
    <x v="2"/>
    <x v="2"/>
    <x v="1"/>
    <x v="14"/>
    <x v="25"/>
    <x v="347"/>
    <x v="2916"/>
    <x v="0"/>
    <s v="NEGOCIOS"/>
    <x v="1"/>
  </r>
  <r>
    <x v="55"/>
    <x v="284"/>
    <x v="2"/>
    <x v="2"/>
    <x v="1"/>
    <x v="14"/>
    <x v="25"/>
    <x v="383"/>
    <x v="2917"/>
    <x v="0"/>
    <s v="NEGOCIOS"/>
    <x v="1"/>
  </r>
  <r>
    <x v="55"/>
    <x v="270"/>
    <x v="2"/>
    <x v="2"/>
    <x v="1"/>
    <x v="14"/>
    <x v="25"/>
    <x v="363"/>
    <x v="2918"/>
    <x v="0"/>
    <s v="NEGOCIOS"/>
    <x v="1"/>
  </r>
  <r>
    <x v="55"/>
    <x v="216"/>
    <x v="2"/>
    <x v="2"/>
    <x v="1"/>
    <x v="14"/>
    <x v="25"/>
    <x v="332"/>
    <x v="816"/>
    <x v="0"/>
    <s v="NEGOCIOS"/>
    <x v="1"/>
  </r>
  <r>
    <x v="55"/>
    <x v="257"/>
    <x v="2"/>
    <x v="2"/>
    <x v="1"/>
    <x v="14"/>
    <x v="25"/>
    <x v="410"/>
    <x v="2919"/>
    <x v="0"/>
    <s v="NEGOCIOS"/>
    <x v="1"/>
  </r>
  <r>
    <x v="55"/>
    <x v="316"/>
    <x v="2"/>
    <x v="2"/>
    <x v="1"/>
    <x v="14"/>
    <x v="25"/>
    <x v="348"/>
    <x v="2920"/>
    <x v="0"/>
    <s v="NEGOCIOS"/>
    <x v="1"/>
  </r>
  <r>
    <x v="55"/>
    <x v="304"/>
    <x v="2"/>
    <x v="2"/>
    <x v="1"/>
    <x v="14"/>
    <x v="25"/>
    <x v="329"/>
    <x v="1176"/>
    <x v="0"/>
    <s v="NEGOCIOS"/>
    <x v="1"/>
  </r>
  <r>
    <x v="55"/>
    <x v="246"/>
    <x v="2"/>
    <x v="2"/>
    <x v="1"/>
    <x v="14"/>
    <x v="25"/>
    <x v="287"/>
    <x v="2921"/>
    <x v="0"/>
    <s v="NEGOCIOS"/>
    <x v="1"/>
  </r>
  <r>
    <x v="55"/>
    <x v="217"/>
    <x v="6"/>
    <x v="6"/>
    <x v="1"/>
    <x v="14"/>
    <x v="25"/>
    <x v="323"/>
    <x v="2922"/>
    <x v="0"/>
    <s v="NEGOCIOS"/>
    <x v="1"/>
  </r>
  <r>
    <x v="55"/>
    <x v="265"/>
    <x v="6"/>
    <x v="6"/>
    <x v="1"/>
    <x v="14"/>
    <x v="25"/>
    <x v="386"/>
    <x v="2923"/>
    <x v="0"/>
    <s v="NEGOCIOS"/>
    <x v="1"/>
  </r>
  <r>
    <x v="55"/>
    <x v="184"/>
    <x v="6"/>
    <x v="6"/>
    <x v="1"/>
    <x v="14"/>
    <x v="25"/>
    <x v="413"/>
    <x v="2924"/>
    <x v="0"/>
    <s v="NEGOCIOS"/>
    <x v="1"/>
  </r>
  <r>
    <x v="55"/>
    <x v="314"/>
    <x v="6"/>
    <x v="6"/>
    <x v="1"/>
    <x v="14"/>
    <x v="25"/>
    <x v="372"/>
    <x v="911"/>
    <x v="0"/>
    <s v="NEGOCIOS"/>
    <x v="1"/>
  </r>
  <r>
    <x v="55"/>
    <x v="296"/>
    <x v="6"/>
    <x v="6"/>
    <x v="1"/>
    <x v="14"/>
    <x v="25"/>
    <x v="312"/>
    <x v="2925"/>
    <x v="0"/>
    <s v="NEGOCIOS"/>
    <x v="1"/>
  </r>
  <r>
    <x v="55"/>
    <x v="313"/>
    <x v="6"/>
    <x v="6"/>
    <x v="1"/>
    <x v="14"/>
    <x v="25"/>
    <x v="341"/>
    <x v="2926"/>
    <x v="0"/>
    <s v="NEGOCIOS"/>
    <x v="1"/>
  </r>
  <r>
    <x v="55"/>
    <x v="174"/>
    <x v="6"/>
    <x v="6"/>
    <x v="1"/>
    <x v="14"/>
    <x v="25"/>
    <x v="282"/>
    <x v="2927"/>
    <x v="0"/>
    <s v="NEGOCIOS"/>
    <x v="1"/>
  </r>
  <r>
    <x v="55"/>
    <x v="277"/>
    <x v="7"/>
    <x v="7"/>
    <x v="1"/>
    <x v="15"/>
    <x v="25"/>
    <x v="325"/>
    <x v="925"/>
    <x v="0"/>
    <s v="NEGOCIOS"/>
    <x v="1"/>
  </r>
  <r>
    <x v="55"/>
    <x v="277"/>
    <x v="7"/>
    <x v="7"/>
    <x v="1"/>
    <x v="15"/>
    <x v="21"/>
    <x v="325"/>
    <x v="146"/>
    <x v="0"/>
    <s v="NEGOCIOS"/>
    <x v="1"/>
  </r>
  <r>
    <x v="55"/>
    <x v="327"/>
    <x v="7"/>
    <x v="7"/>
    <x v="1"/>
    <x v="15"/>
    <x v="21"/>
    <x v="387"/>
    <x v="146"/>
    <x v="0"/>
    <s v="NEGOCIOS"/>
    <x v="1"/>
  </r>
  <r>
    <x v="55"/>
    <x v="179"/>
    <x v="7"/>
    <x v="7"/>
    <x v="1"/>
    <x v="15"/>
    <x v="21"/>
    <x v="415"/>
    <x v="2928"/>
    <x v="0"/>
    <s v="NEGOCIOS"/>
    <x v="1"/>
  </r>
  <r>
    <x v="55"/>
    <x v="259"/>
    <x v="7"/>
    <x v="7"/>
    <x v="1"/>
    <x v="15"/>
    <x v="21"/>
    <x v="355"/>
    <x v="146"/>
    <x v="0"/>
    <s v="NEGOCIOS"/>
    <x v="1"/>
  </r>
  <r>
    <x v="55"/>
    <x v="192"/>
    <x v="8"/>
    <x v="8"/>
    <x v="1"/>
    <x v="15"/>
    <x v="25"/>
    <x v="300"/>
    <x v="925"/>
    <x v="0"/>
    <s v="NEGOCIOS"/>
    <x v="1"/>
  </r>
  <r>
    <x v="55"/>
    <x v="326"/>
    <x v="8"/>
    <x v="8"/>
    <x v="1"/>
    <x v="15"/>
    <x v="21"/>
    <x v="423"/>
    <x v="2734"/>
    <x v="0"/>
    <s v="NEGOCIOS"/>
    <x v="1"/>
  </r>
  <r>
    <x v="55"/>
    <x v="254"/>
    <x v="8"/>
    <x v="8"/>
    <x v="1"/>
    <x v="15"/>
    <x v="21"/>
    <x v="326"/>
    <x v="146"/>
    <x v="0"/>
    <s v="NEGOCIOS"/>
    <x v="1"/>
  </r>
  <r>
    <x v="55"/>
    <x v="323"/>
    <x v="8"/>
    <x v="8"/>
    <x v="1"/>
    <x v="15"/>
    <x v="21"/>
    <x v="367"/>
    <x v="2929"/>
    <x v="0"/>
    <s v="NEGOCIOS"/>
    <x v="1"/>
  </r>
  <r>
    <x v="55"/>
    <x v="306"/>
    <x v="9"/>
    <x v="9"/>
    <x v="1"/>
    <x v="15"/>
    <x v="25"/>
    <x v="336"/>
    <x v="925"/>
    <x v="0"/>
    <s v="NEGOCIOS"/>
    <x v="1"/>
  </r>
  <r>
    <x v="55"/>
    <x v="227"/>
    <x v="9"/>
    <x v="9"/>
    <x v="1"/>
    <x v="15"/>
    <x v="21"/>
    <x v="399"/>
    <x v="2930"/>
    <x v="0"/>
    <s v="NEGOCIOS"/>
    <x v="1"/>
  </r>
  <r>
    <x v="55"/>
    <x v="303"/>
    <x v="9"/>
    <x v="9"/>
    <x v="1"/>
    <x v="15"/>
    <x v="21"/>
    <x v="327"/>
    <x v="874"/>
    <x v="0"/>
    <s v="NEGOCIOS"/>
    <x v="1"/>
  </r>
  <r>
    <x v="55"/>
    <x v="197"/>
    <x v="9"/>
    <x v="9"/>
    <x v="1"/>
    <x v="15"/>
    <x v="21"/>
    <x v="432"/>
    <x v="1182"/>
    <x v="0"/>
    <s v="NEGOCIOS"/>
    <x v="1"/>
  </r>
  <r>
    <x v="55"/>
    <x v="286"/>
    <x v="10"/>
    <x v="10"/>
    <x v="1"/>
    <x v="15"/>
    <x v="25"/>
    <x v="297"/>
    <x v="925"/>
    <x v="0"/>
    <s v="NEGOCIOS"/>
    <x v="1"/>
  </r>
  <r>
    <x v="55"/>
    <x v="212"/>
    <x v="10"/>
    <x v="10"/>
    <x v="1"/>
    <x v="15"/>
    <x v="25"/>
    <x v="319"/>
    <x v="2931"/>
    <x v="0"/>
    <s v="NEGOCIOS"/>
    <x v="1"/>
  </r>
  <r>
    <x v="55"/>
    <x v="248"/>
    <x v="10"/>
    <x v="10"/>
    <x v="1"/>
    <x v="15"/>
    <x v="26"/>
    <x v="304"/>
    <x v="1"/>
    <x v="261"/>
    <s v="NEGOCIOS"/>
    <x v="1"/>
  </r>
  <r>
    <x v="55"/>
    <x v="200"/>
    <x v="11"/>
    <x v="11"/>
    <x v="1"/>
    <x v="15"/>
    <x v="25"/>
    <x v="351"/>
    <x v="925"/>
    <x v="0"/>
    <s v="NEGOCIOS"/>
    <x v="1"/>
  </r>
  <r>
    <x v="55"/>
    <x v="220"/>
    <x v="11"/>
    <x v="11"/>
    <x v="1"/>
    <x v="15"/>
    <x v="25"/>
    <x v="309"/>
    <x v="874"/>
    <x v="0"/>
    <s v="NEGOCIOS"/>
    <x v="1"/>
  </r>
  <r>
    <x v="55"/>
    <x v="193"/>
    <x v="11"/>
    <x v="11"/>
    <x v="1"/>
    <x v="15"/>
    <x v="25"/>
    <x v="369"/>
    <x v="2932"/>
    <x v="0"/>
    <s v="NEGOCIOS"/>
    <x v="1"/>
  </r>
  <r>
    <x v="55"/>
    <x v="302"/>
    <x v="11"/>
    <x v="11"/>
    <x v="1"/>
    <x v="15"/>
    <x v="25"/>
    <x v="324"/>
    <x v="2933"/>
    <x v="0"/>
    <s v="NEGOCIOS"/>
    <x v="1"/>
  </r>
  <r>
    <x v="55"/>
    <x v="330"/>
    <x v="11"/>
    <x v="11"/>
    <x v="1"/>
    <x v="15"/>
    <x v="25"/>
    <x v="381"/>
    <x v="2934"/>
    <x v="0"/>
    <s v="NEGOCIOS"/>
    <x v="1"/>
  </r>
  <r>
    <x v="55"/>
    <x v="221"/>
    <x v="2"/>
    <x v="2"/>
    <x v="1"/>
    <x v="15"/>
    <x v="25"/>
    <x v="347"/>
    <x v="925"/>
    <x v="0"/>
    <s v="NEGOCIOS"/>
    <x v="1"/>
  </r>
  <r>
    <x v="55"/>
    <x v="284"/>
    <x v="2"/>
    <x v="2"/>
    <x v="1"/>
    <x v="15"/>
    <x v="25"/>
    <x v="383"/>
    <x v="2930"/>
    <x v="0"/>
    <s v="NEGOCIOS"/>
    <x v="1"/>
  </r>
  <r>
    <x v="55"/>
    <x v="265"/>
    <x v="6"/>
    <x v="6"/>
    <x v="1"/>
    <x v="15"/>
    <x v="25"/>
    <x v="386"/>
    <x v="925"/>
    <x v="0"/>
    <s v="NEGOCIOS"/>
    <x v="1"/>
  </r>
  <r>
    <x v="55"/>
    <x v="290"/>
    <x v="9"/>
    <x v="9"/>
    <x v="1"/>
    <x v="27"/>
    <x v="25"/>
    <x v="302"/>
    <x v="2935"/>
    <x v="0"/>
    <s v="NEGOCIOS"/>
    <x v="1"/>
  </r>
  <r>
    <x v="55"/>
    <x v="316"/>
    <x v="2"/>
    <x v="2"/>
    <x v="1"/>
    <x v="27"/>
    <x v="25"/>
    <x v="348"/>
    <x v="2815"/>
    <x v="0"/>
    <s v="NEGOCIOS"/>
    <x v="1"/>
  </r>
  <r>
    <x v="55"/>
    <x v="248"/>
    <x v="10"/>
    <x v="10"/>
    <x v="1"/>
    <x v="28"/>
    <x v="25"/>
    <x v="304"/>
    <x v="2707"/>
    <x v="0"/>
    <s v="NEGOCIOS"/>
    <x v="1"/>
  </r>
  <r>
    <x v="55"/>
    <x v="269"/>
    <x v="11"/>
    <x v="11"/>
    <x v="1"/>
    <x v="28"/>
    <x v="25"/>
    <x v="403"/>
    <x v="849"/>
    <x v="0"/>
    <s v="NEGOCIOS"/>
    <x v="1"/>
  </r>
  <r>
    <x v="55"/>
    <x v="182"/>
    <x v="2"/>
    <x v="2"/>
    <x v="1"/>
    <x v="28"/>
    <x v="25"/>
    <x v="392"/>
    <x v="2936"/>
    <x v="0"/>
    <s v="NEGOCIOS"/>
    <x v="1"/>
  </r>
  <r>
    <x v="55"/>
    <x v="270"/>
    <x v="2"/>
    <x v="2"/>
    <x v="1"/>
    <x v="28"/>
    <x v="25"/>
    <x v="363"/>
    <x v="2937"/>
    <x v="0"/>
    <s v="NEGOCIOS"/>
    <x v="1"/>
  </r>
  <r>
    <x v="55"/>
    <x v="280"/>
    <x v="2"/>
    <x v="2"/>
    <x v="1"/>
    <x v="28"/>
    <x v="25"/>
    <x v="295"/>
    <x v="2938"/>
    <x v="0"/>
    <s v="NEGOCIOS"/>
    <x v="1"/>
  </r>
  <r>
    <x v="55"/>
    <x v="223"/>
    <x v="2"/>
    <x v="2"/>
    <x v="1"/>
    <x v="28"/>
    <x v="25"/>
    <x v="434"/>
    <x v="2939"/>
    <x v="0"/>
    <s v="NEGOCIOS"/>
    <x v="1"/>
  </r>
  <r>
    <x v="55"/>
    <x v="276"/>
    <x v="2"/>
    <x v="2"/>
    <x v="1"/>
    <x v="28"/>
    <x v="25"/>
    <x v="385"/>
    <x v="2940"/>
    <x v="0"/>
    <s v="NEGOCIOS"/>
    <x v="1"/>
  </r>
  <r>
    <x v="55"/>
    <x v="281"/>
    <x v="6"/>
    <x v="6"/>
    <x v="1"/>
    <x v="28"/>
    <x v="25"/>
    <x v="395"/>
    <x v="110"/>
    <x v="0"/>
    <s v="NEGOCIOS"/>
    <x v="1"/>
  </r>
  <r>
    <x v="55"/>
    <x v="265"/>
    <x v="6"/>
    <x v="6"/>
    <x v="1"/>
    <x v="28"/>
    <x v="25"/>
    <x v="386"/>
    <x v="2941"/>
    <x v="0"/>
    <s v="NEGOCIOS"/>
    <x v="1"/>
  </r>
  <r>
    <x v="55"/>
    <x v="296"/>
    <x v="6"/>
    <x v="6"/>
    <x v="1"/>
    <x v="28"/>
    <x v="21"/>
    <x v="312"/>
    <x v="1024"/>
    <x v="0"/>
    <s v="NEGOCIOS"/>
    <x v="1"/>
  </r>
  <r>
    <x v="55"/>
    <x v="296"/>
    <x v="6"/>
    <x v="6"/>
    <x v="1"/>
    <x v="28"/>
    <x v="25"/>
    <x v="312"/>
    <x v="2213"/>
    <x v="0"/>
    <s v="NEGOCIOS"/>
    <x v="1"/>
  </r>
  <r>
    <x v="55"/>
    <x v="203"/>
    <x v="6"/>
    <x v="6"/>
    <x v="1"/>
    <x v="28"/>
    <x v="25"/>
    <x v="288"/>
    <x v="1941"/>
    <x v="0"/>
    <s v="NEGOCIOS"/>
    <x v="1"/>
  </r>
  <r>
    <x v="55"/>
    <x v="188"/>
    <x v="6"/>
    <x v="6"/>
    <x v="1"/>
    <x v="28"/>
    <x v="25"/>
    <x v="407"/>
    <x v="774"/>
    <x v="0"/>
    <s v="NEGOCIOS"/>
    <x v="1"/>
  </r>
  <r>
    <x v="55"/>
    <x v="271"/>
    <x v="6"/>
    <x v="6"/>
    <x v="1"/>
    <x v="28"/>
    <x v="25"/>
    <x v="426"/>
    <x v="763"/>
    <x v="0"/>
    <s v="NEGOCIOS"/>
    <x v="1"/>
  </r>
  <r>
    <x v="55"/>
    <x v="174"/>
    <x v="6"/>
    <x v="6"/>
    <x v="1"/>
    <x v="28"/>
    <x v="25"/>
    <x v="282"/>
    <x v="2942"/>
    <x v="0"/>
    <s v="NEGOCIOS"/>
    <x v="1"/>
  </r>
  <r>
    <x v="55"/>
    <x v="190"/>
    <x v="6"/>
    <x v="6"/>
    <x v="1"/>
    <x v="28"/>
    <x v="21"/>
    <x v="342"/>
    <x v="2829"/>
    <x v="0"/>
    <s v="NEGOCIOS"/>
    <x v="1"/>
  </r>
  <r>
    <x v="55"/>
    <x v="308"/>
    <x v="7"/>
    <x v="7"/>
    <x v="1"/>
    <x v="29"/>
    <x v="21"/>
    <x v="333"/>
    <x v="2943"/>
    <x v="0"/>
    <s v="NEGOCIOS"/>
    <x v="1"/>
  </r>
  <r>
    <x v="55"/>
    <x v="328"/>
    <x v="7"/>
    <x v="7"/>
    <x v="1"/>
    <x v="29"/>
    <x v="26"/>
    <x v="366"/>
    <x v="2944"/>
    <x v="0"/>
    <s v="NEGOCIOS"/>
    <x v="1"/>
  </r>
  <r>
    <x v="55"/>
    <x v="323"/>
    <x v="8"/>
    <x v="8"/>
    <x v="1"/>
    <x v="29"/>
    <x v="26"/>
    <x v="367"/>
    <x v="1412"/>
    <x v="0"/>
    <s v="NEGOCIOS"/>
    <x v="1"/>
  </r>
  <r>
    <x v="55"/>
    <x v="262"/>
    <x v="9"/>
    <x v="9"/>
    <x v="1"/>
    <x v="29"/>
    <x v="26"/>
    <x v="368"/>
    <x v="1805"/>
    <x v="0"/>
    <s v="NEGOCIOS"/>
    <x v="1"/>
  </r>
  <r>
    <x v="55"/>
    <x v="199"/>
    <x v="10"/>
    <x v="10"/>
    <x v="1"/>
    <x v="29"/>
    <x v="26"/>
    <x v="298"/>
    <x v="1838"/>
    <x v="0"/>
    <s v="NEGOCIOS"/>
    <x v="1"/>
  </r>
  <r>
    <x v="55"/>
    <x v="299"/>
    <x v="11"/>
    <x v="11"/>
    <x v="1"/>
    <x v="29"/>
    <x v="26"/>
    <x v="315"/>
    <x v="1"/>
    <x v="592"/>
    <s v="NEGOCIOS"/>
    <x v="1"/>
  </r>
  <r>
    <x v="55"/>
    <x v="193"/>
    <x v="11"/>
    <x v="11"/>
    <x v="1"/>
    <x v="29"/>
    <x v="26"/>
    <x v="369"/>
    <x v="2945"/>
    <x v="0"/>
    <s v="NEGOCIOS"/>
    <x v="1"/>
  </r>
  <r>
    <x v="55"/>
    <x v="225"/>
    <x v="7"/>
    <x v="7"/>
    <x v="1"/>
    <x v="30"/>
    <x v="21"/>
    <x v="416"/>
    <x v="1288"/>
    <x v="0"/>
    <s v="NEGOCIOS"/>
    <x v="1"/>
  </r>
  <r>
    <x v="55"/>
    <x v="225"/>
    <x v="7"/>
    <x v="7"/>
    <x v="1"/>
    <x v="30"/>
    <x v="25"/>
    <x v="416"/>
    <x v="2946"/>
    <x v="0"/>
    <s v="NEGOCIOS"/>
    <x v="1"/>
  </r>
  <r>
    <x v="55"/>
    <x v="252"/>
    <x v="7"/>
    <x v="7"/>
    <x v="1"/>
    <x v="30"/>
    <x v="21"/>
    <x v="396"/>
    <x v="2947"/>
    <x v="0"/>
    <s v="NEGOCIOS"/>
    <x v="1"/>
  </r>
  <r>
    <x v="55"/>
    <x v="206"/>
    <x v="7"/>
    <x v="7"/>
    <x v="1"/>
    <x v="30"/>
    <x v="21"/>
    <x v="284"/>
    <x v="2948"/>
    <x v="0"/>
    <s v="NEGOCIOS"/>
    <x v="1"/>
  </r>
  <r>
    <x v="55"/>
    <x v="332"/>
    <x v="7"/>
    <x v="7"/>
    <x v="1"/>
    <x v="30"/>
    <x v="21"/>
    <x v="397"/>
    <x v="1067"/>
    <x v="0"/>
    <s v="NEGOCIOS"/>
    <x v="1"/>
  </r>
  <r>
    <x v="55"/>
    <x v="247"/>
    <x v="8"/>
    <x v="8"/>
    <x v="1"/>
    <x v="30"/>
    <x v="21"/>
    <x v="289"/>
    <x v="2949"/>
    <x v="0"/>
    <s v="NEGOCIOS"/>
    <x v="1"/>
  </r>
  <r>
    <x v="55"/>
    <x v="254"/>
    <x v="8"/>
    <x v="8"/>
    <x v="1"/>
    <x v="30"/>
    <x v="21"/>
    <x v="326"/>
    <x v="764"/>
    <x v="0"/>
    <s v="NEGOCIOS"/>
    <x v="1"/>
  </r>
  <r>
    <x v="55"/>
    <x v="318"/>
    <x v="8"/>
    <x v="8"/>
    <x v="1"/>
    <x v="30"/>
    <x v="21"/>
    <x v="388"/>
    <x v="2950"/>
    <x v="0"/>
    <s v="NEGOCIOS"/>
    <x v="1"/>
  </r>
  <r>
    <x v="55"/>
    <x v="245"/>
    <x v="8"/>
    <x v="8"/>
    <x v="1"/>
    <x v="30"/>
    <x v="21"/>
    <x v="285"/>
    <x v="2064"/>
    <x v="0"/>
    <s v="NEGOCIOS"/>
    <x v="1"/>
  </r>
  <r>
    <x v="55"/>
    <x v="245"/>
    <x v="8"/>
    <x v="8"/>
    <x v="1"/>
    <x v="30"/>
    <x v="25"/>
    <x v="285"/>
    <x v="2951"/>
    <x v="0"/>
    <s v="NEGOCIOS"/>
    <x v="1"/>
  </r>
  <r>
    <x v="55"/>
    <x v="208"/>
    <x v="8"/>
    <x v="8"/>
    <x v="1"/>
    <x v="30"/>
    <x v="21"/>
    <x v="377"/>
    <x v="2952"/>
    <x v="0"/>
    <s v="NEGOCIOS"/>
    <x v="1"/>
  </r>
  <r>
    <x v="55"/>
    <x v="319"/>
    <x v="8"/>
    <x v="8"/>
    <x v="1"/>
    <x v="30"/>
    <x v="21"/>
    <x v="350"/>
    <x v="2953"/>
    <x v="0"/>
    <s v="NEGOCIOS"/>
    <x v="1"/>
  </r>
  <r>
    <x v="55"/>
    <x v="242"/>
    <x v="9"/>
    <x v="9"/>
    <x v="1"/>
    <x v="30"/>
    <x v="21"/>
    <x v="435"/>
    <x v="804"/>
    <x v="0"/>
    <s v="NEGOCIOS"/>
    <x v="1"/>
  </r>
  <r>
    <x v="55"/>
    <x v="211"/>
    <x v="9"/>
    <x v="9"/>
    <x v="1"/>
    <x v="30"/>
    <x v="25"/>
    <x v="286"/>
    <x v="2954"/>
    <x v="0"/>
    <s v="NEGOCIOS"/>
    <x v="1"/>
  </r>
  <r>
    <x v="55"/>
    <x v="331"/>
    <x v="9"/>
    <x v="9"/>
    <x v="1"/>
    <x v="30"/>
    <x v="25"/>
    <x v="391"/>
    <x v="2955"/>
    <x v="0"/>
    <s v="NEGOCIOS"/>
    <x v="1"/>
  </r>
  <r>
    <x v="55"/>
    <x v="263"/>
    <x v="10"/>
    <x v="10"/>
    <x v="1"/>
    <x v="30"/>
    <x v="25"/>
    <x v="436"/>
    <x v="759"/>
    <x v="0"/>
    <s v="NEGOCIOS"/>
    <x v="1"/>
  </r>
  <r>
    <x v="55"/>
    <x v="310"/>
    <x v="10"/>
    <x v="10"/>
    <x v="1"/>
    <x v="30"/>
    <x v="25"/>
    <x v="335"/>
    <x v="2956"/>
    <x v="0"/>
    <s v="NEGOCIOS"/>
    <x v="1"/>
  </r>
  <r>
    <x v="55"/>
    <x v="239"/>
    <x v="10"/>
    <x v="10"/>
    <x v="1"/>
    <x v="30"/>
    <x v="25"/>
    <x v="419"/>
    <x v="1242"/>
    <x v="0"/>
    <s v="NEGOCIOS"/>
    <x v="1"/>
  </r>
  <r>
    <x v="55"/>
    <x v="248"/>
    <x v="10"/>
    <x v="10"/>
    <x v="1"/>
    <x v="30"/>
    <x v="25"/>
    <x v="304"/>
    <x v="2957"/>
    <x v="0"/>
    <s v="NEGOCIOS"/>
    <x v="1"/>
  </r>
  <r>
    <x v="55"/>
    <x v="248"/>
    <x v="10"/>
    <x v="10"/>
    <x v="1"/>
    <x v="30"/>
    <x v="21"/>
    <x v="304"/>
    <x v="2958"/>
    <x v="0"/>
    <s v="NEGOCIOS"/>
    <x v="1"/>
  </r>
  <r>
    <x v="55"/>
    <x v="233"/>
    <x v="10"/>
    <x v="10"/>
    <x v="1"/>
    <x v="30"/>
    <x v="21"/>
    <x v="344"/>
    <x v="2959"/>
    <x v="0"/>
    <s v="NEGOCIOS"/>
    <x v="1"/>
  </r>
  <r>
    <x v="55"/>
    <x v="200"/>
    <x v="11"/>
    <x v="11"/>
    <x v="1"/>
    <x v="30"/>
    <x v="25"/>
    <x v="351"/>
    <x v="2960"/>
    <x v="0"/>
    <s v="NEGOCIOS"/>
    <x v="1"/>
  </r>
  <r>
    <x v="55"/>
    <x v="200"/>
    <x v="11"/>
    <x v="11"/>
    <x v="1"/>
    <x v="30"/>
    <x v="21"/>
    <x v="351"/>
    <x v="1024"/>
    <x v="0"/>
    <s v="NEGOCIOS"/>
    <x v="1"/>
  </r>
  <r>
    <x v="55"/>
    <x v="202"/>
    <x v="11"/>
    <x v="11"/>
    <x v="1"/>
    <x v="30"/>
    <x v="26"/>
    <x v="305"/>
    <x v="2961"/>
    <x v="0"/>
    <s v="NEGOCIOS"/>
    <x v="1"/>
  </r>
  <r>
    <x v="55"/>
    <x v="330"/>
    <x v="11"/>
    <x v="11"/>
    <x v="1"/>
    <x v="30"/>
    <x v="25"/>
    <x v="381"/>
    <x v="2962"/>
    <x v="0"/>
    <s v="NEGOCIOS"/>
    <x v="1"/>
  </r>
  <r>
    <x v="55"/>
    <x v="274"/>
    <x v="11"/>
    <x v="11"/>
    <x v="1"/>
    <x v="30"/>
    <x v="25"/>
    <x v="404"/>
    <x v="2963"/>
    <x v="0"/>
    <s v="NEGOCIOS"/>
    <x v="1"/>
  </r>
  <r>
    <x v="55"/>
    <x v="300"/>
    <x v="2"/>
    <x v="2"/>
    <x v="1"/>
    <x v="30"/>
    <x v="25"/>
    <x v="316"/>
    <x v="911"/>
    <x v="0"/>
    <s v="NEGOCIOS"/>
    <x v="1"/>
  </r>
  <r>
    <x v="55"/>
    <x v="315"/>
    <x v="2"/>
    <x v="2"/>
    <x v="1"/>
    <x v="30"/>
    <x v="25"/>
    <x v="405"/>
    <x v="2964"/>
    <x v="0"/>
    <s v="NEGOCIOS"/>
    <x v="1"/>
  </r>
  <r>
    <x v="55"/>
    <x v="334"/>
    <x v="2"/>
    <x v="2"/>
    <x v="1"/>
    <x v="30"/>
    <x v="21"/>
    <x v="406"/>
    <x v="2965"/>
    <x v="0"/>
    <s v="NEGOCIOS"/>
    <x v="1"/>
  </r>
  <r>
    <x v="55"/>
    <x v="284"/>
    <x v="2"/>
    <x v="2"/>
    <x v="1"/>
    <x v="30"/>
    <x v="26"/>
    <x v="383"/>
    <x v="2966"/>
    <x v="0"/>
    <s v="NEGOCIOS"/>
    <x v="1"/>
  </r>
  <r>
    <x v="55"/>
    <x v="270"/>
    <x v="2"/>
    <x v="2"/>
    <x v="1"/>
    <x v="30"/>
    <x v="26"/>
    <x v="363"/>
    <x v="2967"/>
    <x v="0"/>
    <s v="NEGOCIOS"/>
    <x v="1"/>
  </r>
  <r>
    <x v="55"/>
    <x v="216"/>
    <x v="2"/>
    <x v="2"/>
    <x v="1"/>
    <x v="30"/>
    <x v="25"/>
    <x v="332"/>
    <x v="2968"/>
    <x v="0"/>
    <s v="NEGOCIOS"/>
    <x v="1"/>
  </r>
  <r>
    <x v="55"/>
    <x v="223"/>
    <x v="2"/>
    <x v="2"/>
    <x v="1"/>
    <x v="30"/>
    <x v="21"/>
    <x v="434"/>
    <x v="2969"/>
    <x v="0"/>
    <s v="NEGOCIOS"/>
    <x v="1"/>
  </r>
  <r>
    <x v="55"/>
    <x v="276"/>
    <x v="2"/>
    <x v="2"/>
    <x v="1"/>
    <x v="30"/>
    <x v="25"/>
    <x v="385"/>
    <x v="2970"/>
    <x v="0"/>
    <s v="NEGOCIOS"/>
    <x v="1"/>
  </r>
  <r>
    <x v="55"/>
    <x v="276"/>
    <x v="2"/>
    <x v="2"/>
    <x v="1"/>
    <x v="30"/>
    <x v="21"/>
    <x v="385"/>
    <x v="2971"/>
    <x v="0"/>
    <s v="NEGOCIOS"/>
    <x v="1"/>
  </r>
  <r>
    <x v="55"/>
    <x v="183"/>
    <x v="2"/>
    <x v="2"/>
    <x v="1"/>
    <x v="30"/>
    <x v="25"/>
    <x v="330"/>
    <x v="2972"/>
    <x v="0"/>
    <s v="NEGOCIOS"/>
    <x v="1"/>
  </r>
  <r>
    <x v="55"/>
    <x v="285"/>
    <x v="6"/>
    <x v="6"/>
    <x v="1"/>
    <x v="30"/>
    <x v="21"/>
    <x v="409"/>
    <x v="2973"/>
    <x v="0"/>
    <s v="NEGOCIOS"/>
    <x v="1"/>
  </r>
  <r>
    <x v="55"/>
    <x v="217"/>
    <x v="6"/>
    <x v="6"/>
    <x v="1"/>
    <x v="30"/>
    <x v="25"/>
    <x v="323"/>
    <x v="2974"/>
    <x v="0"/>
    <s v="NEGOCIOS"/>
    <x v="1"/>
  </r>
  <r>
    <x v="55"/>
    <x v="265"/>
    <x v="6"/>
    <x v="6"/>
    <x v="1"/>
    <x v="30"/>
    <x v="25"/>
    <x v="386"/>
    <x v="816"/>
    <x v="0"/>
    <s v="NEGOCIOS"/>
    <x v="1"/>
  </r>
  <r>
    <x v="55"/>
    <x v="265"/>
    <x v="6"/>
    <x v="6"/>
    <x v="1"/>
    <x v="30"/>
    <x v="26"/>
    <x v="386"/>
    <x v="2975"/>
    <x v="0"/>
    <s v="NEGOCIOS"/>
    <x v="1"/>
  </r>
  <r>
    <x v="55"/>
    <x v="184"/>
    <x v="6"/>
    <x v="6"/>
    <x v="1"/>
    <x v="30"/>
    <x v="25"/>
    <x v="413"/>
    <x v="2976"/>
    <x v="0"/>
    <s v="NEGOCIOS"/>
    <x v="1"/>
  </r>
  <r>
    <x v="55"/>
    <x v="236"/>
    <x v="6"/>
    <x v="6"/>
    <x v="1"/>
    <x v="30"/>
    <x v="26"/>
    <x v="371"/>
    <x v="2977"/>
    <x v="0"/>
    <s v="NEGOCIOS"/>
    <x v="1"/>
  </r>
  <r>
    <x v="55"/>
    <x v="335"/>
    <x v="6"/>
    <x v="6"/>
    <x v="1"/>
    <x v="30"/>
    <x v="21"/>
    <x v="408"/>
    <x v="982"/>
    <x v="0"/>
    <s v="NEGOCIOS"/>
    <x v="1"/>
  </r>
  <r>
    <x v="55"/>
    <x v="190"/>
    <x v="6"/>
    <x v="6"/>
    <x v="1"/>
    <x v="30"/>
    <x v="25"/>
    <x v="342"/>
    <x v="899"/>
    <x v="0"/>
    <s v="NEGOCIOS"/>
    <x v="1"/>
  </r>
  <r>
    <x v="55"/>
    <x v="190"/>
    <x v="6"/>
    <x v="6"/>
    <x v="1"/>
    <x v="30"/>
    <x v="21"/>
    <x v="342"/>
    <x v="2978"/>
    <x v="0"/>
    <s v="NEGOCIOS"/>
    <x v="1"/>
  </r>
  <r>
    <x v="55"/>
    <x v="332"/>
    <x v="7"/>
    <x v="7"/>
    <x v="1"/>
    <x v="17"/>
    <x v="26"/>
    <x v="397"/>
    <x v="2979"/>
    <x v="0"/>
    <s v="NEGOCIOS"/>
    <x v="1"/>
  </r>
  <r>
    <x v="55"/>
    <x v="254"/>
    <x v="8"/>
    <x v="8"/>
    <x v="1"/>
    <x v="17"/>
    <x v="21"/>
    <x v="326"/>
    <x v="852"/>
    <x v="0"/>
    <s v="NEGOCIOS"/>
    <x v="1"/>
  </r>
  <r>
    <x v="55"/>
    <x v="261"/>
    <x v="8"/>
    <x v="8"/>
    <x v="1"/>
    <x v="17"/>
    <x v="26"/>
    <x v="320"/>
    <x v="2839"/>
    <x v="0"/>
    <s v="NEGOCIOS"/>
    <x v="1"/>
  </r>
  <r>
    <x v="55"/>
    <x v="323"/>
    <x v="8"/>
    <x v="8"/>
    <x v="1"/>
    <x v="17"/>
    <x v="26"/>
    <x v="367"/>
    <x v="2980"/>
    <x v="0"/>
    <s v="NEGOCIOS"/>
    <x v="1"/>
  </r>
  <r>
    <x v="55"/>
    <x v="227"/>
    <x v="9"/>
    <x v="9"/>
    <x v="1"/>
    <x v="17"/>
    <x v="26"/>
    <x v="399"/>
    <x v="899"/>
    <x v="0"/>
    <s v="NEGOCIOS"/>
    <x v="1"/>
  </r>
  <r>
    <x v="55"/>
    <x v="194"/>
    <x v="9"/>
    <x v="9"/>
    <x v="1"/>
    <x v="17"/>
    <x v="26"/>
    <x v="390"/>
    <x v="2981"/>
    <x v="0"/>
    <s v="NEGOCIOS"/>
    <x v="1"/>
  </r>
  <r>
    <x v="55"/>
    <x v="338"/>
    <x v="9"/>
    <x v="9"/>
    <x v="1"/>
    <x v="17"/>
    <x v="25"/>
    <x v="425"/>
    <x v="2982"/>
    <x v="0"/>
    <s v="NEGOCIOS"/>
    <x v="1"/>
  </r>
  <r>
    <x v="55"/>
    <x v="286"/>
    <x v="10"/>
    <x v="10"/>
    <x v="1"/>
    <x v="17"/>
    <x v="25"/>
    <x v="297"/>
    <x v="2983"/>
    <x v="0"/>
    <s v="NEGOCIOS"/>
    <x v="1"/>
  </r>
  <r>
    <x v="55"/>
    <x v="263"/>
    <x v="10"/>
    <x v="10"/>
    <x v="1"/>
    <x v="17"/>
    <x v="26"/>
    <x v="436"/>
    <x v="2984"/>
    <x v="0"/>
    <s v="NEGOCIOS"/>
    <x v="1"/>
  </r>
  <r>
    <x v="55"/>
    <x v="317"/>
    <x v="10"/>
    <x v="10"/>
    <x v="1"/>
    <x v="17"/>
    <x v="21"/>
    <x v="401"/>
    <x v="2985"/>
    <x v="0"/>
    <s v="NEGOCIOS"/>
    <x v="1"/>
  </r>
  <r>
    <x v="55"/>
    <x v="248"/>
    <x v="10"/>
    <x v="10"/>
    <x v="1"/>
    <x v="17"/>
    <x v="25"/>
    <x v="304"/>
    <x v="2986"/>
    <x v="0"/>
    <s v="NEGOCIOS"/>
    <x v="1"/>
  </r>
  <r>
    <x v="55"/>
    <x v="176"/>
    <x v="10"/>
    <x v="10"/>
    <x v="1"/>
    <x v="17"/>
    <x v="26"/>
    <x v="412"/>
    <x v="2987"/>
    <x v="0"/>
    <s v="NEGOCIOS"/>
    <x v="1"/>
  </r>
  <r>
    <x v="55"/>
    <x v="249"/>
    <x v="11"/>
    <x v="11"/>
    <x v="1"/>
    <x v="17"/>
    <x v="25"/>
    <x v="359"/>
    <x v="2988"/>
    <x v="0"/>
    <s v="NEGOCIOS"/>
    <x v="1"/>
  </r>
  <r>
    <x v="55"/>
    <x v="214"/>
    <x v="11"/>
    <x v="11"/>
    <x v="1"/>
    <x v="17"/>
    <x v="26"/>
    <x v="306"/>
    <x v="2989"/>
    <x v="0"/>
    <s v="NEGOCIOS"/>
    <x v="1"/>
  </r>
  <r>
    <x v="55"/>
    <x v="275"/>
    <x v="11"/>
    <x v="11"/>
    <x v="1"/>
    <x v="17"/>
    <x v="25"/>
    <x v="307"/>
    <x v="835"/>
    <x v="0"/>
    <s v="NEGOCIOS"/>
    <x v="1"/>
  </r>
  <r>
    <x v="55"/>
    <x v="300"/>
    <x v="2"/>
    <x v="2"/>
    <x v="1"/>
    <x v="17"/>
    <x v="25"/>
    <x v="316"/>
    <x v="905"/>
    <x v="0"/>
    <s v="NEGOCIOS"/>
    <x v="1"/>
  </r>
  <r>
    <x v="55"/>
    <x v="182"/>
    <x v="2"/>
    <x v="2"/>
    <x v="1"/>
    <x v="17"/>
    <x v="25"/>
    <x v="392"/>
    <x v="2990"/>
    <x v="0"/>
    <s v="NEGOCIOS"/>
    <x v="1"/>
  </r>
  <r>
    <x v="55"/>
    <x v="182"/>
    <x v="2"/>
    <x v="2"/>
    <x v="1"/>
    <x v="17"/>
    <x v="26"/>
    <x v="392"/>
    <x v="2991"/>
    <x v="0"/>
    <s v="NEGOCIOS"/>
    <x v="1"/>
  </r>
  <r>
    <x v="55"/>
    <x v="246"/>
    <x v="2"/>
    <x v="2"/>
    <x v="1"/>
    <x v="17"/>
    <x v="25"/>
    <x v="287"/>
    <x v="2992"/>
    <x v="0"/>
    <s v="NEGOCIOS"/>
    <x v="1"/>
  </r>
  <r>
    <x v="55"/>
    <x v="314"/>
    <x v="6"/>
    <x v="6"/>
    <x v="1"/>
    <x v="17"/>
    <x v="25"/>
    <x v="372"/>
    <x v="1746"/>
    <x v="0"/>
    <s v="NEGOCIOS"/>
    <x v="1"/>
  </r>
  <r>
    <x v="55"/>
    <x v="314"/>
    <x v="6"/>
    <x v="6"/>
    <x v="1"/>
    <x v="17"/>
    <x v="26"/>
    <x v="372"/>
    <x v="2993"/>
    <x v="0"/>
    <s v="NEGOCIOS"/>
    <x v="1"/>
  </r>
  <r>
    <x v="55"/>
    <x v="297"/>
    <x v="6"/>
    <x v="6"/>
    <x v="1"/>
    <x v="17"/>
    <x v="25"/>
    <x v="313"/>
    <x v="2994"/>
    <x v="0"/>
    <s v="NEGOCIOS"/>
    <x v="1"/>
  </r>
  <r>
    <x v="55"/>
    <x v="335"/>
    <x v="6"/>
    <x v="6"/>
    <x v="1"/>
    <x v="17"/>
    <x v="25"/>
    <x v="408"/>
    <x v="2823"/>
    <x v="0"/>
    <s v="NEGOCIOS"/>
    <x v="1"/>
  </r>
  <r>
    <x v="55"/>
    <x v="259"/>
    <x v="7"/>
    <x v="7"/>
    <x v="1"/>
    <x v="31"/>
    <x v="21"/>
    <x v="355"/>
    <x v="1231"/>
    <x v="0"/>
    <s v="NEGOCIOS"/>
    <x v="1"/>
  </r>
  <r>
    <x v="55"/>
    <x v="260"/>
    <x v="7"/>
    <x v="7"/>
    <x v="1"/>
    <x v="31"/>
    <x v="21"/>
    <x v="437"/>
    <x v="2995"/>
    <x v="0"/>
    <s v="NEGOCIOS"/>
    <x v="1"/>
  </r>
  <r>
    <x v="55"/>
    <x v="251"/>
    <x v="8"/>
    <x v="8"/>
    <x v="1"/>
    <x v="31"/>
    <x v="21"/>
    <x v="291"/>
    <x v="782"/>
    <x v="0"/>
    <s v="NEGOCIOS"/>
    <x v="1"/>
  </r>
  <r>
    <x v="55"/>
    <x v="321"/>
    <x v="8"/>
    <x v="8"/>
    <x v="1"/>
    <x v="31"/>
    <x v="21"/>
    <x v="430"/>
    <x v="899"/>
    <x v="0"/>
    <s v="NEGOCIOS"/>
    <x v="1"/>
  </r>
  <r>
    <x v="55"/>
    <x v="267"/>
    <x v="8"/>
    <x v="8"/>
    <x v="1"/>
    <x v="31"/>
    <x v="21"/>
    <x v="438"/>
    <x v="1212"/>
    <x v="0"/>
    <s v="NEGOCIOS"/>
    <x v="1"/>
  </r>
  <r>
    <x v="55"/>
    <x v="245"/>
    <x v="8"/>
    <x v="8"/>
    <x v="1"/>
    <x v="31"/>
    <x v="21"/>
    <x v="285"/>
    <x v="2996"/>
    <x v="0"/>
    <s v="NEGOCIOS"/>
    <x v="1"/>
  </r>
  <r>
    <x v="55"/>
    <x v="173"/>
    <x v="8"/>
    <x v="8"/>
    <x v="1"/>
    <x v="31"/>
    <x v="21"/>
    <x v="378"/>
    <x v="905"/>
    <x v="0"/>
    <s v="NEGOCIOS"/>
    <x v="1"/>
  </r>
  <r>
    <x v="55"/>
    <x v="337"/>
    <x v="9"/>
    <x v="9"/>
    <x v="1"/>
    <x v="31"/>
    <x v="21"/>
    <x v="424"/>
    <x v="2997"/>
    <x v="0"/>
    <s v="NEGOCIOS"/>
    <x v="1"/>
  </r>
  <r>
    <x v="55"/>
    <x v="303"/>
    <x v="9"/>
    <x v="9"/>
    <x v="1"/>
    <x v="31"/>
    <x v="21"/>
    <x v="327"/>
    <x v="2998"/>
    <x v="0"/>
    <s v="NEGOCIOS"/>
    <x v="1"/>
  </r>
  <r>
    <x v="55"/>
    <x v="194"/>
    <x v="9"/>
    <x v="9"/>
    <x v="1"/>
    <x v="31"/>
    <x v="21"/>
    <x v="390"/>
    <x v="765"/>
    <x v="0"/>
    <s v="NEGOCIOS"/>
    <x v="1"/>
  </r>
  <r>
    <x v="55"/>
    <x v="290"/>
    <x v="9"/>
    <x v="9"/>
    <x v="1"/>
    <x v="31"/>
    <x v="21"/>
    <x v="302"/>
    <x v="2999"/>
    <x v="0"/>
    <s v="NEGOCIOS"/>
    <x v="1"/>
  </r>
  <r>
    <x v="55"/>
    <x v="333"/>
    <x v="9"/>
    <x v="9"/>
    <x v="1"/>
    <x v="31"/>
    <x v="21"/>
    <x v="400"/>
    <x v="1219"/>
    <x v="0"/>
    <s v="NEGOCIOS"/>
    <x v="1"/>
  </r>
  <r>
    <x v="55"/>
    <x v="211"/>
    <x v="9"/>
    <x v="9"/>
    <x v="1"/>
    <x v="31"/>
    <x v="21"/>
    <x v="286"/>
    <x v="3000"/>
    <x v="0"/>
    <s v="NEGOCIOS"/>
    <x v="1"/>
  </r>
  <r>
    <x v="55"/>
    <x v="331"/>
    <x v="9"/>
    <x v="9"/>
    <x v="1"/>
    <x v="31"/>
    <x v="25"/>
    <x v="391"/>
    <x v="3001"/>
    <x v="0"/>
    <s v="NEGOCIOS"/>
    <x v="1"/>
  </r>
  <r>
    <x v="55"/>
    <x v="230"/>
    <x v="9"/>
    <x v="9"/>
    <x v="1"/>
    <x v="31"/>
    <x v="25"/>
    <x v="283"/>
    <x v="804"/>
    <x v="0"/>
    <s v="NEGOCIOS"/>
    <x v="1"/>
  </r>
  <r>
    <x v="55"/>
    <x v="286"/>
    <x v="10"/>
    <x v="10"/>
    <x v="1"/>
    <x v="31"/>
    <x v="25"/>
    <x v="297"/>
    <x v="859"/>
    <x v="0"/>
    <s v="NEGOCIOS"/>
    <x v="1"/>
  </r>
  <r>
    <x v="55"/>
    <x v="186"/>
    <x v="10"/>
    <x v="10"/>
    <x v="1"/>
    <x v="31"/>
    <x v="25"/>
    <x v="321"/>
    <x v="3002"/>
    <x v="0"/>
    <s v="NEGOCIOS"/>
    <x v="1"/>
  </r>
  <r>
    <x v="55"/>
    <x v="248"/>
    <x v="10"/>
    <x v="10"/>
    <x v="1"/>
    <x v="31"/>
    <x v="25"/>
    <x v="304"/>
    <x v="3003"/>
    <x v="0"/>
    <s v="NEGOCIOS"/>
    <x v="1"/>
  </r>
  <r>
    <x v="55"/>
    <x v="176"/>
    <x v="10"/>
    <x v="10"/>
    <x v="1"/>
    <x v="31"/>
    <x v="25"/>
    <x v="412"/>
    <x v="3004"/>
    <x v="0"/>
    <s v="NEGOCIOS"/>
    <x v="1"/>
  </r>
  <r>
    <x v="55"/>
    <x v="200"/>
    <x v="11"/>
    <x v="11"/>
    <x v="1"/>
    <x v="31"/>
    <x v="25"/>
    <x v="351"/>
    <x v="3005"/>
    <x v="0"/>
    <s v="NEGOCIOS"/>
    <x v="1"/>
  </r>
  <r>
    <x v="55"/>
    <x v="282"/>
    <x v="11"/>
    <x v="11"/>
    <x v="1"/>
    <x v="31"/>
    <x v="25"/>
    <x v="358"/>
    <x v="3006"/>
    <x v="0"/>
    <s v="NEGOCIOS"/>
    <x v="1"/>
  </r>
  <r>
    <x v="55"/>
    <x v="272"/>
    <x v="11"/>
    <x v="11"/>
    <x v="1"/>
    <x v="31"/>
    <x v="25"/>
    <x v="360"/>
    <x v="772"/>
    <x v="0"/>
    <s v="NEGOCIOS"/>
    <x v="1"/>
  </r>
  <r>
    <x v="55"/>
    <x v="299"/>
    <x v="11"/>
    <x v="11"/>
    <x v="1"/>
    <x v="31"/>
    <x v="25"/>
    <x v="315"/>
    <x v="900"/>
    <x v="0"/>
    <s v="NEGOCIOS"/>
    <x v="1"/>
  </r>
  <r>
    <x v="55"/>
    <x v="330"/>
    <x v="11"/>
    <x v="11"/>
    <x v="1"/>
    <x v="31"/>
    <x v="21"/>
    <x v="381"/>
    <x v="2015"/>
    <x v="0"/>
    <s v="NEGOCIOS"/>
    <x v="1"/>
  </r>
  <r>
    <x v="55"/>
    <x v="334"/>
    <x v="2"/>
    <x v="2"/>
    <x v="1"/>
    <x v="31"/>
    <x v="25"/>
    <x v="406"/>
    <x v="1134"/>
    <x v="0"/>
    <s v="NEGOCIOS"/>
    <x v="1"/>
  </r>
  <r>
    <x v="55"/>
    <x v="221"/>
    <x v="2"/>
    <x v="2"/>
    <x v="1"/>
    <x v="31"/>
    <x v="25"/>
    <x v="347"/>
    <x v="896"/>
    <x v="0"/>
    <s v="NEGOCIOS"/>
    <x v="1"/>
  </r>
  <r>
    <x v="55"/>
    <x v="280"/>
    <x v="2"/>
    <x v="2"/>
    <x v="1"/>
    <x v="31"/>
    <x v="25"/>
    <x v="295"/>
    <x v="3007"/>
    <x v="0"/>
    <s v="NEGOCIOS"/>
    <x v="1"/>
  </r>
  <r>
    <x v="55"/>
    <x v="257"/>
    <x v="2"/>
    <x v="2"/>
    <x v="1"/>
    <x v="31"/>
    <x v="25"/>
    <x v="410"/>
    <x v="764"/>
    <x v="0"/>
    <s v="NEGOCIOS"/>
    <x v="1"/>
  </r>
  <r>
    <x v="55"/>
    <x v="223"/>
    <x v="2"/>
    <x v="2"/>
    <x v="1"/>
    <x v="31"/>
    <x v="25"/>
    <x v="434"/>
    <x v="1242"/>
    <x v="0"/>
    <s v="NEGOCIOS"/>
    <x v="1"/>
  </r>
  <r>
    <x v="55"/>
    <x v="276"/>
    <x v="2"/>
    <x v="2"/>
    <x v="1"/>
    <x v="31"/>
    <x v="25"/>
    <x v="385"/>
    <x v="2734"/>
    <x v="0"/>
    <s v="NEGOCIOS"/>
    <x v="1"/>
  </r>
  <r>
    <x v="55"/>
    <x v="281"/>
    <x v="6"/>
    <x v="6"/>
    <x v="1"/>
    <x v="31"/>
    <x v="25"/>
    <x v="395"/>
    <x v="3008"/>
    <x v="0"/>
    <s v="NEGOCIOS"/>
    <x v="1"/>
  </r>
  <r>
    <x v="55"/>
    <x v="265"/>
    <x v="6"/>
    <x v="6"/>
    <x v="1"/>
    <x v="31"/>
    <x v="25"/>
    <x v="386"/>
    <x v="3009"/>
    <x v="0"/>
    <s v="NEGOCIOS"/>
    <x v="1"/>
  </r>
  <r>
    <x v="55"/>
    <x v="203"/>
    <x v="6"/>
    <x v="6"/>
    <x v="1"/>
    <x v="31"/>
    <x v="25"/>
    <x v="288"/>
    <x v="3010"/>
    <x v="0"/>
    <s v="NEGOCIOS"/>
    <x v="1"/>
  </r>
  <r>
    <x v="55"/>
    <x v="204"/>
    <x v="6"/>
    <x v="6"/>
    <x v="1"/>
    <x v="31"/>
    <x v="25"/>
    <x v="317"/>
    <x v="772"/>
    <x v="0"/>
    <s v="NEGOCIOS"/>
    <x v="1"/>
  </r>
  <r>
    <x v="55"/>
    <x v="271"/>
    <x v="6"/>
    <x v="6"/>
    <x v="1"/>
    <x v="31"/>
    <x v="25"/>
    <x v="426"/>
    <x v="3011"/>
    <x v="0"/>
    <s v="NEGOCIOS"/>
    <x v="1"/>
  </r>
  <r>
    <x v="55"/>
    <x v="229"/>
    <x v="6"/>
    <x v="6"/>
    <x v="1"/>
    <x v="31"/>
    <x v="25"/>
    <x v="281"/>
    <x v="3012"/>
    <x v="0"/>
    <s v="NEGOCIOS"/>
    <x v="1"/>
  </r>
  <r>
    <x v="55"/>
    <x v="190"/>
    <x v="6"/>
    <x v="6"/>
    <x v="1"/>
    <x v="31"/>
    <x v="25"/>
    <x v="342"/>
    <x v="1303"/>
    <x v="0"/>
    <s v="NEGOCIOS"/>
    <x v="1"/>
  </r>
  <r>
    <x v="55"/>
    <x v="327"/>
    <x v="7"/>
    <x v="7"/>
    <x v="1"/>
    <x v="32"/>
    <x v="21"/>
    <x v="387"/>
    <x v="887"/>
    <x v="0"/>
    <s v="NEGOCIOS"/>
    <x v="1"/>
  </r>
  <r>
    <x v="55"/>
    <x v="288"/>
    <x v="7"/>
    <x v="7"/>
    <x v="1"/>
    <x v="32"/>
    <x v="21"/>
    <x v="439"/>
    <x v="2985"/>
    <x v="0"/>
    <s v="NEGOCIOS"/>
    <x v="1"/>
  </r>
  <r>
    <x v="55"/>
    <x v="309"/>
    <x v="7"/>
    <x v="7"/>
    <x v="1"/>
    <x v="32"/>
    <x v="21"/>
    <x v="334"/>
    <x v="3013"/>
    <x v="0"/>
    <s v="NEGOCIOS"/>
    <x v="1"/>
  </r>
  <r>
    <x v="55"/>
    <x v="206"/>
    <x v="7"/>
    <x v="7"/>
    <x v="1"/>
    <x v="32"/>
    <x v="21"/>
    <x v="284"/>
    <x v="1268"/>
    <x v="0"/>
    <s v="NEGOCIOS"/>
    <x v="1"/>
  </r>
  <r>
    <x v="55"/>
    <x v="171"/>
    <x v="7"/>
    <x v="7"/>
    <x v="1"/>
    <x v="32"/>
    <x v="21"/>
    <x v="429"/>
    <x v="3014"/>
    <x v="0"/>
    <s v="NEGOCIOS"/>
    <x v="1"/>
  </r>
  <r>
    <x v="55"/>
    <x v="192"/>
    <x v="8"/>
    <x v="8"/>
    <x v="1"/>
    <x v="32"/>
    <x v="21"/>
    <x v="300"/>
    <x v="3015"/>
    <x v="0"/>
    <s v="NEGOCIOS"/>
    <x v="1"/>
  </r>
  <r>
    <x v="55"/>
    <x v="289"/>
    <x v="8"/>
    <x v="8"/>
    <x v="1"/>
    <x v="32"/>
    <x v="21"/>
    <x v="301"/>
    <x v="3016"/>
    <x v="0"/>
    <s v="NEGOCIOS"/>
    <x v="1"/>
  </r>
  <r>
    <x v="55"/>
    <x v="254"/>
    <x v="8"/>
    <x v="8"/>
    <x v="1"/>
    <x v="32"/>
    <x v="21"/>
    <x v="326"/>
    <x v="3017"/>
    <x v="0"/>
    <s v="NEGOCIOS"/>
    <x v="1"/>
  </r>
  <r>
    <x v="55"/>
    <x v="207"/>
    <x v="8"/>
    <x v="8"/>
    <x v="1"/>
    <x v="32"/>
    <x v="21"/>
    <x v="374"/>
    <x v="3018"/>
    <x v="0"/>
    <s v="NEGOCIOS"/>
    <x v="1"/>
  </r>
  <r>
    <x v="55"/>
    <x v="208"/>
    <x v="8"/>
    <x v="8"/>
    <x v="1"/>
    <x v="32"/>
    <x v="21"/>
    <x v="377"/>
    <x v="3019"/>
    <x v="0"/>
    <s v="NEGOCIOS"/>
    <x v="1"/>
  </r>
  <r>
    <x v="55"/>
    <x v="337"/>
    <x v="9"/>
    <x v="9"/>
    <x v="1"/>
    <x v="32"/>
    <x v="21"/>
    <x v="424"/>
    <x v="3020"/>
    <x v="0"/>
    <s v="NEGOCIOS"/>
    <x v="1"/>
  </r>
  <r>
    <x v="55"/>
    <x v="292"/>
    <x v="9"/>
    <x v="9"/>
    <x v="1"/>
    <x v="32"/>
    <x v="21"/>
    <x v="352"/>
    <x v="3021"/>
    <x v="0"/>
    <s v="NEGOCIOS"/>
    <x v="1"/>
  </r>
  <r>
    <x v="55"/>
    <x v="290"/>
    <x v="9"/>
    <x v="9"/>
    <x v="1"/>
    <x v="32"/>
    <x v="21"/>
    <x v="302"/>
    <x v="3022"/>
    <x v="0"/>
    <s v="NEGOCIOS"/>
    <x v="1"/>
  </r>
  <r>
    <x v="55"/>
    <x v="211"/>
    <x v="9"/>
    <x v="9"/>
    <x v="1"/>
    <x v="32"/>
    <x v="21"/>
    <x v="286"/>
    <x v="3023"/>
    <x v="0"/>
    <s v="NEGOCIOS"/>
    <x v="1"/>
  </r>
  <r>
    <x v="55"/>
    <x v="219"/>
    <x v="9"/>
    <x v="9"/>
    <x v="1"/>
    <x v="32"/>
    <x v="25"/>
    <x v="308"/>
    <x v="1132"/>
    <x v="0"/>
    <s v="NEGOCIOS"/>
    <x v="1"/>
  </r>
  <r>
    <x v="55"/>
    <x v="331"/>
    <x v="9"/>
    <x v="9"/>
    <x v="1"/>
    <x v="32"/>
    <x v="25"/>
    <x v="391"/>
    <x v="3024"/>
    <x v="0"/>
    <s v="NEGOCIOS"/>
    <x v="1"/>
  </r>
  <r>
    <x v="55"/>
    <x v="331"/>
    <x v="9"/>
    <x v="9"/>
    <x v="1"/>
    <x v="32"/>
    <x v="26"/>
    <x v="391"/>
    <x v="3025"/>
    <x v="0"/>
    <s v="NEGOCIOS"/>
    <x v="1"/>
  </r>
  <r>
    <x v="55"/>
    <x v="286"/>
    <x v="10"/>
    <x v="10"/>
    <x v="1"/>
    <x v="32"/>
    <x v="25"/>
    <x v="297"/>
    <x v="3026"/>
    <x v="0"/>
    <s v="NEGOCIOS"/>
    <x v="1"/>
  </r>
  <r>
    <x v="55"/>
    <x v="263"/>
    <x v="10"/>
    <x v="10"/>
    <x v="1"/>
    <x v="32"/>
    <x v="25"/>
    <x v="436"/>
    <x v="3027"/>
    <x v="0"/>
    <s v="NEGOCIOS"/>
    <x v="1"/>
  </r>
  <r>
    <x v="55"/>
    <x v="263"/>
    <x v="10"/>
    <x v="10"/>
    <x v="1"/>
    <x v="32"/>
    <x v="26"/>
    <x v="436"/>
    <x v="531"/>
    <x v="0"/>
    <s v="NEGOCIOS"/>
    <x v="1"/>
  </r>
  <r>
    <x v="55"/>
    <x v="310"/>
    <x v="10"/>
    <x v="10"/>
    <x v="1"/>
    <x v="32"/>
    <x v="25"/>
    <x v="335"/>
    <x v="1212"/>
    <x v="0"/>
    <s v="NEGOCIOS"/>
    <x v="1"/>
  </r>
  <r>
    <x v="55"/>
    <x v="231"/>
    <x v="10"/>
    <x v="10"/>
    <x v="1"/>
    <x v="32"/>
    <x v="25"/>
    <x v="402"/>
    <x v="3028"/>
    <x v="0"/>
    <s v="NEGOCIOS"/>
    <x v="1"/>
  </r>
  <r>
    <x v="55"/>
    <x v="339"/>
    <x v="10"/>
    <x v="10"/>
    <x v="1"/>
    <x v="32"/>
    <x v="26"/>
    <x v="427"/>
    <x v="3029"/>
    <x v="0"/>
    <s v="NEGOCIOS"/>
    <x v="1"/>
  </r>
  <r>
    <x v="55"/>
    <x v="189"/>
    <x v="10"/>
    <x v="10"/>
    <x v="1"/>
    <x v="32"/>
    <x v="26"/>
    <x v="345"/>
    <x v="3030"/>
    <x v="0"/>
    <s v="NEGOCIOS"/>
    <x v="1"/>
  </r>
  <r>
    <x v="55"/>
    <x v="200"/>
    <x v="11"/>
    <x v="11"/>
    <x v="1"/>
    <x v="32"/>
    <x v="25"/>
    <x v="351"/>
    <x v="3031"/>
    <x v="0"/>
    <s v="NEGOCIOS"/>
    <x v="1"/>
  </r>
  <r>
    <x v="55"/>
    <x v="282"/>
    <x v="11"/>
    <x v="11"/>
    <x v="1"/>
    <x v="32"/>
    <x v="25"/>
    <x v="358"/>
    <x v="3032"/>
    <x v="0"/>
    <s v="NEGOCIOS"/>
    <x v="1"/>
  </r>
  <r>
    <x v="55"/>
    <x v="187"/>
    <x v="11"/>
    <x v="11"/>
    <x v="1"/>
    <x v="32"/>
    <x v="25"/>
    <x v="328"/>
    <x v="3033"/>
    <x v="0"/>
    <s v="NEGOCIOS"/>
    <x v="1"/>
  </r>
  <r>
    <x v="55"/>
    <x v="202"/>
    <x v="11"/>
    <x v="11"/>
    <x v="1"/>
    <x v="32"/>
    <x v="26"/>
    <x v="305"/>
    <x v="905"/>
    <x v="0"/>
    <s v="NEGOCIOS"/>
    <x v="1"/>
  </r>
  <r>
    <x v="55"/>
    <x v="311"/>
    <x v="11"/>
    <x v="11"/>
    <x v="1"/>
    <x v="32"/>
    <x v="25"/>
    <x v="440"/>
    <x v="3034"/>
    <x v="0"/>
    <s v="NEGOCIOS"/>
    <x v="1"/>
  </r>
  <r>
    <x v="55"/>
    <x v="274"/>
    <x v="11"/>
    <x v="11"/>
    <x v="1"/>
    <x v="32"/>
    <x v="25"/>
    <x v="404"/>
    <x v="3035"/>
    <x v="0"/>
    <s v="NEGOCIOS"/>
    <x v="1"/>
  </r>
  <r>
    <x v="55"/>
    <x v="300"/>
    <x v="2"/>
    <x v="2"/>
    <x v="1"/>
    <x v="32"/>
    <x v="25"/>
    <x v="316"/>
    <x v="2444"/>
    <x v="0"/>
    <s v="NEGOCIOS"/>
    <x v="1"/>
  </r>
  <r>
    <x v="55"/>
    <x v="215"/>
    <x v="2"/>
    <x v="2"/>
    <x v="1"/>
    <x v="32"/>
    <x v="25"/>
    <x v="322"/>
    <x v="3036"/>
    <x v="0"/>
    <s v="NEGOCIOS"/>
    <x v="1"/>
  </r>
  <r>
    <x v="55"/>
    <x v="182"/>
    <x v="2"/>
    <x v="2"/>
    <x v="1"/>
    <x v="32"/>
    <x v="26"/>
    <x v="392"/>
    <x v="3037"/>
    <x v="0"/>
    <s v="NEGOCIOS"/>
    <x v="1"/>
  </r>
  <r>
    <x v="55"/>
    <x v="295"/>
    <x v="2"/>
    <x v="2"/>
    <x v="1"/>
    <x v="32"/>
    <x v="25"/>
    <x v="310"/>
    <x v="3038"/>
    <x v="0"/>
    <s v="NEGOCIOS"/>
    <x v="1"/>
  </r>
  <r>
    <x v="55"/>
    <x v="307"/>
    <x v="2"/>
    <x v="2"/>
    <x v="1"/>
    <x v="32"/>
    <x v="25"/>
    <x v="441"/>
    <x v="552"/>
    <x v="0"/>
    <s v="NEGOCIOS"/>
    <x v="1"/>
  </r>
  <r>
    <x v="55"/>
    <x v="240"/>
    <x v="2"/>
    <x v="2"/>
    <x v="1"/>
    <x v="32"/>
    <x v="26"/>
    <x v="442"/>
    <x v="3039"/>
    <x v="0"/>
    <s v="NEGOCIOS"/>
    <x v="1"/>
  </r>
  <r>
    <x v="55"/>
    <x v="316"/>
    <x v="2"/>
    <x v="2"/>
    <x v="1"/>
    <x v="32"/>
    <x v="26"/>
    <x v="348"/>
    <x v="3040"/>
    <x v="0"/>
    <s v="NEGOCIOS"/>
    <x v="1"/>
  </r>
  <r>
    <x v="55"/>
    <x v="276"/>
    <x v="2"/>
    <x v="2"/>
    <x v="1"/>
    <x v="32"/>
    <x v="25"/>
    <x v="385"/>
    <x v="3041"/>
    <x v="0"/>
    <s v="NEGOCIOS"/>
    <x v="1"/>
  </r>
  <r>
    <x v="55"/>
    <x v="246"/>
    <x v="2"/>
    <x v="2"/>
    <x v="1"/>
    <x v="32"/>
    <x v="26"/>
    <x v="287"/>
    <x v="1"/>
    <x v="593"/>
    <s v="NEGOCIOS"/>
    <x v="1"/>
  </r>
  <r>
    <x v="55"/>
    <x v="264"/>
    <x v="6"/>
    <x v="6"/>
    <x v="1"/>
    <x v="32"/>
    <x v="25"/>
    <x v="311"/>
    <x v="3042"/>
    <x v="0"/>
    <s v="NEGOCIOS"/>
    <x v="1"/>
  </r>
  <r>
    <x v="55"/>
    <x v="281"/>
    <x v="6"/>
    <x v="6"/>
    <x v="1"/>
    <x v="32"/>
    <x v="25"/>
    <x v="395"/>
    <x v="3043"/>
    <x v="0"/>
    <s v="NEGOCIOS"/>
    <x v="1"/>
  </r>
  <r>
    <x v="55"/>
    <x v="217"/>
    <x v="6"/>
    <x v="6"/>
    <x v="1"/>
    <x v="32"/>
    <x v="25"/>
    <x v="323"/>
    <x v="3044"/>
    <x v="0"/>
    <s v="NEGOCIOS"/>
    <x v="1"/>
  </r>
  <r>
    <x v="55"/>
    <x v="305"/>
    <x v="6"/>
    <x v="6"/>
    <x v="1"/>
    <x v="32"/>
    <x v="25"/>
    <x v="331"/>
    <x v="391"/>
    <x v="0"/>
    <s v="NEGOCIOS"/>
    <x v="1"/>
  </r>
  <r>
    <x v="55"/>
    <x v="262"/>
    <x v="9"/>
    <x v="9"/>
    <x v="1"/>
    <x v="33"/>
    <x v="26"/>
    <x v="368"/>
    <x v="3045"/>
    <x v="0"/>
    <s v="NEGOCIOS"/>
    <x v="1"/>
  </r>
  <r>
    <x v="55"/>
    <x v="255"/>
    <x v="9"/>
    <x v="9"/>
    <x v="1"/>
    <x v="33"/>
    <x v="25"/>
    <x v="293"/>
    <x v="146"/>
    <x v="0"/>
    <s v="NEGOCIOS"/>
    <x v="1"/>
  </r>
  <r>
    <x v="55"/>
    <x v="255"/>
    <x v="9"/>
    <x v="9"/>
    <x v="1"/>
    <x v="33"/>
    <x v="26"/>
    <x v="293"/>
    <x v="3046"/>
    <x v="0"/>
    <s v="NEGOCIOS"/>
    <x v="1"/>
  </r>
  <r>
    <x v="55"/>
    <x v="263"/>
    <x v="10"/>
    <x v="10"/>
    <x v="1"/>
    <x v="33"/>
    <x v="26"/>
    <x v="436"/>
    <x v="3047"/>
    <x v="0"/>
    <s v="NEGOCIOS"/>
    <x v="1"/>
  </r>
  <r>
    <x v="55"/>
    <x v="176"/>
    <x v="10"/>
    <x v="10"/>
    <x v="1"/>
    <x v="33"/>
    <x v="26"/>
    <x v="412"/>
    <x v="3048"/>
    <x v="0"/>
    <s v="NEGOCIOS"/>
    <x v="1"/>
  </r>
  <r>
    <x v="55"/>
    <x v="269"/>
    <x v="11"/>
    <x v="11"/>
    <x v="1"/>
    <x v="33"/>
    <x v="25"/>
    <x v="403"/>
    <x v="785"/>
    <x v="0"/>
    <s v="NEGOCIOS"/>
    <x v="1"/>
  </r>
  <r>
    <x v="55"/>
    <x v="200"/>
    <x v="11"/>
    <x v="11"/>
    <x v="1"/>
    <x v="33"/>
    <x v="25"/>
    <x v="351"/>
    <x v="1067"/>
    <x v="0"/>
    <s v="NEGOCIOS"/>
    <x v="1"/>
  </r>
  <r>
    <x v="55"/>
    <x v="311"/>
    <x v="11"/>
    <x v="11"/>
    <x v="1"/>
    <x v="33"/>
    <x v="26"/>
    <x v="440"/>
    <x v="1"/>
    <x v="594"/>
    <s v="NEGOCIOS"/>
    <x v="1"/>
  </r>
  <r>
    <x v="55"/>
    <x v="330"/>
    <x v="11"/>
    <x v="11"/>
    <x v="1"/>
    <x v="33"/>
    <x v="25"/>
    <x v="381"/>
    <x v="3049"/>
    <x v="0"/>
    <s v="NEGOCIOS"/>
    <x v="1"/>
  </r>
  <r>
    <x v="55"/>
    <x v="181"/>
    <x v="11"/>
    <x v="11"/>
    <x v="1"/>
    <x v="33"/>
    <x v="21"/>
    <x v="362"/>
    <x v="3050"/>
    <x v="0"/>
    <s v="NEGOCIOS"/>
    <x v="1"/>
  </r>
  <r>
    <x v="55"/>
    <x v="334"/>
    <x v="2"/>
    <x v="2"/>
    <x v="1"/>
    <x v="33"/>
    <x v="26"/>
    <x v="406"/>
    <x v="3051"/>
    <x v="0"/>
    <s v="NEGOCIOS"/>
    <x v="1"/>
  </r>
  <r>
    <x v="55"/>
    <x v="284"/>
    <x v="2"/>
    <x v="2"/>
    <x v="1"/>
    <x v="33"/>
    <x v="26"/>
    <x v="383"/>
    <x v="3052"/>
    <x v="0"/>
    <s v="NEGOCIOS"/>
    <x v="1"/>
  </r>
  <r>
    <x v="55"/>
    <x v="222"/>
    <x v="2"/>
    <x v="2"/>
    <x v="1"/>
    <x v="33"/>
    <x v="25"/>
    <x v="384"/>
    <x v="951"/>
    <x v="0"/>
    <s v="NEGOCIOS"/>
    <x v="1"/>
  </r>
  <r>
    <x v="55"/>
    <x v="270"/>
    <x v="2"/>
    <x v="2"/>
    <x v="1"/>
    <x v="33"/>
    <x v="26"/>
    <x v="363"/>
    <x v="3053"/>
    <x v="0"/>
    <s v="NEGOCIOS"/>
    <x v="1"/>
  </r>
  <r>
    <x v="55"/>
    <x v="240"/>
    <x v="2"/>
    <x v="2"/>
    <x v="1"/>
    <x v="33"/>
    <x v="26"/>
    <x v="442"/>
    <x v="3054"/>
    <x v="0"/>
    <s v="NEGOCIOS"/>
    <x v="1"/>
  </r>
  <r>
    <x v="55"/>
    <x v="257"/>
    <x v="2"/>
    <x v="2"/>
    <x v="1"/>
    <x v="33"/>
    <x v="26"/>
    <x v="410"/>
    <x v="3055"/>
    <x v="0"/>
    <s v="NEGOCIOS"/>
    <x v="1"/>
  </r>
  <r>
    <x v="55"/>
    <x v="183"/>
    <x v="2"/>
    <x v="2"/>
    <x v="1"/>
    <x v="33"/>
    <x v="25"/>
    <x v="330"/>
    <x v="3056"/>
    <x v="0"/>
    <s v="NEGOCIOS"/>
    <x v="1"/>
  </r>
  <r>
    <x v="55"/>
    <x v="335"/>
    <x v="6"/>
    <x v="6"/>
    <x v="1"/>
    <x v="33"/>
    <x v="21"/>
    <x v="408"/>
    <x v="3050"/>
    <x v="0"/>
    <s v="NEGOCIOS"/>
    <x v="1"/>
  </r>
  <r>
    <x v="55"/>
    <x v="249"/>
    <x v="11"/>
    <x v="11"/>
    <x v="1"/>
    <x v="37"/>
    <x v="25"/>
    <x v="359"/>
    <x v="3057"/>
    <x v="0"/>
    <s v="NEGOCIOS"/>
    <x v="1"/>
  </r>
  <r>
    <x v="55"/>
    <x v="286"/>
    <x v="10"/>
    <x v="10"/>
    <x v="1"/>
    <x v="34"/>
    <x v="25"/>
    <x v="297"/>
    <x v="3058"/>
    <x v="0"/>
    <s v="NEGOCIOS"/>
    <x v="1"/>
  </r>
  <r>
    <x v="55"/>
    <x v="232"/>
    <x v="10"/>
    <x v="10"/>
    <x v="1"/>
    <x v="34"/>
    <x v="25"/>
    <x v="290"/>
    <x v="530"/>
    <x v="0"/>
    <s v="NEGOCIOS"/>
    <x v="1"/>
  </r>
  <r>
    <x v="55"/>
    <x v="282"/>
    <x v="11"/>
    <x v="11"/>
    <x v="1"/>
    <x v="34"/>
    <x v="25"/>
    <x v="358"/>
    <x v="3059"/>
    <x v="0"/>
    <s v="NEGOCIOS"/>
    <x v="1"/>
  </r>
  <r>
    <x v="55"/>
    <x v="307"/>
    <x v="2"/>
    <x v="2"/>
    <x v="1"/>
    <x v="34"/>
    <x v="25"/>
    <x v="441"/>
    <x v="53"/>
    <x v="0"/>
    <s v="NEGOCIOS"/>
    <x v="1"/>
  </r>
  <r>
    <x v="55"/>
    <x v="246"/>
    <x v="2"/>
    <x v="2"/>
    <x v="1"/>
    <x v="34"/>
    <x v="25"/>
    <x v="287"/>
    <x v="735"/>
    <x v="0"/>
    <s v="NEGOCIOS"/>
    <x v="1"/>
  </r>
  <r>
    <x v="55"/>
    <x v="281"/>
    <x v="6"/>
    <x v="6"/>
    <x v="1"/>
    <x v="34"/>
    <x v="25"/>
    <x v="395"/>
    <x v="3060"/>
    <x v="0"/>
    <s v="NEGOCIOS"/>
    <x v="1"/>
  </r>
  <r>
    <x v="55"/>
    <x v="288"/>
    <x v="7"/>
    <x v="7"/>
    <x v="1"/>
    <x v="18"/>
    <x v="21"/>
    <x v="439"/>
    <x v="3061"/>
    <x v="0"/>
    <s v="NEGOCIOS"/>
    <x v="1"/>
  </r>
  <r>
    <x v="55"/>
    <x v="206"/>
    <x v="7"/>
    <x v="7"/>
    <x v="1"/>
    <x v="18"/>
    <x v="21"/>
    <x v="284"/>
    <x v="3062"/>
    <x v="0"/>
    <s v="NEGOCIOS"/>
    <x v="1"/>
  </r>
  <r>
    <x v="55"/>
    <x v="195"/>
    <x v="8"/>
    <x v="8"/>
    <x v="1"/>
    <x v="18"/>
    <x v="21"/>
    <x v="373"/>
    <x v="735"/>
    <x v="0"/>
    <s v="NEGOCIOS"/>
    <x v="1"/>
  </r>
  <r>
    <x v="55"/>
    <x v="323"/>
    <x v="8"/>
    <x v="8"/>
    <x v="1"/>
    <x v="18"/>
    <x v="21"/>
    <x v="367"/>
    <x v="735"/>
    <x v="0"/>
    <s v="NEGOCIOS"/>
    <x v="1"/>
  </r>
  <r>
    <x v="55"/>
    <x v="245"/>
    <x v="8"/>
    <x v="8"/>
    <x v="1"/>
    <x v="18"/>
    <x v="21"/>
    <x v="285"/>
    <x v="3063"/>
    <x v="0"/>
    <s v="NEGOCIOS"/>
    <x v="1"/>
  </r>
  <r>
    <x v="55"/>
    <x v="208"/>
    <x v="8"/>
    <x v="8"/>
    <x v="1"/>
    <x v="18"/>
    <x v="21"/>
    <x v="377"/>
    <x v="736"/>
    <x v="0"/>
    <s v="NEGOCIOS"/>
    <x v="1"/>
  </r>
  <r>
    <x v="55"/>
    <x v="319"/>
    <x v="8"/>
    <x v="8"/>
    <x v="1"/>
    <x v="18"/>
    <x v="21"/>
    <x v="350"/>
    <x v="3064"/>
    <x v="0"/>
    <s v="NEGOCIOS"/>
    <x v="1"/>
  </r>
  <r>
    <x v="55"/>
    <x v="227"/>
    <x v="9"/>
    <x v="9"/>
    <x v="1"/>
    <x v="18"/>
    <x v="21"/>
    <x v="399"/>
    <x v="797"/>
    <x v="0"/>
    <s v="NEGOCIOS"/>
    <x v="1"/>
  </r>
  <r>
    <x v="55"/>
    <x v="290"/>
    <x v="9"/>
    <x v="9"/>
    <x v="1"/>
    <x v="18"/>
    <x v="21"/>
    <x v="302"/>
    <x v="1736"/>
    <x v="0"/>
    <s v="NEGOCIOS"/>
    <x v="1"/>
  </r>
  <r>
    <x v="55"/>
    <x v="293"/>
    <x v="9"/>
    <x v="9"/>
    <x v="1"/>
    <x v="18"/>
    <x v="21"/>
    <x v="337"/>
    <x v="3065"/>
    <x v="0"/>
    <s v="NEGOCIOS"/>
    <x v="1"/>
  </r>
  <r>
    <x v="55"/>
    <x v="230"/>
    <x v="9"/>
    <x v="9"/>
    <x v="1"/>
    <x v="18"/>
    <x v="26"/>
    <x v="283"/>
    <x v="2783"/>
    <x v="0"/>
    <s v="NEGOCIOS"/>
    <x v="1"/>
  </r>
  <r>
    <x v="55"/>
    <x v="263"/>
    <x v="10"/>
    <x v="10"/>
    <x v="1"/>
    <x v="18"/>
    <x v="25"/>
    <x v="436"/>
    <x v="3066"/>
    <x v="0"/>
    <s v="NEGOCIOS"/>
    <x v="1"/>
  </r>
  <r>
    <x v="55"/>
    <x v="244"/>
    <x v="10"/>
    <x v="10"/>
    <x v="1"/>
    <x v="18"/>
    <x v="25"/>
    <x v="433"/>
    <x v="835"/>
    <x v="0"/>
    <s v="NEGOCIOS"/>
    <x v="1"/>
  </r>
  <r>
    <x v="55"/>
    <x v="311"/>
    <x v="11"/>
    <x v="11"/>
    <x v="1"/>
    <x v="18"/>
    <x v="26"/>
    <x v="440"/>
    <x v="785"/>
    <x v="0"/>
    <s v="NEGOCIOS"/>
    <x v="1"/>
  </r>
  <r>
    <x v="55"/>
    <x v="330"/>
    <x v="11"/>
    <x v="11"/>
    <x v="1"/>
    <x v="18"/>
    <x v="25"/>
    <x v="381"/>
    <x v="735"/>
    <x v="0"/>
    <s v="NEGOCIOS"/>
    <x v="1"/>
  </r>
  <r>
    <x v="55"/>
    <x v="275"/>
    <x v="11"/>
    <x v="11"/>
    <x v="1"/>
    <x v="18"/>
    <x v="26"/>
    <x v="307"/>
    <x v="187"/>
    <x v="0"/>
    <s v="NEGOCIOS"/>
    <x v="1"/>
  </r>
  <r>
    <x v="55"/>
    <x v="300"/>
    <x v="2"/>
    <x v="2"/>
    <x v="1"/>
    <x v="18"/>
    <x v="25"/>
    <x v="316"/>
    <x v="736"/>
    <x v="0"/>
    <s v="NEGOCIOS"/>
    <x v="1"/>
  </r>
  <r>
    <x v="55"/>
    <x v="307"/>
    <x v="2"/>
    <x v="2"/>
    <x v="1"/>
    <x v="18"/>
    <x v="25"/>
    <x v="441"/>
    <x v="835"/>
    <x v="0"/>
    <s v="NEGOCIOS"/>
    <x v="1"/>
  </r>
  <r>
    <x v="55"/>
    <x v="235"/>
    <x v="2"/>
    <x v="2"/>
    <x v="1"/>
    <x v="18"/>
    <x v="25"/>
    <x v="393"/>
    <x v="3067"/>
    <x v="0"/>
    <s v="NEGOCIOS"/>
    <x v="1"/>
  </r>
  <r>
    <x v="55"/>
    <x v="264"/>
    <x v="6"/>
    <x v="6"/>
    <x v="1"/>
    <x v="18"/>
    <x v="25"/>
    <x v="311"/>
    <x v="735"/>
    <x v="0"/>
    <s v="NEGOCIOS"/>
    <x v="1"/>
  </r>
  <r>
    <x v="56"/>
    <x v="327"/>
    <x v="7"/>
    <x v="7"/>
    <x v="1"/>
    <x v="2"/>
    <x v="20"/>
    <x v="227"/>
    <x v="737"/>
    <x v="0"/>
    <s v="BOULEVARD EL DORADO"/>
    <x v="1"/>
  </r>
  <r>
    <x v="56"/>
    <x v="252"/>
    <x v="7"/>
    <x v="7"/>
    <x v="1"/>
    <x v="2"/>
    <x v="20"/>
    <x v="227"/>
    <x v="750"/>
    <x v="0"/>
    <s v="BOULEVARD EL DORADO"/>
    <x v="1"/>
  </r>
  <r>
    <x v="56"/>
    <x v="206"/>
    <x v="7"/>
    <x v="7"/>
    <x v="1"/>
    <x v="2"/>
    <x v="20"/>
    <x v="227"/>
    <x v="743"/>
    <x v="0"/>
    <s v="BOULEVARD EL DORADO"/>
    <x v="1"/>
  </r>
  <r>
    <x v="56"/>
    <x v="279"/>
    <x v="7"/>
    <x v="7"/>
    <x v="1"/>
    <x v="2"/>
    <x v="20"/>
    <x v="227"/>
    <x v="742"/>
    <x v="0"/>
    <s v="BOULEVARD EL DORADO"/>
    <x v="1"/>
  </r>
  <r>
    <x v="56"/>
    <x v="251"/>
    <x v="8"/>
    <x v="8"/>
    <x v="1"/>
    <x v="2"/>
    <x v="20"/>
    <x v="227"/>
    <x v="742"/>
    <x v="0"/>
    <s v="BOULEVARD EL DORADO"/>
    <x v="1"/>
  </r>
  <r>
    <x v="56"/>
    <x v="318"/>
    <x v="8"/>
    <x v="8"/>
    <x v="1"/>
    <x v="2"/>
    <x v="20"/>
    <x v="227"/>
    <x v="742"/>
    <x v="0"/>
    <s v="BOULEVARD EL DORADO"/>
    <x v="1"/>
  </r>
  <r>
    <x v="56"/>
    <x v="267"/>
    <x v="8"/>
    <x v="8"/>
    <x v="1"/>
    <x v="2"/>
    <x v="20"/>
    <x v="227"/>
    <x v="748"/>
    <x v="0"/>
    <s v="BOULEVARD EL DORADO"/>
    <x v="1"/>
  </r>
  <r>
    <x v="56"/>
    <x v="245"/>
    <x v="8"/>
    <x v="8"/>
    <x v="1"/>
    <x v="2"/>
    <x v="20"/>
    <x v="227"/>
    <x v="745"/>
    <x v="0"/>
    <s v="BOULEVARD EL DORADO"/>
    <x v="1"/>
  </r>
  <r>
    <x v="56"/>
    <x v="263"/>
    <x v="10"/>
    <x v="10"/>
    <x v="1"/>
    <x v="2"/>
    <x v="20"/>
    <x v="227"/>
    <x v="737"/>
    <x v="0"/>
    <s v="BOULEVARD EL DORADO"/>
    <x v="1"/>
  </r>
  <r>
    <x v="57"/>
    <x v="288"/>
    <x v="7"/>
    <x v="7"/>
    <x v="1"/>
    <x v="2"/>
    <x v="20"/>
    <x v="228"/>
    <x v="857"/>
    <x v="0"/>
    <s v="SAN SEBASTIAN"/>
    <x v="1"/>
  </r>
  <r>
    <x v="57"/>
    <x v="207"/>
    <x v="8"/>
    <x v="8"/>
    <x v="1"/>
    <x v="2"/>
    <x v="20"/>
    <x v="228"/>
    <x v="763"/>
    <x v="0"/>
    <s v="SAN SEBASTIAN"/>
    <x v="1"/>
  </r>
  <r>
    <x v="57"/>
    <x v="194"/>
    <x v="9"/>
    <x v="9"/>
    <x v="1"/>
    <x v="2"/>
    <x v="20"/>
    <x v="228"/>
    <x v="742"/>
    <x v="0"/>
    <s v="SAN SEBASTIAN"/>
    <x v="1"/>
  </r>
  <r>
    <x v="57"/>
    <x v="197"/>
    <x v="9"/>
    <x v="9"/>
    <x v="1"/>
    <x v="2"/>
    <x v="20"/>
    <x v="228"/>
    <x v="742"/>
    <x v="0"/>
    <s v="SAN SEBASTIAN"/>
    <x v="1"/>
  </r>
  <r>
    <x v="57"/>
    <x v="244"/>
    <x v="10"/>
    <x v="10"/>
    <x v="1"/>
    <x v="2"/>
    <x v="20"/>
    <x v="228"/>
    <x v="737"/>
    <x v="0"/>
    <s v="SAN SEBASTIAN"/>
    <x v="1"/>
  </r>
  <r>
    <x v="57"/>
    <x v="272"/>
    <x v="11"/>
    <x v="11"/>
    <x v="1"/>
    <x v="2"/>
    <x v="20"/>
    <x v="228"/>
    <x v="1355"/>
    <x v="0"/>
    <s v="SAN SEBASTIAN"/>
    <x v="1"/>
  </r>
  <r>
    <x v="57"/>
    <x v="276"/>
    <x v="2"/>
    <x v="2"/>
    <x v="1"/>
    <x v="2"/>
    <x v="20"/>
    <x v="228"/>
    <x v="3068"/>
    <x v="0"/>
    <s v="SAN SEBASTIAN"/>
    <x v="1"/>
  </r>
  <r>
    <x v="57"/>
    <x v="266"/>
    <x v="6"/>
    <x v="6"/>
    <x v="1"/>
    <x v="2"/>
    <x v="20"/>
    <x v="228"/>
    <x v="1355"/>
    <x v="0"/>
    <s v="SAN SEBASTIAN"/>
    <x v="1"/>
  </r>
  <r>
    <x v="57"/>
    <x v="296"/>
    <x v="6"/>
    <x v="6"/>
    <x v="1"/>
    <x v="2"/>
    <x v="20"/>
    <x v="228"/>
    <x v="737"/>
    <x v="0"/>
    <s v="SAN SEBASTIAN"/>
    <x v="1"/>
  </r>
  <r>
    <x v="57"/>
    <x v="174"/>
    <x v="6"/>
    <x v="6"/>
    <x v="1"/>
    <x v="2"/>
    <x v="20"/>
    <x v="228"/>
    <x v="737"/>
    <x v="0"/>
    <s v="SAN SEBASTIAN"/>
    <x v="1"/>
  </r>
  <r>
    <x v="57"/>
    <x v="181"/>
    <x v="11"/>
    <x v="11"/>
    <x v="1"/>
    <x v="0"/>
    <x v="25"/>
    <x v="362"/>
    <x v="146"/>
    <x v="0"/>
    <s v="SAN SEBASTIAN"/>
    <x v="1"/>
  </r>
  <r>
    <x v="58"/>
    <x v="326"/>
    <x v="8"/>
    <x v="8"/>
    <x v="1"/>
    <x v="2"/>
    <x v="26"/>
    <x v="423"/>
    <x v="187"/>
    <x v="0"/>
    <s v="SANTIAGO INTERAMERICANA"/>
    <x v="1"/>
  </r>
  <r>
    <x v="58"/>
    <x v="331"/>
    <x v="9"/>
    <x v="9"/>
    <x v="1"/>
    <x v="2"/>
    <x v="25"/>
    <x v="391"/>
    <x v="782"/>
    <x v="0"/>
    <s v="SANTIAGO INTERAMERICANA"/>
    <x v="1"/>
  </r>
  <r>
    <x v="58"/>
    <x v="268"/>
    <x v="10"/>
    <x v="10"/>
    <x v="1"/>
    <x v="2"/>
    <x v="26"/>
    <x v="339"/>
    <x v="905"/>
    <x v="0"/>
    <s v="SANTIAGO INTERAMERICANA"/>
    <x v="1"/>
  </r>
  <r>
    <x v="58"/>
    <x v="248"/>
    <x v="10"/>
    <x v="10"/>
    <x v="1"/>
    <x v="2"/>
    <x v="21"/>
    <x v="304"/>
    <x v="3069"/>
    <x v="0"/>
    <s v="SANTIAGO INTERAMERICANA"/>
    <x v="1"/>
  </r>
  <r>
    <x v="58"/>
    <x v="202"/>
    <x v="11"/>
    <x v="11"/>
    <x v="1"/>
    <x v="2"/>
    <x v="26"/>
    <x v="305"/>
    <x v="187"/>
    <x v="0"/>
    <s v="SANTIAGO INTERAMERICANA"/>
    <x v="1"/>
  </r>
  <r>
    <x v="58"/>
    <x v="273"/>
    <x v="11"/>
    <x v="11"/>
    <x v="1"/>
    <x v="2"/>
    <x v="25"/>
    <x v="354"/>
    <x v="782"/>
    <x v="0"/>
    <s v="SANTIAGO INTERAMERICANA"/>
    <x v="1"/>
  </r>
  <r>
    <x v="58"/>
    <x v="234"/>
    <x v="11"/>
    <x v="11"/>
    <x v="1"/>
    <x v="2"/>
    <x v="20"/>
    <x v="443"/>
    <x v="762"/>
    <x v="0"/>
    <s v="SANTIAGO INTERAMERICANA"/>
    <x v="1"/>
  </r>
  <r>
    <x v="58"/>
    <x v="229"/>
    <x v="6"/>
    <x v="6"/>
    <x v="1"/>
    <x v="2"/>
    <x v="25"/>
    <x v="281"/>
    <x v="3070"/>
    <x v="0"/>
    <s v="SANTIAGO INTERAMERICANA"/>
    <x v="1"/>
  </r>
  <r>
    <x v="59"/>
    <x v="208"/>
    <x v="8"/>
    <x v="8"/>
    <x v="1"/>
    <x v="2"/>
    <x v="20"/>
    <x v="229"/>
    <x v="3071"/>
    <x v="0"/>
    <s v="CIUDAD DEL SABER"/>
    <x v="1"/>
  </r>
  <r>
    <x v="59"/>
    <x v="329"/>
    <x v="10"/>
    <x v="10"/>
    <x v="1"/>
    <x v="2"/>
    <x v="25"/>
    <x v="380"/>
    <x v="814"/>
    <x v="0"/>
    <s v="CIUDAD DEL SABER"/>
    <x v="1"/>
  </r>
  <r>
    <x v="59"/>
    <x v="280"/>
    <x v="2"/>
    <x v="2"/>
    <x v="1"/>
    <x v="2"/>
    <x v="25"/>
    <x v="295"/>
    <x v="814"/>
    <x v="0"/>
    <s v="CIUDAD DEL SABER"/>
    <x v="1"/>
  </r>
  <r>
    <x v="59"/>
    <x v="257"/>
    <x v="2"/>
    <x v="2"/>
    <x v="1"/>
    <x v="2"/>
    <x v="25"/>
    <x v="410"/>
    <x v="814"/>
    <x v="0"/>
    <s v="CIUDAD DEL SABER"/>
    <x v="1"/>
  </r>
  <r>
    <x v="60"/>
    <x v="225"/>
    <x v="7"/>
    <x v="7"/>
    <x v="1"/>
    <x v="2"/>
    <x v="20"/>
    <x v="230"/>
    <x v="3072"/>
    <x v="0"/>
    <s v="VILLA ZAITA"/>
    <x v="1"/>
  </r>
  <r>
    <x v="60"/>
    <x v="285"/>
    <x v="6"/>
    <x v="6"/>
    <x v="1"/>
    <x v="2"/>
    <x v="20"/>
    <x v="230"/>
    <x v="2710"/>
    <x v="0"/>
    <s v="VILLA ZAITA"/>
    <x v="1"/>
  </r>
  <r>
    <x v="61"/>
    <x v="255"/>
    <x v="9"/>
    <x v="9"/>
    <x v="1"/>
    <x v="2"/>
    <x v="25"/>
    <x v="293"/>
    <x v="838"/>
    <x v="0"/>
    <s v="AZUERO TERMINAL PLAZA"/>
    <x v="1"/>
  </r>
  <r>
    <x v="61"/>
    <x v="274"/>
    <x v="11"/>
    <x v="11"/>
    <x v="1"/>
    <x v="2"/>
    <x v="26"/>
    <x v="404"/>
    <x v="804"/>
    <x v="0"/>
    <s v="AZUERO TERMINAL PLAZA"/>
    <x v="1"/>
  </r>
  <r>
    <x v="62"/>
    <x v="261"/>
    <x v="8"/>
    <x v="8"/>
    <x v="1"/>
    <x v="2"/>
    <x v="20"/>
    <x v="232"/>
    <x v="842"/>
    <x v="0"/>
    <s v="TOWN CENTER COSTA DEL ESTE"/>
    <x v="1"/>
  </r>
  <r>
    <x v="62"/>
    <x v="186"/>
    <x v="10"/>
    <x v="10"/>
    <x v="1"/>
    <x v="2"/>
    <x v="20"/>
    <x v="232"/>
    <x v="842"/>
    <x v="0"/>
    <s v="TOWN CENTER COSTA DEL ESTE"/>
    <x v="1"/>
  </r>
  <r>
    <x v="63"/>
    <x v="321"/>
    <x v="8"/>
    <x v="8"/>
    <x v="1"/>
    <x v="2"/>
    <x v="20"/>
    <x v="233"/>
    <x v="1300"/>
    <x v="0"/>
    <s v="COSTA VERDE"/>
    <x v="1"/>
  </r>
  <r>
    <x v="63"/>
    <x v="319"/>
    <x v="8"/>
    <x v="8"/>
    <x v="1"/>
    <x v="2"/>
    <x v="20"/>
    <x v="233"/>
    <x v="1300"/>
    <x v="0"/>
    <s v="COSTA VERDE"/>
    <x v="1"/>
  </r>
  <r>
    <x v="63"/>
    <x v="333"/>
    <x v="9"/>
    <x v="9"/>
    <x v="1"/>
    <x v="2"/>
    <x v="20"/>
    <x v="233"/>
    <x v="771"/>
    <x v="0"/>
    <s v="COSTA VERDE"/>
    <x v="1"/>
  </r>
  <r>
    <x v="63"/>
    <x v="176"/>
    <x v="10"/>
    <x v="10"/>
    <x v="1"/>
    <x v="2"/>
    <x v="20"/>
    <x v="233"/>
    <x v="771"/>
    <x v="0"/>
    <s v="COSTA VERDE"/>
    <x v="1"/>
  </r>
  <r>
    <x v="63"/>
    <x v="193"/>
    <x v="11"/>
    <x v="11"/>
    <x v="1"/>
    <x v="2"/>
    <x v="20"/>
    <x v="233"/>
    <x v="770"/>
    <x v="0"/>
    <s v="COSTA VERDE"/>
    <x v="1"/>
  </r>
  <r>
    <x v="63"/>
    <x v="217"/>
    <x v="6"/>
    <x v="6"/>
    <x v="1"/>
    <x v="2"/>
    <x v="20"/>
    <x v="233"/>
    <x v="1344"/>
    <x v="0"/>
    <s v="COSTA VERDE"/>
    <x v="1"/>
  </r>
  <r>
    <x v="63"/>
    <x v="241"/>
    <x v="6"/>
    <x v="6"/>
    <x v="1"/>
    <x v="2"/>
    <x v="20"/>
    <x v="233"/>
    <x v="770"/>
    <x v="0"/>
    <s v="COSTA VERDE"/>
    <x v="1"/>
  </r>
  <r>
    <x v="63"/>
    <x v="190"/>
    <x v="6"/>
    <x v="6"/>
    <x v="1"/>
    <x v="2"/>
    <x v="20"/>
    <x v="233"/>
    <x v="770"/>
    <x v="0"/>
    <s v="COSTA VERDE"/>
    <x v="1"/>
  </r>
  <r>
    <x v="63"/>
    <x v="324"/>
    <x v="6"/>
    <x v="6"/>
    <x v="1"/>
    <x v="2"/>
    <x v="20"/>
    <x v="233"/>
    <x v="771"/>
    <x v="0"/>
    <s v="COSTA VERDE"/>
    <x v="1"/>
  </r>
  <r>
    <x v="64"/>
    <x v="279"/>
    <x v="7"/>
    <x v="7"/>
    <x v="1"/>
    <x v="2"/>
    <x v="20"/>
    <x v="234"/>
    <x v="745"/>
    <x v="0"/>
    <s v="PLAZA LOS ANGELES"/>
    <x v="1"/>
  </r>
  <r>
    <x v="64"/>
    <x v="196"/>
    <x v="8"/>
    <x v="8"/>
    <x v="1"/>
    <x v="2"/>
    <x v="20"/>
    <x v="234"/>
    <x v="745"/>
    <x v="0"/>
    <s v="PLAZA LOS ANGELES"/>
    <x v="1"/>
  </r>
  <r>
    <x v="64"/>
    <x v="219"/>
    <x v="9"/>
    <x v="9"/>
    <x v="1"/>
    <x v="2"/>
    <x v="20"/>
    <x v="234"/>
    <x v="1355"/>
    <x v="0"/>
    <s v="PLAZA LOS ANGELES"/>
    <x v="1"/>
  </r>
  <r>
    <x v="64"/>
    <x v="176"/>
    <x v="10"/>
    <x v="10"/>
    <x v="1"/>
    <x v="2"/>
    <x v="20"/>
    <x v="234"/>
    <x v="750"/>
    <x v="0"/>
    <s v="PLAZA LOS ANGELES"/>
    <x v="1"/>
  </r>
  <r>
    <x v="78"/>
    <x v="246"/>
    <x v="2"/>
    <x v="2"/>
    <x v="1"/>
    <x v="2"/>
    <x v="20"/>
    <x v="444"/>
    <x v="814"/>
    <x v="0"/>
    <s v="CASCO VIEJO"/>
    <x v="1"/>
  </r>
  <r>
    <x v="78"/>
    <x v="229"/>
    <x v="6"/>
    <x v="6"/>
    <x v="1"/>
    <x v="2"/>
    <x v="20"/>
    <x v="444"/>
    <x v="814"/>
    <x v="0"/>
    <s v="CASCO VIEJO"/>
    <x v="1"/>
  </r>
  <r>
    <x v="65"/>
    <x v="290"/>
    <x v="9"/>
    <x v="9"/>
    <x v="1"/>
    <x v="2"/>
    <x v="25"/>
    <x v="302"/>
    <x v="951"/>
    <x v="0"/>
    <s v="SAN MATEO"/>
    <x v="1"/>
  </r>
  <r>
    <x v="65"/>
    <x v="242"/>
    <x v="9"/>
    <x v="9"/>
    <x v="1"/>
    <x v="2"/>
    <x v="25"/>
    <x v="435"/>
    <x v="952"/>
    <x v="0"/>
    <s v="SAN MATEO"/>
    <x v="1"/>
  </r>
  <r>
    <x v="65"/>
    <x v="302"/>
    <x v="11"/>
    <x v="11"/>
    <x v="1"/>
    <x v="2"/>
    <x v="25"/>
    <x v="324"/>
    <x v="899"/>
    <x v="0"/>
    <s v="SAN MATEO"/>
    <x v="1"/>
  </r>
  <r>
    <x v="65"/>
    <x v="218"/>
    <x v="6"/>
    <x v="6"/>
    <x v="1"/>
    <x v="2"/>
    <x v="20"/>
    <x v="445"/>
    <x v="815"/>
    <x v="0"/>
    <s v="SAN MATEO"/>
    <x v="1"/>
  </r>
  <r>
    <x v="65"/>
    <x v="191"/>
    <x v="6"/>
    <x v="6"/>
    <x v="1"/>
    <x v="2"/>
    <x v="20"/>
    <x v="445"/>
    <x v="735"/>
    <x v="0"/>
    <s v="SAN MATEO"/>
    <x v="1"/>
  </r>
  <r>
    <x v="65"/>
    <x v="290"/>
    <x v="9"/>
    <x v="9"/>
    <x v="1"/>
    <x v="1"/>
    <x v="25"/>
    <x v="302"/>
    <x v="3073"/>
    <x v="0"/>
    <s v="SAN MATEO"/>
    <x v="1"/>
  </r>
  <r>
    <x v="66"/>
    <x v="171"/>
    <x v="7"/>
    <x v="7"/>
    <x v="1"/>
    <x v="2"/>
    <x v="21"/>
    <x v="429"/>
    <x v="769"/>
    <x v="0"/>
    <s v="BRISAS DEL GOLF ARRAIJAN"/>
    <x v="1"/>
  </r>
  <r>
    <x v="66"/>
    <x v="331"/>
    <x v="9"/>
    <x v="9"/>
    <x v="1"/>
    <x v="2"/>
    <x v="25"/>
    <x v="391"/>
    <x v="769"/>
    <x v="0"/>
    <s v="BRISAS DEL GOLF ARRAIJAN"/>
    <x v="1"/>
  </r>
  <r>
    <x v="66"/>
    <x v="275"/>
    <x v="11"/>
    <x v="11"/>
    <x v="1"/>
    <x v="2"/>
    <x v="25"/>
    <x v="307"/>
    <x v="769"/>
    <x v="0"/>
    <s v="BRISAS DEL GOLF ARRAIJAN"/>
    <x v="1"/>
  </r>
  <r>
    <x v="66"/>
    <x v="307"/>
    <x v="2"/>
    <x v="2"/>
    <x v="1"/>
    <x v="2"/>
    <x v="20"/>
    <x v="237"/>
    <x v="742"/>
    <x v="0"/>
    <s v="BRISAS DEL GOLF ARRAIJAN"/>
    <x v="1"/>
  </r>
  <r>
    <x v="66"/>
    <x v="174"/>
    <x v="6"/>
    <x v="6"/>
    <x v="1"/>
    <x v="2"/>
    <x v="25"/>
    <x v="282"/>
    <x v="769"/>
    <x v="0"/>
    <s v="BRISAS DEL GOLF ARRAIJAN"/>
    <x v="1"/>
  </r>
  <r>
    <x v="67"/>
    <x v="179"/>
    <x v="7"/>
    <x v="7"/>
    <x v="1"/>
    <x v="2"/>
    <x v="20"/>
    <x v="238"/>
    <x v="1304"/>
    <x v="0"/>
    <s v="PASEO ARRAIJAN"/>
    <x v="1"/>
  </r>
  <r>
    <x v="67"/>
    <x v="259"/>
    <x v="7"/>
    <x v="7"/>
    <x v="1"/>
    <x v="2"/>
    <x v="20"/>
    <x v="238"/>
    <x v="1304"/>
    <x v="0"/>
    <s v="PASEO ARRAIJAN"/>
    <x v="1"/>
  </r>
  <r>
    <x v="67"/>
    <x v="253"/>
    <x v="7"/>
    <x v="7"/>
    <x v="1"/>
    <x v="2"/>
    <x v="21"/>
    <x v="292"/>
    <x v="769"/>
    <x v="0"/>
    <s v="PASEO ARRAIJAN"/>
    <x v="1"/>
  </r>
  <r>
    <x v="67"/>
    <x v="239"/>
    <x v="10"/>
    <x v="10"/>
    <x v="1"/>
    <x v="2"/>
    <x v="20"/>
    <x v="238"/>
    <x v="771"/>
    <x v="0"/>
    <s v="PASEO ARRAIJAN"/>
    <x v="1"/>
  </r>
  <r>
    <x v="67"/>
    <x v="177"/>
    <x v="11"/>
    <x v="11"/>
    <x v="1"/>
    <x v="2"/>
    <x v="20"/>
    <x v="238"/>
    <x v="814"/>
    <x v="0"/>
    <s v="PASEO ARRAIJAN"/>
    <x v="1"/>
  </r>
  <r>
    <x v="67"/>
    <x v="294"/>
    <x v="11"/>
    <x v="11"/>
    <x v="1"/>
    <x v="2"/>
    <x v="25"/>
    <x v="382"/>
    <x v="769"/>
    <x v="0"/>
    <s v="PASEO ARRAIJAN"/>
    <x v="1"/>
  </r>
  <r>
    <x v="67"/>
    <x v="257"/>
    <x v="2"/>
    <x v="2"/>
    <x v="1"/>
    <x v="2"/>
    <x v="20"/>
    <x v="238"/>
    <x v="2700"/>
    <x v="0"/>
    <s v="PASEO ARRAIJAN"/>
    <x v="1"/>
  </r>
  <r>
    <x v="67"/>
    <x v="265"/>
    <x v="6"/>
    <x v="6"/>
    <x v="1"/>
    <x v="2"/>
    <x v="20"/>
    <x v="238"/>
    <x v="770"/>
    <x v="0"/>
    <s v="PASEO ARRAIJAN"/>
    <x v="1"/>
  </r>
  <r>
    <x v="67"/>
    <x v="190"/>
    <x v="6"/>
    <x v="6"/>
    <x v="1"/>
    <x v="2"/>
    <x v="20"/>
    <x v="238"/>
    <x v="814"/>
    <x v="0"/>
    <s v="PASEO ARRAIJAN"/>
    <x v="1"/>
  </r>
  <r>
    <x v="67"/>
    <x v="191"/>
    <x v="6"/>
    <x v="6"/>
    <x v="1"/>
    <x v="2"/>
    <x v="25"/>
    <x v="318"/>
    <x v="769"/>
    <x v="0"/>
    <s v="PASEO ARRAIJAN"/>
    <x v="1"/>
  </r>
  <r>
    <x v="68"/>
    <x v="245"/>
    <x v="8"/>
    <x v="8"/>
    <x v="1"/>
    <x v="2"/>
    <x v="20"/>
    <x v="239"/>
    <x v="753"/>
    <x v="0"/>
    <s v="PLAZA NUEVO TOCUMEN"/>
    <x v="1"/>
  </r>
  <r>
    <x v="68"/>
    <x v="226"/>
    <x v="8"/>
    <x v="8"/>
    <x v="1"/>
    <x v="2"/>
    <x v="20"/>
    <x v="239"/>
    <x v="3074"/>
    <x v="0"/>
    <s v="PLAZA NUEVO TOCUMEN"/>
    <x v="1"/>
  </r>
  <r>
    <x v="68"/>
    <x v="303"/>
    <x v="9"/>
    <x v="9"/>
    <x v="1"/>
    <x v="2"/>
    <x v="20"/>
    <x v="239"/>
    <x v="191"/>
    <x v="0"/>
    <s v="PLAZA NUEVO TOCUMEN"/>
    <x v="1"/>
  </r>
  <r>
    <x v="68"/>
    <x v="268"/>
    <x v="10"/>
    <x v="10"/>
    <x v="1"/>
    <x v="2"/>
    <x v="20"/>
    <x v="239"/>
    <x v="841"/>
    <x v="0"/>
    <s v="PLAZA NUEVO TOCUMEN"/>
    <x v="1"/>
  </r>
  <r>
    <x v="68"/>
    <x v="176"/>
    <x v="10"/>
    <x v="10"/>
    <x v="1"/>
    <x v="2"/>
    <x v="20"/>
    <x v="239"/>
    <x v="1301"/>
    <x v="0"/>
    <s v="PLAZA NUEVO TOCUMEN"/>
    <x v="1"/>
  </r>
  <r>
    <x v="68"/>
    <x v="177"/>
    <x v="11"/>
    <x v="11"/>
    <x v="1"/>
    <x v="2"/>
    <x v="20"/>
    <x v="239"/>
    <x v="753"/>
    <x v="0"/>
    <s v="PLAZA NUEVO TOCUMEN"/>
    <x v="1"/>
  </r>
  <r>
    <x v="68"/>
    <x v="201"/>
    <x v="11"/>
    <x v="11"/>
    <x v="1"/>
    <x v="2"/>
    <x v="20"/>
    <x v="239"/>
    <x v="191"/>
    <x v="0"/>
    <s v="PLAZA NUEVO TOCUMEN"/>
    <x v="1"/>
  </r>
  <r>
    <x v="68"/>
    <x v="273"/>
    <x v="11"/>
    <x v="11"/>
    <x v="1"/>
    <x v="2"/>
    <x v="20"/>
    <x v="239"/>
    <x v="1301"/>
    <x v="0"/>
    <s v="PLAZA NUEVO TOCUMEN"/>
    <x v="1"/>
  </r>
  <r>
    <x v="68"/>
    <x v="257"/>
    <x v="2"/>
    <x v="2"/>
    <x v="1"/>
    <x v="2"/>
    <x v="20"/>
    <x v="239"/>
    <x v="753"/>
    <x v="0"/>
    <s v="PLAZA NUEVO TOCUMEN"/>
    <x v="1"/>
  </r>
  <r>
    <x v="68"/>
    <x v="266"/>
    <x v="6"/>
    <x v="6"/>
    <x v="1"/>
    <x v="2"/>
    <x v="20"/>
    <x v="239"/>
    <x v="753"/>
    <x v="0"/>
    <s v="PLAZA NUEVO TOCUMEN"/>
    <x v="1"/>
  </r>
  <r>
    <x v="69"/>
    <x v="308"/>
    <x v="7"/>
    <x v="7"/>
    <x v="1"/>
    <x v="2"/>
    <x v="20"/>
    <x v="240"/>
    <x v="747"/>
    <x v="0"/>
    <s v="SANTA MARIA"/>
    <x v="1"/>
  </r>
  <r>
    <x v="69"/>
    <x v="323"/>
    <x v="8"/>
    <x v="8"/>
    <x v="1"/>
    <x v="2"/>
    <x v="20"/>
    <x v="240"/>
    <x v="842"/>
    <x v="0"/>
    <s v="SANTA MARIA"/>
    <x v="1"/>
  </r>
  <r>
    <x v="69"/>
    <x v="207"/>
    <x v="8"/>
    <x v="8"/>
    <x v="1"/>
    <x v="2"/>
    <x v="20"/>
    <x v="240"/>
    <x v="737"/>
    <x v="0"/>
    <s v="SANTA MARIA"/>
    <x v="1"/>
  </r>
  <r>
    <x v="69"/>
    <x v="340"/>
    <x v="8"/>
    <x v="8"/>
    <x v="1"/>
    <x v="2"/>
    <x v="20"/>
    <x v="240"/>
    <x v="842"/>
    <x v="0"/>
    <s v="SANTA MARIA"/>
    <x v="1"/>
  </r>
  <r>
    <x v="69"/>
    <x v="292"/>
    <x v="9"/>
    <x v="9"/>
    <x v="1"/>
    <x v="2"/>
    <x v="20"/>
    <x v="240"/>
    <x v="752"/>
    <x v="0"/>
    <s v="SANTA MARIA"/>
    <x v="1"/>
  </r>
  <r>
    <x v="69"/>
    <x v="242"/>
    <x v="9"/>
    <x v="9"/>
    <x v="1"/>
    <x v="2"/>
    <x v="20"/>
    <x v="240"/>
    <x v="737"/>
    <x v="0"/>
    <s v="SANTA MARIA"/>
    <x v="1"/>
  </r>
  <r>
    <x v="69"/>
    <x v="338"/>
    <x v="9"/>
    <x v="9"/>
    <x v="1"/>
    <x v="2"/>
    <x v="20"/>
    <x v="240"/>
    <x v="842"/>
    <x v="0"/>
    <s v="SANTA MARIA"/>
    <x v="1"/>
  </r>
  <r>
    <x v="69"/>
    <x v="231"/>
    <x v="10"/>
    <x v="10"/>
    <x v="1"/>
    <x v="2"/>
    <x v="20"/>
    <x v="240"/>
    <x v="744"/>
    <x v="0"/>
    <s v="SANTA MARIA"/>
    <x v="1"/>
  </r>
  <r>
    <x v="69"/>
    <x v="329"/>
    <x v="10"/>
    <x v="10"/>
    <x v="1"/>
    <x v="2"/>
    <x v="20"/>
    <x v="240"/>
    <x v="3075"/>
    <x v="0"/>
    <s v="SANTA MARIA"/>
    <x v="1"/>
  </r>
  <r>
    <x v="69"/>
    <x v="233"/>
    <x v="10"/>
    <x v="10"/>
    <x v="1"/>
    <x v="2"/>
    <x v="20"/>
    <x v="240"/>
    <x v="842"/>
    <x v="0"/>
    <s v="SANTA MARIA"/>
    <x v="1"/>
  </r>
  <r>
    <x v="69"/>
    <x v="199"/>
    <x v="10"/>
    <x v="10"/>
    <x v="1"/>
    <x v="2"/>
    <x v="20"/>
    <x v="240"/>
    <x v="748"/>
    <x v="0"/>
    <s v="SANTA MARIA"/>
    <x v="1"/>
  </r>
  <r>
    <x v="69"/>
    <x v="299"/>
    <x v="11"/>
    <x v="11"/>
    <x v="1"/>
    <x v="2"/>
    <x v="20"/>
    <x v="240"/>
    <x v="742"/>
    <x v="0"/>
    <s v="SANTA MARIA"/>
    <x v="1"/>
  </r>
  <r>
    <x v="69"/>
    <x v="182"/>
    <x v="2"/>
    <x v="2"/>
    <x v="1"/>
    <x v="2"/>
    <x v="20"/>
    <x v="240"/>
    <x v="737"/>
    <x v="0"/>
    <s v="SANTA MARIA"/>
    <x v="1"/>
  </r>
  <r>
    <x v="69"/>
    <x v="276"/>
    <x v="2"/>
    <x v="2"/>
    <x v="1"/>
    <x v="2"/>
    <x v="20"/>
    <x v="240"/>
    <x v="752"/>
    <x v="0"/>
    <s v="SANTA MARIA"/>
    <x v="1"/>
  </r>
  <r>
    <x v="69"/>
    <x v="174"/>
    <x v="6"/>
    <x v="6"/>
    <x v="1"/>
    <x v="2"/>
    <x v="20"/>
    <x v="240"/>
    <x v="3076"/>
    <x v="0"/>
    <s v="SANTA MARIA"/>
    <x v="1"/>
  </r>
  <r>
    <x v="0"/>
    <x v="319"/>
    <x v="8"/>
    <x v="8"/>
    <x v="1"/>
    <x v="2"/>
    <x v="32"/>
    <x v="350"/>
    <x v="3077"/>
    <x v="0"/>
    <s v="CASA MATRIZ"/>
    <x v="2"/>
  </r>
  <r>
    <x v="0"/>
    <x v="200"/>
    <x v="11"/>
    <x v="11"/>
    <x v="1"/>
    <x v="2"/>
    <x v="32"/>
    <x v="351"/>
    <x v="1331"/>
    <x v="0"/>
    <s v="CASA MATRIZ"/>
    <x v="2"/>
  </r>
  <r>
    <x v="0"/>
    <x v="182"/>
    <x v="2"/>
    <x v="2"/>
    <x v="1"/>
    <x v="2"/>
    <x v="32"/>
    <x v="392"/>
    <x v="3078"/>
    <x v="0"/>
    <s v="CASA MATRIZ"/>
    <x v="2"/>
  </r>
  <r>
    <x v="0"/>
    <x v="335"/>
    <x v="6"/>
    <x v="6"/>
    <x v="1"/>
    <x v="2"/>
    <x v="32"/>
    <x v="408"/>
    <x v="1603"/>
    <x v="0"/>
    <s v="CASA MATRIZ"/>
    <x v="2"/>
  </r>
  <r>
    <x v="0"/>
    <x v="277"/>
    <x v="7"/>
    <x v="7"/>
    <x v="1"/>
    <x v="0"/>
    <x v="33"/>
    <x v="325"/>
    <x v="934"/>
    <x v="0"/>
    <s v="CASA MATRIZ"/>
    <x v="2"/>
  </r>
  <r>
    <x v="0"/>
    <x v="206"/>
    <x v="7"/>
    <x v="7"/>
    <x v="1"/>
    <x v="0"/>
    <x v="33"/>
    <x v="284"/>
    <x v="874"/>
    <x v="0"/>
    <s v="CASA MATRIZ"/>
    <x v="2"/>
  </r>
  <r>
    <x v="0"/>
    <x v="338"/>
    <x v="9"/>
    <x v="9"/>
    <x v="1"/>
    <x v="0"/>
    <x v="33"/>
    <x v="425"/>
    <x v="874"/>
    <x v="0"/>
    <s v="CASA MATRIZ"/>
    <x v="2"/>
  </r>
  <r>
    <x v="0"/>
    <x v="186"/>
    <x v="10"/>
    <x v="10"/>
    <x v="1"/>
    <x v="0"/>
    <x v="33"/>
    <x v="321"/>
    <x v="759"/>
    <x v="0"/>
    <s v="CASA MATRIZ"/>
    <x v="2"/>
  </r>
  <r>
    <x v="0"/>
    <x v="325"/>
    <x v="11"/>
    <x v="11"/>
    <x v="1"/>
    <x v="0"/>
    <x v="33"/>
    <x v="421"/>
    <x v="759"/>
    <x v="0"/>
    <s v="CASA MATRIZ"/>
    <x v="2"/>
  </r>
  <r>
    <x v="0"/>
    <x v="282"/>
    <x v="11"/>
    <x v="11"/>
    <x v="1"/>
    <x v="0"/>
    <x v="33"/>
    <x v="358"/>
    <x v="874"/>
    <x v="0"/>
    <s v="CASA MATRIZ"/>
    <x v="2"/>
  </r>
  <r>
    <x v="0"/>
    <x v="285"/>
    <x v="6"/>
    <x v="6"/>
    <x v="1"/>
    <x v="0"/>
    <x v="33"/>
    <x v="409"/>
    <x v="759"/>
    <x v="0"/>
    <s v="CASA MATRIZ"/>
    <x v="2"/>
  </r>
  <r>
    <x v="0"/>
    <x v="184"/>
    <x v="6"/>
    <x v="6"/>
    <x v="1"/>
    <x v="0"/>
    <x v="33"/>
    <x v="413"/>
    <x v="874"/>
    <x v="0"/>
    <s v="CASA MATRIZ"/>
    <x v="2"/>
  </r>
  <r>
    <x v="0"/>
    <x v="236"/>
    <x v="6"/>
    <x v="6"/>
    <x v="1"/>
    <x v="0"/>
    <x v="33"/>
    <x v="371"/>
    <x v="765"/>
    <x v="0"/>
    <s v="CASA MATRIZ"/>
    <x v="2"/>
  </r>
  <r>
    <x v="0"/>
    <x v="188"/>
    <x v="6"/>
    <x v="6"/>
    <x v="1"/>
    <x v="0"/>
    <x v="33"/>
    <x v="407"/>
    <x v="874"/>
    <x v="0"/>
    <s v="CASA MATRIZ"/>
    <x v="2"/>
  </r>
  <r>
    <x v="0"/>
    <x v="188"/>
    <x v="6"/>
    <x v="6"/>
    <x v="1"/>
    <x v="0"/>
    <x v="32"/>
    <x v="407"/>
    <x v="1"/>
    <x v="216"/>
    <s v="CASA MATRIZ"/>
    <x v="2"/>
  </r>
  <r>
    <x v="4"/>
    <x v="323"/>
    <x v="8"/>
    <x v="8"/>
    <x v="1"/>
    <x v="2"/>
    <x v="33"/>
    <x v="367"/>
    <x v="146"/>
    <x v="0"/>
    <s v="VIA PORRAS"/>
    <x v="2"/>
  </r>
  <r>
    <x v="4"/>
    <x v="319"/>
    <x v="8"/>
    <x v="8"/>
    <x v="1"/>
    <x v="2"/>
    <x v="32"/>
    <x v="350"/>
    <x v="3079"/>
    <x v="0"/>
    <s v="VIA PORRAS"/>
    <x v="2"/>
  </r>
  <r>
    <x v="4"/>
    <x v="200"/>
    <x v="11"/>
    <x v="11"/>
    <x v="1"/>
    <x v="2"/>
    <x v="32"/>
    <x v="351"/>
    <x v="3080"/>
    <x v="0"/>
    <s v="VIA PORRAS"/>
    <x v="2"/>
  </r>
  <r>
    <x v="4"/>
    <x v="177"/>
    <x v="11"/>
    <x v="11"/>
    <x v="1"/>
    <x v="2"/>
    <x v="33"/>
    <x v="346"/>
    <x v="765"/>
    <x v="0"/>
    <s v="VIA PORRAS"/>
    <x v="2"/>
  </r>
  <r>
    <x v="4"/>
    <x v="274"/>
    <x v="11"/>
    <x v="11"/>
    <x v="1"/>
    <x v="2"/>
    <x v="33"/>
    <x v="404"/>
    <x v="874"/>
    <x v="0"/>
    <s v="VIA PORRAS"/>
    <x v="2"/>
  </r>
  <r>
    <x v="4"/>
    <x v="275"/>
    <x v="11"/>
    <x v="11"/>
    <x v="1"/>
    <x v="2"/>
    <x v="33"/>
    <x v="307"/>
    <x v="874"/>
    <x v="0"/>
    <s v="VIA PORRAS"/>
    <x v="2"/>
  </r>
  <r>
    <x v="4"/>
    <x v="240"/>
    <x v="2"/>
    <x v="2"/>
    <x v="1"/>
    <x v="2"/>
    <x v="32"/>
    <x v="442"/>
    <x v="3081"/>
    <x v="0"/>
    <s v="VIA PORRAS"/>
    <x v="2"/>
  </r>
  <r>
    <x v="4"/>
    <x v="257"/>
    <x v="2"/>
    <x v="2"/>
    <x v="1"/>
    <x v="2"/>
    <x v="33"/>
    <x v="410"/>
    <x v="874"/>
    <x v="0"/>
    <s v="VIA PORRAS"/>
    <x v="2"/>
  </r>
  <r>
    <x v="4"/>
    <x v="327"/>
    <x v="7"/>
    <x v="7"/>
    <x v="1"/>
    <x v="0"/>
    <x v="33"/>
    <x v="387"/>
    <x v="765"/>
    <x v="0"/>
    <s v="VIA PORRAS"/>
    <x v="2"/>
  </r>
  <r>
    <x v="4"/>
    <x v="179"/>
    <x v="7"/>
    <x v="7"/>
    <x v="1"/>
    <x v="0"/>
    <x v="33"/>
    <x v="415"/>
    <x v="874"/>
    <x v="0"/>
    <s v="VIA PORRAS"/>
    <x v="2"/>
  </r>
  <r>
    <x v="4"/>
    <x v="225"/>
    <x v="7"/>
    <x v="7"/>
    <x v="1"/>
    <x v="0"/>
    <x v="33"/>
    <x v="416"/>
    <x v="874"/>
    <x v="0"/>
    <s v="VIA PORRAS"/>
    <x v="2"/>
  </r>
  <r>
    <x v="4"/>
    <x v="209"/>
    <x v="7"/>
    <x v="7"/>
    <x v="1"/>
    <x v="0"/>
    <x v="33"/>
    <x v="428"/>
    <x v="874"/>
    <x v="0"/>
    <s v="VIA PORRAS"/>
    <x v="2"/>
  </r>
  <r>
    <x v="4"/>
    <x v="332"/>
    <x v="7"/>
    <x v="7"/>
    <x v="1"/>
    <x v="0"/>
    <x v="33"/>
    <x v="397"/>
    <x v="874"/>
    <x v="0"/>
    <s v="VIA PORRAS"/>
    <x v="2"/>
  </r>
  <r>
    <x v="4"/>
    <x v="192"/>
    <x v="8"/>
    <x v="8"/>
    <x v="1"/>
    <x v="0"/>
    <x v="33"/>
    <x v="300"/>
    <x v="146"/>
    <x v="0"/>
    <s v="VIA PORRAS"/>
    <x v="2"/>
  </r>
  <r>
    <x v="4"/>
    <x v="254"/>
    <x v="8"/>
    <x v="8"/>
    <x v="1"/>
    <x v="0"/>
    <x v="33"/>
    <x v="326"/>
    <x v="874"/>
    <x v="0"/>
    <s v="VIA PORRAS"/>
    <x v="2"/>
  </r>
  <r>
    <x v="4"/>
    <x v="261"/>
    <x v="8"/>
    <x v="8"/>
    <x v="1"/>
    <x v="0"/>
    <x v="33"/>
    <x v="320"/>
    <x v="1182"/>
    <x v="0"/>
    <s v="VIA PORRAS"/>
    <x v="2"/>
  </r>
  <r>
    <x v="4"/>
    <x v="196"/>
    <x v="8"/>
    <x v="8"/>
    <x v="1"/>
    <x v="0"/>
    <x v="33"/>
    <x v="375"/>
    <x v="874"/>
    <x v="0"/>
    <s v="VIA PORRAS"/>
    <x v="2"/>
  </r>
  <r>
    <x v="4"/>
    <x v="227"/>
    <x v="9"/>
    <x v="9"/>
    <x v="1"/>
    <x v="0"/>
    <x v="33"/>
    <x v="399"/>
    <x v="765"/>
    <x v="0"/>
    <s v="VIA PORRAS"/>
    <x v="2"/>
  </r>
  <r>
    <x v="4"/>
    <x v="211"/>
    <x v="9"/>
    <x v="9"/>
    <x v="1"/>
    <x v="0"/>
    <x v="33"/>
    <x v="286"/>
    <x v="874"/>
    <x v="0"/>
    <s v="VIA PORRAS"/>
    <x v="2"/>
  </r>
  <r>
    <x v="4"/>
    <x v="331"/>
    <x v="9"/>
    <x v="9"/>
    <x v="1"/>
    <x v="0"/>
    <x v="33"/>
    <x v="391"/>
    <x v="874"/>
    <x v="0"/>
    <s v="VIA PORRAS"/>
    <x v="2"/>
  </r>
  <r>
    <x v="4"/>
    <x v="339"/>
    <x v="10"/>
    <x v="10"/>
    <x v="1"/>
    <x v="0"/>
    <x v="33"/>
    <x v="427"/>
    <x v="765"/>
    <x v="0"/>
    <s v="VIA PORRAS"/>
    <x v="2"/>
  </r>
  <r>
    <x v="4"/>
    <x v="176"/>
    <x v="10"/>
    <x v="10"/>
    <x v="1"/>
    <x v="0"/>
    <x v="33"/>
    <x v="412"/>
    <x v="874"/>
    <x v="0"/>
    <s v="VIA PORRAS"/>
    <x v="2"/>
  </r>
  <r>
    <x v="4"/>
    <x v="200"/>
    <x v="11"/>
    <x v="11"/>
    <x v="1"/>
    <x v="0"/>
    <x v="33"/>
    <x v="351"/>
    <x v="874"/>
    <x v="0"/>
    <s v="VIA PORRAS"/>
    <x v="2"/>
  </r>
  <r>
    <x v="4"/>
    <x v="282"/>
    <x v="11"/>
    <x v="11"/>
    <x v="1"/>
    <x v="0"/>
    <x v="33"/>
    <x v="358"/>
    <x v="146"/>
    <x v="0"/>
    <s v="VIA PORRAS"/>
    <x v="2"/>
  </r>
  <r>
    <x v="4"/>
    <x v="221"/>
    <x v="2"/>
    <x v="2"/>
    <x v="1"/>
    <x v="0"/>
    <x v="61"/>
    <x v="446"/>
    <x v="874"/>
    <x v="0"/>
    <s v="VIA PORRAS"/>
    <x v="2"/>
  </r>
  <r>
    <x v="4"/>
    <x v="221"/>
    <x v="2"/>
    <x v="2"/>
    <x v="1"/>
    <x v="0"/>
    <x v="33"/>
    <x v="347"/>
    <x v="874"/>
    <x v="0"/>
    <s v="VIA PORRAS"/>
    <x v="2"/>
  </r>
  <r>
    <x v="4"/>
    <x v="222"/>
    <x v="2"/>
    <x v="2"/>
    <x v="1"/>
    <x v="0"/>
    <x v="32"/>
    <x v="384"/>
    <x v="874"/>
    <x v="0"/>
    <s v="VIA PORRAS"/>
    <x v="2"/>
  </r>
  <r>
    <x v="4"/>
    <x v="222"/>
    <x v="2"/>
    <x v="2"/>
    <x v="1"/>
    <x v="0"/>
    <x v="33"/>
    <x v="384"/>
    <x v="874"/>
    <x v="0"/>
    <s v="VIA PORRAS"/>
    <x v="2"/>
  </r>
  <r>
    <x v="4"/>
    <x v="182"/>
    <x v="2"/>
    <x v="2"/>
    <x v="1"/>
    <x v="0"/>
    <x v="62"/>
    <x v="59"/>
    <x v="1"/>
    <x v="216"/>
    <s v="VIA PORRAS"/>
    <x v="2"/>
  </r>
  <r>
    <x v="4"/>
    <x v="307"/>
    <x v="2"/>
    <x v="2"/>
    <x v="1"/>
    <x v="0"/>
    <x v="33"/>
    <x v="441"/>
    <x v="874"/>
    <x v="0"/>
    <s v="VIA PORRAS"/>
    <x v="2"/>
  </r>
  <r>
    <x v="4"/>
    <x v="257"/>
    <x v="2"/>
    <x v="2"/>
    <x v="1"/>
    <x v="0"/>
    <x v="33"/>
    <x v="410"/>
    <x v="874"/>
    <x v="0"/>
    <s v="VIA PORRAS"/>
    <x v="2"/>
  </r>
  <r>
    <x v="4"/>
    <x v="235"/>
    <x v="2"/>
    <x v="2"/>
    <x v="1"/>
    <x v="0"/>
    <x v="33"/>
    <x v="393"/>
    <x v="874"/>
    <x v="0"/>
    <s v="VIA PORRAS"/>
    <x v="2"/>
  </r>
  <r>
    <x v="4"/>
    <x v="217"/>
    <x v="6"/>
    <x v="6"/>
    <x v="1"/>
    <x v="0"/>
    <x v="33"/>
    <x v="323"/>
    <x v="146"/>
    <x v="0"/>
    <s v="VIA PORRAS"/>
    <x v="2"/>
  </r>
  <r>
    <x v="4"/>
    <x v="184"/>
    <x v="6"/>
    <x v="6"/>
    <x v="1"/>
    <x v="0"/>
    <x v="33"/>
    <x v="413"/>
    <x v="874"/>
    <x v="0"/>
    <s v="VIA PORRAS"/>
    <x v="2"/>
  </r>
  <r>
    <x v="4"/>
    <x v="296"/>
    <x v="6"/>
    <x v="6"/>
    <x v="1"/>
    <x v="0"/>
    <x v="33"/>
    <x v="312"/>
    <x v="874"/>
    <x v="0"/>
    <s v="VIA PORRAS"/>
    <x v="2"/>
  </r>
  <r>
    <x v="4"/>
    <x v="236"/>
    <x v="6"/>
    <x v="6"/>
    <x v="1"/>
    <x v="0"/>
    <x v="33"/>
    <x v="371"/>
    <x v="759"/>
    <x v="0"/>
    <s v="VIA PORRAS"/>
    <x v="2"/>
  </r>
  <r>
    <x v="4"/>
    <x v="174"/>
    <x v="6"/>
    <x v="6"/>
    <x v="1"/>
    <x v="0"/>
    <x v="33"/>
    <x v="282"/>
    <x v="874"/>
    <x v="0"/>
    <s v="VIA PORRAS"/>
    <x v="2"/>
  </r>
  <r>
    <x v="4"/>
    <x v="229"/>
    <x v="6"/>
    <x v="6"/>
    <x v="1"/>
    <x v="0"/>
    <x v="33"/>
    <x v="281"/>
    <x v="759"/>
    <x v="0"/>
    <s v="VIA PORRAS"/>
    <x v="2"/>
  </r>
  <r>
    <x v="4"/>
    <x v="241"/>
    <x v="6"/>
    <x v="6"/>
    <x v="1"/>
    <x v="0"/>
    <x v="33"/>
    <x v="447"/>
    <x v="146"/>
    <x v="0"/>
    <s v="VIA PORRAS"/>
    <x v="2"/>
  </r>
  <r>
    <x v="4"/>
    <x v="191"/>
    <x v="6"/>
    <x v="6"/>
    <x v="1"/>
    <x v="0"/>
    <x v="33"/>
    <x v="318"/>
    <x v="874"/>
    <x v="0"/>
    <s v="VIA PORRAS"/>
    <x v="2"/>
  </r>
  <r>
    <x v="4"/>
    <x v="239"/>
    <x v="10"/>
    <x v="10"/>
    <x v="1"/>
    <x v="1"/>
    <x v="33"/>
    <x v="419"/>
    <x v="874"/>
    <x v="0"/>
    <s v="VIA PORRAS"/>
    <x v="2"/>
  </r>
  <r>
    <x v="4"/>
    <x v="187"/>
    <x v="11"/>
    <x v="11"/>
    <x v="1"/>
    <x v="1"/>
    <x v="33"/>
    <x v="328"/>
    <x v="874"/>
    <x v="0"/>
    <s v="VIA PORRAS"/>
    <x v="2"/>
  </r>
  <r>
    <x v="4"/>
    <x v="177"/>
    <x v="11"/>
    <x v="11"/>
    <x v="1"/>
    <x v="1"/>
    <x v="33"/>
    <x v="346"/>
    <x v="874"/>
    <x v="0"/>
    <s v="VIA PORRAS"/>
    <x v="2"/>
  </r>
  <r>
    <x v="4"/>
    <x v="285"/>
    <x v="6"/>
    <x v="6"/>
    <x v="1"/>
    <x v="1"/>
    <x v="33"/>
    <x v="409"/>
    <x v="874"/>
    <x v="0"/>
    <s v="VIA PORRAS"/>
    <x v="2"/>
  </r>
  <r>
    <x v="6"/>
    <x v="323"/>
    <x v="8"/>
    <x v="8"/>
    <x v="1"/>
    <x v="2"/>
    <x v="32"/>
    <x v="367"/>
    <x v="3082"/>
    <x v="0"/>
    <s v="CHANIS"/>
    <x v="2"/>
  </r>
  <r>
    <x v="6"/>
    <x v="339"/>
    <x v="10"/>
    <x v="10"/>
    <x v="1"/>
    <x v="2"/>
    <x v="32"/>
    <x v="427"/>
    <x v="1624"/>
    <x v="0"/>
    <s v="CHANIS"/>
    <x v="2"/>
  </r>
  <r>
    <x v="6"/>
    <x v="214"/>
    <x v="11"/>
    <x v="11"/>
    <x v="1"/>
    <x v="2"/>
    <x v="32"/>
    <x v="306"/>
    <x v="3083"/>
    <x v="0"/>
    <s v="CHANIS"/>
    <x v="2"/>
  </r>
  <r>
    <x v="6"/>
    <x v="335"/>
    <x v="6"/>
    <x v="6"/>
    <x v="1"/>
    <x v="2"/>
    <x v="32"/>
    <x v="408"/>
    <x v="3084"/>
    <x v="0"/>
    <s v="CHANIS"/>
    <x v="2"/>
  </r>
  <r>
    <x v="7"/>
    <x v="277"/>
    <x v="7"/>
    <x v="7"/>
    <x v="1"/>
    <x v="2"/>
    <x v="32"/>
    <x v="325"/>
    <x v="3085"/>
    <x v="0"/>
    <s v="PLAZA TOCUMEN"/>
    <x v="2"/>
  </r>
  <r>
    <x v="7"/>
    <x v="303"/>
    <x v="9"/>
    <x v="9"/>
    <x v="1"/>
    <x v="2"/>
    <x v="32"/>
    <x v="327"/>
    <x v="1"/>
    <x v="508"/>
    <s v="PLAZA TOCUMEN"/>
    <x v="2"/>
  </r>
  <r>
    <x v="7"/>
    <x v="194"/>
    <x v="9"/>
    <x v="9"/>
    <x v="1"/>
    <x v="2"/>
    <x v="32"/>
    <x v="390"/>
    <x v="3086"/>
    <x v="0"/>
    <s v="PLAZA TOCUMEN"/>
    <x v="2"/>
  </r>
  <r>
    <x v="7"/>
    <x v="248"/>
    <x v="10"/>
    <x v="10"/>
    <x v="1"/>
    <x v="2"/>
    <x v="33"/>
    <x v="304"/>
    <x v="3087"/>
    <x v="0"/>
    <s v="PLAZA TOCUMEN"/>
    <x v="2"/>
  </r>
  <r>
    <x v="7"/>
    <x v="299"/>
    <x v="11"/>
    <x v="11"/>
    <x v="1"/>
    <x v="2"/>
    <x v="32"/>
    <x v="315"/>
    <x v="1215"/>
    <x v="0"/>
    <s v="PLAZA TOCUMEN"/>
    <x v="2"/>
  </r>
  <r>
    <x v="7"/>
    <x v="214"/>
    <x v="11"/>
    <x v="11"/>
    <x v="1"/>
    <x v="2"/>
    <x v="32"/>
    <x v="306"/>
    <x v="3088"/>
    <x v="0"/>
    <s v="PLAZA TOCUMEN"/>
    <x v="2"/>
  </r>
  <r>
    <x v="7"/>
    <x v="281"/>
    <x v="6"/>
    <x v="6"/>
    <x v="1"/>
    <x v="2"/>
    <x v="32"/>
    <x v="395"/>
    <x v="848"/>
    <x v="0"/>
    <s v="PLAZA TOCUMEN"/>
    <x v="2"/>
  </r>
  <r>
    <x v="7"/>
    <x v="190"/>
    <x v="6"/>
    <x v="6"/>
    <x v="1"/>
    <x v="2"/>
    <x v="32"/>
    <x v="342"/>
    <x v="933"/>
    <x v="0"/>
    <s v="PLAZA TOCUMEN"/>
    <x v="2"/>
  </r>
  <r>
    <x v="8"/>
    <x v="249"/>
    <x v="11"/>
    <x v="11"/>
    <x v="1"/>
    <x v="2"/>
    <x v="33"/>
    <x v="359"/>
    <x v="761"/>
    <x v="0"/>
    <s v="SANTIAGO"/>
    <x v="2"/>
  </r>
  <r>
    <x v="9"/>
    <x v="259"/>
    <x v="7"/>
    <x v="7"/>
    <x v="1"/>
    <x v="2"/>
    <x v="33"/>
    <x v="355"/>
    <x v="874"/>
    <x v="0"/>
    <s v="OBARRIO"/>
    <x v="2"/>
  </r>
  <r>
    <x v="9"/>
    <x v="262"/>
    <x v="9"/>
    <x v="9"/>
    <x v="1"/>
    <x v="2"/>
    <x v="32"/>
    <x v="368"/>
    <x v="1795"/>
    <x v="0"/>
    <s v="OBARRIO"/>
    <x v="2"/>
  </r>
  <r>
    <x v="9"/>
    <x v="258"/>
    <x v="7"/>
    <x v="7"/>
    <x v="1"/>
    <x v="0"/>
    <x v="33"/>
    <x v="349"/>
    <x v="759"/>
    <x v="0"/>
    <s v="OBARRIO"/>
    <x v="2"/>
  </r>
  <r>
    <x v="9"/>
    <x v="309"/>
    <x v="7"/>
    <x v="7"/>
    <x v="1"/>
    <x v="0"/>
    <x v="33"/>
    <x v="334"/>
    <x v="874"/>
    <x v="0"/>
    <s v="OBARRIO"/>
    <x v="2"/>
  </r>
  <r>
    <x v="9"/>
    <x v="337"/>
    <x v="9"/>
    <x v="9"/>
    <x v="1"/>
    <x v="0"/>
    <x v="33"/>
    <x v="424"/>
    <x v="759"/>
    <x v="0"/>
    <s v="OBARRIO"/>
    <x v="2"/>
  </r>
  <r>
    <x v="9"/>
    <x v="303"/>
    <x v="9"/>
    <x v="9"/>
    <x v="1"/>
    <x v="0"/>
    <x v="33"/>
    <x v="327"/>
    <x v="874"/>
    <x v="0"/>
    <s v="OBARRIO"/>
    <x v="2"/>
  </r>
  <r>
    <x v="9"/>
    <x v="338"/>
    <x v="9"/>
    <x v="9"/>
    <x v="1"/>
    <x v="0"/>
    <x v="33"/>
    <x v="425"/>
    <x v="874"/>
    <x v="0"/>
    <s v="OBARRIO"/>
    <x v="2"/>
  </r>
  <r>
    <x v="9"/>
    <x v="233"/>
    <x v="10"/>
    <x v="10"/>
    <x v="1"/>
    <x v="0"/>
    <x v="33"/>
    <x v="344"/>
    <x v="765"/>
    <x v="0"/>
    <s v="OBARRIO"/>
    <x v="2"/>
  </r>
  <r>
    <x v="9"/>
    <x v="272"/>
    <x v="11"/>
    <x v="11"/>
    <x v="1"/>
    <x v="0"/>
    <x v="33"/>
    <x v="360"/>
    <x v="146"/>
    <x v="0"/>
    <s v="OBARRIO"/>
    <x v="2"/>
  </r>
  <r>
    <x v="9"/>
    <x v="314"/>
    <x v="6"/>
    <x v="6"/>
    <x v="1"/>
    <x v="0"/>
    <x v="33"/>
    <x v="372"/>
    <x v="759"/>
    <x v="0"/>
    <s v="OBARRIO"/>
    <x v="2"/>
  </r>
  <r>
    <x v="9"/>
    <x v="254"/>
    <x v="8"/>
    <x v="8"/>
    <x v="1"/>
    <x v="1"/>
    <x v="33"/>
    <x v="326"/>
    <x v="874"/>
    <x v="0"/>
    <s v="OBARRIO"/>
    <x v="2"/>
  </r>
  <r>
    <x v="9"/>
    <x v="246"/>
    <x v="2"/>
    <x v="2"/>
    <x v="1"/>
    <x v="1"/>
    <x v="33"/>
    <x v="287"/>
    <x v="759"/>
    <x v="0"/>
    <s v="OBARRIO"/>
    <x v="2"/>
  </r>
  <r>
    <x v="10"/>
    <x v="194"/>
    <x v="9"/>
    <x v="9"/>
    <x v="1"/>
    <x v="2"/>
    <x v="33"/>
    <x v="390"/>
    <x v="874"/>
    <x v="0"/>
    <s v="HATO PINTADO"/>
    <x v="2"/>
  </r>
  <r>
    <x v="10"/>
    <x v="230"/>
    <x v="9"/>
    <x v="9"/>
    <x v="1"/>
    <x v="2"/>
    <x v="33"/>
    <x v="283"/>
    <x v="874"/>
    <x v="0"/>
    <s v="HATO PINTADO"/>
    <x v="2"/>
  </r>
  <r>
    <x v="10"/>
    <x v="317"/>
    <x v="10"/>
    <x v="10"/>
    <x v="1"/>
    <x v="2"/>
    <x v="33"/>
    <x v="401"/>
    <x v="759"/>
    <x v="0"/>
    <s v="HATO PINTADO"/>
    <x v="2"/>
  </r>
  <r>
    <x v="10"/>
    <x v="191"/>
    <x v="6"/>
    <x v="6"/>
    <x v="1"/>
    <x v="2"/>
    <x v="33"/>
    <x v="318"/>
    <x v="874"/>
    <x v="0"/>
    <s v="HATO PINTADO"/>
    <x v="2"/>
  </r>
  <r>
    <x v="10"/>
    <x v="288"/>
    <x v="7"/>
    <x v="7"/>
    <x v="1"/>
    <x v="0"/>
    <x v="33"/>
    <x v="439"/>
    <x v="759"/>
    <x v="0"/>
    <s v="HATO PINTADO"/>
    <x v="2"/>
  </r>
  <r>
    <x v="10"/>
    <x v="259"/>
    <x v="7"/>
    <x v="7"/>
    <x v="1"/>
    <x v="0"/>
    <x v="33"/>
    <x v="355"/>
    <x v="759"/>
    <x v="0"/>
    <s v="HATO PINTADO"/>
    <x v="2"/>
  </r>
  <r>
    <x v="10"/>
    <x v="205"/>
    <x v="7"/>
    <x v="7"/>
    <x v="1"/>
    <x v="0"/>
    <x v="33"/>
    <x v="299"/>
    <x v="934"/>
    <x v="0"/>
    <s v="HATO PINTADO"/>
    <x v="2"/>
  </r>
  <r>
    <x v="10"/>
    <x v="209"/>
    <x v="7"/>
    <x v="7"/>
    <x v="1"/>
    <x v="0"/>
    <x v="33"/>
    <x v="428"/>
    <x v="848"/>
    <x v="0"/>
    <s v="HATO PINTADO"/>
    <x v="2"/>
  </r>
  <r>
    <x v="10"/>
    <x v="322"/>
    <x v="7"/>
    <x v="7"/>
    <x v="1"/>
    <x v="0"/>
    <x v="33"/>
    <x v="448"/>
    <x v="1182"/>
    <x v="0"/>
    <s v="HATO PINTADO"/>
    <x v="2"/>
  </r>
  <r>
    <x v="10"/>
    <x v="279"/>
    <x v="7"/>
    <x v="7"/>
    <x v="1"/>
    <x v="0"/>
    <x v="33"/>
    <x v="449"/>
    <x v="759"/>
    <x v="0"/>
    <s v="HATO PINTADO"/>
    <x v="2"/>
  </r>
  <r>
    <x v="10"/>
    <x v="192"/>
    <x v="8"/>
    <x v="8"/>
    <x v="1"/>
    <x v="0"/>
    <x v="33"/>
    <x v="300"/>
    <x v="952"/>
    <x v="0"/>
    <s v="HATO PINTADO"/>
    <x v="2"/>
  </r>
  <r>
    <x v="10"/>
    <x v="254"/>
    <x v="8"/>
    <x v="8"/>
    <x v="1"/>
    <x v="0"/>
    <x v="33"/>
    <x v="326"/>
    <x v="859"/>
    <x v="0"/>
    <s v="HATO PINTADO"/>
    <x v="2"/>
  </r>
  <r>
    <x v="10"/>
    <x v="261"/>
    <x v="8"/>
    <x v="8"/>
    <x v="1"/>
    <x v="0"/>
    <x v="33"/>
    <x v="320"/>
    <x v="899"/>
    <x v="0"/>
    <s v="HATO PINTADO"/>
    <x v="2"/>
  </r>
  <r>
    <x v="10"/>
    <x v="323"/>
    <x v="8"/>
    <x v="8"/>
    <x v="1"/>
    <x v="0"/>
    <x v="33"/>
    <x v="367"/>
    <x v="759"/>
    <x v="0"/>
    <s v="HATO PINTADO"/>
    <x v="2"/>
  </r>
  <r>
    <x v="10"/>
    <x v="245"/>
    <x v="8"/>
    <x v="8"/>
    <x v="1"/>
    <x v="0"/>
    <x v="33"/>
    <x v="285"/>
    <x v="899"/>
    <x v="0"/>
    <s v="HATO PINTADO"/>
    <x v="2"/>
  </r>
  <r>
    <x v="10"/>
    <x v="196"/>
    <x v="8"/>
    <x v="8"/>
    <x v="1"/>
    <x v="0"/>
    <x v="33"/>
    <x v="375"/>
    <x v="899"/>
    <x v="0"/>
    <s v="HATO PINTADO"/>
    <x v="2"/>
  </r>
  <r>
    <x v="10"/>
    <x v="173"/>
    <x v="8"/>
    <x v="8"/>
    <x v="1"/>
    <x v="0"/>
    <x v="33"/>
    <x v="378"/>
    <x v="759"/>
    <x v="0"/>
    <s v="HATO PINTADO"/>
    <x v="2"/>
  </r>
  <r>
    <x v="10"/>
    <x v="337"/>
    <x v="9"/>
    <x v="9"/>
    <x v="1"/>
    <x v="0"/>
    <x v="33"/>
    <x v="424"/>
    <x v="899"/>
    <x v="0"/>
    <s v="HATO PINTADO"/>
    <x v="2"/>
  </r>
  <r>
    <x v="10"/>
    <x v="227"/>
    <x v="9"/>
    <x v="9"/>
    <x v="1"/>
    <x v="0"/>
    <x v="33"/>
    <x v="399"/>
    <x v="952"/>
    <x v="0"/>
    <s v="HATO PINTADO"/>
    <x v="2"/>
  </r>
  <r>
    <x v="10"/>
    <x v="194"/>
    <x v="9"/>
    <x v="9"/>
    <x v="1"/>
    <x v="0"/>
    <x v="33"/>
    <x v="390"/>
    <x v="934"/>
    <x v="0"/>
    <s v="HATO PINTADO"/>
    <x v="2"/>
  </r>
  <r>
    <x v="10"/>
    <x v="242"/>
    <x v="9"/>
    <x v="9"/>
    <x v="1"/>
    <x v="0"/>
    <x v="33"/>
    <x v="435"/>
    <x v="982"/>
    <x v="0"/>
    <s v="HATO PINTADO"/>
    <x v="2"/>
  </r>
  <r>
    <x v="10"/>
    <x v="219"/>
    <x v="9"/>
    <x v="9"/>
    <x v="1"/>
    <x v="0"/>
    <x v="33"/>
    <x v="308"/>
    <x v="146"/>
    <x v="0"/>
    <s v="HATO PINTADO"/>
    <x v="2"/>
  </r>
  <r>
    <x v="10"/>
    <x v="178"/>
    <x v="9"/>
    <x v="9"/>
    <x v="1"/>
    <x v="0"/>
    <x v="33"/>
    <x v="353"/>
    <x v="899"/>
    <x v="0"/>
    <s v="HATO PINTADO"/>
    <x v="2"/>
  </r>
  <r>
    <x v="10"/>
    <x v="255"/>
    <x v="9"/>
    <x v="9"/>
    <x v="1"/>
    <x v="0"/>
    <x v="33"/>
    <x v="293"/>
    <x v="759"/>
    <x v="0"/>
    <s v="HATO PINTADO"/>
    <x v="2"/>
  </r>
  <r>
    <x v="10"/>
    <x v="291"/>
    <x v="9"/>
    <x v="9"/>
    <x v="1"/>
    <x v="0"/>
    <x v="33"/>
    <x v="303"/>
    <x v="759"/>
    <x v="0"/>
    <s v="HATO PINTADO"/>
    <x v="2"/>
  </r>
  <r>
    <x v="10"/>
    <x v="263"/>
    <x v="10"/>
    <x v="10"/>
    <x v="1"/>
    <x v="0"/>
    <x v="33"/>
    <x v="436"/>
    <x v="899"/>
    <x v="0"/>
    <s v="HATO PINTADO"/>
    <x v="2"/>
  </r>
  <r>
    <x v="10"/>
    <x v="212"/>
    <x v="10"/>
    <x v="10"/>
    <x v="1"/>
    <x v="0"/>
    <x v="33"/>
    <x v="319"/>
    <x v="874"/>
    <x v="0"/>
    <s v="HATO PINTADO"/>
    <x v="2"/>
  </r>
  <r>
    <x v="10"/>
    <x v="317"/>
    <x v="10"/>
    <x v="10"/>
    <x v="1"/>
    <x v="0"/>
    <x v="33"/>
    <x v="401"/>
    <x v="874"/>
    <x v="0"/>
    <s v="HATO PINTADO"/>
    <x v="2"/>
  </r>
  <r>
    <x v="10"/>
    <x v="186"/>
    <x v="10"/>
    <x v="10"/>
    <x v="1"/>
    <x v="0"/>
    <x v="33"/>
    <x v="321"/>
    <x v="759"/>
    <x v="0"/>
    <s v="HATO PINTADO"/>
    <x v="2"/>
  </r>
  <r>
    <x v="10"/>
    <x v="329"/>
    <x v="10"/>
    <x v="10"/>
    <x v="1"/>
    <x v="0"/>
    <x v="33"/>
    <x v="380"/>
    <x v="1182"/>
    <x v="0"/>
    <s v="HATO PINTADO"/>
    <x v="2"/>
  </r>
  <r>
    <x v="10"/>
    <x v="248"/>
    <x v="10"/>
    <x v="10"/>
    <x v="1"/>
    <x v="0"/>
    <x v="33"/>
    <x v="304"/>
    <x v="759"/>
    <x v="0"/>
    <s v="HATO PINTADO"/>
    <x v="2"/>
  </r>
  <r>
    <x v="10"/>
    <x v="233"/>
    <x v="10"/>
    <x v="10"/>
    <x v="1"/>
    <x v="0"/>
    <x v="33"/>
    <x v="344"/>
    <x v="759"/>
    <x v="0"/>
    <s v="HATO PINTADO"/>
    <x v="2"/>
  </r>
  <r>
    <x v="10"/>
    <x v="176"/>
    <x v="10"/>
    <x v="10"/>
    <x v="1"/>
    <x v="0"/>
    <x v="33"/>
    <x v="412"/>
    <x v="1182"/>
    <x v="0"/>
    <s v="HATO PINTADO"/>
    <x v="2"/>
  </r>
  <r>
    <x v="10"/>
    <x v="325"/>
    <x v="11"/>
    <x v="11"/>
    <x v="1"/>
    <x v="0"/>
    <x v="33"/>
    <x v="421"/>
    <x v="899"/>
    <x v="0"/>
    <s v="HATO PINTADO"/>
    <x v="2"/>
  </r>
  <r>
    <x v="10"/>
    <x v="282"/>
    <x v="11"/>
    <x v="11"/>
    <x v="1"/>
    <x v="0"/>
    <x v="33"/>
    <x v="358"/>
    <x v="848"/>
    <x v="0"/>
    <s v="HATO PINTADO"/>
    <x v="2"/>
  </r>
  <r>
    <x v="10"/>
    <x v="187"/>
    <x v="11"/>
    <x v="11"/>
    <x v="1"/>
    <x v="0"/>
    <x v="33"/>
    <x v="328"/>
    <x v="759"/>
    <x v="0"/>
    <s v="HATO PINTADO"/>
    <x v="2"/>
  </r>
  <r>
    <x v="10"/>
    <x v="201"/>
    <x v="11"/>
    <x v="11"/>
    <x v="1"/>
    <x v="0"/>
    <x v="33"/>
    <x v="422"/>
    <x v="1182"/>
    <x v="0"/>
    <s v="HATO PINTADO"/>
    <x v="2"/>
  </r>
  <r>
    <x v="10"/>
    <x v="249"/>
    <x v="11"/>
    <x v="11"/>
    <x v="1"/>
    <x v="0"/>
    <x v="33"/>
    <x v="359"/>
    <x v="899"/>
    <x v="0"/>
    <s v="HATO PINTADO"/>
    <x v="2"/>
  </r>
  <r>
    <x v="10"/>
    <x v="299"/>
    <x v="11"/>
    <x v="11"/>
    <x v="1"/>
    <x v="0"/>
    <x v="33"/>
    <x v="315"/>
    <x v="146"/>
    <x v="0"/>
    <s v="HATO PINTADO"/>
    <x v="2"/>
  </r>
  <r>
    <x v="10"/>
    <x v="302"/>
    <x v="11"/>
    <x v="11"/>
    <x v="1"/>
    <x v="0"/>
    <x v="33"/>
    <x v="324"/>
    <x v="759"/>
    <x v="0"/>
    <s v="HATO PINTADO"/>
    <x v="2"/>
  </r>
  <r>
    <x v="10"/>
    <x v="256"/>
    <x v="11"/>
    <x v="11"/>
    <x v="1"/>
    <x v="0"/>
    <x v="33"/>
    <x v="294"/>
    <x v="934"/>
    <x v="0"/>
    <s v="HATO PINTADO"/>
    <x v="2"/>
  </r>
  <r>
    <x v="10"/>
    <x v="202"/>
    <x v="11"/>
    <x v="11"/>
    <x v="1"/>
    <x v="0"/>
    <x v="33"/>
    <x v="305"/>
    <x v="934"/>
    <x v="0"/>
    <s v="HATO PINTADO"/>
    <x v="2"/>
  </r>
  <r>
    <x v="10"/>
    <x v="273"/>
    <x v="11"/>
    <x v="11"/>
    <x v="1"/>
    <x v="0"/>
    <x v="33"/>
    <x v="354"/>
    <x v="874"/>
    <x v="0"/>
    <s v="HATO PINTADO"/>
    <x v="2"/>
  </r>
  <r>
    <x v="10"/>
    <x v="214"/>
    <x v="11"/>
    <x v="11"/>
    <x v="1"/>
    <x v="0"/>
    <x v="33"/>
    <x v="306"/>
    <x v="759"/>
    <x v="0"/>
    <s v="HATO PINTADO"/>
    <x v="2"/>
  </r>
  <r>
    <x v="10"/>
    <x v="274"/>
    <x v="11"/>
    <x v="11"/>
    <x v="1"/>
    <x v="0"/>
    <x v="33"/>
    <x v="404"/>
    <x v="759"/>
    <x v="0"/>
    <s v="HATO PINTADO"/>
    <x v="2"/>
  </r>
  <r>
    <x v="10"/>
    <x v="294"/>
    <x v="11"/>
    <x v="11"/>
    <x v="1"/>
    <x v="0"/>
    <x v="33"/>
    <x v="382"/>
    <x v="759"/>
    <x v="0"/>
    <s v="HATO PINTADO"/>
    <x v="2"/>
  </r>
  <r>
    <x v="10"/>
    <x v="300"/>
    <x v="2"/>
    <x v="2"/>
    <x v="1"/>
    <x v="0"/>
    <x v="33"/>
    <x v="316"/>
    <x v="759"/>
    <x v="0"/>
    <s v="HATO PINTADO"/>
    <x v="2"/>
  </r>
  <r>
    <x v="10"/>
    <x v="315"/>
    <x v="2"/>
    <x v="2"/>
    <x v="1"/>
    <x v="0"/>
    <x v="33"/>
    <x v="405"/>
    <x v="1182"/>
    <x v="0"/>
    <s v="HATO PINTADO"/>
    <x v="2"/>
  </r>
  <r>
    <x v="10"/>
    <x v="334"/>
    <x v="2"/>
    <x v="2"/>
    <x v="1"/>
    <x v="0"/>
    <x v="33"/>
    <x v="406"/>
    <x v="146"/>
    <x v="0"/>
    <s v="HATO PINTADO"/>
    <x v="2"/>
  </r>
  <r>
    <x v="10"/>
    <x v="221"/>
    <x v="2"/>
    <x v="2"/>
    <x v="1"/>
    <x v="0"/>
    <x v="63"/>
    <x v="446"/>
    <x v="146"/>
    <x v="0"/>
    <s v="HATO PINTADO"/>
    <x v="2"/>
  </r>
  <r>
    <x v="10"/>
    <x v="221"/>
    <x v="2"/>
    <x v="2"/>
    <x v="1"/>
    <x v="0"/>
    <x v="33"/>
    <x v="347"/>
    <x v="874"/>
    <x v="0"/>
    <s v="HATO PINTADO"/>
    <x v="2"/>
  </r>
  <r>
    <x v="10"/>
    <x v="284"/>
    <x v="2"/>
    <x v="2"/>
    <x v="1"/>
    <x v="0"/>
    <x v="33"/>
    <x v="383"/>
    <x v="874"/>
    <x v="0"/>
    <s v="HATO PINTADO"/>
    <x v="2"/>
  </r>
  <r>
    <x v="10"/>
    <x v="222"/>
    <x v="2"/>
    <x v="2"/>
    <x v="1"/>
    <x v="0"/>
    <x v="32"/>
    <x v="384"/>
    <x v="146"/>
    <x v="0"/>
    <s v="HATO PINTADO"/>
    <x v="2"/>
  </r>
  <r>
    <x v="10"/>
    <x v="182"/>
    <x v="2"/>
    <x v="2"/>
    <x v="1"/>
    <x v="0"/>
    <x v="62"/>
    <x v="59"/>
    <x v="1"/>
    <x v="261"/>
    <s v="HATO PINTADO"/>
    <x v="2"/>
  </r>
  <r>
    <x v="10"/>
    <x v="270"/>
    <x v="2"/>
    <x v="2"/>
    <x v="1"/>
    <x v="0"/>
    <x v="33"/>
    <x v="363"/>
    <x v="759"/>
    <x v="0"/>
    <s v="HATO PINTADO"/>
    <x v="2"/>
  </r>
  <r>
    <x v="10"/>
    <x v="257"/>
    <x v="2"/>
    <x v="2"/>
    <x v="1"/>
    <x v="0"/>
    <x v="33"/>
    <x v="410"/>
    <x v="759"/>
    <x v="0"/>
    <s v="HATO PINTADO"/>
    <x v="2"/>
  </r>
  <r>
    <x v="10"/>
    <x v="276"/>
    <x v="2"/>
    <x v="2"/>
    <x v="1"/>
    <x v="0"/>
    <x v="33"/>
    <x v="385"/>
    <x v="1132"/>
    <x v="0"/>
    <s v="HATO PINTADO"/>
    <x v="2"/>
  </r>
  <r>
    <x v="10"/>
    <x v="246"/>
    <x v="2"/>
    <x v="2"/>
    <x v="1"/>
    <x v="0"/>
    <x v="33"/>
    <x v="287"/>
    <x v="874"/>
    <x v="0"/>
    <s v="HATO PINTADO"/>
    <x v="2"/>
  </r>
  <r>
    <x v="10"/>
    <x v="281"/>
    <x v="6"/>
    <x v="6"/>
    <x v="1"/>
    <x v="0"/>
    <x v="33"/>
    <x v="395"/>
    <x v="934"/>
    <x v="0"/>
    <s v="HATO PINTADO"/>
    <x v="2"/>
  </r>
  <r>
    <x v="10"/>
    <x v="265"/>
    <x v="6"/>
    <x v="6"/>
    <x v="1"/>
    <x v="0"/>
    <x v="33"/>
    <x v="386"/>
    <x v="899"/>
    <x v="0"/>
    <s v="HATO PINTADO"/>
    <x v="2"/>
  </r>
  <r>
    <x v="10"/>
    <x v="184"/>
    <x v="6"/>
    <x v="6"/>
    <x v="1"/>
    <x v="0"/>
    <x v="33"/>
    <x v="413"/>
    <x v="759"/>
    <x v="0"/>
    <s v="HATO PINTADO"/>
    <x v="2"/>
  </r>
  <r>
    <x v="10"/>
    <x v="314"/>
    <x v="6"/>
    <x v="6"/>
    <x v="1"/>
    <x v="0"/>
    <x v="33"/>
    <x v="372"/>
    <x v="759"/>
    <x v="0"/>
    <s v="HATO PINTADO"/>
    <x v="2"/>
  </r>
  <r>
    <x v="10"/>
    <x v="203"/>
    <x v="6"/>
    <x v="6"/>
    <x v="1"/>
    <x v="0"/>
    <x v="33"/>
    <x v="288"/>
    <x v="146"/>
    <x v="0"/>
    <s v="HATO PINTADO"/>
    <x v="2"/>
  </r>
  <r>
    <x v="10"/>
    <x v="236"/>
    <x v="6"/>
    <x v="6"/>
    <x v="1"/>
    <x v="0"/>
    <x v="33"/>
    <x v="371"/>
    <x v="934"/>
    <x v="0"/>
    <s v="HATO PINTADO"/>
    <x v="2"/>
  </r>
  <r>
    <x v="10"/>
    <x v="188"/>
    <x v="6"/>
    <x v="6"/>
    <x v="1"/>
    <x v="0"/>
    <x v="33"/>
    <x v="407"/>
    <x v="765"/>
    <x v="0"/>
    <s v="HATO PINTADO"/>
    <x v="2"/>
  </r>
  <r>
    <x v="10"/>
    <x v="335"/>
    <x v="6"/>
    <x v="6"/>
    <x v="1"/>
    <x v="0"/>
    <x v="33"/>
    <x v="408"/>
    <x v="146"/>
    <x v="0"/>
    <s v="HATO PINTADO"/>
    <x v="2"/>
  </r>
  <r>
    <x v="10"/>
    <x v="190"/>
    <x v="6"/>
    <x v="6"/>
    <x v="1"/>
    <x v="0"/>
    <x v="33"/>
    <x v="342"/>
    <x v="874"/>
    <x v="0"/>
    <s v="HATO PINTADO"/>
    <x v="2"/>
  </r>
  <r>
    <x v="10"/>
    <x v="191"/>
    <x v="6"/>
    <x v="6"/>
    <x v="1"/>
    <x v="0"/>
    <x v="33"/>
    <x v="318"/>
    <x v="765"/>
    <x v="0"/>
    <s v="HATO PINTADO"/>
    <x v="2"/>
  </r>
  <r>
    <x v="10"/>
    <x v="277"/>
    <x v="7"/>
    <x v="7"/>
    <x v="1"/>
    <x v="1"/>
    <x v="33"/>
    <x v="325"/>
    <x v="874"/>
    <x v="0"/>
    <s v="HATO PINTADO"/>
    <x v="2"/>
  </r>
  <r>
    <x v="10"/>
    <x v="327"/>
    <x v="7"/>
    <x v="7"/>
    <x v="1"/>
    <x v="1"/>
    <x v="33"/>
    <x v="387"/>
    <x v="874"/>
    <x v="0"/>
    <s v="HATO PINTADO"/>
    <x v="2"/>
  </r>
  <r>
    <x v="10"/>
    <x v="209"/>
    <x v="7"/>
    <x v="7"/>
    <x v="1"/>
    <x v="1"/>
    <x v="33"/>
    <x v="428"/>
    <x v="874"/>
    <x v="0"/>
    <s v="HATO PINTADO"/>
    <x v="2"/>
  </r>
  <r>
    <x v="10"/>
    <x v="279"/>
    <x v="7"/>
    <x v="7"/>
    <x v="1"/>
    <x v="1"/>
    <x v="33"/>
    <x v="449"/>
    <x v="874"/>
    <x v="0"/>
    <s v="HATO PINTADO"/>
    <x v="2"/>
  </r>
  <r>
    <x v="10"/>
    <x v="245"/>
    <x v="8"/>
    <x v="8"/>
    <x v="1"/>
    <x v="1"/>
    <x v="33"/>
    <x v="285"/>
    <x v="874"/>
    <x v="0"/>
    <s v="HATO PINTADO"/>
    <x v="2"/>
  </r>
  <r>
    <x v="10"/>
    <x v="207"/>
    <x v="8"/>
    <x v="8"/>
    <x v="1"/>
    <x v="1"/>
    <x v="33"/>
    <x v="374"/>
    <x v="874"/>
    <x v="0"/>
    <s v="HATO PINTADO"/>
    <x v="2"/>
  </r>
  <r>
    <x v="10"/>
    <x v="242"/>
    <x v="9"/>
    <x v="9"/>
    <x v="1"/>
    <x v="1"/>
    <x v="33"/>
    <x v="435"/>
    <x v="874"/>
    <x v="0"/>
    <s v="HATO PINTADO"/>
    <x v="2"/>
  </r>
  <r>
    <x v="10"/>
    <x v="230"/>
    <x v="9"/>
    <x v="9"/>
    <x v="1"/>
    <x v="1"/>
    <x v="33"/>
    <x v="283"/>
    <x v="874"/>
    <x v="0"/>
    <s v="HATO PINTADO"/>
    <x v="2"/>
  </r>
  <r>
    <x v="10"/>
    <x v="329"/>
    <x v="10"/>
    <x v="10"/>
    <x v="1"/>
    <x v="1"/>
    <x v="33"/>
    <x v="380"/>
    <x v="874"/>
    <x v="0"/>
    <s v="HATO PINTADO"/>
    <x v="2"/>
  </r>
  <r>
    <x v="10"/>
    <x v="315"/>
    <x v="2"/>
    <x v="2"/>
    <x v="1"/>
    <x v="1"/>
    <x v="33"/>
    <x v="405"/>
    <x v="874"/>
    <x v="0"/>
    <s v="HATO PINTADO"/>
    <x v="2"/>
  </r>
  <r>
    <x v="10"/>
    <x v="246"/>
    <x v="2"/>
    <x v="2"/>
    <x v="1"/>
    <x v="1"/>
    <x v="33"/>
    <x v="287"/>
    <x v="874"/>
    <x v="0"/>
    <s v="HATO PINTADO"/>
    <x v="2"/>
  </r>
  <r>
    <x v="10"/>
    <x v="265"/>
    <x v="6"/>
    <x v="6"/>
    <x v="1"/>
    <x v="1"/>
    <x v="33"/>
    <x v="386"/>
    <x v="874"/>
    <x v="0"/>
    <s v="HATO PINTADO"/>
    <x v="2"/>
  </r>
  <r>
    <x v="12"/>
    <x v="263"/>
    <x v="10"/>
    <x v="10"/>
    <x v="1"/>
    <x v="2"/>
    <x v="32"/>
    <x v="436"/>
    <x v="3089"/>
    <x v="0"/>
    <s v="LA CHORRERA"/>
    <x v="2"/>
  </r>
  <r>
    <x v="12"/>
    <x v="189"/>
    <x v="10"/>
    <x v="10"/>
    <x v="1"/>
    <x v="2"/>
    <x v="32"/>
    <x v="345"/>
    <x v="3090"/>
    <x v="0"/>
    <s v="LA CHORRERA"/>
    <x v="2"/>
  </r>
  <r>
    <x v="12"/>
    <x v="330"/>
    <x v="11"/>
    <x v="11"/>
    <x v="1"/>
    <x v="2"/>
    <x v="32"/>
    <x v="381"/>
    <x v="1331"/>
    <x v="0"/>
    <s v="LA CHORRERA"/>
    <x v="2"/>
  </r>
  <r>
    <x v="12"/>
    <x v="315"/>
    <x v="2"/>
    <x v="2"/>
    <x v="1"/>
    <x v="2"/>
    <x v="32"/>
    <x v="405"/>
    <x v="1331"/>
    <x v="0"/>
    <s v="LA CHORRERA"/>
    <x v="2"/>
  </r>
  <r>
    <x v="13"/>
    <x v="205"/>
    <x v="7"/>
    <x v="7"/>
    <x v="1"/>
    <x v="0"/>
    <x v="33"/>
    <x v="299"/>
    <x v="874"/>
    <x v="0"/>
    <s v="AVENIDA CENTRAL"/>
    <x v="2"/>
  </r>
  <r>
    <x v="15"/>
    <x v="263"/>
    <x v="10"/>
    <x v="10"/>
    <x v="1"/>
    <x v="2"/>
    <x v="32"/>
    <x v="436"/>
    <x v="3091"/>
    <x v="0"/>
    <s v="VILLA LUCRE"/>
    <x v="2"/>
  </r>
  <r>
    <x v="15"/>
    <x v="330"/>
    <x v="11"/>
    <x v="11"/>
    <x v="1"/>
    <x v="2"/>
    <x v="32"/>
    <x v="381"/>
    <x v="1145"/>
    <x v="0"/>
    <s v="VILLA LUCRE"/>
    <x v="2"/>
  </r>
  <r>
    <x v="15"/>
    <x v="305"/>
    <x v="6"/>
    <x v="6"/>
    <x v="1"/>
    <x v="2"/>
    <x v="32"/>
    <x v="331"/>
    <x v="1"/>
    <x v="595"/>
    <s v="VILLA LUCRE"/>
    <x v="2"/>
  </r>
  <r>
    <x v="15"/>
    <x v="229"/>
    <x v="6"/>
    <x v="6"/>
    <x v="1"/>
    <x v="2"/>
    <x v="32"/>
    <x v="281"/>
    <x v="3092"/>
    <x v="0"/>
    <s v="VILLA LUCRE"/>
    <x v="2"/>
  </r>
  <r>
    <x v="15"/>
    <x v="308"/>
    <x v="7"/>
    <x v="7"/>
    <x v="1"/>
    <x v="0"/>
    <x v="33"/>
    <x v="333"/>
    <x v="765"/>
    <x v="0"/>
    <s v="VILLA LUCRE"/>
    <x v="2"/>
  </r>
  <r>
    <x v="15"/>
    <x v="209"/>
    <x v="7"/>
    <x v="7"/>
    <x v="1"/>
    <x v="0"/>
    <x v="33"/>
    <x v="428"/>
    <x v="765"/>
    <x v="0"/>
    <s v="VILLA LUCRE"/>
    <x v="2"/>
  </r>
  <r>
    <x v="15"/>
    <x v="192"/>
    <x v="8"/>
    <x v="8"/>
    <x v="1"/>
    <x v="0"/>
    <x v="33"/>
    <x v="300"/>
    <x v="765"/>
    <x v="0"/>
    <s v="VILLA LUCRE"/>
    <x v="2"/>
  </r>
  <r>
    <x v="15"/>
    <x v="320"/>
    <x v="8"/>
    <x v="8"/>
    <x v="1"/>
    <x v="0"/>
    <x v="33"/>
    <x v="398"/>
    <x v="874"/>
    <x v="0"/>
    <s v="VILLA LUCRE"/>
    <x v="2"/>
  </r>
  <r>
    <x v="15"/>
    <x v="207"/>
    <x v="8"/>
    <x v="8"/>
    <x v="1"/>
    <x v="0"/>
    <x v="33"/>
    <x v="374"/>
    <x v="765"/>
    <x v="0"/>
    <s v="VILLA LUCRE"/>
    <x v="2"/>
  </r>
  <r>
    <x v="15"/>
    <x v="226"/>
    <x v="8"/>
    <x v="8"/>
    <x v="1"/>
    <x v="0"/>
    <x v="33"/>
    <x v="376"/>
    <x v="874"/>
    <x v="0"/>
    <s v="VILLA LUCRE"/>
    <x v="2"/>
  </r>
  <r>
    <x v="15"/>
    <x v="337"/>
    <x v="9"/>
    <x v="9"/>
    <x v="1"/>
    <x v="0"/>
    <x v="33"/>
    <x v="424"/>
    <x v="1182"/>
    <x v="0"/>
    <s v="VILLA LUCRE"/>
    <x v="2"/>
  </r>
  <r>
    <x v="15"/>
    <x v="242"/>
    <x v="9"/>
    <x v="9"/>
    <x v="1"/>
    <x v="0"/>
    <x v="33"/>
    <x v="435"/>
    <x v="765"/>
    <x v="0"/>
    <s v="VILLA LUCRE"/>
    <x v="2"/>
  </r>
  <r>
    <x v="15"/>
    <x v="331"/>
    <x v="9"/>
    <x v="9"/>
    <x v="1"/>
    <x v="0"/>
    <x v="33"/>
    <x v="391"/>
    <x v="874"/>
    <x v="0"/>
    <s v="VILLA LUCRE"/>
    <x v="2"/>
  </r>
  <r>
    <x v="15"/>
    <x v="286"/>
    <x v="10"/>
    <x v="10"/>
    <x v="1"/>
    <x v="0"/>
    <x v="33"/>
    <x v="297"/>
    <x v="146"/>
    <x v="0"/>
    <s v="VILLA LUCRE"/>
    <x v="2"/>
  </r>
  <r>
    <x v="15"/>
    <x v="186"/>
    <x v="10"/>
    <x v="10"/>
    <x v="1"/>
    <x v="0"/>
    <x v="33"/>
    <x v="321"/>
    <x v="934"/>
    <x v="0"/>
    <s v="VILLA LUCRE"/>
    <x v="2"/>
  </r>
  <r>
    <x v="15"/>
    <x v="325"/>
    <x v="11"/>
    <x v="11"/>
    <x v="1"/>
    <x v="0"/>
    <x v="33"/>
    <x v="421"/>
    <x v="952"/>
    <x v="0"/>
    <s v="VILLA LUCRE"/>
    <x v="2"/>
  </r>
  <r>
    <x v="15"/>
    <x v="187"/>
    <x v="11"/>
    <x v="11"/>
    <x v="1"/>
    <x v="0"/>
    <x v="33"/>
    <x v="328"/>
    <x v="874"/>
    <x v="0"/>
    <s v="VILLA LUCRE"/>
    <x v="2"/>
  </r>
  <r>
    <x v="15"/>
    <x v="272"/>
    <x v="11"/>
    <x v="11"/>
    <x v="1"/>
    <x v="0"/>
    <x v="33"/>
    <x v="360"/>
    <x v="874"/>
    <x v="0"/>
    <s v="VILLA LUCRE"/>
    <x v="2"/>
  </r>
  <r>
    <x v="15"/>
    <x v="302"/>
    <x v="11"/>
    <x v="11"/>
    <x v="1"/>
    <x v="0"/>
    <x v="33"/>
    <x v="324"/>
    <x v="1132"/>
    <x v="0"/>
    <s v="VILLA LUCRE"/>
    <x v="2"/>
  </r>
  <r>
    <x v="15"/>
    <x v="274"/>
    <x v="11"/>
    <x v="11"/>
    <x v="1"/>
    <x v="0"/>
    <x v="33"/>
    <x v="404"/>
    <x v="874"/>
    <x v="0"/>
    <s v="VILLA LUCRE"/>
    <x v="2"/>
  </r>
  <r>
    <x v="15"/>
    <x v="215"/>
    <x v="2"/>
    <x v="2"/>
    <x v="1"/>
    <x v="0"/>
    <x v="33"/>
    <x v="322"/>
    <x v="859"/>
    <x v="0"/>
    <s v="VILLA LUCRE"/>
    <x v="2"/>
  </r>
  <r>
    <x v="15"/>
    <x v="222"/>
    <x v="2"/>
    <x v="2"/>
    <x v="1"/>
    <x v="0"/>
    <x v="33"/>
    <x v="384"/>
    <x v="874"/>
    <x v="0"/>
    <s v="VILLA LUCRE"/>
    <x v="2"/>
  </r>
  <r>
    <x v="15"/>
    <x v="257"/>
    <x v="2"/>
    <x v="2"/>
    <x v="1"/>
    <x v="0"/>
    <x v="33"/>
    <x v="410"/>
    <x v="765"/>
    <x v="0"/>
    <s v="VILLA LUCRE"/>
    <x v="2"/>
  </r>
  <r>
    <x v="15"/>
    <x v="246"/>
    <x v="2"/>
    <x v="2"/>
    <x v="1"/>
    <x v="0"/>
    <x v="33"/>
    <x v="287"/>
    <x v="874"/>
    <x v="0"/>
    <s v="VILLA LUCRE"/>
    <x v="2"/>
  </r>
  <r>
    <x v="15"/>
    <x v="264"/>
    <x v="6"/>
    <x v="6"/>
    <x v="1"/>
    <x v="0"/>
    <x v="33"/>
    <x v="311"/>
    <x v="765"/>
    <x v="0"/>
    <s v="VILLA LUCRE"/>
    <x v="2"/>
  </r>
  <r>
    <x v="15"/>
    <x v="285"/>
    <x v="6"/>
    <x v="6"/>
    <x v="1"/>
    <x v="0"/>
    <x v="33"/>
    <x v="409"/>
    <x v="874"/>
    <x v="0"/>
    <s v="VILLA LUCRE"/>
    <x v="2"/>
  </r>
  <r>
    <x v="15"/>
    <x v="236"/>
    <x v="6"/>
    <x v="6"/>
    <x v="1"/>
    <x v="0"/>
    <x v="33"/>
    <x v="371"/>
    <x v="1182"/>
    <x v="0"/>
    <s v="VILLA LUCRE"/>
    <x v="2"/>
  </r>
  <r>
    <x v="15"/>
    <x v="335"/>
    <x v="6"/>
    <x v="6"/>
    <x v="1"/>
    <x v="0"/>
    <x v="33"/>
    <x v="408"/>
    <x v="759"/>
    <x v="0"/>
    <s v="VILLA LUCRE"/>
    <x v="2"/>
  </r>
  <r>
    <x v="16"/>
    <x v="277"/>
    <x v="7"/>
    <x v="7"/>
    <x v="1"/>
    <x v="2"/>
    <x v="33"/>
    <x v="325"/>
    <x v="874"/>
    <x v="0"/>
    <s v="LOS ANDES"/>
    <x v="2"/>
  </r>
  <r>
    <x v="16"/>
    <x v="209"/>
    <x v="7"/>
    <x v="7"/>
    <x v="1"/>
    <x v="2"/>
    <x v="33"/>
    <x v="428"/>
    <x v="874"/>
    <x v="0"/>
    <s v="LOS ANDES"/>
    <x v="2"/>
  </r>
  <r>
    <x v="16"/>
    <x v="277"/>
    <x v="7"/>
    <x v="7"/>
    <x v="1"/>
    <x v="0"/>
    <x v="33"/>
    <x v="325"/>
    <x v="146"/>
    <x v="0"/>
    <s v="LOS ANDES"/>
    <x v="2"/>
  </r>
  <r>
    <x v="16"/>
    <x v="327"/>
    <x v="7"/>
    <x v="7"/>
    <x v="1"/>
    <x v="0"/>
    <x v="33"/>
    <x v="387"/>
    <x v="146"/>
    <x v="0"/>
    <s v="LOS ANDES"/>
    <x v="2"/>
  </r>
  <r>
    <x v="16"/>
    <x v="278"/>
    <x v="7"/>
    <x v="7"/>
    <x v="1"/>
    <x v="0"/>
    <x v="33"/>
    <x v="450"/>
    <x v="859"/>
    <x v="0"/>
    <s v="LOS ANDES"/>
    <x v="2"/>
  </r>
  <r>
    <x v="16"/>
    <x v="259"/>
    <x v="7"/>
    <x v="7"/>
    <x v="1"/>
    <x v="0"/>
    <x v="33"/>
    <x v="355"/>
    <x v="874"/>
    <x v="0"/>
    <s v="LOS ANDES"/>
    <x v="2"/>
  </r>
  <r>
    <x v="16"/>
    <x v="225"/>
    <x v="7"/>
    <x v="7"/>
    <x v="1"/>
    <x v="0"/>
    <x v="33"/>
    <x v="416"/>
    <x v="146"/>
    <x v="0"/>
    <s v="LOS ANDES"/>
    <x v="2"/>
  </r>
  <r>
    <x v="16"/>
    <x v="309"/>
    <x v="7"/>
    <x v="7"/>
    <x v="1"/>
    <x v="0"/>
    <x v="33"/>
    <x v="334"/>
    <x v="874"/>
    <x v="0"/>
    <s v="LOS ANDES"/>
    <x v="2"/>
  </r>
  <r>
    <x v="16"/>
    <x v="205"/>
    <x v="7"/>
    <x v="7"/>
    <x v="1"/>
    <x v="0"/>
    <x v="33"/>
    <x v="299"/>
    <x v="1132"/>
    <x v="0"/>
    <s v="LOS ANDES"/>
    <x v="2"/>
  </r>
  <r>
    <x v="16"/>
    <x v="252"/>
    <x v="7"/>
    <x v="7"/>
    <x v="1"/>
    <x v="0"/>
    <x v="33"/>
    <x v="396"/>
    <x v="146"/>
    <x v="0"/>
    <s v="LOS ANDES"/>
    <x v="2"/>
  </r>
  <r>
    <x v="16"/>
    <x v="206"/>
    <x v="7"/>
    <x v="7"/>
    <x v="1"/>
    <x v="0"/>
    <x v="33"/>
    <x v="284"/>
    <x v="874"/>
    <x v="0"/>
    <s v="LOS ANDES"/>
    <x v="2"/>
  </r>
  <r>
    <x v="16"/>
    <x v="209"/>
    <x v="7"/>
    <x v="7"/>
    <x v="1"/>
    <x v="0"/>
    <x v="33"/>
    <x v="428"/>
    <x v="759"/>
    <x v="0"/>
    <s v="LOS ANDES"/>
    <x v="2"/>
  </r>
  <r>
    <x v="16"/>
    <x v="210"/>
    <x v="7"/>
    <x v="7"/>
    <x v="1"/>
    <x v="0"/>
    <x v="33"/>
    <x v="418"/>
    <x v="874"/>
    <x v="0"/>
    <s v="LOS ANDES"/>
    <x v="2"/>
  </r>
  <r>
    <x v="16"/>
    <x v="251"/>
    <x v="8"/>
    <x v="8"/>
    <x v="1"/>
    <x v="0"/>
    <x v="33"/>
    <x v="291"/>
    <x v="859"/>
    <x v="0"/>
    <s v="LOS ANDES"/>
    <x v="2"/>
  </r>
  <r>
    <x v="16"/>
    <x v="192"/>
    <x v="8"/>
    <x v="8"/>
    <x v="1"/>
    <x v="0"/>
    <x v="33"/>
    <x v="300"/>
    <x v="874"/>
    <x v="0"/>
    <s v="LOS ANDES"/>
    <x v="2"/>
  </r>
  <r>
    <x v="16"/>
    <x v="247"/>
    <x v="8"/>
    <x v="8"/>
    <x v="1"/>
    <x v="0"/>
    <x v="33"/>
    <x v="289"/>
    <x v="765"/>
    <x v="0"/>
    <s v="LOS ANDES"/>
    <x v="2"/>
  </r>
  <r>
    <x v="16"/>
    <x v="254"/>
    <x v="8"/>
    <x v="8"/>
    <x v="1"/>
    <x v="0"/>
    <x v="33"/>
    <x v="326"/>
    <x v="146"/>
    <x v="0"/>
    <s v="LOS ANDES"/>
    <x v="2"/>
  </r>
  <r>
    <x v="16"/>
    <x v="320"/>
    <x v="8"/>
    <x v="8"/>
    <x v="1"/>
    <x v="0"/>
    <x v="33"/>
    <x v="398"/>
    <x v="765"/>
    <x v="0"/>
    <s v="LOS ANDES"/>
    <x v="2"/>
  </r>
  <r>
    <x v="16"/>
    <x v="261"/>
    <x v="8"/>
    <x v="8"/>
    <x v="1"/>
    <x v="0"/>
    <x v="33"/>
    <x v="320"/>
    <x v="146"/>
    <x v="0"/>
    <s v="LOS ANDES"/>
    <x v="2"/>
  </r>
  <r>
    <x v="16"/>
    <x v="323"/>
    <x v="8"/>
    <x v="8"/>
    <x v="1"/>
    <x v="0"/>
    <x v="33"/>
    <x v="367"/>
    <x v="759"/>
    <x v="0"/>
    <s v="LOS ANDES"/>
    <x v="2"/>
  </r>
  <r>
    <x v="16"/>
    <x v="245"/>
    <x v="8"/>
    <x v="8"/>
    <x v="1"/>
    <x v="0"/>
    <x v="33"/>
    <x v="285"/>
    <x v="1182"/>
    <x v="0"/>
    <s v="LOS ANDES"/>
    <x v="2"/>
  </r>
  <r>
    <x v="16"/>
    <x v="185"/>
    <x v="8"/>
    <x v="8"/>
    <x v="1"/>
    <x v="0"/>
    <x v="33"/>
    <x v="296"/>
    <x v="765"/>
    <x v="0"/>
    <s v="LOS ANDES"/>
    <x v="2"/>
  </r>
  <r>
    <x v="16"/>
    <x v="292"/>
    <x v="9"/>
    <x v="9"/>
    <x v="1"/>
    <x v="0"/>
    <x v="33"/>
    <x v="352"/>
    <x v="982"/>
    <x v="0"/>
    <s v="LOS ANDES"/>
    <x v="2"/>
  </r>
  <r>
    <x v="16"/>
    <x v="194"/>
    <x v="9"/>
    <x v="9"/>
    <x v="1"/>
    <x v="0"/>
    <x v="33"/>
    <x v="390"/>
    <x v="765"/>
    <x v="0"/>
    <s v="LOS ANDES"/>
    <x v="2"/>
  </r>
  <r>
    <x v="16"/>
    <x v="197"/>
    <x v="9"/>
    <x v="9"/>
    <x v="1"/>
    <x v="0"/>
    <x v="33"/>
    <x v="432"/>
    <x v="859"/>
    <x v="0"/>
    <s v="LOS ANDES"/>
    <x v="2"/>
  </r>
  <r>
    <x v="16"/>
    <x v="211"/>
    <x v="9"/>
    <x v="9"/>
    <x v="1"/>
    <x v="0"/>
    <x v="33"/>
    <x v="286"/>
    <x v="874"/>
    <x v="0"/>
    <s v="LOS ANDES"/>
    <x v="2"/>
  </r>
  <r>
    <x v="16"/>
    <x v="230"/>
    <x v="9"/>
    <x v="9"/>
    <x v="1"/>
    <x v="0"/>
    <x v="33"/>
    <x v="283"/>
    <x v="874"/>
    <x v="0"/>
    <s v="LOS ANDES"/>
    <x v="2"/>
  </r>
  <r>
    <x v="16"/>
    <x v="198"/>
    <x v="10"/>
    <x v="10"/>
    <x v="1"/>
    <x v="0"/>
    <x v="33"/>
    <x v="338"/>
    <x v="765"/>
    <x v="0"/>
    <s v="LOS ANDES"/>
    <x v="2"/>
  </r>
  <r>
    <x v="16"/>
    <x v="263"/>
    <x v="10"/>
    <x v="10"/>
    <x v="1"/>
    <x v="0"/>
    <x v="33"/>
    <x v="436"/>
    <x v="1182"/>
    <x v="0"/>
    <s v="LOS ANDES"/>
    <x v="2"/>
  </r>
  <r>
    <x v="16"/>
    <x v="212"/>
    <x v="10"/>
    <x v="10"/>
    <x v="1"/>
    <x v="0"/>
    <x v="33"/>
    <x v="319"/>
    <x v="759"/>
    <x v="0"/>
    <s v="LOS ANDES"/>
    <x v="2"/>
  </r>
  <r>
    <x v="16"/>
    <x v="317"/>
    <x v="10"/>
    <x v="10"/>
    <x v="1"/>
    <x v="0"/>
    <x v="33"/>
    <x v="401"/>
    <x v="899"/>
    <x v="0"/>
    <s v="LOS ANDES"/>
    <x v="2"/>
  </r>
  <r>
    <x v="16"/>
    <x v="239"/>
    <x v="10"/>
    <x v="10"/>
    <x v="1"/>
    <x v="0"/>
    <x v="33"/>
    <x v="419"/>
    <x v="874"/>
    <x v="0"/>
    <s v="LOS ANDES"/>
    <x v="2"/>
  </r>
  <r>
    <x v="16"/>
    <x v="243"/>
    <x v="10"/>
    <x v="10"/>
    <x v="1"/>
    <x v="0"/>
    <x v="33"/>
    <x v="411"/>
    <x v="874"/>
    <x v="0"/>
    <s v="LOS ANDES"/>
    <x v="2"/>
  </r>
  <r>
    <x v="16"/>
    <x v="232"/>
    <x v="10"/>
    <x v="10"/>
    <x v="1"/>
    <x v="0"/>
    <x v="33"/>
    <x v="290"/>
    <x v="899"/>
    <x v="0"/>
    <s v="LOS ANDES"/>
    <x v="2"/>
  </r>
  <r>
    <x v="16"/>
    <x v="186"/>
    <x v="10"/>
    <x v="10"/>
    <x v="1"/>
    <x v="0"/>
    <x v="33"/>
    <x v="321"/>
    <x v="899"/>
    <x v="0"/>
    <s v="LOS ANDES"/>
    <x v="2"/>
  </r>
  <r>
    <x v="16"/>
    <x v="329"/>
    <x v="10"/>
    <x v="10"/>
    <x v="1"/>
    <x v="0"/>
    <x v="33"/>
    <x v="380"/>
    <x v="1182"/>
    <x v="0"/>
    <s v="LOS ANDES"/>
    <x v="2"/>
  </r>
  <r>
    <x v="16"/>
    <x v="339"/>
    <x v="10"/>
    <x v="10"/>
    <x v="1"/>
    <x v="0"/>
    <x v="33"/>
    <x v="427"/>
    <x v="1182"/>
    <x v="0"/>
    <s v="LOS ANDES"/>
    <x v="2"/>
  </r>
  <r>
    <x v="16"/>
    <x v="244"/>
    <x v="10"/>
    <x v="10"/>
    <x v="1"/>
    <x v="0"/>
    <x v="33"/>
    <x v="433"/>
    <x v="765"/>
    <x v="0"/>
    <s v="LOS ANDES"/>
    <x v="2"/>
  </r>
  <r>
    <x v="16"/>
    <x v="233"/>
    <x v="10"/>
    <x v="10"/>
    <x v="1"/>
    <x v="0"/>
    <x v="33"/>
    <x v="344"/>
    <x v="759"/>
    <x v="0"/>
    <s v="LOS ANDES"/>
    <x v="2"/>
  </r>
  <r>
    <x v="16"/>
    <x v="199"/>
    <x v="10"/>
    <x v="10"/>
    <x v="1"/>
    <x v="0"/>
    <x v="33"/>
    <x v="298"/>
    <x v="759"/>
    <x v="0"/>
    <s v="LOS ANDES"/>
    <x v="2"/>
  </r>
  <r>
    <x v="16"/>
    <x v="269"/>
    <x v="11"/>
    <x v="11"/>
    <x v="1"/>
    <x v="0"/>
    <x v="33"/>
    <x v="403"/>
    <x v="848"/>
    <x v="0"/>
    <s v="LOS ANDES"/>
    <x v="2"/>
  </r>
  <r>
    <x v="16"/>
    <x v="325"/>
    <x v="11"/>
    <x v="11"/>
    <x v="1"/>
    <x v="0"/>
    <x v="33"/>
    <x v="421"/>
    <x v="1182"/>
    <x v="0"/>
    <s v="LOS ANDES"/>
    <x v="2"/>
  </r>
  <r>
    <x v="16"/>
    <x v="282"/>
    <x v="11"/>
    <x v="11"/>
    <x v="1"/>
    <x v="0"/>
    <x v="33"/>
    <x v="358"/>
    <x v="934"/>
    <x v="0"/>
    <s v="LOS ANDES"/>
    <x v="2"/>
  </r>
  <r>
    <x v="16"/>
    <x v="272"/>
    <x v="11"/>
    <x v="11"/>
    <x v="1"/>
    <x v="0"/>
    <x v="33"/>
    <x v="360"/>
    <x v="759"/>
    <x v="0"/>
    <s v="LOS ANDES"/>
    <x v="2"/>
  </r>
  <r>
    <x v="16"/>
    <x v="220"/>
    <x v="11"/>
    <x v="11"/>
    <x v="1"/>
    <x v="0"/>
    <x v="33"/>
    <x v="309"/>
    <x v="934"/>
    <x v="0"/>
    <s v="LOS ANDES"/>
    <x v="2"/>
  </r>
  <r>
    <x v="16"/>
    <x v="201"/>
    <x v="11"/>
    <x v="11"/>
    <x v="1"/>
    <x v="0"/>
    <x v="33"/>
    <x v="422"/>
    <x v="899"/>
    <x v="0"/>
    <s v="LOS ANDES"/>
    <x v="2"/>
  </r>
  <r>
    <x v="16"/>
    <x v="249"/>
    <x v="11"/>
    <x v="11"/>
    <x v="1"/>
    <x v="0"/>
    <x v="33"/>
    <x v="359"/>
    <x v="1132"/>
    <x v="0"/>
    <s v="LOS ANDES"/>
    <x v="2"/>
  </r>
  <r>
    <x v="16"/>
    <x v="299"/>
    <x v="11"/>
    <x v="11"/>
    <x v="1"/>
    <x v="0"/>
    <x v="33"/>
    <x v="315"/>
    <x v="1182"/>
    <x v="0"/>
    <s v="LOS ANDES"/>
    <x v="2"/>
  </r>
  <r>
    <x v="16"/>
    <x v="302"/>
    <x v="11"/>
    <x v="11"/>
    <x v="1"/>
    <x v="0"/>
    <x v="33"/>
    <x v="324"/>
    <x v="1132"/>
    <x v="0"/>
    <s v="LOS ANDES"/>
    <x v="2"/>
  </r>
  <r>
    <x v="16"/>
    <x v="181"/>
    <x v="11"/>
    <x v="11"/>
    <x v="1"/>
    <x v="0"/>
    <x v="33"/>
    <x v="362"/>
    <x v="899"/>
    <x v="0"/>
    <s v="LOS ANDES"/>
    <x v="2"/>
  </r>
  <r>
    <x v="16"/>
    <x v="275"/>
    <x v="11"/>
    <x v="11"/>
    <x v="1"/>
    <x v="0"/>
    <x v="33"/>
    <x v="307"/>
    <x v="759"/>
    <x v="0"/>
    <s v="LOS ANDES"/>
    <x v="2"/>
  </r>
  <r>
    <x v="16"/>
    <x v="294"/>
    <x v="11"/>
    <x v="11"/>
    <x v="1"/>
    <x v="0"/>
    <x v="33"/>
    <x v="382"/>
    <x v="765"/>
    <x v="0"/>
    <s v="LOS ANDES"/>
    <x v="2"/>
  </r>
  <r>
    <x v="16"/>
    <x v="300"/>
    <x v="2"/>
    <x v="2"/>
    <x v="1"/>
    <x v="0"/>
    <x v="33"/>
    <x v="316"/>
    <x v="848"/>
    <x v="0"/>
    <s v="LOS ANDES"/>
    <x v="2"/>
  </r>
  <r>
    <x v="16"/>
    <x v="215"/>
    <x v="2"/>
    <x v="2"/>
    <x v="1"/>
    <x v="0"/>
    <x v="33"/>
    <x v="322"/>
    <x v="1182"/>
    <x v="0"/>
    <s v="LOS ANDES"/>
    <x v="2"/>
  </r>
  <r>
    <x v="16"/>
    <x v="221"/>
    <x v="2"/>
    <x v="2"/>
    <x v="1"/>
    <x v="0"/>
    <x v="33"/>
    <x v="347"/>
    <x v="765"/>
    <x v="0"/>
    <s v="LOS ANDES"/>
    <x v="2"/>
  </r>
  <r>
    <x v="16"/>
    <x v="284"/>
    <x v="2"/>
    <x v="2"/>
    <x v="1"/>
    <x v="0"/>
    <x v="33"/>
    <x v="383"/>
    <x v="765"/>
    <x v="0"/>
    <s v="LOS ANDES"/>
    <x v="2"/>
  </r>
  <r>
    <x v="16"/>
    <x v="222"/>
    <x v="2"/>
    <x v="2"/>
    <x v="1"/>
    <x v="0"/>
    <x v="33"/>
    <x v="384"/>
    <x v="899"/>
    <x v="0"/>
    <s v="LOS ANDES"/>
    <x v="2"/>
  </r>
  <r>
    <x v="16"/>
    <x v="295"/>
    <x v="2"/>
    <x v="2"/>
    <x v="1"/>
    <x v="0"/>
    <x v="33"/>
    <x v="310"/>
    <x v="759"/>
    <x v="0"/>
    <s v="LOS ANDES"/>
    <x v="2"/>
  </r>
  <r>
    <x v="16"/>
    <x v="270"/>
    <x v="2"/>
    <x v="2"/>
    <x v="1"/>
    <x v="0"/>
    <x v="33"/>
    <x v="363"/>
    <x v="759"/>
    <x v="0"/>
    <s v="LOS ANDES"/>
    <x v="2"/>
  </r>
  <r>
    <x v="16"/>
    <x v="216"/>
    <x v="2"/>
    <x v="2"/>
    <x v="1"/>
    <x v="0"/>
    <x v="33"/>
    <x v="332"/>
    <x v="1182"/>
    <x v="0"/>
    <s v="LOS ANDES"/>
    <x v="2"/>
  </r>
  <r>
    <x v="16"/>
    <x v="280"/>
    <x v="2"/>
    <x v="2"/>
    <x v="1"/>
    <x v="0"/>
    <x v="33"/>
    <x v="295"/>
    <x v="1182"/>
    <x v="0"/>
    <s v="LOS ANDES"/>
    <x v="2"/>
  </r>
  <r>
    <x v="16"/>
    <x v="257"/>
    <x v="2"/>
    <x v="2"/>
    <x v="1"/>
    <x v="0"/>
    <x v="33"/>
    <x v="410"/>
    <x v="899"/>
    <x v="0"/>
    <s v="LOS ANDES"/>
    <x v="2"/>
  </r>
  <r>
    <x v="16"/>
    <x v="223"/>
    <x v="2"/>
    <x v="2"/>
    <x v="1"/>
    <x v="0"/>
    <x v="33"/>
    <x v="434"/>
    <x v="874"/>
    <x v="0"/>
    <s v="LOS ANDES"/>
    <x v="2"/>
  </r>
  <r>
    <x v="16"/>
    <x v="276"/>
    <x v="2"/>
    <x v="2"/>
    <x v="1"/>
    <x v="0"/>
    <x v="33"/>
    <x v="385"/>
    <x v="874"/>
    <x v="0"/>
    <s v="LOS ANDES"/>
    <x v="2"/>
  </r>
  <r>
    <x v="16"/>
    <x v="183"/>
    <x v="2"/>
    <x v="2"/>
    <x v="1"/>
    <x v="0"/>
    <x v="33"/>
    <x v="330"/>
    <x v="1182"/>
    <x v="0"/>
    <s v="LOS ANDES"/>
    <x v="2"/>
  </r>
  <r>
    <x v="16"/>
    <x v="246"/>
    <x v="2"/>
    <x v="2"/>
    <x v="1"/>
    <x v="0"/>
    <x v="33"/>
    <x v="287"/>
    <x v="146"/>
    <x v="0"/>
    <s v="LOS ANDES"/>
    <x v="2"/>
  </r>
  <r>
    <x v="16"/>
    <x v="264"/>
    <x v="6"/>
    <x v="6"/>
    <x v="1"/>
    <x v="0"/>
    <x v="33"/>
    <x v="311"/>
    <x v="934"/>
    <x v="0"/>
    <s v="LOS ANDES"/>
    <x v="2"/>
  </r>
  <r>
    <x v="16"/>
    <x v="281"/>
    <x v="6"/>
    <x v="6"/>
    <x v="1"/>
    <x v="0"/>
    <x v="33"/>
    <x v="395"/>
    <x v="899"/>
    <x v="0"/>
    <s v="LOS ANDES"/>
    <x v="2"/>
  </r>
  <r>
    <x v="16"/>
    <x v="285"/>
    <x v="6"/>
    <x v="6"/>
    <x v="1"/>
    <x v="0"/>
    <x v="33"/>
    <x v="409"/>
    <x v="759"/>
    <x v="0"/>
    <s v="LOS ANDES"/>
    <x v="2"/>
  </r>
  <r>
    <x v="16"/>
    <x v="265"/>
    <x v="6"/>
    <x v="6"/>
    <x v="1"/>
    <x v="0"/>
    <x v="33"/>
    <x v="386"/>
    <x v="899"/>
    <x v="0"/>
    <s v="LOS ANDES"/>
    <x v="2"/>
  </r>
  <r>
    <x v="16"/>
    <x v="314"/>
    <x v="6"/>
    <x v="6"/>
    <x v="1"/>
    <x v="0"/>
    <x v="33"/>
    <x v="372"/>
    <x v="874"/>
    <x v="0"/>
    <s v="LOS ANDES"/>
    <x v="2"/>
  </r>
  <r>
    <x v="16"/>
    <x v="296"/>
    <x v="6"/>
    <x v="6"/>
    <x v="1"/>
    <x v="0"/>
    <x v="33"/>
    <x v="312"/>
    <x v="146"/>
    <x v="0"/>
    <s v="LOS ANDES"/>
    <x v="2"/>
  </r>
  <r>
    <x v="16"/>
    <x v="204"/>
    <x v="6"/>
    <x v="6"/>
    <x v="1"/>
    <x v="0"/>
    <x v="33"/>
    <x v="317"/>
    <x v="899"/>
    <x v="0"/>
    <s v="LOS ANDES"/>
    <x v="2"/>
  </r>
  <r>
    <x v="16"/>
    <x v="236"/>
    <x v="6"/>
    <x v="6"/>
    <x v="1"/>
    <x v="0"/>
    <x v="33"/>
    <x v="371"/>
    <x v="1182"/>
    <x v="0"/>
    <s v="LOS ANDES"/>
    <x v="2"/>
  </r>
  <r>
    <x v="16"/>
    <x v="188"/>
    <x v="6"/>
    <x v="6"/>
    <x v="1"/>
    <x v="0"/>
    <x v="33"/>
    <x v="407"/>
    <x v="759"/>
    <x v="0"/>
    <s v="LOS ANDES"/>
    <x v="2"/>
  </r>
  <r>
    <x v="16"/>
    <x v="313"/>
    <x v="6"/>
    <x v="6"/>
    <x v="1"/>
    <x v="0"/>
    <x v="33"/>
    <x v="341"/>
    <x v="765"/>
    <x v="0"/>
    <s v="LOS ANDES"/>
    <x v="2"/>
  </r>
  <r>
    <x v="16"/>
    <x v="335"/>
    <x v="6"/>
    <x v="6"/>
    <x v="1"/>
    <x v="0"/>
    <x v="33"/>
    <x v="408"/>
    <x v="874"/>
    <x v="0"/>
    <s v="LOS ANDES"/>
    <x v="2"/>
  </r>
  <r>
    <x v="16"/>
    <x v="174"/>
    <x v="6"/>
    <x v="6"/>
    <x v="1"/>
    <x v="0"/>
    <x v="33"/>
    <x v="282"/>
    <x v="874"/>
    <x v="0"/>
    <s v="LOS ANDES"/>
    <x v="2"/>
  </r>
  <r>
    <x v="16"/>
    <x v="229"/>
    <x v="6"/>
    <x v="6"/>
    <x v="1"/>
    <x v="0"/>
    <x v="33"/>
    <x v="281"/>
    <x v="874"/>
    <x v="0"/>
    <s v="LOS ANDES"/>
    <x v="2"/>
  </r>
  <r>
    <x v="16"/>
    <x v="241"/>
    <x v="6"/>
    <x v="6"/>
    <x v="1"/>
    <x v="0"/>
    <x v="33"/>
    <x v="447"/>
    <x v="759"/>
    <x v="0"/>
    <s v="LOS ANDES"/>
    <x v="2"/>
  </r>
  <r>
    <x v="16"/>
    <x v="191"/>
    <x v="6"/>
    <x v="6"/>
    <x v="1"/>
    <x v="0"/>
    <x v="33"/>
    <x v="318"/>
    <x v="899"/>
    <x v="0"/>
    <s v="LOS ANDES"/>
    <x v="2"/>
  </r>
  <r>
    <x v="16"/>
    <x v="209"/>
    <x v="7"/>
    <x v="7"/>
    <x v="1"/>
    <x v="1"/>
    <x v="33"/>
    <x v="428"/>
    <x v="874"/>
    <x v="0"/>
    <s v="LOS ANDES"/>
    <x v="2"/>
  </r>
  <r>
    <x v="16"/>
    <x v="323"/>
    <x v="8"/>
    <x v="8"/>
    <x v="1"/>
    <x v="1"/>
    <x v="33"/>
    <x v="367"/>
    <x v="874"/>
    <x v="0"/>
    <s v="LOS ANDES"/>
    <x v="2"/>
  </r>
  <r>
    <x v="16"/>
    <x v="185"/>
    <x v="8"/>
    <x v="8"/>
    <x v="1"/>
    <x v="1"/>
    <x v="33"/>
    <x v="296"/>
    <x v="759"/>
    <x v="0"/>
    <s v="LOS ANDES"/>
    <x v="2"/>
  </r>
  <r>
    <x v="16"/>
    <x v="292"/>
    <x v="9"/>
    <x v="9"/>
    <x v="1"/>
    <x v="1"/>
    <x v="33"/>
    <x v="352"/>
    <x v="759"/>
    <x v="0"/>
    <s v="LOS ANDES"/>
    <x v="2"/>
  </r>
  <r>
    <x v="16"/>
    <x v="317"/>
    <x v="10"/>
    <x v="10"/>
    <x v="1"/>
    <x v="1"/>
    <x v="33"/>
    <x v="401"/>
    <x v="874"/>
    <x v="0"/>
    <s v="LOS ANDES"/>
    <x v="2"/>
  </r>
  <r>
    <x v="16"/>
    <x v="200"/>
    <x v="11"/>
    <x v="11"/>
    <x v="1"/>
    <x v="1"/>
    <x v="33"/>
    <x v="351"/>
    <x v="874"/>
    <x v="0"/>
    <s v="LOS ANDES"/>
    <x v="2"/>
  </r>
  <r>
    <x v="16"/>
    <x v="220"/>
    <x v="11"/>
    <x v="11"/>
    <x v="1"/>
    <x v="1"/>
    <x v="33"/>
    <x v="309"/>
    <x v="874"/>
    <x v="0"/>
    <s v="LOS ANDES"/>
    <x v="2"/>
  </r>
  <r>
    <x v="16"/>
    <x v="270"/>
    <x v="2"/>
    <x v="2"/>
    <x v="1"/>
    <x v="1"/>
    <x v="33"/>
    <x v="363"/>
    <x v="146"/>
    <x v="0"/>
    <s v="LOS ANDES"/>
    <x v="2"/>
  </r>
  <r>
    <x v="16"/>
    <x v="246"/>
    <x v="2"/>
    <x v="2"/>
    <x v="1"/>
    <x v="1"/>
    <x v="33"/>
    <x v="287"/>
    <x v="874"/>
    <x v="0"/>
    <s v="LOS ANDES"/>
    <x v="2"/>
  </r>
  <r>
    <x v="16"/>
    <x v="264"/>
    <x v="6"/>
    <x v="6"/>
    <x v="1"/>
    <x v="1"/>
    <x v="33"/>
    <x v="311"/>
    <x v="874"/>
    <x v="0"/>
    <s v="LOS ANDES"/>
    <x v="2"/>
  </r>
  <r>
    <x v="16"/>
    <x v="296"/>
    <x v="6"/>
    <x v="6"/>
    <x v="1"/>
    <x v="1"/>
    <x v="33"/>
    <x v="312"/>
    <x v="759"/>
    <x v="0"/>
    <s v="LOS ANDES"/>
    <x v="2"/>
  </r>
  <r>
    <x v="16"/>
    <x v="241"/>
    <x v="6"/>
    <x v="6"/>
    <x v="1"/>
    <x v="1"/>
    <x v="33"/>
    <x v="447"/>
    <x v="874"/>
    <x v="0"/>
    <s v="LOS ANDES"/>
    <x v="2"/>
  </r>
  <r>
    <x v="17"/>
    <x v="214"/>
    <x v="11"/>
    <x v="11"/>
    <x v="1"/>
    <x v="2"/>
    <x v="32"/>
    <x v="306"/>
    <x v="3093"/>
    <x v="0"/>
    <s v="VIA ESPANA"/>
    <x v="2"/>
  </r>
  <r>
    <x v="17"/>
    <x v="242"/>
    <x v="9"/>
    <x v="9"/>
    <x v="1"/>
    <x v="0"/>
    <x v="33"/>
    <x v="435"/>
    <x v="874"/>
    <x v="0"/>
    <s v="VIA ESPANA"/>
    <x v="2"/>
  </r>
  <r>
    <x v="18"/>
    <x v="227"/>
    <x v="9"/>
    <x v="9"/>
    <x v="1"/>
    <x v="2"/>
    <x v="32"/>
    <x v="399"/>
    <x v="891"/>
    <x v="0"/>
    <s v="AVENIDA CUBA"/>
    <x v="2"/>
  </r>
  <r>
    <x v="18"/>
    <x v="240"/>
    <x v="2"/>
    <x v="2"/>
    <x v="1"/>
    <x v="2"/>
    <x v="32"/>
    <x v="442"/>
    <x v="1755"/>
    <x v="0"/>
    <s v="AVENIDA CUBA"/>
    <x v="2"/>
  </r>
  <r>
    <x v="19"/>
    <x v="308"/>
    <x v="7"/>
    <x v="7"/>
    <x v="1"/>
    <x v="2"/>
    <x v="33"/>
    <x v="333"/>
    <x v="759"/>
    <x v="0"/>
    <s v="CHITRE"/>
    <x v="2"/>
  </r>
  <r>
    <x v="19"/>
    <x v="290"/>
    <x v="9"/>
    <x v="9"/>
    <x v="1"/>
    <x v="2"/>
    <x v="32"/>
    <x v="302"/>
    <x v="3094"/>
    <x v="0"/>
    <s v="CHITRE"/>
    <x v="2"/>
  </r>
  <r>
    <x v="19"/>
    <x v="178"/>
    <x v="9"/>
    <x v="9"/>
    <x v="1"/>
    <x v="2"/>
    <x v="33"/>
    <x v="353"/>
    <x v="874"/>
    <x v="0"/>
    <s v="CHITRE"/>
    <x v="2"/>
  </r>
  <r>
    <x v="19"/>
    <x v="255"/>
    <x v="9"/>
    <x v="9"/>
    <x v="1"/>
    <x v="2"/>
    <x v="33"/>
    <x v="293"/>
    <x v="874"/>
    <x v="0"/>
    <s v="CHITRE"/>
    <x v="2"/>
  </r>
  <r>
    <x v="19"/>
    <x v="308"/>
    <x v="7"/>
    <x v="7"/>
    <x v="1"/>
    <x v="0"/>
    <x v="33"/>
    <x v="333"/>
    <x v="765"/>
    <x v="0"/>
    <s v="CHITRE"/>
    <x v="2"/>
  </r>
  <r>
    <x v="19"/>
    <x v="308"/>
    <x v="7"/>
    <x v="7"/>
    <x v="1"/>
    <x v="1"/>
    <x v="33"/>
    <x v="333"/>
    <x v="874"/>
    <x v="0"/>
    <s v="CHITRE"/>
    <x v="2"/>
  </r>
  <r>
    <x v="20"/>
    <x v="300"/>
    <x v="2"/>
    <x v="2"/>
    <x v="1"/>
    <x v="2"/>
    <x v="33"/>
    <x v="316"/>
    <x v="874"/>
    <x v="0"/>
    <s v="LOS PUEBLOS"/>
    <x v="2"/>
  </r>
  <r>
    <x v="20"/>
    <x v="308"/>
    <x v="7"/>
    <x v="7"/>
    <x v="1"/>
    <x v="0"/>
    <x v="33"/>
    <x v="333"/>
    <x v="759"/>
    <x v="0"/>
    <s v="LOS PUEBLOS"/>
    <x v="2"/>
  </r>
  <r>
    <x v="20"/>
    <x v="277"/>
    <x v="7"/>
    <x v="7"/>
    <x v="1"/>
    <x v="0"/>
    <x v="33"/>
    <x v="325"/>
    <x v="874"/>
    <x v="0"/>
    <s v="LOS PUEBLOS"/>
    <x v="2"/>
  </r>
  <r>
    <x v="20"/>
    <x v="326"/>
    <x v="8"/>
    <x v="8"/>
    <x v="1"/>
    <x v="0"/>
    <x v="33"/>
    <x v="423"/>
    <x v="759"/>
    <x v="0"/>
    <s v="LOS PUEBLOS"/>
    <x v="2"/>
  </r>
  <r>
    <x v="20"/>
    <x v="245"/>
    <x v="8"/>
    <x v="8"/>
    <x v="1"/>
    <x v="0"/>
    <x v="33"/>
    <x v="285"/>
    <x v="759"/>
    <x v="0"/>
    <s v="LOS PUEBLOS"/>
    <x v="2"/>
  </r>
  <r>
    <x v="20"/>
    <x v="337"/>
    <x v="9"/>
    <x v="9"/>
    <x v="1"/>
    <x v="0"/>
    <x v="33"/>
    <x v="424"/>
    <x v="759"/>
    <x v="0"/>
    <s v="LOS PUEBLOS"/>
    <x v="2"/>
  </r>
  <r>
    <x v="20"/>
    <x v="303"/>
    <x v="9"/>
    <x v="9"/>
    <x v="1"/>
    <x v="0"/>
    <x v="33"/>
    <x v="327"/>
    <x v="146"/>
    <x v="0"/>
    <s v="LOS PUEBLOS"/>
    <x v="2"/>
  </r>
  <r>
    <x v="20"/>
    <x v="197"/>
    <x v="9"/>
    <x v="9"/>
    <x v="1"/>
    <x v="0"/>
    <x v="33"/>
    <x v="432"/>
    <x v="146"/>
    <x v="0"/>
    <s v="LOS PUEBLOS"/>
    <x v="2"/>
  </r>
  <r>
    <x v="20"/>
    <x v="242"/>
    <x v="9"/>
    <x v="9"/>
    <x v="1"/>
    <x v="0"/>
    <x v="33"/>
    <x v="435"/>
    <x v="759"/>
    <x v="0"/>
    <s v="LOS PUEBLOS"/>
    <x v="2"/>
  </r>
  <r>
    <x v="20"/>
    <x v="286"/>
    <x v="10"/>
    <x v="10"/>
    <x v="1"/>
    <x v="0"/>
    <x v="33"/>
    <x v="297"/>
    <x v="759"/>
    <x v="0"/>
    <s v="LOS PUEBLOS"/>
    <x v="2"/>
  </r>
  <r>
    <x v="20"/>
    <x v="244"/>
    <x v="10"/>
    <x v="10"/>
    <x v="1"/>
    <x v="0"/>
    <x v="33"/>
    <x v="433"/>
    <x v="1182"/>
    <x v="0"/>
    <s v="LOS PUEBLOS"/>
    <x v="2"/>
  </r>
  <r>
    <x v="20"/>
    <x v="187"/>
    <x v="11"/>
    <x v="11"/>
    <x v="1"/>
    <x v="0"/>
    <x v="33"/>
    <x v="328"/>
    <x v="952"/>
    <x v="0"/>
    <s v="LOS PUEBLOS"/>
    <x v="2"/>
  </r>
  <r>
    <x v="20"/>
    <x v="299"/>
    <x v="11"/>
    <x v="11"/>
    <x v="1"/>
    <x v="0"/>
    <x v="33"/>
    <x v="315"/>
    <x v="874"/>
    <x v="0"/>
    <s v="LOS PUEBLOS"/>
    <x v="2"/>
  </r>
  <r>
    <x v="20"/>
    <x v="202"/>
    <x v="11"/>
    <x v="11"/>
    <x v="1"/>
    <x v="0"/>
    <x v="33"/>
    <x v="305"/>
    <x v="146"/>
    <x v="0"/>
    <s v="LOS PUEBLOS"/>
    <x v="2"/>
  </r>
  <r>
    <x v="20"/>
    <x v="300"/>
    <x v="2"/>
    <x v="2"/>
    <x v="1"/>
    <x v="0"/>
    <x v="33"/>
    <x v="316"/>
    <x v="765"/>
    <x v="0"/>
    <s v="LOS PUEBLOS"/>
    <x v="2"/>
  </r>
  <r>
    <x v="20"/>
    <x v="222"/>
    <x v="2"/>
    <x v="2"/>
    <x v="1"/>
    <x v="0"/>
    <x v="33"/>
    <x v="384"/>
    <x v="759"/>
    <x v="0"/>
    <s v="LOS PUEBLOS"/>
    <x v="2"/>
  </r>
  <r>
    <x v="20"/>
    <x v="216"/>
    <x v="2"/>
    <x v="2"/>
    <x v="1"/>
    <x v="0"/>
    <x v="33"/>
    <x v="332"/>
    <x v="874"/>
    <x v="0"/>
    <s v="LOS PUEBLOS"/>
    <x v="2"/>
  </r>
  <r>
    <x v="20"/>
    <x v="257"/>
    <x v="2"/>
    <x v="2"/>
    <x v="1"/>
    <x v="0"/>
    <x v="33"/>
    <x v="410"/>
    <x v="146"/>
    <x v="0"/>
    <s v="LOS PUEBLOS"/>
    <x v="2"/>
  </r>
  <r>
    <x v="20"/>
    <x v="276"/>
    <x v="2"/>
    <x v="2"/>
    <x v="1"/>
    <x v="0"/>
    <x v="33"/>
    <x v="385"/>
    <x v="759"/>
    <x v="0"/>
    <s v="LOS PUEBLOS"/>
    <x v="2"/>
  </r>
  <r>
    <x v="20"/>
    <x v="304"/>
    <x v="2"/>
    <x v="2"/>
    <x v="1"/>
    <x v="0"/>
    <x v="33"/>
    <x v="329"/>
    <x v="759"/>
    <x v="0"/>
    <s v="LOS PUEBLOS"/>
    <x v="2"/>
  </r>
  <r>
    <x v="20"/>
    <x v="265"/>
    <x v="6"/>
    <x v="6"/>
    <x v="1"/>
    <x v="0"/>
    <x v="33"/>
    <x v="386"/>
    <x v="874"/>
    <x v="0"/>
    <s v="LOS PUEBLOS"/>
    <x v="2"/>
  </r>
  <r>
    <x v="20"/>
    <x v="184"/>
    <x v="6"/>
    <x v="6"/>
    <x v="1"/>
    <x v="0"/>
    <x v="33"/>
    <x v="413"/>
    <x v="874"/>
    <x v="0"/>
    <s v="LOS PUEBLOS"/>
    <x v="2"/>
  </r>
  <r>
    <x v="20"/>
    <x v="314"/>
    <x v="6"/>
    <x v="6"/>
    <x v="1"/>
    <x v="0"/>
    <x v="33"/>
    <x v="372"/>
    <x v="759"/>
    <x v="0"/>
    <s v="LOS PUEBLOS"/>
    <x v="2"/>
  </r>
  <r>
    <x v="20"/>
    <x v="297"/>
    <x v="6"/>
    <x v="6"/>
    <x v="1"/>
    <x v="0"/>
    <x v="33"/>
    <x v="313"/>
    <x v="146"/>
    <x v="0"/>
    <s v="LOS PUEBLOS"/>
    <x v="2"/>
  </r>
  <r>
    <x v="20"/>
    <x v="271"/>
    <x v="6"/>
    <x v="6"/>
    <x v="1"/>
    <x v="0"/>
    <x v="33"/>
    <x v="426"/>
    <x v="146"/>
    <x v="0"/>
    <s v="LOS PUEBLOS"/>
    <x v="2"/>
  </r>
  <r>
    <x v="20"/>
    <x v="286"/>
    <x v="10"/>
    <x v="10"/>
    <x v="1"/>
    <x v="1"/>
    <x v="33"/>
    <x v="297"/>
    <x v="874"/>
    <x v="0"/>
    <s v="LOS PUEBLOS"/>
    <x v="2"/>
  </r>
  <r>
    <x v="20"/>
    <x v="268"/>
    <x v="10"/>
    <x v="10"/>
    <x v="1"/>
    <x v="1"/>
    <x v="33"/>
    <x v="339"/>
    <x v="874"/>
    <x v="0"/>
    <s v="LOS PUEBLOS"/>
    <x v="2"/>
  </r>
  <r>
    <x v="20"/>
    <x v="181"/>
    <x v="11"/>
    <x v="11"/>
    <x v="1"/>
    <x v="1"/>
    <x v="33"/>
    <x v="362"/>
    <x v="874"/>
    <x v="0"/>
    <s v="LOS PUEBLOS"/>
    <x v="2"/>
  </r>
  <r>
    <x v="20"/>
    <x v="300"/>
    <x v="2"/>
    <x v="2"/>
    <x v="1"/>
    <x v="1"/>
    <x v="33"/>
    <x v="316"/>
    <x v="874"/>
    <x v="0"/>
    <s v="LOS PUEBLOS"/>
    <x v="2"/>
  </r>
  <r>
    <x v="20"/>
    <x v="222"/>
    <x v="2"/>
    <x v="2"/>
    <x v="1"/>
    <x v="1"/>
    <x v="33"/>
    <x v="384"/>
    <x v="874"/>
    <x v="0"/>
    <s v="LOS PUEBLOS"/>
    <x v="2"/>
  </r>
  <r>
    <x v="20"/>
    <x v="304"/>
    <x v="2"/>
    <x v="2"/>
    <x v="1"/>
    <x v="1"/>
    <x v="33"/>
    <x v="329"/>
    <x v="874"/>
    <x v="0"/>
    <s v="LOS PUEBLOS"/>
    <x v="2"/>
  </r>
  <r>
    <x v="21"/>
    <x v="248"/>
    <x v="10"/>
    <x v="10"/>
    <x v="1"/>
    <x v="2"/>
    <x v="33"/>
    <x v="304"/>
    <x v="874"/>
    <x v="0"/>
    <s v="TRANSISTMICA"/>
    <x v="2"/>
  </r>
  <r>
    <x v="21"/>
    <x v="269"/>
    <x v="11"/>
    <x v="11"/>
    <x v="1"/>
    <x v="2"/>
    <x v="33"/>
    <x v="403"/>
    <x v="874"/>
    <x v="0"/>
    <s v="TRANSISTMICA"/>
    <x v="2"/>
  </r>
  <r>
    <x v="21"/>
    <x v="288"/>
    <x v="7"/>
    <x v="7"/>
    <x v="1"/>
    <x v="0"/>
    <x v="33"/>
    <x v="439"/>
    <x v="899"/>
    <x v="0"/>
    <s v="TRANSISTMICA"/>
    <x v="2"/>
  </r>
  <r>
    <x v="21"/>
    <x v="332"/>
    <x v="7"/>
    <x v="7"/>
    <x v="1"/>
    <x v="0"/>
    <x v="33"/>
    <x v="397"/>
    <x v="952"/>
    <x v="0"/>
    <s v="TRANSISTMICA"/>
    <x v="2"/>
  </r>
  <r>
    <x v="21"/>
    <x v="192"/>
    <x v="8"/>
    <x v="8"/>
    <x v="1"/>
    <x v="0"/>
    <x v="33"/>
    <x v="300"/>
    <x v="982"/>
    <x v="0"/>
    <s v="TRANSISTMICA"/>
    <x v="2"/>
  </r>
  <r>
    <x v="21"/>
    <x v="196"/>
    <x v="8"/>
    <x v="8"/>
    <x v="1"/>
    <x v="0"/>
    <x v="33"/>
    <x v="375"/>
    <x v="1182"/>
    <x v="0"/>
    <s v="TRANSISTMICA"/>
    <x v="2"/>
  </r>
  <r>
    <x v="21"/>
    <x v="303"/>
    <x v="9"/>
    <x v="9"/>
    <x v="1"/>
    <x v="0"/>
    <x v="33"/>
    <x v="327"/>
    <x v="952"/>
    <x v="0"/>
    <s v="TRANSISTMICA"/>
    <x v="2"/>
  </r>
  <r>
    <x v="21"/>
    <x v="293"/>
    <x v="9"/>
    <x v="9"/>
    <x v="1"/>
    <x v="0"/>
    <x v="33"/>
    <x v="337"/>
    <x v="759"/>
    <x v="0"/>
    <s v="TRANSISTMICA"/>
    <x v="2"/>
  </r>
  <r>
    <x v="21"/>
    <x v="197"/>
    <x v="9"/>
    <x v="9"/>
    <x v="1"/>
    <x v="0"/>
    <x v="33"/>
    <x v="432"/>
    <x v="934"/>
    <x v="0"/>
    <s v="TRANSISTMICA"/>
    <x v="2"/>
  </r>
  <r>
    <x v="21"/>
    <x v="263"/>
    <x v="10"/>
    <x v="10"/>
    <x v="1"/>
    <x v="0"/>
    <x v="33"/>
    <x v="436"/>
    <x v="1132"/>
    <x v="0"/>
    <s v="TRANSISTMICA"/>
    <x v="2"/>
  </r>
  <r>
    <x v="21"/>
    <x v="233"/>
    <x v="10"/>
    <x v="10"/>
    <x v="1"/>
    <x v="0"/>
    <x v="33"/>
    <x v="344"/>
    <x v="801"/>
    <x v="0"/>
    <s v="TRANSISTMICA"/>
    <x v="2"/>
  </r>
  <r>
    <x v="21"/>
    <x v="325"/>
    <x v="11"/>
    <x v="11"/>
    <x v="1"/>
    <x v="0"/>
    <x v="33"/>
    <x v="421"/>
    <x v="952"/>
    <x v="0"/>
    <s v="TRANSISTMICA"/>
    <x v="2"/>
  </r>
  <r>
    <x v="21"/>
    <x v="299"/>
    <x v="11"/>
    <x v="11"/>
    <x v="1"/>
    <x v="0"/>
    <x v="33"/>
    <x v="315"/>
    <x v="146"/>
    <x v="0"/>
    <s v="TRANSISTMICA"/>
    <x v="2"/>
  </r>
  <r>
    <x v="21"/>
    <x v="202"/>
    <x v="11"/>
    <x v="11"/>
    <x v="1"/>
    <x v="0"/>
    <x v="33"/>
    <x v="305"/>
    <x v="859"/>
    <x v="0"/>
    <s v="TRANSISTMICA"/>
    <x v="2"/>
  </r>
  <r>
    <x v="21"/>
    <x v="275"/>
    <x v="11"/>
    <x v="11"/>
    <x v="1"/>
    <x v="0"/>
    <x v="33"/>
    <x v="307"/>
    <x v="874"/>
    <x v="0"/>
    <s v="TRANSISTMICA"/>
    <x v="2"/>
  </r>
  <r>
    <x v="21"/>
    <x v="215"/>
    <x v="2"/>
    <x v="2"/>
    <x v="1"/>
    <x v="0"/>
    <x v="33"/>
    <x v="322"/>
    <x v="801"/>
    <x v="0"/>
    <s v="TRANSISTMICA"/>
    <x v="2"/>
  </r>
  <r>
    <x v="21"/>
    <x v="183"/>
    <x v="2"/>
    <x v="2"/>
    <x v="1"/>
    <x v="0"/>
    <x v="33"/>
    <x v="330"/>
    <x v="952"/>
    <x v="0"/>
    <s v="TRANSISTMICA"/>
    <x v="2"/>
  </r>
  <r>
    <x v="21"/>
    <x v="281"/>
    <x v="6"/>
    <x v="6"/>
    <x v="1"/>
    <x v="0"/>
    <x v="33"/>
    <x v="395"/>
    <x v="146"/>
    <x v="0"/>
    <s v="TRANSISTMICA"/>
    <x v="2"/>
  </r>
  <r>
    <x v="21"/>
    <x v="265"/>
    <x v="6"/>
    <x v="6"/>
    <x v="1"/>
    <x v="0"/>
    <x v="33"/>
    <x v="386"/>
    <x v="146"/>
    <x v="0"/>
    <s v="TRANSISTMICA"/>
    <x v="2"/>
  </r>
  <r>
    <x v="21"/>
    <x v="314"/>
    <x v="6"/>
    <x v="6"/>
    <x v="1"/>
    <x v="0"/>
    <x v="33"/>
    <x v="372"/>
    <x v="874"/>
    <x v="0"/>
    <s v="TRANSISTMICA"/>
    <x v="2"/>
  </r>
  <r>
    <x v="21"/>
    <x v="188"/>
    <x v="6"/>
    <x v="6"/>
    <x v="1"/>
    <x v="0"/>
    <x v="33"/>
    <x v="407"/>
    <x v="934"/>
    <x v="0"/>
    <s v="TRANSISTMICA"/>
    <x v="2"/>
  </r>
  <r>
    <x v="21"/>
    <x v="218"/>
    <x v="6"/>
    <x v="6"/>
    <x v="1"/>
    <x v="0"/>
    <x v="33"/>
    <x v="451"/>
    <x v="874"/>
    <x v="0"/>
    <s v="TRANSISTMICA"/>
    <x v="2"/>
  </r>
  <r>
    <x v="21"/>
    <x v="259"/>
    <x v="7"/>
    <x v="7"/>
    <x v="1"/>
    <x v="1"/>
    <x v="33"/>
    <x v="355"/>
    <x v="759"/>
    <x v="0"/>
    <s v="TRANSISTMICA"/>
    <x v="2"/>
  </r>
  <r>
    <x v="21"/>
    <x v="197"/>
    <x v="9"/>
    <x v="9"/>
    <x v="1"/>
    <x v="1"/>
    <x v="33"/>
    <x v="432"/>
    <x v="874"/>
    <x v="0"/>
    <s v="TRANSISTMICA"/>
    <x v="2"/>
  </r>
  <r>
    <x v="21"/>
    <x v="269"/>
    <x v="11"/>
    <x v="11"/>
    <x v="1"/>
    <x v="1"/>
    <x v="33"/>
    <x v="403"/>
    <x v="759"/>
    <x v="0"/>
    <s v="TRANSISTMICA"/>
    <x v="2"/>
  </r>
  <r>
    <x v="21"/>
    <x v="273"/>
    <x v="11"/>
    <x v="11"/>
    <x v="1"/>
    <x v="1"/>
    <x v="33"/>
    <x v="354"/>
    <x v="874"/>
    <x v="0"/>
    <s v="TRANSISTMICA"/>
    <x v="2"/>
  </r>
  <r>
    <x v="21"/>
    <x v="314"/>
    <x v="6"/>
    <x v="6"/>
    <x v="1"/>
    <x v="1"/>
    <x v="33"/>
    <x v="372"/>
    <x v="765"/>
    <x v="0"/>
    <s v="TRANSISTMICA"/>
    <x v="2"/>
  </r>
  <r>
    <x v="24"/>
    <x v="230"/>
    <x v="9"/>
    <x v="9"/>
    <x v="1"/>
    <x v="2"/>
    <x v="33"/>
    <x v="283"/>
    <x v="909"/>
    <x v="0"/>
    <s v="DAVID"/>
    <x v="2"/>
  </r>
  <r>
    <x v="24"/>
    <x v="264"/>
    <x v="6"/>
    <x v="6"/>
    <x v="1"/>
    <x v="2"/>
    <x v="33"/>
    <x v="311"/>
    <x v="874"/>
    <x v="0"/>
    <s v="DAVID"/>
    <x v="2"/>
  </r>
  <r>
    <x v="24"/>
    <x v="217"/>
    <x v="6"/>
    <x v="6"/>
    <x v="1"/>
    <x v="2"/>
    <x v="33"/>
    <x v="323"/>
    <x v="874"/>
    <x v="0"/>
    <s v="DAVID"/>
    <x v="2"/>
  </r>
  <r>
    <x v="24"/>
    <x v="258"/>
    <x v="7"/>
    <x v="7"/>
    <x v="1"/>
    <x v="0"/>
    <x v="33"/>
    <x v="349"/>
    <x v="934"/>
    <x v="0"/>
    <s v="DAVID"/>
    <x v="2"/>
  </r>
  <r>
    <x v="24"/>
    <x v="179"/>
    <x v="7"/>
    <x v="7"/>
    <x v="1"/>
    <x v="0"/>
    <x v="33"/>
    <x v="415"/>
    <x v="146"/>
    <x v="0"/>
    <s v="DAVID"/>
    <x v="2"/>
  </r>
  <r>
    <x v="24"/>
    <x v="259"/>
    <x v="7"/>
    <x v="7"/>
    <x v="1"/>
    <x v="0"/>
    <x v="33"/>
    <x v="355"/>
    <x v="874"/>
    <x v="0"/>
    <s v="DAVID"/>
    <x v="2"/>
  </r>
  <r>
    <x v="24"/>
    <x v="225"/>
    <x v="7"/>
    <x v="7"/>
    <x v="1"/>
    <x v="0"/>
    <x v="33"/>
    <x v="416"/>
    <x v="146"/>
    <x v="0"/>
    <s v="DAVID"/>
    <x v="2"/>
  </r>
  <r>
    <x v="24"/>
    <x v="205"/>
    <x v="7"/>
    <x v="7"/>
    <x v="1"/>
    <x v="0"/>
    <x v="33"/>
    <x v="299"/>
    <x v="874"/>
    <x v="0"/>
    <s v="DAVID"/>
    <x v="2"/>
  </r>
  <r>
    <x v="24"/>
    <x v="206"/>
    <x v="7"/>
    <x v="7"/>
    <x v="1"/>
    <x v="0"/>
    <x v="33"/>
    <x v="284"/>
    <x v="765"/>
    <x v="0"/>
    <s v="DAVID"/>
    <x v="2"/>
  </r>
  <r>
    <x v="24"/>
    <x v="332"/>
    <x v="7"/>
    <x v="7"/>
    <x v="1"/>
    <x v="0"/>
    <x v="33"/>
    <x v="397"/>
    <x v="146"/>
    <x v="0"/>
    <s v="DAVID"/>
    <x v="2"/>
  </r>
  <r>
    <x v="24"/>
    <x v="251"/>
    <x v="8"/>
    <x v="8"/>
    <x v="1"/>
    <x v="0"/>
    <x v="33"/>
    <x v="291"/>
    <x v="146"/>
    <x v="0"/>
    <s v="DAVID"/>
    <x v="2"/>
  </r>
  <r>
    <x v="24"/>
    <x v="247"/>
    <x v="8"/>
    <x v="8"/>
    <x v="1"/>
    <x v="0"/>
    <x v="64"/>
    <x v="289"/>
    <x v="874"/>
    <x v="0"/>
    <s v="DAVID"/>
    <x v="2"/>
  </r>
  <r>
    <x v="24"/>
    <x v="247"/>
    <x v="8"/>
    <x v="8"/>
    <x v="1"/>
    <x v="0"/>
    <x v="33"/>
    <x v="289"/>
    <x v="146"/>
    <x v="0"/>
    <s v="DAVID"/>
    <x v="2"/>
  </r>
  <r>
    <x v="24"/>
    <x v="254"/>
    <x v="8"/>
    <x v="8"/>
    <x v="1"/>
    <x v="0"/>
    <x v="33"/>
    <x v="326"/>
    <x v="759"/>
    <x v="0"/>
    <s v="DAVID"/>
    <x v="2"/>
  </r>
  <r>
    <x v="24"/>
    <x v="320"/>
    <x v="8"/>
    <x v="8"/>
    <x v="1"/>
    <x v="0"/>
    <x v="33"/>
    <x v="398"/>
    <x v="874"/>
    <x v="0"/>
    <s v="DAVID"/>
    <x v="2"/>
  </r>
  <r>
    <x v="24"/>
    <x v="323"/>
    <x v="8"/>
    <x v="8"/>
    <x v="1"/>
    <x v="0"/>
    <x v="33"/>
    <x v="367"/>
    <x v="759"/>
    <x v="0"/>
    <s v="DAVID"/>
    <x v="2"/>
  </r>
  <r>
    <x v="24"/>
    <x v="245"/>
    <x v="8"/>
    <x v="8"/>
    <x v="1"/>
    <x v="0"/>
    <x v="33"/>
    <x v="285"/>
    <x v="759"/>
    <x v="0"/>
    <s v="DAVID"/>
    <x v="2"/>
  </r>
  <r>
    <x v="24"/>
    <x v="226"/>
    <x v="8"/>
    <x v="8"/>
    <x v="1"/>
    <x v="0"/>
    <x v="33"/>
    <x v="376"/>
    <x v="759"/>
    <x v="0"/>
    <s v="DAVID"/>
    <x v="2"/>
  </r>
  <r>
    <x v="24"/>
    <x v="208"/>
    <x v="8"/>
    <x v="8"/>
    <x v="1"/>
    <x v="0"/>
    <x v="33"/>
    <x v="377"/>
    <x v="759"/>
    <x v="0"/>
    <s v="DAVID"/>
    <x v="2"/>
  </r>
  <r>
    <x v="24"/>
    <x v="337"/>
    <x v="9"/>
    <x v="9"/>
    <x v="1"/>
    <x v="0"/>
    <x v="33"/>
    <x v="424"/>
    <x v="146"/>
    <x v="0"/>
    <s v="DAVID"/>
    <x v="2"/>
  </r>
  <r>
    <x v="24"/>
    <x v="303"/>
    <x v="9"/>
    <x v="9"/>
    <x v="1"/>
    <x v="0"/>
    <x v="33"/>
    <x v="327"/>
    <x v="146"/>
    <x v="0"/>
    <s v="DAVID"/>
    <x v="2"/>
  </r>
  <r>
    <x v="24"/>
    <x v="194"/>
    <x v="9"/>
    <x v="9"/>
    <x v="1"/>
    <x v="0"/>
    <x v="33"/>
    <x v="390"/>
    <x v="874"/>
    <x v="0"/>
    <s v="DAVID"/>
    <x v="2"/>
  </r>
  <r>
    <x v="24"/>
    <x v="197"/>
    <x v="9"/>
    <x v="9"/>
    <x v="1"/>
    <x v="0"/>
    <x v="33"/>
    <x v="432"/>
    <x v="874"/>
    <x v="0"/>
    <s v="DAVID"/>
    <x v="2"/>
  </r>
  <r>
    <x v="24"/>
    <x v="211"/>
    <x v="9"/>
    <x v="9"/>
    <x v="1"/>
    <x v="0"/>
    <x v="33"/>
    <x v="286"/>
    <x v="874"/>
    <x v="0"/>
    <s v="DAVID"/>
    <x v="2"/>
  </r>
  <r>
    <x v="24"/>
    <x v="262"/>
    <x v="9"/>
    <x v="9"/>
    <x v="1"/>
    <x v="0"/>
    <x v="33"/>
    <x v="368"/>
    <x v="759"/>
    <x v="0"/>
    <s v="DAVID"/>
    <x v="2"/>
  </r>
  <r>
    <x v="24"/>
    <x v="219"/>
    <x v="9"/>
    <x v="9"/>
    <x v="1"/>
    <x v="0"/>
    <x v="33"/>
    <x v="308"/>
    <x v="874"/>
    <x v="0"/>
    <s v="DAVID"/>
    <x v="2"/>
  </r>
  <r>
    <x v="24"/>
    <x v="263"/>
    <x v="10"/>
    <x v="10"/>
    <x v="1"/>
    <x v="0"/>
    <x v="33"/>
    <x v="436"/>
    <x v="899"/>
    <x v="0"/>
    <s v="DAVID"/>
    <x v="2"/>
  </r>
  <r>
    <x v="24"/>
    <x v="310"/>
    <x v="10"/>
    <x v="10"/>
    <x v="1"/>
    <x v="0"/>
    <x v="33"/>
    <x v="335"/>
    <x v="146"/>
    <x v="0"/>
    <s v="DAVID"/>
    <x v="2"/>
  </r>
  <r>
    <x v="24"/>
    <x v="231"/>
    <x v="10"/>
    <x v="10"/>
    <x v="1"/>
    <x v="0"/>
    <x v="33"/>
    <x v="402"/>
    <x v="874"/>
    <x v="0"/>
    <s v="DAVID"/>
    <x v="2"/>
  </r>
  <r>
    <x v="24"/>
    <x v="232"/>
    <x v="10"/>
    <x v="10"/>
    <x v="1"/>
    <x v="0"/>
    <x v="33"/>
    <x v="290"/>
    <x v="874"/>
    <x v="0"/>
    <s v="DAVID"/>
    <x v="2"/>
  </r>
  <r>
    <x v="24"/>
    <x v="186"/>
    <x v="10"/>
    <x v="10"/>
    <x v="1"/>
    <x v="0"/>
    <x v="33"/>
    <x v="321"/>
    <x v="759"/>
    <x v="0"/>
    <s v="DAVID"/>
    <x v="2"/>
  </r>
  <r>
    <x v="24"/>
    <x v="329"/>
    <x v="10"/>
    <x v="10"/>
    <x v="1"/>
    <x v="0"/>
    <x v="33"/>
    <x v="380"/>
    <x v="146"/>
    <x v="0"/>
    <s v="DAVID"/>
    <x v="2"/>
  </r>
  <r>
    <x v="24"/>
    <x v="199"/>
    <x v="10"/>
    <x v="10"/>
    <x v="1"/>
    <x v="0"/>
    <x v="33"/>
    <x v="298"/>
    <x v="146"/>
    <x v="0"/>
    <s v="DAVID"/>
    <x v="2"/>
  </r>
  <r>
    <x v="24"/>
    <x v="189"/>
    <x v="10"/>
    <x v="10"/>
    <x v="1"/>
    <x v="0"/>
    <x v="33"/>
    <x v="345"/>
    <x v="874"/>
    <x v="0"/>
    <s v="DAVID"/>
    <x v="2"/>
  </r>
  <r>
    <x v="24"/>
    <x v="200"/>
    <x v="11"/>
    <x v="11"/>
    <x v="1"/>
    <x v="0"/>
    <x v="33"/>
    <x v="351"/>
    <x v="759"/>
    <x v="0"/>
    <s v="DAVID"/>
    <x v="2"/>
  </r>
  <r>
    <x v="24"/>
    <x v="325"/>
    <x v="11"/>
    <x v="11"/>
    <x v="1"/>
    <x v="0"/>
    <x v="33"/>
    <x v="421"/>
    <x v="874"/>
    <x v="0"/>
    <s v="DAVID"/>
    <x v="2"/>
  </r>
  <r>
    <x v="24"/>
    <x v="282"/>
    <x v="11"/>
    <x v="11"/>
    <x v="1"/>
    <x v="0"/>
    <x v="33"/>
    <x v="358"/>
    <x v="899"/>
    <x v="0"/>
    <s v="DAVID"/>
    <x v="2"/>
  </r>
  <r>
    <x v="24"/>
    <x v="187"/>
    <x v="11"/>
    <x v="11"/>
    <x v="1"/>
    <x v="0"/>
    <x v="33"/>
    <x v="328"/>
    <x v="874"/>
    <x v="0"/>
    <s v="DAVID"/>
    <x v="2"/>
  </r>
  <r>
    <x v="24"/>
    <x v="201"/>
    <x v="11"/>
    <x v="11"/>
    <x v="1"/>
    <x v="0"/>
    <x v="33"/>
    <x v="422"/>
    <x v="874"/>
    <x v="0"/>
    <s v="DAVID"/>
    <x v="2"/>
  </r>
  <r>
    <x v="24"/>
    <x v="299"/>
    <x v="11"/>
    <x v="11"/>
    <x v="1"/>
    <x v="0"/>
    <x v="33"/>
    <x v="315"/>
    <x v="874"/>
    <x v="0"/>
    <s v="DAVID"/>
    <x v="2"/>
  </r>
  <r>
    <x v="24"/>
    <x v="302"/>
    <x v="11"/>
    <x v="11"/>
    <x v="1"/>
    <x v="0"/>
    <x v="33"/>
    <x v="324"/>
    <x v="146"/>
    <x v="0"/>
    <s v="DAVID"/>
    <x v="2"/>
  </r>
  <r>
    <x v="24"/>
    <x v="202"/>
    <x v="11"/>
    <x v="11"/>
    <x v="1"/>
    <x v="0"/>
    <x v="33"/>
    <x v="305"/>
    <x v="874"/>
    <x v="0"/>
    <s v="DAVID"/>
    <x v="2"/>
  </r>
  <r>
    <x v="24"/>
    <x v="311"/>
    <x v="11"/>
    <x v="11"/>
    <x v="1"/>
    <x v="0"/>
    <x v="33"/>
    <x v="440"/>
    <x v="759"/>
    <x v="0"/>
    <s v="DAVID"/>
    <x v="2"/>
  </r>
  <r>
    <x v="24"/>
    <x v="330"/>
    <x v="11"/>
    <x v="11"/>
    <x v="1"/>
    <x v="0"/>
    <x v="33"/>
    <x v="381"/>
    <x v="874"/>
    <x v="0"/>
    <s v="DAVID"/>
    <x v="2"/>
  </r>
  <r>
    <x v="24"/>
    <x v="275"/>
    <x v="11"/>
    <x v="11"/>
    <x v="1"/>
    <x v="0"/>
    <x v="33"/>
    <x v="307"/>
    <x v="874"/>
    <x v="0"/>
    <s v="DAVID"/>
    <x v="2"/>
  </r>
  <r>
    <x v="24"/>
    <x v="223"/>
    <x v="2"/>
    <x v="2"/>
    <x v="1"/>
    <x v="0"/>
    <x v="33"/>
    <x v="434"/>
    <x v="952"/>
    <x v="0"/>
    <s v="DAVID"/>
    <x v="2"/>
  </r>
  <r>
    <x v="24"/>
    <x v="276"/>
    <x v="2"/>
    <x v="2"/>
    <x v="1"/>
    <x v="0"/>
    <x v="33"/>
    <x v="385"/>
    <x v="759"/>
    <x v="0"/>
    <s v="DAVID"/>
    <x v="2"/>
  </r>
  <r>
    <x v="24"/>
    <x v="183"/>
    <x v="2"/>
    <x v="2"/>
    <x v="1"/>
    <x v="0"/>
    <x v="33"/>
    <x v="330"/>
    <x v="759"/>
    <x v="0"/>
    <s v="DAVID"/>
    <x v="2"/>
  </r>
  <r>
    <x v="24"/>
    <x v="235"/>
    <x v="2"/>
    <x v="2"/>
    <x v="1"/>
    <x v="0"/>
    <x v="33"/>
    <x v="393"/>
    <x v="874"/>
    <x v="0"/>
    <s v="DAVID"/>
    <x v="2"/>
  </r>
  <r>
    <x v="24"/>
    <x v="281"/>
    <x v="6"/>
    <x v="6"/>
    <x v="1"/>
    <x v="0"/>
    <x v="33"/>
    <x v="395"/>
    <x v="146"/>
    <x v="0"/>
    <s v="DAVID"/>
    <x v="2"/>
  </r>
  <r>
    <x v="24"/>
    <x v="285"/>
    <x v="6"/>
    <x v="6"/>
    <x v="1"/>
    <x v="0"/>
    <x v="33"/>
    <x v="409"/>
    <x v="146"/>
    <x v="0"/>
    <s v="DAVID"/>
    <x v="2"/>
  </r>
  <r>
    <x v="24"/>
    <x v="217"/>
    <x v="6"/>
    <x v="6"/>
    <x v="1"/>
    <x v="0"/>
    <x v="33"/>
    <x v="323"/>
    <x v="874"/>
    <x v="0"/>
    <s v="DAVID"/>
    <x v="2"/>
  </r>
  <r>
    <x v="24"/>
    <x v="305"/>
    <x v="6"/>
    <x v="6"/>
    <x v="1"/>
    <x v="0"/>
    <x v="33"/>
    <x v="331"/>
    <x v="759"/>
    <x v="0"/>
    <s v="DAVID"/>
    <x v="2"/>
  </r>
  <r>
    <x v="24"/>
    <x v="314"/>
    <x v="6"/>
    <x v="6"/>
    <x v="1"/>
    <x v="0"/>
    <x v="33"/>
    <x v="372"/>
    <x v="759"/>
    <x v="0"/>
    <s v="DAVID"/>
    <x v="2"/>
  </r>
  <r>
    <x v="24"/>
    <x v="296"/>
    <x v="6"/>
    <x v="6"/>
    <x v="1"/>
    <x v="0"/>
    <x v="33"/>
    <x v="312"/>
    <x v="874"/>
    <x v="0"/>
    <s v="DAVID"/>
    <x v="2"/>
  </r>
  <r>
    <x v="24"/>
    <x v="204"/>
    <x v="6"/>
    <x v="6"/>
    <x v="1"/>
    <x v="0"/>
    <x v="33"/>
    <x v="317"/>
    <x v="765"/>
    <x v="0"/>
    <s v="DAVID"/>
    <x v="2"/>
  </r>
  <r>
    <x v="24"/>
    <x v="297"/>
    <x v="6"/>
    <x v="6"/>
    <x v="1"/>
    <x v="0"/>
    <x v="33"/>
    <x v="313"/>
    <x v="759"/>
    <x v="0"/>
    <s v="DAVID"/>
    <x v="2"/>
  </r>
  <r>
    <x v="24"/>
    <x v="218"/>
    <x v="6"/>
    <x v="6"/>
    <x v="1"/>
    <x v="0"/>
    <x v="33"/>
    <x v="451"/>
    <x v="759"/>
    <x v="0"/>
    <s v="DAVID"/>
    <x v="2"/>
  </r>
  <r>
    <x v="24"/>
    <x v="271"/>
    <x v="6"/>
    <x v="6"/>
    <x v="1"/>
    <x v="0"/>
    <x v="33"/>
    <x v="426"/>
    <x v="874"/>
    <x v="0"/>
    <s v="DAVID"/>
    <x v="2"/>
  </r>
  <r>
    <x v="24"/>
    <x v="174"/>
    <x v="6"/>
    <x v="6"/>
    <x v="1"/>
    <x v="0"/>
    <x v="33"/>
    <x v="282"/>
    <x v="874"/>
    <x v="0"/>
    <s v="DAVID"/>
    <x v="2"/>
  </r>
  <r>
    <x v="24"/>
    <x v="229"/>
    <x v="6"/>
    <x v="6"/>
    <x v="1"/>
    <x v="0"/>
    <x v="33"/>
    <x v="281"/>
    <x v="874"/>
    <x v="0"/>
    <s v="DAVID"/>
    <x v="2"/>
  </r>
  <r>
    <x v="24"/>
    <x v="245"/>
    <x v="8"/>
    <x v="8"/>
    <x v="1"/>
    <x v="1"/>
    <x v="33"/>
    <x v="285"/>
    <x v="874"/>
    <x v="0"/>
    <s v="DAVID"/>
    <x v="2"/>
  </r>
  <r>
    <x v="25"/>
    <x v="310"/>
    <x v="10"/>
    <x v="10"/>
    <x v="1"/>
    <x v="2"/>
    <x v="32"/>
    <x v="335"/>
    <x v="3095"/>
    <x v="0"/>
    <s v="PLAZA LAS AMERICAS"/>
    <x v="2"/>
  </r>
  <r>
    <x v="25"/>
    <x v="315"/>
    <x v="2"/>
    <x v="2"/>
    <x v="1"/>
    <x v="2"/>
    <x v="32"/>
    <x v="405"/>
    <x v="3096"/>
    <x v="0"/>
    <s v="PLAZA LAS AMERICAS"/>
    <x v="2"/>
  </r>
  <r>
    <x v="26"/>
    <x v="175"/>
    <x v="9"/>
    <x v="9"/>
    <x v="1"/>
    <x v="2"/>
    <x v="32"/>
    <x v="389"/>
    <x v="3097"/>
    <x v="0"/>
    <s v="CORONADO"/>
    <x v="2"/>
  </r>
  <r>
    <x v="26"/>
    <x v="243"/>
    <x v="10"/>
    <x v="10"/>
    <x v="1"/>
    <x v="2"/>
    <x v="32"/>
    <x v="411"/>
    <x v="1331"/>
    <x v="0"/>
    <s v="CORONADO"/>
    <x v="2"/>
  </r>
  <r>
    <x v="26"/>
    <x v="189"/>
    <x v="10"/>
    <x v="10"/>
    <x v="1"/>
    <x v="0"/>
    <x v="33"/>
    <x v="345"/>
    <x v="874"/>
    <x v="0"/>
    <s v="CORONADO"/>
    <x v="2"/>
  </r>
  <r>
    <x v="27"/>
    <x v="205"/>
    <x v="7"/>
    <x v="7"/>
    <x v="1"/>
    <x v="0"/>
    <x v="33"/>
    <x v="299"/>
    <x v="874"/>
    <x v="0"/>
    <s v="ALBROOK MALL"/>
    <x v="2"/>
  </r>
  <r>
    <x v="27"/>
    <x v="251"/>
    <x v="8"/>
    <x v="8"/>
    <x v="1"/>
    <x v="0"/>
    <x v="33"/>
    <x v="291"/>
    <x v="874"/>
    <x v="0"/>
    <s v="ALBROOK MALL"/>
    <x v="2"/>
  </r>
  <r>
    <x v="27"/>
    <x v="245"/>
    <x v="8"/>
    <x v="8"/>
    <x v="1"/>
    <x v="0"/>
    <x v="33"/>
    <x v="285"/>
    <x v="874"/>
    <x v="0"/>
    <s v="ALBROOK MALL"/>
    <x v="2"/>
  </r>
  <r>
    <x v="27"/>
    <x v="338"/>
    <x v="9"/>
    <x v="9"/>
    <x v="1"/>
    <x v="0"/>
    <x v="33"/>
    <x v="425"/>
    <x v="874"/>
    <x v="0"/>
    <s v="ALBROOK MALL"/>
    <x v="2"/>
  </r>
  <r>
    <x v="27"/>
    <x v="233"/>
    <x v="10"/>
    <x v="10"/>
    <x v="1"/>
    <x v="0"/>
    <x v="33"/>
    <x v="344"/>
    <x v="874"/>
    <x v="0"/>
    <s v="ALBROOK MALL"/>
    <x v="2"/>
  </r>
  <r>
    <x v="28"/>
    <x v="306"/>
    <x v="9"/>
    <x v="9"/>
    <x v="1"/>
    <x v="2"/>
    <x v="32"/>
    <x v="336"/>
    <x v="2872"/>
    <x v="0"/>
    <s v="PANAMA PACIFICO"/>
    <x v="2"/>
  </r>
  <r>
    <x v="28"/>
    <x v="274"/>
    <x v="11"/>
    <x v="11"/>
    <x v="1"/>
    <x v="2"/>
    <x v="32"/>
    <x v="404"/>
    <x v="3098"/>
    <x v="0"/>
    <s v="PANAMA PACIFICO"/>
    <x v="2"/>
  </r>
  <r>
    <x v="73"/>
    <x v="238"/>
    <x v="9"/>
    <x v="9"/>
    <x v="1"/>
    <x v="2"/>
    <x v="32"/>
    <x v="379"/>
    <x v="1046"/>
    <x v="0"/>
    <s v="PENONOME"/>
    <x v="2"/>
  </r>
  <r>
    <x v="73"/>
    <x v="177"/>
    <x v="11"/>
    <x v="11"/>
    <x v="1"/>
    <x v="2"/>
    <x v="32"/>
    <x v="346"/>
    <x v="1046"/>
    <x v="0"/>
    <s v="PENONOME"/>
    <x v="2"/>
  </r>
  <r>
    <x v="73"/>
    <x v="183"/>
    <x v="2"/>
    <x v="2"/>
    <x v="1"/>
    <x v="2"/>
    <x v="32"/>
    <x v="330"/>
    <x v="858"/>
    <x v="0"/>
    <s v="PENONOME"/>
    <x v="2"/>
  </r>
  <r>
    <x v="29"/>
    <x v="238"/>
    <x v="9"/>
    <x v="9"/>
    <x v="1"/>
    <x v="2"/>
    <x v="32"/>
    <x v="379"/>
    <x v="3099"/>
    <x v="0"/>
    <s v="ALBROOK"/>
    <x v="2"/>
  </r>
  <r>
    <x v="29"/>
    <x v="327"/>
    <x v="7"/>
    <x v="7"/>
    <x v="1"/>
    <x v="0"/>
    <x v="33"/>
    <x v="387"/>
    <x v="874"/>
    <x v="0"/>
    <s v="ALBROOK"/>
    <x v="2"/>
  </r>
  <r>
    <x v="29"/>
    <x v="309"/>
    <x v="7"/>
    <x v="7"/>
    <x v="1"/>
    <x v="0"/>
    <x v="33"/>
    <x v="334"/>
    <x v="765"/>
    <x v="0"/>
    <s v="ALBROOK"/>
    <x v="2"/>
  </r>
  <r>
    <x v="29"/>
    <x v="254"/>
    <x v="8"/>
    <x v="8"/>
    <x v="1"/>
    <x v="0"/>
    <x v="33"/>
    <x v="326"/>
    <x v="759"/>
    <x v="0"/>
    <s v="ALBROOK"/>
    <x v="2"/>
  </r>
  <r>
    <x v="29"/>
    <x v="195"/>
    <x v="8"/>
    <x v="8"/>
    <x v="1"/>
    <x v="0"/>
    <x v="33"/>
    <x v="373"/>
    <x v="874"/>
    <x v="0"/>
    <s v="ALBROOK"/>
    <x v="2"/>
  </r>
  <r>
    <x v="29"/>
    <x v="219"/>
    <x v="9"/>
    <x v="9"/>
    <x v="1"/>
    <x v="0"/>
    <x v="33"/>
    <x v="308"/>
    <x v="874"/>
    <x v="0"/>
    <s v="ALBROOK"/>
    <x v="2"/>
  </r>
  <r>
    <x v="29"/>
    <x v="268"/>
    <x v="10"/>
    <x v="10"/>
    <x v="1"/>
    <x v="0"/>
    <x v="33"/>
    <x v="339"/>
    <x v="874"/>
    <x v="0"/>
    <s v="ALBROOK"/>
    <x v="2"/>
  </r>
  <r>
    <x v="29"/>
    <x v="248"/>
    <x v="10"/>
    <x v="10"/>
    <x v="1"/>
    <x v="0"/>
    <x v="33"/>
    <x v="304"/>
    <x v="874"/>
    <x v="0"/>
    <s v="ALBROOK"/>
    <x v="2"/>
  </r>
  <r>
    <x v="29"/>
    <x v="187"/>
    <x v="11"/>
    <x v="11"/>
    <x v="1"/>
    <x v="0"/>
    <x v="33"/>
    <x v="328"/>
    <x v="759"/>
    <x v="0"/>
    <s v="ALBROOK"/>
    <x v="2"/>
  </r>
  <r>
    <x v="29"/>
    <x v="249"/>
    <x v="11"/>
    <x v="11"/>
    <x v="1"/>
    <x v="0"/>
    <x v="33"/>
    <x v="359"/>
    <x v="874"/>
    <x v="0"/>
    <s v="ALBROOK"/>
    <x v="2"/>
  </r>
  <r>
    <x v="29"/>
    <x v="315"/>
    <x v="2"/>
    <x v="2"/>
    <x v="1"/>
    <x v="0"/>
    <x v="33"/>
    <x v="405"/>
    <x v="874"/>
    <x v="0"/>
    <s v="ALBROOK"/>
    <x v="2"/>
  </r>
  <r>
    <x v="29"/>
    <x v="223"/>
    <x v="2"/>
    <x v="2"/>
    <x v="1"/>
    <x v="0"/>
    <x v="33"/>
    <x v="434"/>
    <x v="874"/>
    <x v="0"/>
    <s v="ALBROOK"/>
    <x v="2"/>
  </r>
  <r>
    <x v="29"/>
    <x v="276"/>
    <x v="2"/>
    <x v="2"/>
    <x v="1"/>
    <x v="0"/>
    <x v="33"/>
    <x v="385"/>
    <x v="874"/>
    <x v="0"/>
    <s v="ALBROOK"/>
    <x v="2"/>
  </r>
  <r>
    <x v="29"/>
    <x v="281"/>
    <x v="6"/>
    <x v="6"/>
    <x v="1"/>
    <x v="0"/>
    <x v="33"/>
    <x v="395"/>
    <x v="874"/>
    <x v="0"/>
    <s v="ALBROOK"/>
    <x v="2"/>
  </r>
  <r>
    <x v="29"/>
    <x v="183"/>
    <x v="2"/>
    <x v="2"/>
    <x v="1"/>
    <x v="1"/>
    <x v="33"/>
    <x v="330"/>
    <x v="874"/>
    <x v="0"/>
    <s v="ALBROOK"/>
    <x v="2"/>
  </r>
  <r>
    <x v="30"/>
    <x v="277"/>
    <x v="7"/>
    <x v="7"/>
    <x v="1"/>
    <x v="2"/>
    <x v="32"/>
    <x v="325"/>
    <x v="3100"/>
    <x v="0"/>
    <s v="SUCURSAL DE VISTA ALEGRE"/>
    <x v="2"/>
  </r>
  <r>
    <x v="30"/>
    <x v="261"/>
    <x v="8"/>
    <x v="8"/>
    <x v="1"/>
    <x v="2"/>
    <x v="33"/>
    <x v="320"/>
    <x v="759"/>
    <x v="0"/>
    <s v="SUCURSAL DE VISTA ALEGRE"/>
    <x v="2"/>
  </r>
  <r>
    <x v="30"/>
    <x v="194"/>
    <x v="9"/>
    <x v="9"/>
    <x v="1"/>
    <x v="2"/>
    <x v="32"/>
    <x v="390"/>
    <x v="3018"/>
    <x v="0"/>
    <s v="SUCURSAL DE VISTA ALEGRE"/>
    <x v="2"/>
  </r>
  <r>
    <x v="30"/>
    <x v="310"/>
    <x v="10"/>
    <x v="10"/>
    <x v="1"/>
    <x v="2"/>
    <x v="32"/>
    <x v="335"/>
    <x v="3101"/>
    <x v="0"/>
    <s v="SUCURSAL DE VISTA ALEGRE"/>
    <x v="2"/>
  </r>
  <r>
    <x v="30"/>
    <x v="199"/>
    <x v="10"/>
    <x v="10"/>
    <x v="1"/>
    <x v="2"/>
    <x v="33"/>
    <x v="298"/>
    <x v="874"/>
    <x v="0"/>
    <s v="SUCURSAL DE VISTA ALEGRE"/>
    <x v="2"/>
  </r>
  <r>
    <x v="30"/>
    <x v="200"/>
    <x v="11"/>
    <x v="11"/>
    <x v="1"/>
    <x v="2"/>
    <x v="32"/>
    <x v="351"/>
    <x v="3102"/>
    <x v="0"/>
    <s v="SUCURSAL DE VISTA ALEGRE"/>
    <x v="2"/>
  </r>
  <r>
    <x v="30"/>
    <x v="182"/>
    <x v="2"/>
    <x v="2"/>
    <x v="1"/>
    <x v="2"/>
    <x v="33"/>
    <x v="392"/>
    <x v="874"/>
    <x v="0"/>
    <s v="SUCURSAL DE VISTA ALEGRE"/>
    <x v="2"/>
  </r>
  <r>
    <x v="30"/>
    <x v="217"/>
    <x v="6"/>
    <x v="6"/>
    <x v="1"/>
    <x v="2"/>
    <x v="32"/>
    <x v="323"/>
    <x v="3101"/>
    <x v="0"/>
    <s v="SUCURSAL DE VISTA ALEGRE"/>
    <x v="2"/>
  </r>
  <r>
    <x v="30"/>
    <x v="265"/>
    <x v="6"/>
    <x v="6"/>
    <x v="1"/>
    <x v="2"/>
    <x v="33"/>
    <x v="386"/>
    <x v="874"/>
    <x v="0"/>
    <s v="SUCURSAL DE VISTA ALEGRE"/>
    <x v="2"/>
  </r>
  <r>
    <x v="30"/>
    <x v="308"/>
    <x v="7"/>
    <x v="7"/>
    <x v="1"/>
    <x v="0"/>
    <x v="33"/>
    <x v="333"/>
    <x v="874"/>
    <x v="0"/>
    <s v="SUCURSAL DE VISTA ALEGRE"/>
    <x v="2"/>
  </r>
  <r>
    <x v="30"/>
    <x v="327"/>
    <x v="7"/>
    <x v="7"/>
    <x v="1"/>
    <x v="0"/>
    <x v="33"/>
    <x v="387"/>
    <x v="765"/>
    <x v="0"/>
    <s v="SUCURSAL DE VISTA ALEGRE"/>
    <x v="2"/>
  </r>
  <r>
    <x v="30"/>
    <x v="209"/>
    <x v="7"/>
    <x v="7"/>
    <x v="1"/>
    <x v="0"/>
    <x v="33"/>
    <x v="428"/>
    <x v="759"/>
    <x v="0"/>
    <s v="SUCURSAL DE VISTA ALEGRE"/>
    <x v="2"/>
  </r>
  <r>
    <x v="30"/>
    <x v="251"/>
    <x v="8"/>
    <x v="8"/>
    <x v="1"/>
    <x v="0"/>
    <x v="33"/>
    <x v="291"/>
    <x v="899"/>
    <x v="0"/>
    <s v="SUCURSAL DE VISTA ALEGRE"/>
    <x v="2"/>
  </r>
  <r>
    <x v="30"/>
    <x v="192"/>
    <x v="8"/>
    <x v="8"/>
    <x v="1"/>
    <x v="0"/>
    <x v="33"/>
    <x v="300"/>
    <x v="759"/>
    <x v="0"/>
    <s v="SUCURSAL DE VISTA ALEGRE"/>
    <x v="2"/>
  </r>
  <r>
    <x v="30"/>
    <x v="254"/>
    <x v="8"/>
    <x v="8"/>
    <x v="1"/>
    <x v="0"/>
    <x v="33"/>
    <x v="326"/>
    <x v="874"/>
    <x v="0"/>
    <s v="SUCURSAL DE VISTA ALEGRE"/>
    <x v="2"/>
  </r>
  <r>
    <x v="30"/>
    <x v="245"/>
    <x v="8"/>
    <x v="8"/>
    <x v="1"/>
    <x v="0"/>
    <x v="33"/>
    <x v="285"/>
    <x v="765"/>
    <x v="0"/>
    <s v="SUCURSAL DE VISTA ALEGRE"/>
    <x v="2"/>
  </r>
  <r>
    <x v="30"/>
    <x v="226"/>
    <x v="8"/>
    <x v="8"/>
    <x v="1"/>
    <x v="0"/>
    <x v="33"/>
    <x v="376"/>
    <x v="874"/>
    <x v="0"/>
    <s v="SUCURSAL DE VISTA ALEGRE"/>
    <x v="2"/>
  </r>
  <r>
    <x v="30"/>
    <x v="337"/>
    <x v="9"/>
    <x v="9"/>
    <x v="1"/>
    <x v="0"/>
    <x v="33"/>
    <x v="424"/>
    <x v="759"/>
    <x v="0"/>
    <s v="SUCURSAL DE VISTA ALEGRE"/>
    <x v="2"/>
  </r>
  <r>
    <x v="30"/>
    <x v="303"/>
    <x v="9"/>
    <x v="9"/>
    <x v="1"/>
    <x v="0"/>
    <x v="33"/>
    <x v="327"/>
    <x v="759"/>
    <x v="0"/>
    <s v="SUCURSAL DE VISTA ALEGRE"/>
    <x v="2"/>
  </r>
  <r>
    <x v="30"/>
    <x v="197"/>
    <x v="9"/>
    <x v="9"/>
    <x v="1"/>
    <x v="0"/>
    <x v="33"/>
    <x v="432"/>
    <x v="146"/>
    <x v="0"/>
    <s v="SUCURSAL DE VISTA ALEGRE"/>
    <x v="2"/>
  </r>
  <r>
    <x v="30"/>
    <x v="331"/>
    <x v="9"/>
    <x v="9"/>
    <x v="1"/>
    <x v="0"/>
    <x v="33"/>
    <x v="391"/>
    <x v="874"/>
    <x v="0"/>
    <s v="SUCURSAL DE VISTA ALEGRE"/>
    <x v="2"/>
  </r>
  <r>
    <x v="30"/>
    <x v="230"/>
    <x v="9"/>
    <x v="9"/>
    <x v="1"/>
    <x v="0"/>
    <x v="33"/>
    <x v="283"/>
    <x v="874"/>
    <x v="0"/>
    <s v="SUCURSAL DE VISTA ALEGRE"/>
    <x v="2"/>
  </r>
  <r>
    <x v="30"/>
    <x v="198"/>
    <x v="10"/>
    <x v="10"/>
    <x v="1"/>
    <x v="0"/>
    <x v="33"/>
    <x v="338"/>
    <x v="874"/>
    <x v="0"/>
    <s v="SUCURSAL DE VISTA ALEGRE"/>
    <x v="2"/>
  </r>
  <r>
    <x v="30"/>
    <x v="317"/>
    <x v="10"/>
    <x v="10"/>
    <x v="1"/>
    <x v="0"/>
    <x v="33"/>
    <x v="401"/>
    <x v="759"/>
    <x v="0"/>
    <s v="SUCURSAL DE VISTA ALEGRE"/>
    <x v="2"/>
  </r>
  <r>
    <x v="30"/>
    <x v="243"/>
    <x v="10"/>
    <x v="10"/>
    <x v="1"/>
    <x v="0"/>
    <x v="33"/>
    <x v="411"/>
    <x v="874"/>
    <x v="0"/>
    <s v="SUCURSAL DE VISTA ALEGRE"/>
    <x v="2"/>
  </r>
  <r>
    <x v="30"/>
    <x v="186"/>
    <x v="10"/>
    <x v="10"/>
    <x v="1"/>
    <x v="0"/>
    <x v="33"/>
    <x v="321"/>
    <x v="874"/>
    <x v="0"/>
    <s v="SUCURSAL DE VISTA ALEGRE"/>
    <x v="2"/>
  </r>
  <r>
    <x v="30"/>
    <x v="339"/>
    <x v="10"/>
    <x v="10"/>
    <x v="1"/>
    <x v="0"/>
    <x v="33"/>
    <x v="427"/>
    <x v="874"/>
    <x v="0"/>
    <s v="SUCURSAL DE VISTA ALEGRE"/>
    <x v="2"/>
  </r>
  <r>
    <x v="30"/>
    <x v="248"/>
    <x v="10"/>
    <x v="10"/>
    <x v="1"/>
    <x v="0"/>
    <x v="33"/>
    <x v="304"/>
    <x v="874"/>
    <x v="0"/>
    <s v="SUCURSAL DE VISTA ALEGRE"/>
    <x v="2"/>
  </r>
  <r>
    <x v="30"/>
    <x v="189"/>
    <x v="10"/>
    <x v="10"/>
    <x v="1"/>
    <x v="0"/>
    <x v="33"/>
    <x v="345"/>
    <x v="146"/>
    <x v="0"/>
    <s v="SUCURSAL DE VISTA ALEGRE"/>
    <x v="2"/>
  </r>
  <r>
    <x v="30"/>
    <x v="269"/>
    <x v="11"/>
    <x v="11"/>
    <x v="1"/>
    <x v="0"/>
    <x v="33"/>
    <x v="403"/>
    <x v="874"/>
    <x v="0"/>
    <s v="SUCURSAL DE VISTA ALEGRE"/>
    <x v="2"/>
  </r>
  <r>
    <x v="30"/>
    <x v="325"/>
    <x v="11"/>
    <x v="11"/>
    <x v="1"/>
    <x v="0"/>
    <x v="33"/>
    <x v="421"/>
    <x v="759"/>
    <x v="0"/>
    <s v="SUCURSAL DE VISTA ALEGRE"/>
    <x v="2"/>
  </r>
  <r>
    <x v="30"/>
    <x v="282"/>
    <x v="11"/>
    <x v="11"/>
    <x v="1"/>
    <x v="0"/>
    <x v="33"/>
    <x v="358"/>
    <x v="759"/>
    <x v="0"/>
    <s v="SUCURSAL DE VISTA ALEGRE"/>
    <x v="2"/>
  </r>
  <r>
    <x v="30"/>
    <x v="220"/>
    <x v="11"/>
    <x v="11"/>
    <x v="1"/>
    <x v="0"/>
    <x v="33"/>
    <x v="309"/>
    <x v="874"/>
    <x v="0"/>
    <s v="SUCURSAL DE VISTA ALEGRE"/>
    <x v="2"/>
  </r>
  <r>
    <x v="30"/>
    <x v="177"/>
    <x v="11"/>
    <x v="11"/>
    <x v="1"/>
    <x v="0"/>
    <x v="33"/>
    <x v="346"/>
    <x v="759"/>
    <x v="0"/>
    <s v="SUCURSAL DE VISTA ALEGRE"/>
    <x v="2"/>
  </r>
  <r>
    <x v="30"/>
    <x v="201"/>
    <x v="11"/>
    <x v="11"/>
    <x v="1"/>
    <x v="0"/>
    <x v="33"/>
    <x v="422"/>
    <x v="874"/>
    <x v="0"/>
    <s v="SUCURSAL DE VISTA ALEGRE"/>
    <x v="2"/>
  </r>
  <r>
    <x v="30"/>
    <x v="249"/>
    <x v="11"/>
    <x v="11"/>
    <x v="1"/>
    <x v="0"/>
    <x v="33"/>
    <x v="359"/>
    <x v="759"/>
    <x v="0"/>
    <s v="SUCURSAL DE VISTA ALEGRE"/>
    <x v="2"/>
  </r>
  <r>
    <x v="30"/>
    <x v="302"/>
    <x v="11"/>
    <x v="11"/>
    <x v="1"/>
    <x v="0"/>
    <x v="33"/>
    <x v="324"/>
    <x v="934"/>
    <x v="0"/>
    <s v="SUCURSAL DE VISTA ALEGRE"/>
    <x v="2"/>
  </r>
  <r>
    <x v="30"/>
    <x v="311"/>
    <x v="11"/>
    <x v="11"/>
    <x v="1"/>
    <x v="0"/>
    <x v="33"/>
    <x v="440"/>
    <x v="874"/>
    <x v="0"/>
    <s v="SUCURSAL DE VISTA ALEGRE"/>
    <x v="2"/>
  </r>
  <r>
    <x v="30"/>
    <x v="330"/>
    <x v="11"/>
    <x v="11"/>
    <x v="1"/>
    <x v="0"/>
    <x v="33"/>
    <x v="381"/>
    <x v="874"/>
    <x v="0"/>
    <s v="SUCURSAL DE VISTA ALEGRE"/>
    <x v="2"/>
  </r>
  <r>
    <x v="30"/>
    <x v="214"/>
    <x v="11"/>
    <x v="11"/>
    <x v="1"/>
    <x v="0"/>
    <x v="33"/>
    <x v="306"/>
    <x v="759"/>
    <x v="0"/>
    <s v="SUCURSAL DE VISTA ALEGRE"/>
    <x v="2"/>
  </r>
  <r>
    <x v="30"/>
    <x v="300"/>
    <x v="2"/>
    <x v="2"/>
    <x v="1"/>
    <x v="0"/>
    <x v="33"/>
    <x v="316"/>
    <x v="759"/>
    <x v="0"/>
    <s v="SUCURSAL DE VISTA ALEGRE"/>
    <x v="2"/>
  </r>
  <r>
    <x v="30"/>
    <x v="315"/>
    <x v="2"/>
    <x v="2"/>
    <x v="1"/>
    <x v="0"/>
    <x v="33"/>
    <x v="405"/>
    <x v="146"/>
    <x v="0"/>
    <s v="SUCURSAL DE VISTA ALEGRE"/>
    <x v="2"/>
  </r>
  <r>
    <x v="30"/>
    <x v="215"/>
    <x v="2"/>
    <x v="2"/>
    <x v="1"/>
    <x v="0"/>
    <x v="33"/>
    <x v="322"/>
    <x v="759"/>
    <x v="0"/>
    <s v="SUCURSAL DE VISTA ALEGRE"/>
    <x v="2"/>
  </r>
  <r>
    <x v="30"/>
    <x v="334"/>
    <x v="2"/>
    <x v="2"/>
    <x v="1"/>
    <x v="0"/>
    <x v="33"/>
    <x v="406"/>
    <x v="874"/>
    <x v="0"/>
    <s v="SUCURSAL DE VISTA ALEGRE"/>
    <x v="2"/>
  </r>
  <r>
    <x v="30"/>
    <x v="284"/>
    <x v="2"/>
    <x v="2"/>
    <x v="1"/>
    <x v="0"/>
    <x v="33"/>
    <x v="383"/>
    <x v="874"/>
    <x v="0"/>
    <s v="SUCURSAL DE VISTA ALEGRE"/>
    <x v="2"/>
  </r>
  <r>
    <x v="30"/>
    <x v="216"/>
    <x v="2"/>
    <x v="2"/>
    <x v="1"/>
    <x v="0"/>
    <x v="33"/>
    <x v="332"/>
    <x v="759"/>
    <x v="0"/>
    <s v="SUCURSAL DE VISTA ALEGRE"/>
    <x v="2"/>
  </r>
  <r>
    <x v="30"/>
    <x v="257"/>
    <x v="2"/>
    <x v="2"/>
    <x v="1"/>
    <x v="0"/>
    <x v="33"/>
    <x v="410"/>
    <x v="874"/>
    <x v="0"/>
    <s v="SUCURSAL DE VISTA ALEGRE"/>
    <x v="2"/>
  </r>
  <r>
    <x v="30"/>
    <x v="223"/>
    <x v="2"/>
    <x v="2"/>
    <x v="1"/>
    <x v="0"/>
    <x v="33"/>
    <x v="434"/>
    <x v="759"/>
    <x v="0"/>
    <s v="SUCURSAL DE VISTA ALEGRE"/>
    <x v="2"/>
  </r>
  <r>
    <x v="30"/>
    <x v="316"/>
    <x v="2"/>
    <x v="2"/>
    <x v="1"/>
    <x v="0"/>
    <x v="33"/>
    <x v="348"/>
    <x v="874"/>
    <x v="0"/>
    <s v="SUCURSAL DE VISTA ALEGRE"/>
    <x v="2"/>
  </r>
  <r>
    <x v="30"/>
    <x v="276"/>
    <x v="2"/>
    <x v="2"/>
    <x v="1"/>
    <x v="0"/>
    <x v="33"/>
    <x v="385"/>
    <x v="759"/>
    <x v="0"/>
    <s v="SUCURSAL DE VISTA ALEGRE"/>
    <x v="2"/>
  </r>
  <r>
    <x v="30"/>
    <x v="304"/>
    <x v="2"/>
    <x v="2"/>
    <x v="1"/>
    <x v="0"/>
    <x v="33"/>
    <x v="329"/>
    <x v="759"/>
    <x v="0"/>
    <s v="SUCURSAL DE VISTA ALEGRE"/>
    <x v="2"/>
  </r>
  <r>
    <x v="30"/>
    <x v="183"/>
    <x v="2"/>
    <x v="2"/>
    <x v="1"/>
    <x v="0"/>
    <x v="33"/>
    <x v="330"/>
    <x v="759"/>
    <x v="0"/>
    <s v="SUCURSAL DE VISTA ALEGRE"/>
    <x v="2"/>
  </r>
  <r>
    <x v="30"/>
    <x v="217"/>
    <x v="6"/>
    <x v="6"/>
    <x v="1"/>
    <x v="0"/>
    <x v="33"/>
    <x v="323"/>
    <x v="765"/>
    <x v="0"/>
    <s v="SUCURSAL DE VISTA ALEGRE"/>
    <x v="2"/>
  </r>
  <r>
    <x v="30"/>
    <x v="305"/>
    <x v="6"/>
    <x v="6"/>
    <x v="1"/>
    <x v="0"/>
    <x v="33"/>
    <x v="331"/>
    <x v="874"/>
    <x v="0"/>
    <s v="SUCURSAL DE VISTA ALEGRE"/>
    <x v="2"/>
  </r>
  <r>
    <x v="30"/>
    <x v="203"/>
    <x v="6"/>
    <x v="6"/>
    <x v="1"/>
    <x v="0"/>
    <x v="33"/>
    <x v="288"/>
    <x v="759"/>
    <x v="0"/>
    <s v="SUCURSAL DE VISTA ALEGRE"/>
    <x v="2"/>
  </r>
  <r>
    <x v="30"/>
    <x v="297"/>
    <x v="6"/>
    <x v="6"/>
    <x v="1"/>
    <x v="0"/>
    <x v="33"/>
    <x v="313"/>
    <x v="874"/>
    <x v="0"/>
    <s v="SUCURSAL DE VISTA ALEGRE"/>
    <x v="2"/>
  </r>
  <r>
    <x v="30"/>
    <x v="236"/>
    <x v="6"/>
    <x v="6"/>
    <x v="1"/>
    <x v="0"/>
    <x v="33"/>
    <x v="371"/>
    <x v="146"/>
    <x v="0"/>
    <s v="SUCURSAL DE VISTA ALEGRE"/>
    <x v="2"/>
  </r>
  <r>
    <x v="30"/>
    <x v="188"/>
    <x v="6"/>
    <x v="6"/>
    <x v="1"/>
    <x v="0"/>
    <x v="33"/>
    <x v="407"/>
    <x v="874"/>
    <x v="0"/>
    <s v="SUCURSAL DE VISTA ALEGRE"/>
    <x v="2"/>
  </r>
  <r>
    <x v="30"/>
    <x v="313"/>
    <x v="6"/>
    <x v="6"/>
    <x v="1"/>
    <x v="0"/>
    <x v="33"/>
    <x v="341"/>
    <x v="874"/>
    <x v="0"/>
    <s v="SUCURSAL DE VISTA ALEGRE"/>
    <x v="2"/>
  </r>
  <r>
    <x v="30"/>
    <x v="218"/>
    <x v="6"/>
    <x v="6"/>
    <x v="1"/>
    <x v="0"/>
    <x v="33"/>
    <x v="451"/>
    <x v="874"/>
    <x v="0"/>
    <s v="SUCURSAL DE VISTA ALEGRE"/>
    <x v="2"/>
  </r>
  <r>
    <x v="30"/>
    <x v="271"/>
    <x v="6"/>
    <x v="6"/>
    <x v="1"/>
    <x v="0"/>
    <x v="33"/>
    <x v="426"/>
    <x v="874"/>
    <x v="0"/>
    <s v="SUCURSAL DE VISTA ALEGRE"/>
    <x v="2"/>
  </r>
  <r>
    <x v="30"/>
    <x v="229"/>
    <x v="6"/>
    <x v="6"/>
    <x v="1"/>
    <x v="0"/>
    <x v="33"/>
    <x v="281"/>
    <x v="759"/>
    <x v="0"/>
    <s v="SUCURSAL DE VISTA ALEGRE"/>
    <x v="2"/>
  </r>
  <r>
    <x v="30"/>
    <x v="191"/>
    <x v="6"/>
    <x v="6"/>
    <x v="1"/>
    <x v="0"/>
    <x v="33"/>
    <x v="318"/>
    <x v="874"/>
    <x v="0"/>
    <s v="SUCURSAL DE VISTA ALEGRE"/>
    <x v="2"/>
  </r>
  <r>
    <x v="30"/>
    <x v="209"/>
    <x v="7"/>
    <x v="7"/>
    <x v="1"/>
    <x v="1"/>
    <x v="33"/>
    <x v="428"/>
    <x v="874"/>
    <x v="0"/>
    <s v="SUCURSAL DE VISTA ALEGRE"/>
    <x v="2"/>
  </r>
  <r>
    <x v="30"/>
    <x v="251"/>
    <x v="8"/>
    <x v="8"/>
    <x v="1"/>
    <x v="1"/>
    <x v="33"/>
    <x v="291"/>
    <x v="874"/>
    <x v="0"/>
    <s v="SUCURSAL DE VISTA ALEGRE"/>
    <x v="2"/>
  </r>
  <r>
    <x v="30"/>
    <x v="194"/>
    <x v="9"/>
    <x v="9"/>
    <x v="1"/>
    <x v="1"/>
    <x v="33"/>
    <x v="390"/>
    <x v="874"/>
    <x v="0"/>
    <s v="SUCURSAL DE VISTA ALEGRE"/>
    <x v="2"/>
  </r>
  <r>
    <x v="30"/>
    <x v="230"/>
    <x v="9"/>
    <x v="9"/>
    <x v="1"/>
    <x v="1"/>
    <x v="33"/>
    <x v="283"/>
    <x v="874"/>
    <x v="0"/>
    <s v="SUCURSAL DE VISTA ALEGRE"/>
    <x v="2"/>
  </r>
  <r>
    <x v="30"/>
    <x v="263"/>
    <x v="10"/>
    <x v="10"/>
    <x v="1"/>
    <x v="1"/>
    <x v="33"/>
    <x v="436"/>
    <x v="874"/>
    <x v="0"/>
    <s v="SUCURSAL DE VISTA ALEGRE"/>
    <x v="2"/>
  </r>
  <r>
    <x v="30"/>
    <x v="189"/>
    <x v="10"/>
    <x v="10"/>
    <x v="1"/>
    <x v="1"/>
    <x v="33"/>
    <x v="345"/>
    <x v="146"/>
    <x v="0"/>
    <s v="SUCURSAL DE VISTA ALEGRE"/>
    <x v="2"/>
  </r>
  <r>
    <x v="30"/>
    <x v="181"/>
    <x v="11"/>
    <x v="11"/>
    <x v="1"/>
    <x v="1"/>
    <x v="33"/>
    <x v="362"/>
    <x v="874"/>
    <x v="0"/>
    <s v="SUCURSAL DE VISTA ALEGRE"/>
    <x v="2"/>
  </r>
  <r>
    <x v="30"/>
    <x v="265"/>
    <x v="6"/>
    <x v="6"/>
    <x v="1"/>
    <x v="1"/>
    <x v="33"/>
    <x v="386"/>
    <x v="765"/>
    <x v="0"/>
    <s v="SUCURSAL DE VISTA ALEGRE"/>
    <x v="2"/>
  </r>
  <r>
    <x v="30"/>
    <x v="184"/>
    <x v="6"/>
    <x v="6"/>
    <x v="1"/>
    <x v="1"/>
    <x v="33"/>
    <x v="413"/>
    <x v="146"/>
    <x v="0"/>
    <s v="SUCURSAL DE VISTA ALEGRE"/>
    <x v="2"/>
  </r>
  <r>
    <x v="30"/>
    <x v="296"/>
    <x v="6"/>
    <x v="6"/>
    <x v="1"/>
    <x v="1"/>
    <x v="33"/>
    <x v="312"/>
    <x v="146"/>
    <x v="0"/>
    <s v="SUCURSAL DE VISTA ALEGRE"/>
    <x v="2"/>
  </r>
  <r>
    <x v="30"/>
    <x v="203"/>
    <x v="6"/>
    <x v="6"/>
    <x v="1"/>
    <x v="1"/>
    <x v="33"/>
    <x v="288"/>
    <x v="874"/>
    <x v="0"/>
    <s v="SUCURSAL DE VISTA ALEGRE"/>
    <x v="2"/>
  </r>
  <r>
    <x v="30"/>
    <x v="204"/>
    <x v="6"/>
    <x v="6"/>
    <x v="1"/>
    <x v="1"/>
    <x v="33"/>
    <x v="317"/>
    <x v="874"/>
    <x v="0"/>
    <s v="SUCURSAL DE VISTA ALEGRE"/>
    <x v="2"/>
  </r>
  <r>
    <x v="30"/>
    <x v="229"/>
    <x v="6"/>
    <x v="6"/>
    <x v="1"/>
    <x v="1"/>
    <x v="33"/>
    <x v="281"/>
    <x v="759"/>
    <x v="0"/>
    <s v="SUCURSAL DE VISTA ALEGRE"/>
    <x v="2"/>
  </r>
  <r>
    <x v="31"/>
    <x v="242"/>
    <x v="9"/>
    <x v="9"/>
    <x v="1"/>
    <x v="2"/>
    <x v="32"/>
    <x v="435"/>
    <x v="3103"/>
    <x v="0"/>
    <s v="LAS TABLAS"/>
    <x v="2"/>
  </r>
  <r>
    <x v="32"/>
    <x v="175"/>
    <x v="9"/>
    <x v="9"/>
    <x v="1"/>
    <x v="2"/>
    <x v="32"/>
    <x v="389"/>
    <x v="1331"/>
    <x v="0"/>
    <s v="24 DE DICIEMBRE"/>
    <x v="2"/>
  </r>
  <r>
    <x v="33"/>
    <x v="179"/>
    <x v="7"/>
    <x v="7"/>
    <x v="1"/>
    <x v="2"/>
    <x v="32"/>
    <x v="415"/>
    <x v="3083"/>
    <x v="0"/>
    <s v="DAVID - TERRONAL"/>
    <x v="2"/>
  </r>
  <r>
    <x v="33"/>
    <x v="306"/>
    <x v="9"/>
    <x v="9"/>
    <x v="1"/>
    <x v="2"/>
    <x v="32"/>
    <x v="336"/>
    <x v="1755"/>
    <x v="0"/>
    <s v="DAVID - TERRONAL"/>
    <x v="2"/>
  </r>
  <r>
    <x v="34"/>
    <x v="327"/>
    <x v="7"/>
    <x v="7"/>
    <x v="1"/>
    <x v="0"/>
    <x v="33"/>
    <x v="387"/>
    <x v="874"/>
    <x v="0"/>
    <s v="COSTA DEL ESTE"/>
    <x v="2"/>
  </r>
  <r>
    <x v="34"/>
    <x v="278"/>
    <x v="7"/>
    <x v="7"/>
    <x v="1"/>
    <x v="0"/>
    <x v="33"/>
    <x v="450"/>
    <x v="874"/>
    <x v="0"/>
    <s v="COSTA DEL ESTE"/>
    <x v="2"/>
  </r>
  <r>
    <x v="34"/>
    <x v="258"/>
    <x v="7"/>
    <x v="7"/>
    <x v="1"/>
    <x v="0"/>
    <x v="33"/>
    <x v="349"/>
    <x v="874"/>
    <x v="0"/>
    <s v="COSTA DEL ESTE"/>
    <x v="2"/>
  </r>
  <r>
    <x v="34"/>
    <x v="206"/>
    <x v="7"/>
    <x v="7"/>
    <x v="1"/>
    <x v="0"/>
    <x v="33"/>
    <x v="284"/>
    <x v="759"/>
    <x v="0"/>
    <s v="COSTA DEL ESTE"/>
    <x v="2"/>
  </r>
  <r>
    <x v="34"/>
    <x v="192"/>
    <x v="8"/>
    <x v="8"/>
    <x v="1"/>
    <x v="0"/>
    <x v="33"/>
    <x v="300"/>
    <x v="874"/>
    <x v="0"/>
    <s v="COSTA DEL ESTE"/>
    <x v="2"/>
  </r>
  <r>
    <x v="34"/>
    <x v="292"/>
    <x v="9"/>
    <x v="9"/>
    <x v="1"/>
    <x v="0"/>
    <x v="33"/>
    <x v="352"/>
    <x v="146"/>
    <x v="0"/>
    <s v="COSTA DEL ESTE"/>
    <x v="2"/>
  </r>
  <r>
    <x v="34"/>
    <x v="197"/>
    <x v="9"/>
    <x v="9"/>
    <x v="1"/>
    <x v="0"/>
    <x v="33"/>
    <x v="432"/>
    <x v="759"/>
    <x v="0"/>
    <s v="COSTA DEL ESTE"/>
    <x v="2"/>
  </r>
  <r>
    <x v="34"/>
    <x v="338"/>
    <x v="9"/>
    <x v="9"/>
    <x v="1"/>
    <x v="0"/>
    <x v="33"/>
    <x v="425"/>
    <x v="759"/>
    <x v="0"/>
    <s v="COSTA DEL ESTE"/>
    <x v="2"/>
  </r>
  <r>
    <x v="34"/>
    <x v="219"/>
    <x v="9"/>
    <x v="9"/>
    <x v="1"/>
    <x v="0"/>
    <x v="33"/>
    <x v="308"/>
    <x v="874"/>
    <x v="0"/>
    <s v="COSTA DEL ESTE"/>
    <x v="2"/>
  </r>
  <r>
    <x v="34"/>
    <x v="331"/>
    <x v="9"/>
    <x v="9"/>
    <x v="1"/>
    <x v="0"/>
    <x v="33"/>
    <x v="391"/>
    <x v="759"/>
    <x v="0"/>
    <s v="COSTA DEL ESTE"/>
    <x v="2"/>
  </r>
  <r>
    <x v="34"/>
    <x v="268"/>
    <x v="10"/>
    <x v="10"/>
    <x v="1"/>
    <x v="0"/>
    <x v="33"/>
    <x v="339"/>
    <x v="874"/>
    <x v="0"/>
    <s v="COSTA DEL ESTE"/>
    <x v="2"/>
  </r>
  <r>
    <x v="34"/>
    <x v="248"/>
    <x v="10"/>
    <x v="10"/>
    <x v="1"/>
    <x v="0"/>
    <x v="33"/>
    <x v="304"/>
    <x v="759"/>
    <x v="0"/>
    <s v="COSTA DEL ESTE"/>
    <x v="2"/>
  </r>
  <r>
    <x v="34"/>
    <x v="282"/>
    <x v="11"/>
    <x v="11"/>
    <x v="1"/>
    <x v="0"/>
    <x v="33"/>
    <x v="358"/>
    <x v="765"/>
    <x v="0"/>
    <s v="COSTA DEL ESTE"/>
    <x v="2"/>
  </r>
  <r>
    <x v="34"/>
    <x v="272"/>
    <x v="11"/>
    <x v="11"/>
    <x v="1"/>
    <x v="0"/>
    <x v="33"/>
    <x v="360"/>
    <x v="874"/>
    <x v="0"/>
    <s v="COSTA DEL ESTE"/>
    <x v="2"/>
  </r>
  <r>
    <x v="34"/>
    <x v="302"/>
    <x v="11"/>
    <x v="11"/>
    <x v="1"/>
    <x v="0"/>
    <x v="33"/>
    <x v="324"/>
    <x v="874"/>
    <x v="0"/>
    <s v="COSTA DEL ESTE"/>
    <x v="2"/>
  </r>
  <r>
    <x v="34"/>
    <x v="181"/>
    <x v="11"/>
    <x v="11"/>
    <x v="1"/>
    <x v="0"/>
    <x v="33"/>
    <x v="362"/>
    <x v="874"/>
    <x v="0"/>
    <s v="COSTA DEL ESTE"/>
    <x v="2"/>
  </r>
  <r>
    <x v="34"/>
    <x v="316"/>
    <x v="2"/>
    <x v="2"/>
    <x v="1"/>
    <x v="0"/>
    <x v="33"/>
    <x v="348"/>
    <x v="874"/>
    <x v="0"/>
    <s v="COSTA DEL ESTE"/>
    <x v="2"/>
  </r>
  <r>
    <x v="34"/>
    <x v="281"/>
    <x v="6"/>
    <x v="6"/>
    <x v="1"/>
    <x v="0"/>
    <x v="33"/>
    <x v="395"/>
    <x v="874"/>
    <x v="0"/>
    <s v="COSTA DEL ESTE"/>
    <x v="2"/>
  </r>
  <r>
    <x v="34"/>
    <x v="203"/>
    <x v="6"/>
    <x v="6"/>
    <x v="1"/>
    <x v="0"/>
    <x v="33"/>
    <x v="288"/>
    <x v="874"/>
    <x v="0"/>
    <s v="COSTA DEL ESTE"/>
    <x v="2"/>
  </r>
  <r>
    <x v="34"/>
    <x v="204"/>
    <x v="6"/>
    <x v="6"/>
    <x v="1"/>
    <x v="0"/>
    <x v="33"/>
    <x v="317"/>
    <x v="759"/>
    <x v="0"/>
    <s v="COSTA DEL ESTE"/>
    <x v="2"/>
  </r>
  <r>
    <x v="34"/>
    <x v="190"/>
    <x v="6"/>
    <x v="6"/>
    <x v="1"/>
    <x v="0"/>
    <x v="33"/>
    <x v="342"/>
    <x v="874"/>
    <x v="0"/>
    <s v="COSTA DEL ESTE"/>
    <x v="2"/>
  </r>
  <r>
    <x v="34"/>
    <x v="173"/>
    <x v="8"/>
    <x v="8"/>
    <x v="1"/>
    <x v="1"/>
    <x v="33"/>
    <x v="378"/>
    <x v="874"/>
    <x v="0"/>
    <s v="COSTA DEL ESTE"/>
    <x v="2"/>
  </r>
  <r>
    <x v="34"/>
    <x v="185"/>
    <x v="8"/>
    <x v="8"/>
    <x v="1"/>
    <x v="1"/>
    <x v="33"/>
    <x v="296"/>
    <x v="874"/>
    <x v="0"/>
    <s v="COSTA DEL ESTE"/>
    <x v="2"/>
  </r>
  <r>
    <x v="34"/>
    <x v="290"/>
    <x v="9"/>
    <x v="9"/>
    <x v="1"/>
    <x v="1"/>
    <x v="33"/>
    <x v="302"/>
    <x v="874"/>
    <x v="0"/>
    <s v="COSTA DEL ESTE"/>
    <x v="2"/>
  </r>
  <r>
    <x v="34"/>
    <x v="268"/>
    <x v="10"/>
    <x v="10"/>
    <x v="1"/>
    <x v="1"/>
    <x v="33"/>
    <x v="339"/>
    <x v="874"/>
    <x v="0"/>
    <s v="COSTA DEL ESTE"/>
    <x v="2"/>
  </r>
  <r>
    <x v="34"/>
    <x v="232"/>
    <x v="10"/>
    <x v="10"/>
    <x v="1"/>
    <x v="1"/>
    <x v="33"/>
    <x v="290"/>
    <x v="874"/>
    <x v="0"/>
    <s v="COSTA DEL ESTE"/>
    <x v="2"/>
  </r>
  <r>
    <x v="34"/>
    <x v="330"/>
    <x v="11"/>
    <x v="11"/>
    <x v="1"/>
    <x v="1"/>
    <x v="33"/>
    <x v="381"/>
    <x v="874"/>
    <x v="0"/>
    <s v="COSTA DEL ESTE"/>
    <x v="2"/>
  </r>
  <r>
    <x v="34"/>
    <x v="275"/>
    <x v="11"/>
    <x v="11"/>
    <x v="1"/>
    <x v="1"/>
    <x v="33"/>
    <x v="307"/>
    <x v="874"/>
    <x v="0"/>
    <s v="COSTA DEL ESTE"/>
    <x v="2"/>
  </r>
  <r>
    <x v="34"/>
    <x v="300"/>
    <x v="2"/>
    <x v="2"/>
    <x v="1"/>
    <x v="1"/>
    <x v="33"/>
    <x v="316"/>
    <x v="874"/>
    <x v="0"/>
    <s v="COSTA DEL ESTE"/>
    <x v="2"/>
  </r>
  <r>
    <x v="34"/>
    <x v="315"/>
    <x v="2"/>
    <x v="2"/>
    <x v="1"/>
    <x v="1"/>
    <x v="33"/>
    <x v="405"/>
    <x v="874"/>
    <x v="0"/>
    <s v="COSTA DEL ESTE"/>
    <x v="2"/>
  </r>
  <r>
    <x v="34"/>
    <x v="334"/>
    <x v="2"/>
    <x v="2"/>
    <x v="1"/>
    <x v="1"/>
    <x v="33"/>
    <x v="406"/>
    <x v="874"/>
    <x v="0"/>
    <s v="COSTA DEL ESTE"/>
    <x v="2"/>
  </r>
  <r>
    <x v="34"/>
    <x v="221"/>
    <x v="2"/>
    <x v="2"/>
    <x v="1"/>
    <x v="1"/>
    <x v="33"/>
    <x v="347"/>
    <x v="874"/>
    <x v="0"/>
    <s v="COSTA DEL ESTE"/>
    <x v="2"/>
  </r>
  <r>
    <x v="34"/>
    <x v="316"/>
    <x v="2"/>
    <x v="2"/>
    <x v="1"/>
    <x v="1"/>
    <x v="33"/>
    <x v="348"/>
    <x v="874"/>
    <x v="0"/>
    <s v="COSTA DEL ESTE"/>
    <x v="2"/>
  </r>
  <r>
    <x v="35"/>
    <x v="329"/>
    <x v="10"/>
    <x v="10"/>
    <x v="1"/>
    <x v="2"/>
    <x v="32"/>
    <x v="380"/>
    <x v="1525"/>
    <x v="0"/>
    <s v="MULTI PLAZA"/>
    <x v="2"/>
  </r>
  <r>
    <x v="35"/>
    <x v="282"/>
    <x v="11"/>
    <x v="11"/>
    <x v="1"/>
    <x v="2"/>
    <x v="33"/>
    <x v="358"/>
    <x v="759"/>
    <x v="0"/>
    <s v="MULTI PLAZA"/>
    <x v="2"/>
  </r>
  <r>
    <x v="35"/>
    <x v="305"/>
    <x v="6"/>
    <x v="6"/>
    <x v="1"/>
    <x v="2"/>
    <x v="32"/>
    <x v="331"/>
    <x v="1"/>
    <x v="596"/>
    <s v="MULTI PLAZA"/>
    <x v="2"/>
  </r>
  <r>
    <x v="35"/>
    <x v="308"/>
    <x v="7"/>
    <x v="7"/>
    <x v="1"/>
    <x v="0"/>
    <x v="33"/>
    <x v="333"/>
    <x v="765"/>
    <x v="0"/>
    <s v="MULTI PLAZA"/>
    <x v="2"/>
  </r>
  <r>
    <x v="35"/>
    <x v="277"/>
    <x v="7"/>
    <x v="7"/>
    <x v="1"/>
    <x v="0"/>
    <x v="33"/>
    <x v="325"/>
    <x v="146"/>
    <x v="0"/>
    <s v="MULTI PLAZA"/>
    <x v="2"/>
  </r>
  <r>
    <x v="35"/>
    <x v="259"/>
    <x v="7"/>
    <x v="7"/>
    <x v="1"/>
    <x v="0"/>
    <x v="33"/>
    <x v="355"/>
    <x v="874"/>
    <x v="0"/>
    <s v="MULTI PLAZA"/>
    <x v="2"/>
  </r>
  <r>
    <x v="35"/>
    <x v="252"/>
    <x v="7"/>
    <x v="7"/>
    <x v="1"/>
    <x v="0"/>
    <x v="33"/>
    <x v="396"/>
    <x v="146"/>
    <x v="0"/>
    <s v="MULTI PLAZA"/>
    <x v="2"/>
  </r>
  <r>
    <x v="35"/>
    <x v="332"/>
    <x v="7"/>
    <x v="7"/>
    <x v="1"/>
    <x v="0"/>
    <x v="33"/>
    <x v="397"/>
    <x v="759"/>
    <x v="0"/>
    <s v="MULTI PLAZA"/>
    <x v="2"/>
  </r>
  <r>
    <x v="35"/>
    <x v="253"/>
    <x v="7"/>
    <x v="7"/>
    <x v="1"/>
    <x v="0"/>
    <x v="33"/>
    <x v="292"/>
    <x v="759"/>
    <x v="0"/>
    <s v="MULTI PLAZA"/>
    <x v="2"/>
  </r>
  <r>
    <x v="35"/>
    <x v="251"/>
    <x v="8"/>
    <x v="8"/>
    <x v="1"/>
    <x v="0"/>
    <x v="33"/>
    <x v="291"/>
    <x v="874"/>
    <x v="0"/>
    <s v="MULTI PLAZA"/>
    <x v="2"/>
  </r>
  <r>
    <x v="35"/>
    <x v="192"/>
    <x v="8"/>
    <x v="8"/>
    <x v="1"/>
    <x v="0"/>
    <x v="33"/>
    <x v="300"/>
    <x v="874"/>
    <x v="0"/>
    <s v="MULTI PLAZA"/>
    <x v="2"/>
  </r>
  <r>
    <x v="35"/>
    <x v="326"/>
    <x v="8"/>
    <x v="8"/>
    <x v="1"/>
    <x v="0"/>
    <x v="33"/>
    <x v="423"/>
    <x v="874"/>
    <x v="0"/>
    <s v="MULTI PLAZA"/>
    <x v="2"/>
  </r>
  <r>
    <x v="35"/>
    <x v="254"/>
    <x v="8"/>
    <x v="8"/>
    <x v="1"/>
    <x v="0"/>
    <x v="33"/>
    <x v="326"/>
    <x v="759"/>
    <x v="0"/>
    <s v="MULTI PLAZA"/>
    <x v="2"/>
  </r>
  <r>
    <x v="35"/>
    <x v="320"/>
    <x v="8"/>
    <x v="8"/>
    <x v="1"/>
    <x v="0"/>
    <x v="33"/>
    <x v="398"/>
    <x v="874"/>
    <x v="0"/>
    <s v="MULTI PLAZA"/>
    <x v="2"/>
  </r>
  <r>
    <x v="35"/>
    <x v="261"/>
    <x v="8"/>
    <x v="8"/>
    <x v="1"/>
    <x v="0"/>
    <x v="33"/>
    <x v="320"/>
    <x v="146"/>
    <x v="0"/>
    <s v="MULTI PLAZA"/>
    <x v="2"/>
  </r>
  <r>
    <x v="35"/>
    <x v="245"/>
    <x v="8"/>
    <x v="8"/>
    <x v="1"/>
    <x v="0"/>
    <x v="33"/>
    <x v="285"/>
    <x v="759"/>
    <x v="0"/>
    <s v="MULTI PLAZA"/>
    <x v="2"/>
  </r>
  <r>
    <x v="35"/>
    <x v="207"/>
    <x v="8"/>
    <x v="8"/>
    <x v="1"/>
    <x v="0"/>
    <x v="33"/>
    <x v="374"/>
    <x v="759"/>
    <x v="0"/>
    <s v="MULTI PLAZA"/>
    <x v="2"/>
  </r>
  <r>
    <x v="35"/>
    <x v="173"/>
    <x v="8"/>
    <x v="8"/>
    <x v="1"/>
    <x v="0"/>
    <x v="33"/>
    <x v="378"/>
    <x v="874"/>
    <x v="0"/>
    <s v="MULTI PLAZA"/>
    <x v="2"/>
  </r>
  <r>
    <x v="35"/>
    <x v="194"/>
    <x v="9"/>
    <x v="9"/>
    <x v="1"/>
    <x v="0"/>
    <x v="33"/>
    <x v="390"/>
    <x v="759"/>
    <x v="0"/>
    <s v="MULTI PLAZA"/>
    <x v="2"/>
  </r>
  <r>
    <x v="35"/>
    <x v="242"/>
    <x v="9"/>
    <x v="9"/>
    <x v="1"/>
    <x v="0"/>
    <x v="33"/>
    <x v="435"/>
    <x v="1182"/>
    <x v="0"/>
    <s v="MULTI PLAZA"/>
    <x v="2"/>
  </r>
  <r>
    <x v="35"/>
    <x v="219"/>
    <x v="9"/>
    <x v="9"/>
    <x v="1"/>
    <x v="0"/>
    <x v="33"/>
    <x v="308"/>
    <x v="874"/>
    <x v="0"/>
    <s v="MULTI PLAZA"/>
    <x v="2"/>
  </r>
  <r>
    <x v="35"/>
    <x v="255"/>
    <x v="9"/>
    <x v="9"/>
    <x v="1"/>
    <x v="0"/>
    <x v="33"/>
    <x v="293"/>
    <x v="874"/>
    <x v="0"/>
    <s v="MULTI PLAZA"/>
    <x v="2"/>
  </r>
  <r>
    <x v="35"/>
    <x v="317"/>
    <x v="10"/>
    <x v="10"/>
    <x v="1"/>
    <x v="0"/>
    <x v="33"/>
    <x v="401"/>
    <x v="874"/>
    <x v="0"/>
    <s v="MULTI PLAZA"/>
    <x v="2"/>
  </r>
  <r>
    <x v="35"/>
    <x v="180"/>
    <x v="10"/>
    <x v="10"/>
    <x v="1"/>
    <x v="0"/>
    <x v="33"/>
    <x v="452"/>
    <x v="759"/>
    <x v="0"/>
    <s v="MULTI PLAZA"/>
    <x v="2"/>
  </r>
  <r>
    <x v="35"/>
    <x v="186"/>
    <x v="10"/>
    <x v="10"/>
    <x v="1"/>
    <x v="0"/>
    <x v="33"/>
    <x v="321"/>
    <x v="759"/>
    <x v="0"/>
    <s v="MULTI PLAZA"/>
    <x v="2"/>
  </r>
  <r>
    <x v="35"/>
    <x v="339"/>
    <x v="10"/>
    <x v="10"/>
    <x v="1"/>
    <x v="0"/>
    <x v="33"/>
    <x v="427"/>
    <x v="759"/>
    <x v="0"/>
    <s v="MULTI PLAZA"/>
    <x v="2"/>
  </r>
  <r>
    <x v="35"/>
    <x v="248"/>
    <x v="10"/>
    <x v="10"/>
    <x v="1"/>
    <x v="0"/>
    <x v="33"/>
    <x v="304"/>
    <x v="874"/>
    <x v="0"/>
    <s v="MULTI PLAZA"/>
    <x v="2"/>
  </r>
  <r>
    <x v="35"/>
    <x v="176"/>
    <x v="10"/>
    <x v="10"/>
    <x v="1"/>
    <x v="0"/>
    <x v="33"/>
    <x v="412"/>
    <x v="759"/>
    <x v="0"/>
    <s v="MULTI PLAZA"/>
    <x v="2"/>
  </r>
  <r>
    <x v="35"/>
    <x v="282"/>
    <x v="11"/>
    <x v="11"/>
    <x v="1"/>
    <x v="0"/>
    <x v="33"/>
    <x v="358"/>
    <x v="934"/>
    <x v="0"/>
    <s v="MULTI PLAZA"/>
    <x v="2"/>
  </r>
  <r>
    <x v="35"/>
    <x v="187"/>
    <x v="11"/>
    <x v="11"/>
    <x v="1"/>
    <x v="0"/>
    <x v="33"/>
    <x v="328"/>
    <x v="759"/>
    <x v="0"/>
    <s v="MULTI PLAZA"/>
    <x v="2"/>
  </r>
  <r>
    <x v="35"/>
    <x v="177"/>
    <x v="11"/>
    <x v="11"/>
    <x v="1"/>
    <x v="0"/>
    <x v="33"/>
    <x v="346"/>
    <x v="759"/>
    <x v="0"/>
    <s v="MULTI PLAZA"/>
    <x v="2"/>
  </r>
  <r>
    <x v="35"/>
    <x v="249"/>
    <x v="11"/>
    <x v="11"/>
    <x v="1"/>
    <x v="0"/>
    <x v="33"/>
    <x v="359"/>
    <x v="759"/>
    <x v="0"/>
    <s v="MULTI PLAZA"/>
    <x v="2"/>
  </r>
  <r>
    <x v="35"/>
    <x v="299"/>
    <x v="11"/>
    <x v="11"/>
    <x v="1"/>
    <x v="0"/>
    <x v="33"/>
    <x v="315"/>
    <x v="759"/>
    <x v="0"/>
    <s v="MULTI PLAZA"/>
    <x v="2"/>
  </r>
  <r>
    <x v="35"/>
    <x v="302"/>
    <x v="11"/>
    <x v="11"/>
    <x v="1"/>
    <x v="0"/>
    <x v="33"/>
    <x v="324"/>
    <x v="146"/>
    <x v="0"/>
    <s v="MULTI PLAZA"/>
    <x v="2"/>
  </r>
  <r>
    <x v="35"/>
    <x v="311"/>
    <x v="11"/>
    <x v="11"/>
    <x v="1"/>
    <x v="0"/>
    <x v="33"/>
    <x v="440"/>
    <x v="759"/>
    <x v="0"/>
    <s v="MULTI PLAZA"/>
    <x v="2"/>
  </r>
  <r>
    <x v="35"/>
    <x v="330"/>
    <x v="11"/>
    <x v="11"/>
    <x v="1"/>
    <x v="0"/>
    <x v="33"/>
    <x v="381"/>
    <x v="874"/>
    <x v="0"/>
    <s v="MULTI PLAZA"/>
    <x v="2"/>
  </r>
  <r>
    <x v="35"/>
    <x v="294"/>
    <x v="11"/>
    <x v="11"/>
    <x v="1"/>
    <x v="0"/>
    <x v="33"/>
    <x v="382"/>
    <x v="146"/>
    <x v="0"/>
    <s v="MULTI PLAZA"/>
    <x v="2"/>
  </r>
  <r>
    <x v="35"/>
    <x v="315"/>
    <x v="2"/>
    <x v="2"/>
    <x v="1"/>
    <x v="0"/>
    <x v="33"/>
    <x v="405"/>
    <x v="146"/>
    <x v="0"/>
    <s v="MULTI PLAZA"/>
    <x v="2"/>
  </r>
  <r>
    <x v="35"/>
    <x v="221"/>
    <x v="2"/>
    <x v="2"/>
    <x v="1"/>
    <x v="0"/>
    <x v="33"/>
    <x v="347"/>
    <x v="759"/>
    <x v="0"/>
    <s v="MULTI PLAZA"/>
    <x v="2"/>
  </r>
  <r>
    <x v="35"/>
    <x v="307"/>
    <x v="2"/>
    <x v="2"/>
    <x v="1"/>
    <x v="0"/>
    <x v="33"/>
    <x v="441"/>
    <x v="874"/>
    <x v="0"/>
    <s v="MULTI PLAZA"/>
    <x v="2"/>
  </r>
  <r>
    <x v="35"/>
    <x v="216"/>
    <x v="2"/>
    <x v="2"/>
    <x v="1"/>
    <x v="0"/>
    <x v="33"/>
    <x v="332"/>
    <x v="146"/>
    <x v="0"/>
    <s v="MULTI PLAZA"/>
    <x v="2"/>
  </r>
  <r>
    <x v="35"/>
    <x v="223"/>
    <x v="2"/>
    <x v="2"/>
    <x v="1"/>
    <x v="0"/>
    <x v="33"/>
    <x v="434"/>
    <x v="759"/>
    <x v="0"/>
    <s v="MULTI PLAZA"/>
    <x v="2"/>
  </r>
  <r>
    <x v="35"/>
    <x v="316"/>
    <x v="2"/>
    <x v="2"/>
    <x v="1"/>
    <x v="0"/>
    <x v="33"/>
    <x v="348"/>
    <x v="759"/>
    <x v="0"/>
    <s v="MULTI PLAZA"/>
    <x v="2"/>
  </r>
  <r>
    <x v="35"/>
    <x v="235"/>
    <x v="2"/>
    <x v="2"/>
    <x v="1"/>
    <x v="0"/>
    <x v="33"/>
    <x v="393"/>
    <x v="146"/>
    <x v="0"/>
    <s v="MULTI PLAZA"/>
    <x v="2"/>
  </r>
  <r>
    <x v="35"/>
    <x v="246"/>
    <x v="2"/>
    <x v="2"/>
    <x v="1"/>
    <x v="0"/>
    <x v="33"/>
    <x v="287"/>
    <x v="759"/>
    <x v="0"/>
    <s v="MULTI PLAZA"/>
    <x v="2"/>
  </r>
  <r>
    <x v="35"/>
    <x v="281"/>
    <x v="6"/>
    <x v="6"/>
    <x v="1"/>
    <x v="0"/>
    <x v="33"/>
    <x v="395"/>
    <x v="146"/>
    <x v="0"/>
    <s v="MULTI PLAZA"/>
    <x v="2"/>
  </r>
  <r>
    <x v="35"/>
    <x v="217"/>
    <x v="6"/>
    <x v="6"/>
    <x v="1"/>
    <x v="0"/>
    <x v="33"/>
    <x v="323"/>
    <x v="759"/>
    <x v="0"/>
    <s v="MULTI PLAZA"/>
    <x v="2"/>
  </r>
  <r>
    <x v="35"/>
    <x v="305"/>
    <x v="6"/>
    <x v="6"/>
    <x v="1"/>
    <x v="0"/>
    <x v="33"/>
    <x v="331"/>
    <x v="759"/>
    <x v="0"/>
    <s v="MULTI PLAZA"/>
    <x v="2"/>
  </r>
  <r>
    <x v="35"/>
    <x v="314"/>
    <x v="6"/>
    <x v="6"/>
    <x v="1"/>
    <x v="0"/>
    <x v="33"/>
    <x v="372"/>
    <x v="874"/>
    <x v="0"/>
    <s v="MULTI PLAZA"/>
    <x v="2"/>
  </r>
  <r>
    <x v="35"/>
    <x v="204"/>
    <x v="6"/>
    <x v="6"/>
    <x v="1"/>
    <x v="0"/>
    <x v="33"/>
    <x v="317"/>
    <x v="759"/>
    <x v="0"/>
    <s v="MULTI PLAZA"/>
    <x v="2"/>
  </r>
  <r>
    <x v="35"/>
    <x v="297"/>
    <x v="6"/>
    <x v="6"/>
    <x v="1"/>
    <x v="0"/>
    <x v="33"/>
    <x v="313"/>
    <x v="874"/>
    <x v="0"/>
    <s v="MULTI PLAZA"/>
    <x v="2"/>
  </r>
  <r>
    <x v="35"/>
    <x v="218"/>
    <x v="6"/>
    <x v="6"/>
    <x v="1"/>
    <x v="0"/>
    <x v="33"/>
    <x v="451"/>
    <x v="874"/>
    <x v="0"/>
    <s v="MULTI PLAZA"/>
    <x v="2"/>
  </r>
  <r>
    <x v="35"/>
    <x v="271"/>
    <x v="6"/>
    <x v="6"/>
    <x v="1"/>
    <x v="0"/>
    <x v="33"/>
    <x v="426"/>
    <x v="146"/>
    <x v="0"/>
    <s v="MULTI PLAZA"/>
    <x v="2"/>
  </r>
  <r>
    <x v="35"/>
    <x v="179"/>
    <x v="7"/>
    <x v="7"/>
    <x v="1"/>
    <x v="1"/>
    <x v="33"/>
    <x v="415"/>
    <x v="874"/>
    <x v="0"/>
    <s v="MULTI PLAZA"/>
    <x v="2"/>
  </r>
  <r>
    <x v="35"/>
    <x v="269"/>
    <x v="11"/>
    <x v="11"/>
    <x v="1"/>
    <x v="1"/>
    <x v="33"/>
    <x v="403"/>
    <x v="874"/>
    <x v="0"/>
    <s v="MULTI PLAZA"/>
    <x v="2"/>
  </r>
  <r>
    <x v="36"/>
    <x v="173"/>
    <x v="8"/>
    <x v="8"/>
    <x v="1"/>
    <x v="2"/>
    <x v="33"/>
    <x v="378"/>
    <x v="874"/>
    <x v="0"/>
    <s v="TERMINAL DE ALBROOK"/>
    <x v="2"/>
  </r>
  <r>
    <x v="36"/>
    <x v="242"/>
    <x v="9"/>
    <x v="9"/>
    <x v="1"/>
    <x v="2"/>
    <x v="33"/>
    <x v="435"/>
    <x v="874"/>
    <x v="0"/>
    <s v="TERMINAL DE ALBROOK"/>
    <x v="2"/>
  </r>
  <r>
    <x v="36"/>
    <x v="213"/>
    <x v="11"/>
    <x v="11"/>
    <x v="1"/>
    <x v="2"/>
    <x v="33"/>
    <x v="361"/>
    <x v="874"/>
    <x v="0"/>
    <s v="TERMINAL DE ALBROOK"/>
    <x v="2"/>
  </r>
  <r>
    <x v="36"/>
    <x v="229"/>
    <x v="6"/>
    <x v="6"/>
    <x v="1"/>
    <x v="2"/>
    <x v="32"/>
    <x v="281"/>
    <x v="3088"/>
    <x v="0"/>
    <s v="TERMINAL DE ALBROOK"/>
    <x v="2"/>
  </r>
  <r>
    <x v="36"/>
    <x v="229"/>
    <x v="6"/>
    <x v="6"/>
    <x v="1"/>
    <x v="2"/>
    <x v="33"/>
    <x v="281"/>
    <x v="759"/>
    <x v="0"/>
    <s v="TERMINAL DE ALBROOK"/>
    <x v="2"/>
  </r>
  <r>
    <x v="36"/>
    <x v="327"/>
    <x v="7"/>
    <x v="7"/>
    <x v="1"/>
    <x v="0"/>
    <x v="33"/>
    <x v="387"/>
    <x v="1132"/>
    <x v="0"/>
    <s v="TERMINAL DE ALBROOK"/>
    <x v="2"/>
  </r>
  <r>
    <x v="36"/>
    <x v="259"/>
    <x v="7"/>
    <x v="7"/>
    <x v="1"/>
    <x v="0"/>
    <x v="33"/>
    <x v="355"/>
    <x v="874"/>
    <x v="0"/>
    <s v="TERMINAL DE ALBROOK"/>
    <x v="2"/>
  </r>
  <r>
    <x v="36"/>
    <x v="309"/>
    <x v="7"/>
    <x v="7"/>
    <x v="1"/>
    <x v="0"/>
    <x v="33"/>
    <x v="334"/>
    <x v="146"/>
    <x v="0"/>
    <s v="TERMINAL DE ALBROOK"/>
    <x v="2"/>
  </r>
  <r>
    <x v="36"/>
    <x v="205"/>
    <x v="7"/>
    <x v="7"/>
    <x v="1"/>
    <x v="0"/>
    <x v="33"/>
    <x v="299"/>
    <x v="759"/>
    <x v="0"/>
    <s v="TERMINAL DE ALBROOK"/>
    <x v="2"/>
  </r>
  <r>
    <x v="36"/>
    <x v="206"/>
    <x v="7"/>
    <x v="7"/>
    <x v="1"/>
    <x v="0"/>
    <x v="33"/>
    <x v="284"/>
    <x v="874"/>
    <x v="0"/>
    <s v="TERMINAL DE ALBROOK"/>
    <x v="2"/>
  </r>
  <r>
    <x v="36"/>
    <x v="209"/>
    <x v="7"/>
    <x v="7"/>
    <x v="1"/>
    <x v="0"/>
    <x v="33"/>
    <x v="428"/>
    <x v="874"/>
    <x v="0"/>
    <s v="TERMINAL DE ALBROOK"/>
    <x v="2"/>
  </r>
  <r>
    <x v="36"/>
    <x v="210"/>
    <x v="7"/>
    <x v="7"/>
    <x v="1"/>
    <x v="0"/>
    <x v="33"/>
    <x v="418"/>
    <x v="874"/>
    <x v="0"/>
    <s v="TERMINAL DE ALBROOK"/>
    <x v="2"/>
  </r>
  <r>
    <x v="36"/>
    <x v="251"/>
    <x v="8"/>
    <x v="8"/>
    <x v="1"/>
    <x v="0"/>
    <x v="33"/>
    <x v="291"/>
    <x v="759"/>
    <x v="0"/>
    <s v="TERMINAL DE ALBROOK"/>
    <x v="2"/>
  </r>
  <r>
    <x v="36"/>
    <x v="192"/>
    <x v="8"/>
    <x v="8"/>
    <x v="1"/>
    <x v="0"/>
    <x v="33"/>
    <x v="300"/>
    <x v="146"/>
    <x v="0"/>
    <s v="TERMINAL DE ALBROOK"/>
    <x v="2"/>
  </r>
  <r>
    <x v="36"/>
    <x v="289"/>
    <x v="8"/>
    <x v="8"/>
    <x v="1"/>
    <x v="0"/>
    <x v="33"/>
    <x v="301"/>
    <x v="759"/>
    <x v="0"/>
    <s v="TERMINAL DE ALBROOK"/>
    <x v="2"/>
  </r>
  <r>
    <x v="36"/>
    <x v="245"/>
    <x v="8"/>
    <x v="8"/>
    <x v="1"/>
    <x v="0"/>
    <x v="33"/>
    <x v="285"/>
    <x v="765"/>
    <x v="0"/>
    <s v="TERMINAL DE ALBROOK"/>
    <x v="2"/>
  </r>
  <r>
    <x v="36"/>
    <x v="173"/>
    <x v="8"/>
    <x v="8"/>
    <x v="1"/>
    <x v="0"/>
    <x v="33"/>
    <x v="378"/>
    <x v="146"/>
    <x v="0"/>
    <s v="TERMINAL DE ALBROOK"/>
    <x v="2"/>
  </r>
  <r>
    <x v="36"/>
    <x v="337"/>
    <x v="9"/>
    <x v="9"/>
    <x v="1"/>
    <x v="0"/>
    <x v="33"/>
    <x v="424"/>
    <x v="146"/>
    <x v="0"/>
    <s v="TERMINAL DE ALBROOK"/>
    <x v="2"/>
  </r>
  <r>
    <x v="36"/>
    <x v="227"/>
    <x v="9"/>
    <x v="9"/>
    <x v="1"/>
    <x v="0"/>
    <x v="33"/>
    <x v="399"/>
    <x v="1132"/>
    <x v="0"/>
    <s v="TERMINAL DE ALBROOK"/>
    <x v="2"/>
  </r>
  <r>
    <x v="36"/>
    <x v="333"/>
    <x v="9"/>
    <x v="9"/>
    <x v="1"/>
    <x v="0"/>
    <x v="33"/>
    <x v="400"/>
    <x v="146"/>
    <x v="0"/>
    <s v="TERMINAL DE ALBROOK"/>
    <x v="2"/>
  </r>
  <r>
    <x v="36"/>
    <x v="197"/>
    <x v="9"/>
    <x v="9"/>
    <x v="1"/>
    <x v="0"/>
    <x v="33"/>
    <x v="432"/>
    <x v="146"/>
    <x v="0"/>
    <s v="TERMINAL DE ALBROOK"/>
    <x v="2"/>
  </r>
  <r>
    <x v="36"/>
    <x v="338"/>
    <x v="9"/>
    <x v="9"/>
    <x v="1"/>
    <x v="0"/>
    <x v="33"/>
    <x v="425"/>
    <x v="759"/>
    <x v="0"/>
    <s v="TERMINAL DE ALBROOK"/>
    <x v="2"/>
  </r>
  <r>
    <x v="36"/>
    <x v="255"/>
    <x v="9"/>
    <x v="9"/>
    <x v="1"/>
    <x v="0"/>
    <x v="33"/>
    <x v="293"/>
    <x v="874"/>
    <x v="0"/>
    <s v="TERMINAL DE ALBROOK"/>
    <x v="2"/>
  </r>
  <r>
    <x v="36"/>
    <x v="291"/>
    <x v="9"/>
    <x v="9"/>
    <x v="1"/>
    <x v="0"/>
    <x v="33"/>
    <x v="303"/>
    <x v="874"/>
    <x v="0"/>
    <s v="TERMINAL DE ALBROOK"/>
    <x v="2"/>
  </r>
  <r>
    <x v="36"/>
    <x v="230"/>
    <x v="9"/>
    <x v="9"/>
    <x v="1"/>
    <x v="0"/>
    <x v="33"/>
    <x v="283"/>
    <x v="874"/>
    <x v="0"/>
    <s v="TERMINAL DE ALBROOK"/>
    <x v="2"/>
  </r>
  <r>
    <x v="36"/>
    <x v="198"/>
    <x v="10"/>
    <x v="10"/>
    <x v="1"/>
    <x v="0"/>
    <x v="33"/>
    <x v="338"/>
    <x v="874"/>
    <x v="0"/>
    <s v="TERMINAL DE ALBROOK"/>
    <x v="2"/>
  </r>
  <r>
    <x v="36"/>
    <x v="286"/>
    <x v="10"/>
    <x v="10"/>
    <x v="1"/>
    <x v="0"/>
    <x v="33"/>
    <x v="297"/>
    <x v="759"/>
    <x v="0"/>
    <s v="TERMINAL DE ALBROOK"/>
    <x v="2"/>
  </r>
  <r>
    <x v="36"/>
    <x v="263"/>
    <x v="10"/>
    <x v="10"/>
    <x v="1"/>
    <x v="0"/>
    <x v="33"/>
    <x v="436"/>
    <x v="874"/>
    <x v="0"/>
    <s v="TERMINAL DE ALBROOK"/>
    <x v="2"/>
  </r>
  <r>
    <x v="36"/>
    <x v="232"/>
    <x v="10"/>
    <x v="10"/>
    <x v="1"/>
    <x v="0"/>
    <x v="33"/>
    <x v="290"/>
    <x v="146"/>
    <x v="0"/>
    <s v="TERMINAL DE ALBROOK"/>
    <x v="2"/>
  </r>
  <r>
    <x v="36"/>
    <x v="186"/>
    <x v="10"/>
    <x v="10"/>
    <x v="1"/>
    <x v="0"/>
    <x v="33"/>
    <x v="321"/>
    <x v="765"/>
    <x v="0"/>
    <s v="TERMINAL DE ALBROOK"/>
    <x v="2"/>
  </r>
  <r>
    <x v="36"/>
    <x v="329"/>
    <x v="10"/>
    <x v="10"/>
    <x v="1"/>
    <x v="0"/>
    <x v="33"/>
    <x v="380"/>
    <x v="759"/>
    <x v="0"/>
    <s v="TERMINAL DE ALBROOK"/>
    <x v="2"/>
  </r>
  <r>
    <x v="36"/>
    <x v="248"/>
    <x v="10"/>
    <x v="10"/>
    <x v="1"/>
    <x v="0"/>
    <x v="33"/>
    <x v="304"/>
    <x v="874"/>
    <x v="0"/>
    <s v="TERMINAL DE ALBROOK"/>
    <x v="2"/>
  </r>
  <r>
    <x v="36"/>
    <x v="176"/>
    <x v="10"/>
    <x v="10"/>
    <x v="1"/>
    <x v="0"/>
    <x v="33"/>
    <x v="412"/>
    <x v="874"/>
    <x v="0"/>
    <s v="TERMINAL DE ALBROOK"/>
    <x v="2"/>
  </r>
  <r>
    <x v="36"/>
    <x v="189"/>
    <x v="10"/>
    <x v="10"/>
    <x v="1"/>
    <x v="0"/>
    <x v="33"/>
    <x v="345"/>
    <x v="146"/>
    <x v="0"/>
    <s v="TERMINAL DE ALBROOK"/>
    <x v="2"/>
  </r>
  <r>
    <x v="36"/>
    <x v="200"/>
    <x v="11"/>
    <x v="11"/>
    <x v="1"/>
    <x v="0"/>
    <x v="33"/>
    <x v="351"/>
    <x v="765"/>
    <x v="0"/>
    <s v="TERMINAL DE ALBROOK"/>
    <x v="2"/>
  </r>
  <r>
    <x v="36"/>
    <x v="325"/>
    <x v="11"/>
    <x v="11"/>
    <x v="1"/>
    <x v="0"/>
    <x v="33"/>
    <x v="421"/>
    <x v="765"/>
    <x v="0"/>
    <s v="TERMINAL DE ALBROOK"/>
    <x v="2"/>
  </r>
  <r>
    <x v="36"/>
    <x v="282"/>
    <x v="11"/>
    <x v="11"/>
    <x v="1"/>
    <x v="0"/>
    <x v="33"/>
    <x v="358"/>
    <x v="759"/>
    <x v="0"/>
    <s v="TERMINAL DE ALBROOK"/>
    <x v="2"/>
  </r>
  <r>
    <x v="36"/>
    <x v="299"/>
    <x v="11"/>
    <x v="11"/>
    <x v="1"/>
    <x v="0"/>
    <x v="33"/>
    <x v="315"/>
    <x v="1182"/>
    <x v="0"/>
    <s v="TERMINAL DE ALBROOK"/>
    <x v="2"/>
  </r>
  <r>
    <x v="36"/>
    <x v="302"/>
    <x v="11"/>
    <x v="11"/>
    <x v="1"/>
    <x v="0"/>
    <x v="33"/>
    <x v="324"/>
    <x v="765"/>
    <x v="0"/>
    <s v="TERMINAL DE ALBROOK"/>
    <x v="2"/>
  </r>
  <r>
    <x v="36"/>
    <x v="300"/>
    <x v="2"/>
    <x v="2"/>
    <x v="1"/>
    <x v="0"/>
    <x v="33"/>
    <x v="316"/>
    <x v="934"/>
    <x v="0"/>
    <s v="TERMINAL DE ALBROOK"/>
    <x v="2"/>
  </r>
  <r>
    <x v="36"/>
    <x v="315"/>
    <x v="2"/>
    <x v="2"/>
    <x v="1"/>
    <x v="0"/>
    <x v="33"/>
    <x v="405"/>
    <x v="146"/>
    <x v="0"/>
    <s v="TERMINAL DE ALBROOK"/>
    <x v="2"/>
  </r>
  <r>
    <x v="36"/>
    <x v="270"/>
    <x v="2"/>
    <x v="2"/>
    <x v="1"/>
    <x v="0"/>
    <x v="33"/>
    <x v="363"/>
    <x v="874"/>
    <x v="0"/>
    <s v="TERMINAL DE ALBROOK"/>
    <x v="2"/>
  </r>
  <r>
    <x v="36"/>
    <x v="240"/>
    <x v="2"/>
    <x v="2"/>
    <x v="1"/>
    <x v="0"/>
    <x v="33"/>
    <x v="442"/>
    <x v="146"/>
    <x v="0"/>
    <s v="TERMINAL DE ALBROOK"/>
    <x v="2"/>
  </r>
  <r>
    <x v="36"/>
    <x v="223"/>
    <x v="2"/>
    <x v="2"/>
    <x v="1"/>
    <x v="0"/>
    <x v="33"/>
    <x v="434"/>
    <x v="874"/>
    <x v="0"/>
    <s v="TERMINAL DE ALBROOK"/>
    <x v="2"/>
  </r>
  <r>
    <x v="36"/>
    <x v="316"/>
    <x v="2"/>
    <x v="2"/>
    <x v="1"/>
    <x v="0"/>
    <x v="33"/>
    <x v="348"/>
    <x v="874"/>
    <x v="0"/>
    <s v="TERMINAL DE ALBROOK"/>
    <x v="2"/>
  </r>
  <r>
    <x v="36"/>
    <x v="276"/>
    <x v="2"/>
    <x v="2"/>
    <x v="1"/>
    <x v="0"/>
    <x v="33"/>
    <x v="385"/>
    <x v="874"/>
    <x v="0"/>
    <s v="TERMINAL DE ALBROOK"/>
    <x v="2"/>
  </r>
  <r>
    <x v="36"/>
    <x v="304"/>
    <x v="2"/>
    <x v="2"/>
    <x v="1"/>
    <x v="0"/>
    <x v="33"/>
    <x v="329"/>
    <x v="874"/>
    <x v="0"/>
    <s v="TERMINAL DE ALBROOK"/>
    <x v="2"/>
  </r>
  <r>
    <x v="36"/>
    <x v="264"/>
    <x v="6"/>
    <x v="6"/>
    <x v="1"/>
    <x v="0"/>
    <x v="33"/>
    <x v="311"/>
    <x v="765"/>
    <x v="0"/>
    <s v="TERMINAL DE ALBROOK"/>
    <x v="2"/>
  </r>
  <r>
    <x v="36"/>
    <x v="265"/>
    <x v="6"/>
    <x v="6"/>
    <x v="1"/>
    <x v="0"/>
    <x v="33"/>
    <x v="386"/>
    <x v="765"/>
    <x v="0"/>
    <s v="TERMINAL DE ALBROOK"/>
    <x v="2"/>
  </r>
  <r>
    <x v="36"/>
    <x v="296"/>
    <x v="6"/>
    <x v="6"/>
    <x v="1"/>
    <x v="0"/>
    <x v="33"/>
    <x v="312"/>
    <x v="874"/>
    <x v="0"/>
    <s v="TERMINAL DE ALBROOK"/>
    <x v="2"/>
  </r>
  <r>
    <x v="36"/>
    <x v="203"/>
    <x v="6"/>
    <x v="6"/>
    <x v="1"/>
    <x v="0"/>
    <x v="33"/>
    <x v="288"/>
    <x v="146"/>
    <x v="0"/>
    <s v="TERMINAL DE ALBROOK"/>
    <x v="2"/>
  </r>
  <r>
    <x v="36"/>
    <x v="204"/>
    <x v="6"/>
    <x v="6"/>
    <x v="1"/>
    <x v="0"/>
    <x v="33"/>
    <x v="317"/>
    <x v="765"/>
    <x v="0"/>
    <s v="TERMINAL DE ALBROOK"/>
    <x v="2"/>
  </r>
  <r>
    <x v="36"/>
    <x v="297"/>
    <x v="6"/>
    <x v="6"/>
    <x v="1"/>
    <x v="0"/>
    <x v="33"/>
    <x v="313"/>
    <x v="759"/>
    <x v="0"/>
    <s v="TERMINAL DE ALBROOK"/>
    <x v="2"/>
  </r>
  <r>
    <x v="36"/>
    <x v="191"/>
    <x v="6"/>
    <x v="6"/>
    <x v="1"/>
    <x v="0"/>
    <x v="33"/>
    <x v="318"/>
    <x v="146"/>
    <x v="0"/>
    <s v="TERMINAL DE ALBROOK"/>
    <x v="2"/>
  </r>
  <r>
    <x v="36"/>
    <x v="259"/>
    <x v="7"/>
    <x v="7"/>
    <x v="1"/>
    <x v="1"/>
    <x v="33"/>
    <x v="355"/>
    <x v="874"/>
    <x v="0"/>
    <s v="TERMINAL DE ALBROOK"/>
    <x v="2"/>
  </r>
  <r>
    <x v="36"/>
    <x v="303"/>
    <x v="9"/>
    <x v="9"/>
    <x v="1"/>
    <x v="1"/>
    <x v="33"/>
    <x v="327"/>
    <x v="874"/>
    <x v="0"/>
    <s v="TERMINAL DE ALBROOK"/>
    <x v="2"/>
  </r>
  <r>
    <x v="36"/>
    <x v="197"/>
    <x v="9"/>
    <x v="9"/>
    <x v="1"/>
    <x v="1"/>
    <x v="33"/>
    <x v="432"/>
    <x v="874"/>
    <x v="0"/>
    <s v="TERMINAL DE ALBROOK"/>
    <x v="2"/>
  </r>
  <r>
    <x v="36"/>
    <x v="186"/>
    <x v="10"/>
    <x v="10"/>
    <x v="1"/>
    <x v="1"/>
    <x v="33"/>
    <x v="321"/>
    <x v="874"/>
    <x v="0"/>
    <s v="TERMINAL DE ALBROOK"/>
    <x v="2"/>
  </r>
  <r>
    <x v="36"/>
    <x v="176"/>
    <x v="10"/>
    <x v="10"/>
    <x v="1"/>
    <x v="1"/>
    <x v="33"/>
    <x v="412"/>
    <x v="874"/>
    <x v="0"/>
    <s v="TERMINAL DE ALBROOK"/>
    <x v="2"/>
  </r>
  <r>
    <x v="36"/>
    <x v="199"/>
    <x v="10"/>
    <x v="10"/>
    <x v="1"/>
    <x v="1"/>
    <x v="33"/>
    <x v="298"/>
    <x v="874"/>
    <x v="0"/>
    <s v="TERMINAL DE ALBROOK"/>
    <x v="2"/>
  </r>
  <r>
    <x v="36"/>
    <x v="189"/>
    <x v="10"/>
    <x v="10"/>
    <x v="1"/>
    <x v="1"/>
    <x v="33"/>
    <x v="345"/>
    <x v="874"/>
    <x v="0"/>
    <s v="TERMINAL DE ALBROOK"/>
    <x v="2"/>
  </r>
  <r>
    <x v="36"/>
    <x v="330"/>
    <x v="11"/>
    <x v="11"/>
    <x v="1"/>
    <x v="1"/>
    <x v="33"/>
    <x v="381"/>
    <x v="874"/>
    <x v="0"/>
    <s v="TERMINAL DE ALBROOK"/>
    <x v="2"/>
  </r>
  <r>
    <x v="36"/>
    <x v="284"/>
    <x v="2"/>
    <x v="2"/>
    <x v="1"/>
    <x v="1"/>
    <x v="33"/>
    <x v="383"/>
    <x v="874"/>
    <x v="0"/>
    <s v="TERMINAL DE ALBROOK"/>
    <x v="2"/>
  </r>
  <r>
    <x v="36"/>
    <x v="304"/>
    <x v="2"/>
    <x v="2"/>
    <x v="1"/>
    <x v="1"/>
    <x v="33"/>
    <x v="329"/>
    <x v="874"/>
    <x v="0"/>
    <s v="TERMINAL DE ALBROOK"/>
    <x v="2"/>
  </r>
  <r>
    <x v="36"/>
    <x v="264"/>
    <x v="6"/>
    <x v="6"/>
    <x v="1"/>
    <x v="1"/>
    <x v="33"/>
    <x v="311"/>
    <x v="874"/>
    <x v="0"/>
    <s v="TERMINAL DE ALBROOK"/>
    <x v="2"/>
  </r>
  <r>
    <x v="36"/>
    <x v="265"/>
    <x v="6"/>
    <x v="6"/>
    <x v="1"/>
    <x v="1"/>
    <x v="33"/>
    <x v="386"/>
    <x v="146"/>
    <x v="0"/>
    <s v="TERMINAL DE ALBROOK"/>
    <x v="2"/>
  </r>
  <r>
    <x v="36"/>
    <x v="241"/>
    <x v="6"/>
    <x v="6"/>
    <x v="1"/>
    <x v="1"/>
    <x v="33"/>
    <x v="447"/>
    <x v="874"/>
    <x v="0"/>
    <s v="TERMINAL DE ALBROOK"/>
    <x v="2"/>
  </r>
  <r>
    <x v="37"/>
    <x v="238"/>
    <x v="9"/>
    <x v="9"/>
    <x v="1"/>
    <x v="2"/>
    <x v="32"/>
    <x v="379"/>
    <x v="3104"/>
    <x v="0"/>
    <s v="CONCEPCION"/>
    <x v="2"/>
  </r>
  <r>
    <x v="37"/>
    <x v="315"/>
    <x v="2"/>
    <x v="2"/>
    <x v="1"/>
    <x v="2"/>
    <x v="32"/>
    <x v="405"/>
    <x v="2717"/>
    <x v="0"/>
    <s v="CONCEPCION"/>
    <x v="2"/>
  </r>
  <r>
    <x v="39"/>
    <x v="261"/>
    <x v="8"/>
    <x v="8"/>
    <x v="1"/>
    <x v="2"/>
    <x v="32"/>
    <x v="320"/>
    <x v="3105"/>
    <x v="0"/>
    <s v="BRISAS DEL GOLF"/>
    <x v="2"/>
  </r>
  <r>
    <x v="39"/>
    <x v="183"/>
    <x v="2"/>
    <x v="2"/>
    <x v="1"/>
    <x v="2"/>
    <x v="32"/>
    <x v="330"/>
    <x v="3088"/>
    <x v="0"/>
    <s v="BRISAS DEL GOLF"/>
    <x v="2"/>
  </r>
  <r>
    <x v="39"/>
    <x v="308"/>
    <x v="7"/>
    <x v="7"/>
    <x v="1"/>
    <x v="0"/>
    <x v="33"/>
    <x v="333"/>
    <x v="759"/>
    <x v="0"/>
    <s v="BRISAS DEL GOLF"/>
    <x v="2"/>
  </r>
  <r>
    <x v="39"/>
    <x v="209"/>
    <x v="7"/>
    <x v="7"/>
    <x v="1"/>
    <x v="0"/>
    <x v="33"/>
    <x v="428"/>
    <x v="874"/>
    <x v="0"/>
    <s v="BRISAS DEL GOLF"/>
    <x v="2"/>
  </r>
  <r>
    <x v="39"/>
    <x v="261"/>
    <x v="8"/>
    <x v="8"/>
    <x v="1"/>
    <x v="0"/>
    <x v="33"/>
    <x v="320"/>
    <x v="874"/>
    <x v="0"/>
    <s v="BRISAS DEL GOLF"/>
    <x v="2"/>
  </r>
  <r>
    <x v="39"/>
    <x v="245"/>
    <x v="8"/>
    <x v="8"/>
    <x v="1"/>
    <x v="0"/>
    <x v="33"/>
    <x v="285"/>
    <x v="759"/>
    <x v="0"/>
    <s v="BRISAS DEL GOLF"/>
    <x v="2"/>
  </r>
  <r>
    <x v="39"/>
    <x v="303"/>
    <x v="9"/>
    <x v="9"/>
    <x v="1"/>
    <x v="0"/>
    <x v="33"/>
    <x v="327"/>
    <x v="899"/>
    <x v="0"/>
    <s v="BRISAS DEL GOLF"/>
    <x v="2"/>
  </r>
  <r>
    <x v="39"/>
    <x v="197"/>
    <x v="9"/>
    <x v="9"/>
    <x v="1"/>
    <x v="0"/>
    <x v="33"/>
    <x v="432"/>
    <x v="759"/>
    <x v="0"/>
    <s v="BRISAS DEL GOLF"/>
    <x v="2"/>
  </r>
  <r>
    <x v="39"/>
    <x v="263"/>
    <x v="10"/>
    <x v="10"/>
    <x v="1"/>
    <x v="0"/>
    <x v="33"/>
    <x v="436"/>
    <x v="146"/>
    <x v="0"/>
    <s v="BRISAS DEL GOLF"/>
    <x v="2"/>
  </r>
  <r>
    <x v="39"/>
    <x v="239"/>
    <x v="10"/>
    <x v="10"/>
    <x v="1"/>
    <x v="0"/>
    <x v="33"/>
    <x v="419"/>
    <x v="874"/>
    <x v="0"/>
    <s v="BRISAS DEL GOLF"/>
    <x v="2"/>
  </r>
  <r>
    <x v="39"/>
    <x v="186"/>
    <x v="10"/>
    <x v="10"/>
    <x v="1"/>
    <x v="0"/>
    <x v="33"/>
    <x v="321"/>
    <x v="874"/>
    <x v="0"/>
    <s v="BRISAS DEL GOLF"/>
    <x v="2"/>
  </r>
  <r>
    <x v="39"/>
    <x v="244"/>
    <x v="10"/>
    <x v="10"/>
    <x v="1"/>
    <x v="0"/>
    <x v="33"/>
    <x v="433"/>
    <x v="759"/>
    <x v="0"/>
    <s v="BRISAS DEL GOLF"/>
    <x v="2"/>
  </r>
  <r>
    <x v="39"/>
    <x v="269"/>
    <x v="11"/>
    <x v="11"/>
    <x v="1"/>
    <x v="0"/>
    <x v="33"/>
    <x v="403"/>
    <x v="759"/>
    <x v="0"/>
    <s v="BRISAS DEL GOLF"/>
    <x v="2"/>
  </r>
  <r>
    <x v="39"/>
    <x v="200"/>
    <x v="11"/>
    <x v="11"/>
    <x v="1"/>
    <x v="0"/>
    <x v="33"/>
    <x v="351"/>
    <x v="874"/>
    <x v="0"/>
    <s v="BRISAS DEL GOLF"/>
    <x v="2"/>
  </r>
  <r>
    <x v="39"/>
    <x v="282"/>
    <x v="11"/>
    <x v="11"/>
    <x v="1"/>
    <x v="0"/>
    <x v="33"/>
    <x v="358"/>
    <x v="759"/>
    <x v="0"/>
    <s v="BRISAS DEL GOLF"/>
    <x v="2"/>
  </r>
  <r>
    <x v="39"/>
    <x v="187"/>
    <x v="11"/>
    <x v="11"/>
    <x v="1"/>
    <x v="0"/>
    <x v="33"/>
    <x v="328"/>
    <x v="874"/>
    <x v="0"/>
    <s v="BRISAS DEL GOLF"/>
    <x v="2"/>
  </r>
  <r>
    <x v="39"/>
    <x v="249"/>
    <x v="11"/>
    <x v="11"/>
    <x v="1"/>
    <x v="0"/>
    <x v="33"/>
    <x v="359"/>
    <x v="874"/>
    <x v="0"/>
    <s v="BRISAS DEL GOLF"/>
    <x v="2"/>
  </r>
  <r>
    <x v="39"/>
    <x v="302"/>
    <x v="11"/>
    <x v="11"/>
    <x v="1"/>
    <x v="0"/>
    <x v="33"/>
    <x v="324"/>
    <x v="874"/>
    <x v="0"/>
    <s v="BRISAS DEL GOLF"/>
    <x v="2"/>
  </r>
  <r>
    <x v="39"/>
    <x v="202"/>
    <x v="11"/>
    <x v="11"/>
    <x v="1"/>
    <x v="0"/>
    <x v="33"/>
    <x v="305"/>
    <x v="874"/>
    <x v="0"/>
    <s v="BRISAS DEL GOLF"/>
    <x v="2"/>
  </r>
  <r>
    <x v="39"/>
    <x v="274"/>
    <x v="11"/>
    <x v="11"/>
    <x v="1"/>
    <x v="0"/>
    <x v="33"/>
    <x v="404"/>
    <x v="874"/>
    <x v="0"/>
    <s v="BRISAS DEL GOLF"/>
    <x v="2"/>
  </r>
  <r>
    <x v="39"/>
    <x v="300"/>
    <x v="2"/>
    <x v="2"/>
    <x v="1"/>
    <x v="0"/>
    <x v="33"/>
    <x v="316"/>
    <x v="759"/>
    <x v="0"/>
    <s v="BRISAS DEL GOLF"/>
    <x v="2"/>
  </r>
  <r>
    <x v="39"/>
    <x v="215"/>
    <x v="2"/>
    <x v="2"/>
    <x v="1"/>
    <x v="0"/>
    <x v="33"/>
    <x v="322"/>
    <x v="874"/>
    <x v="0"/>
    <s v="BRISAS DEL GOLF"/>
    <x v="2"/>
  </r>
  <r>
    <x v="39"/>
    <x v="284"/>
    <x v="2"/>
    <x v="2"/>
    <x v="1"/>
    <x v="0"/>
    <x v="33"/>
    <x v="383"/>
    <x v="759"/>
    <x v="0"/>
    <s v="BRISAS DEL GOLF"/>
    <x v="2"/>
  </r>
  <r>
    <x v="39"/>
    <x v="222"/>
    <x v="2"/>
    <x v="2"/>
    <x v="1"/>
    <x v="0"/>
    <x v="33"/>
    <x v="384"/>
    <x v="874"/>
    <x v="0"/>
    <s v="BRISAS DEL GOLF"/>
    <x v="2"/>
  </r>
  <r>
    <x v="39"/>
    <x v="182"/>
    <x v="2"/>
    <x v="2"/>
    <x v="1"/>
    <x v="0"/>
    <x v="33"/>
    <x v="392"/>
    <x v="874"/>
    <x v="0"/>
    <s v="BRISAS DEL GOLF"/>
    <x v="2"/>
  </r>
  <r>
    <x v="39"/>
    <x v="280"/>
    <x v="2"/>
    <x v="2"/>
    <x v="1"/>
    <x v="0"/>
    <x v="33"/>
    <x v="295"/>
    <x v="874"/>
    <x v="0"/>
    <s v="BRISAS DEL GOLF"/>
    <x v="2"/>
  </r>
  <r>
    <x v="39"/>
    <x v="257"/>
    <x v="2"/>
    <x v="2"/>
    <x v="1"/>
    <x v="0"/>
    <x v="33"/>
    <x v="410"/>
    <x v="759"/>
    <x v="0"/>
    <s v="BRISAS DEL GOLF"/>
    <x v="2"/>
  </r>
  <r>
    <x v="39"/>
    <x v="276"/>
    <x v="2"/>
    <x v="2"/>
    <x v="1"/>
    <x v="0"/>
    <x v="33"/>
    <x v="385"/>
    <x v="765"/>
    <x v="0"/>
    <s v="BRISAS DEL GOLF"/>
    <x v="2"/>
  </r>
  <r>
    <x v="39"/>
    <x v="183"/>
    <x v="2"/>
    <x v="2"/>
    <x v="1"/>
    <x v="0"/>
    <x v="33"/>
    <x v="330"/>
    <x v="765"/>
    <x v="0"/>
    <s v="BRISAS DEL GOLF"/>
    <x v="2"/>
  </r>
  <r>
    <x v="39"/>
    <x v="246"/>
    <x v="2"/>
    <x v="2"/>
    <x v="1"/>
    <x v="0"/>
    <x v="33"/>
    <x v="287"/>
    <x v="759"/>
    <x v="0"/>
    <s v="BRISAS DEL GOLF"/>
    <x v="2"/>
  </r>
  <r>
    <x v="39"/>
    <x v="281"/>
    <x v="6"/>
    <x v="6"/>
    <x v="1"/>
    <x v="0"/>
    <x v="33"/>
    <x v="395"/>
    <x v="765"/>
    <x v="0"/>
    <s v="BRISAS DEL GOLF"/>
    <x v="2"/>
  </r>
  <r>
    <x v="39"/>
    <x v="285"/>
    <x v="6"/>
    <x v="6"/>
    <x v="1"/>
    <x v="0"/>
    <x v="33"/>
    <x v="409"/>
    <x v="874"/>
    <x v="0"/>
    <s v="BRISAS DEL GOLF"/>
    <x v="2"/>
  </r>
  <r>
    <x v="39"/>
    <x v="305"/>
    <x v="6"/>
    <x v="6"/>
    <x v="1"/>
    <x v="0"/>
    <x v="33"/>
    <x v="331"/>
    <x v="874"/>
    <x v="0"/>
    <s v="BRISAS DEL GOLF"/>
    <x v="2"/>
  </r>
  <r>
    <x v="39"/>
    <x v="297"/>
    <x v="6"/>
    <x v="6"/>
    <x v="1"/>
    <x v="0"/>
    <x v="33"/>
    <x v="313"/>
    <x v="874"/>
    <x v="0"/>
    <s v="BRISAS DEL GOLF"/>
    <x v="2"/>
  </r>
  <r>
    <x v="39"/>
    <x v="271"/>
    <x v="6"/>
    <x v="6"/>
    <x v="1"/>
    <x v="0"/>
    <x v="33"/>
    <x v="426"/>
    <x v="874"/>
    <x v="0"/>
    <s v="BRISAS DEL GOLF"/>
    <x v="2"/>
  </r>
  <r>
    <x v="39"/>
    <x v="190"/>
    <x v="6"/>
    <x v="6"/>
    <x v="1"/>
    <x v="0"/>
    <x v="33"/>
    <x v="342"/>
    <x v="874"/>
    <x v="0"/>
    <s v="BRISAS DEL GOLF"/>
    <x v="2"/>
  </r>
  <r>
    <x v="39"/>
    <x v="200"/>
    <x v="11"/>
    <x v="11"/>
    <x v="1"/>
    <x v="1"/>
    <x v="33"/>
    <x v="351"/>
    <x v="874"/>
    <x v="0"/>
    <s v="BRISAS DEL GOLF"/>
    <x v="2"/>
  </r>
  <r>
    <x v="39"/>
    <x v="280"/>
    <x v="2"/>
    <x v="2"/>
    <x v="1"/>
    <x v="1"/>
    <x v="33"/>
    <x v="295"/>
    <x v="874"/>
    <x v="0"/>
    <s v="BRISAS DEL GOLF"/>
    <x v="2"/>
  </r>
  <r>
    <x v="40"/>
    <x v="248"/>
    <x v="10"/>
    <x v="10"/>
    <x v="1"/>
    <x v="2"/>
    <x v="33"/>
    <x v="304"/>
    <x v="874"/>
    <x v="0"/>
    <s v="PUENTE CENTENARIO"/>
    <x v="2"/>
  </r>
  <r>
    <x v="40"/>
    <x v="220"/>
    <x v="11"/>
    <x v="11"/>
    <x v="1"/>
    <x v="2"/>
    <x v="33"/>
    <x v="309"/>
    <x v="146"/>
    <x v="0"/>
    <s v="PUENTE CENTENARIO"/>
    <x v="2"/>
  </r>
  <r>
    <x v="40"/>
    <x v="209"/>
    <x v="7"/>
    <x v="7"/>
    <x v="1"/>
    <x v="0"/>
    <x v="33"/>
    <x v="428"/>
    <x v="146"/>
    <x v="0"/>
    <s v="PUENTE CENTENARIO"/>
    <x v="2"/>
  </r>
  <r>
    <x v="40"/>
    <x v="171"/>
    <x v="7"/>
    <x v="7"/>
    <x v="1"/>
    <x v="0"/>
    <x v="33"/>
    <x v="429"/>
    <x v="874"/>
    <x v="0"/>
    <s v="PUENTE CENTENARIO"/>
    <x v="2"/>
  </r>
  <r>
    <x v="40"/>
    <x v="247"/>
    <x v="8"/>
    <x v="8"/>
    <x v="1"/>
    <x v="0"/>
    <x v="33"/>
    <x v="289"/>
    <x v="765"/>
    <x v="0"/>
    <s v="PUENTE CENTENARIO"/>
    <x v="2"/>
  </r>
  <r>
    <x v="40"/>
    <x v="323"/>
    <x v="8"/>
    <x v="8"/>
    <x v="1"/>
    <x v="0"/>
    <x v="33"/>
    <x v="367"/>
    <x v="759"/>
    <x v="0"/>
    <s v="PUENTE CENTENARIO"/>
    <x v="2"/>
  </r>
  <r>
    <x v="40"/>
    <x v="173"/>
    <x v="8"/>
    <x v="8"/>
    <x v="1"/>
    <x v="0"/>
    <x v="33"/>
    <x v="378"/>
    <x v="765"/>
    <x v="0"/>
    <s v="PUENTE CENTENARIO"/>
    <x v="2"/>
  </r>
  <r>
    <x v="40"/>
    <x v="319"/>
    <x v="8"/>
    <x v="8"/>
    <x v="1"/>
    <x v="0"/>
    <x v="33"/>
    <x v="350"/>
    <x v="874"/>
    <x v="0"/>
    <s v="PUENTE CENTENARIO"/>
    <x v="2"/>
  </r>
  <r>
    <x v="40"/>
    <x v="337"/>
    <x v="9"/>
    <x v="9"/>
    <x v="1"/>
    <x v="0"/>
    <x v="33"/>
    <x v="424"/>
    <x v="759"/>
    <x v="0"/>
    <s v="PUENTE CENTENARIO"/>
    <x v="2"/>
  </r>
  <r>
    <x v="40"/>
    <x v="194"/>
    <x v="9"/>
    <x v="9"/>
    <x v="1"/>
    <x v="0"/>
    <x v="33"/>
    <x v="390"/>
    <x v="146"/>
    <x v="0"/>
    <s v="PUENTE CENTENARIO"/>
    <x v="2"/>
  </r>
  <r>
    <x v="40"/>
    <x v="178"/>
    <x v="9"/>
    <x v="9"/>
    <x v="1"/>
    <x v="0"/>
    <x v="33"/>
    <x v="353"/>
    <x v="146"/>
    <x v="0"/>
    <s v="PUENTE CENTENARIO"/>
    <x v="2"/>
  </r>
  <r>
    <x v="40"/>
    <x v="310"/>
    <x v="10"/>
    <x v="10"/>
    <x v="1"/>
    <x v="0"/>
    <x v="33"/>
    <x v="335"/>
    <x v="759"/>
    <x v="0"/>
    <s v="PUENTE CENTENARIO"/>
    <x v="2"/>
  </r>
  <r>
    <x v="40"/>
    <x v="329"/>
    <x v="10"/>
    <x v="10"/>
    <x v="1"/>
    <x v="0"/>
    <x v="33"/>
    <x v="380"/>
    <x v="899"/>
    <x v="0"/>
    <s v="PUENTE CENTENARIO"/>
    <x v="2"/>
  </r>
  <r>
    <x v="40"/>
    <x v="269"/>
    <x v="11"/>
    <x v="11"/>
    <x v="1"/>
    <x v="0"/>
    <x v="33"/>
    <x v="403"/>
    <x v="874"/>
    <x v="0"/>
    <s v="PUENTE CENTENARIO"/>
    <x v="2"/>
  </r>
  <r>
    <x v="40"/>
    <x v="282"/>
    <x v="11"/>
    <x v="11"/>
    <x v="1"/>
    <x v="0"/>
    <x v="33"/>
    <x v="358"/>
    <x v="765"/>
    <x v="0"/>
    <s v="PUENTE CENTENARIO"/>
    <x v="2"/>
  </r>
  <r>
    <x v="40"/>
    <x v="187"/>
    <x v="11"/>
    <x v="11"/>
    <x v="1"/>
    <x v="0"/>
    <x v="33"/>
    <x v="328"/>
    <x v="759"/>
    <x v="0"/>
    <s v="PUENTE CENTENARIO"/>
    <x v="2"/>
  </r>
  <r>
    <x v="40"/>
    <x v="302"/>
    <x v="11"/>
    <x v="11"/>
    <x v="1"/>
    <x v="0"/>
    <x v="33"/>
    <x v="324"/>
    <x v="899"/>
    <x v="0"/>
    <s v="PUENTE CENTENARIO"/>
    <x v="2"/>
  </r>
  <r>
    <x v="40"/>
    <x v="202"/>
    <x v="11"/>
    <x v="11"/>
    <x v="1"/>
    <x v="0"/>
    <x v="33"/>
    <x v="305"/>
    <x v="874"/>
    <x v="0"/>
    <s v="PUENTE CENTENARIO"/>
    <x v="2"/>
  </r>
  <r>
    <x v="40"/>
    <x v="221"/>
    <x v="2"/>
    <x v="2"/>
    <x v="1"/>
    <x v="0"/>
    <x v="63"/>
    <x v="446"/>
    <x v="765"/>
    <x v="0"/>
    <s v="PUENTE CENTENARIO"/>
    <x v="2"/>
  </r>
  <r>
    <x v="40"/>
    <x v="222"/>
    <x v="2"/>
    <x v="2"/>
    <x v="1"/>
    <x v="0"/>
    <x v="32"/>
    <x v="384"/>
    <x v="765"/>
    <x v="0"/>
    <s v="PUENTE CENTENARIO"/>
    <x v="2"/>
  </r>
  <r>
    <x v="40"/>
    <x v="182"/>
    <x v="2"/>
    <x v="2"/>
    <x v="1"/>
    <x v="0"/>
    <x v="62"/>
    <x v="59"/>
    <x v="1"/>
    <x v="203"/>
    <s v="PUENTE CENTENARIO"/>
    <x v="2"/>
  </r>
  <r>
    <x v="40"/>
    <x v="307"/>
    <x v="2"/>
    <x v="2"/>
    <x v="1"/>
    <x v="0"/>
    <x v="33"/>
    <x v="441"/>
    <x v="759"/>
    <x v="0"/>
    <s v="PUENTE CENTENARIO"/>
    <x v="2"/>
  </r>
  <r>
    <x v="40"/>
    <x v="223"/>
    <x v="2"/>
    <x v="2"/>
    <x v="1"/>
    <x v="0"/>
    <x v="33"/>
    <x v="434"/>
    <x v="874"/>
    <x v="0"/>
    <s v="PUENTE CENTENARIO"/>
    <x v="2"/>
  </r>
  <r>
    <x v="40"/>
    <x v="276"/>
    <x v="2"/>
    <x v="2"/>
    <x v="1"/>
    <x v="0"/>
    <x v="33"/>
    <x v="385"/>
    <x v="759"/>
    <x v="0"/>
    <s v="PUENTE CENTENARIO"/>
    <x v="2"/>
  </r>
  <r>
    <x v="40"/>
    <x v="246"/>
    <x v="2"/>
    <x v="2"/>
    <x v="1"/>
    <x v="0"/>
    <x v="33"/>
    <x v="287"/>
    <x v="874"/>
    <x v="0"/>
    <s v="PUENTE CENTENARIO"/>
    <x v="2"/>
  </r>
  <r>
    <x v="40"/>
    <x v="281"/>
    <x v="6"/>
    <x v="6"/>
    <x v="1"/>
    <x v="0"/>
    <x v="33"/>
    <x v="395"/>
    <x v="874"/>
    <x v="0"/>
    <s v="PUENTE CENTENARIO"/>
    <x v="2"/>
  </r>
  <r>
    <x v="40"/>
    <x v="285"/>
    <x v="6"/>
    <x v="6"/>
    <x v="1"/>
    <x v="0"/>
    <x v="33"/>
    <x v="409"/>
    <x v="759"/>
    <x v="0"/>
    <s v="PUENTE CENTENARIO"/>
    <x v="2"/>
  </r>
  <r>
    <x v="40"/>
    <x v="184"/>
    <x v="6"/>
    <x v="6"/>
    <x v="1"/>
    <x v="0"/>
    <x v="33"/>
    <x v="413"/>
    <x v="759"/>
    <x v="0"/>
    <s v="PUENTE CENTENARIO"/>
    <x v="2"/>
  </r>
  <r>
    <x v="40"/>
    <x v="236"/>
    <x v="6"/>
    <x v="6"/>
    <x v="1"/>
    <x v="0"/>
    <x v="33"/>
    <x v="371"/>
    <x v="899"/>
    <x v="0"/>
    <s v="PUENTE CENTENARIO"/>
    <x v="2"/>
  </r>
  <r>
    <x v="40"/>
    <x v="245"/>
    <x v="8"/>
    <x v="8"/>
    <x v="1"/>
    <x v="1"/>
    <x v="33"/>
    <x v="285"/>
    <x v="874"/>
    <x v="0"/>
    <s v="PUENTE CENTENARIO"/>
    <x v="2"/>
  </r>
  <r>
    <x v="40"/>
    <x v="194"/>
    <x v="9"/>
    <x v="9"/>
    <x v="1"/>
    <x v="1"/>
    <x v="33"/>
    <x v="390"/>
    <x v="874"/>
    <x v="0"/>
    <s v="PUENTE CENTENARIO"/>
    <x v="2"/>
  </r>
  <r>
    <x v="40"/>
    <x v="197"/>
    <x v="9"/>
    <x v="9"/>
    <x v="1"/>
    <x v="1"/>
    <x v="33"/>
    <x v="432"/>
    <x v="759"/>
    <x v="0"/>
    <s v="PUENTE CENTENARIO"/>
    <x v="2"/>
  </r>
  <r>
    <x v="40"/>
    <x v="291"/>
    <x v="9"/>
    <x v="9"/>
    <x v="1"/>
    <x v="1"/>
    <x v="33"/>
    <x v="303"/>
    <x v="874"/>
    <x v="0"/>
    <s v="PUENTE CENTENARIO"/>
    <x v="2"/>
  </r>
  <r>
    <x v="40"/>
    <x v="230"/>
    <x v="9"/>
    <x v="9"/>
    <x v="1"/>
    <x v="1"/>
    <x v="33"/>
    <x v="283"/>
    <x v="874"/>
    <x v="0"/>
    <s v="PUENTE CENTENARIO"/>
    <x v="2"/>
  </r>
  <r>
    <x v="40"/>
    <x v="198"/>
    <x v="10"/>
    <x v="10"/>
    <x v="1"/>
    <x v="1"/>
    <x v="33"/>
    <x v="338"/>
    <x v="874"/>
    <x v="0"/>
    <s v="PUENTE CENTENARIO"/>
    <x v="2"/>
  </r>
  <r>
    <x v="40"/>
    <x v="212"/>
    <x v="10"/>
    <x v="10"/>
    <x v="1"/>
    <x v="1"/>
    <x v="33"/>
    <x v="319"/>
    <x v="759"/>
    <x v="0"/>
    <s v="PUENTE CENTENARIO"/>
    <x v="2"/>
  </r>
  <r>
    <x v="40"/>
    <x v="310"/>
    <x v="10"/>
    <x v="10"/>
    <x v="1"/>
    <x v="1"/>
    <x v="33"/>
    <x v="335"/>
    <x v="874"/>
    <x v="0"/>
    <s v="PUENTE CENTENARIO"/>
    <x v="2"/>
  </r>
  <r>
    <x v="40"/>
    <x v="317"/>
    <x v="10"/>
    <x v="10"/>
    <x v="1"/>
    <x v="1"/>
    <x v="33"/>
    <x v="401"/>
    <x v="874"/>
    <x v="0"/>
    <s v="PUENTE CENTENARIO"/>
    <x v="2"/>
  </r>
  <r>
    <x v="40"/>
    <x v="295"/>
    <x v="2"/>
    <x v="2"/>
    <x v="1"/>
    <x v="1"/>
    <x v="33"/>
    <x v="310"/>
    <x v="874"/>
    <x v="0"/>
    <s v="PUENTE CENTENARIO"/>
    <x v="2"/>
  </r>
  <r>
    <x v="40"/>
    <x v="264"/>
    <x v="6"/>
    <x v="6"/>
    <x v="1"/>
    <x v="1"/>
    <x v="33"/>
    <x v="311"/>
    <x v="874"/>
    <x v="0"/>
    <s v="PUENTE CENTENARIO"/>
    <x v="2"/>
  </r>
  <r>
    <x v="75"/>
    <x v="260"/>
    <x v="7"/>
    <x v="7"/>
    <x v="1"/>
    <x v="2"/>
    <x v="32"/>
    <x v="437"/>
    <x v="1331"/>
    <x v="0"/>
    <s v="SABANITAS"/>
    <x v="2"/>
  </r>
  <r>
    <x v="75"/>
    <x v="178"/>
    <x v="9"/>
    <x v="9"/>
    <x v="1"/>
    <x v="2"/>
    <x v="34"/>
    <x v="453"/>
    <x v="735"/>
    <x v="0"/>
    <s v="SABANITAS"/>
    <x v="2"/>
  </r>
  <r>
    <x v="75"/>
    <x v="263"/>
    <x v="10"/>
    <x v="10"/>
    <x v="1"/>
    <x v="2"/>
    <x v="32"/>
    <x v="436"/>
    <x v="1332"/>
    <x v="0"/>
    <s v="SABANITAS"/>
    <x v="2"/>
  </r>
  <r>
    <x v="75"/>
    <x v="269"/>
    <x v="11"/>
    <x v="11"/>
    <x v="1"/>
    <x v="2"/>
    <x v="34"/>
    <x v="453"/>
    <x v="735"/>
    <x v="0"/>
    <s v="SABANITAS"/>
    <x v="2"/>
  </r>
  <r>
    <x v="75"/>
    <x v="187"/>
    <x v="11"/>
    <x v="11"/>
    <x v="1"/>
    <x v="2"/>
    <x v="34"/>
    <x v="453"/>
    <x v="736"/>
    <x v="0"/>
    <s v="SABANITAS"/>
    <x v="2"/>
  </r>
  <r>
    <x v="75"/>
    <x v="316"/>
    <x v="2"/>
    <x v="2"/>
    <x v="1"/>
    <x v="2"/>
    <x v="32"/>
    <x v="348"/>
    <x v="3106"/>
    <x v="0"/>
    <s v="SABANITAS"/>
    <x v="2"/>
  </r>
  <r>
    <x v="75"/>
    <x v="229"/>
    <x v="6"/>
    <x v="6"/>
    <x v="1"/>
    <x v="2"/>
    <x v="32"/>
    <x v="281"/>
    <x v="3107"/>
    <x v="0"/>
    <s v="SABANITAS"/>
    <x v="2"/>
  </r>
  <r>
    <x v="75"/>
    <x v="191"/>
    <x v="6"/>
    <x v="6"/>
    <x v="1"/>
    <x v="2"/>
    <x v="34"/>
    <x v="453"/>
    <x v="835"/>
    <x v="0"/>
    <s v="SABANITAS"/>
    <x v="2"/>
  </r>
  <r>
    <x v="42"/>
    <x v="242"/>
    <x v="9"/>
    <x v="9"/>
    <x v="1"/>
    <x v="2"/>
    <x v="33"/>
    <x v="435"/>
    <x v="874"/>
    <x v="0"/>
    <s v="ALTOS DE PANAMA"/>
    <x v="2"/>
  </r>
  <r>
    <x v="42"/>
    <x v="331"/>
    <x v="9"/>
    <x v="9"/>
    <x v="1"/>
    <x v="0"/>
    <x v="33"/>
    <x v="391"/>
    <x v="874"/>
    <x v="0"/>
    <s v="ALTOS DE PANAMA"/>
    <x v="2"/>
  </r>
  <r>
    <x v="42"/>
    <x v="242"/>
    <x v="9"/>
    <x v="9"/>
    <x v="1"/>
    <x v="1"/>
    <x v="33"/>
    <x v="435"/>
    <x v="874"/>
    <x v="0"/>
    <s v="ALTOS DE PANAMA"/>
    <x v="2"/>
  </r>
  <r>
    <x v="42"/>
    <x v="269"/>
    <x v="11"/>
    <x v="11"/>
    <x v="1"/>
    <x v="1"/>
    <x v="33"/>
    <x v="403"/>
    <x v="874"/>
    <x v="0"/>
    <s v="ALTOS DE PANAMA"/>
    <x v="2"/>
  </r>
  <r>
    <x v="43"/>
    <x v="308"/>
    <x v="7"/>
    <x v="7"/>
    <x v="1"/>
    <x v="2"/>
    <x v="32"/>
    <x v="333"/>
    <x v="952"/>
    <x v="0"/>
    <s v="VERSALLES"/>
    <x v="2"/>
  </r>
  <r>
    <x v="43"/>
    <x v="205"/>
    <x v="7"/>
    <x v="7"/>
    <x v="1"/>
    <x v="2"/>
    <x v="32"/>
    <x v="299"/>
    <x v="801"/>
    <x v="0"/>
    <s v="VERSALLES"/>
    <x v="2"/>
  </r>
  <r>
    <x v="43"/>
    <x v="251"/>
    <x v="8"/>
    <x v="8"/>
    <x v="1"/>
    <x v="2"/>
    <x v="32"/>
    <x v="291"/>
    <x v="801"/>
    <x v="0"/>
    <s v="VERSALLES"/>
    <x v="2"/>
  </r>
  <r>
    <x v="43"/>
    <x v="245"/>
    <x v="8"/>
    <x v="8"/>
    <x v="1"/>
    <x v="2"/>
    <x v="32"/>
    <x v="285"/>
    <x v="952"/>
    <x v="0"/>
    <s v="VERSALLES"/>
    <x v="2"/>
  </r>
  <r>
    <x v="43"/>
    <x v="306"/>
    <x v="9"/>
    <x v="9"/>
    <x v="1"/>
    <x v="2"/>
    <x v="32"/>
    <x v="336"/>
    <x v="952"/>
    <x v="0"/>
    <s v="VERSALLES"/>
    <x v="2"/>
  </r>
  <r>
    <x v="43"/>
    <x v="333"/>
    <x v="9"/>
    <x v="9"/>
    <x v="1"/>
    <x v="2"/>
    <x v="32"/>
    <x v="400"/>
    <x v="801"/>
    <x v="0"/>
    <s v="VERSALLES"/>
    <x v="2"/>
  </r>
  <r>
    <x v="43"/>
    <x v="198"/>
    <x v="10"/>
    <x v="10"/>
    <x v="1"/>
    <x v="2"/>
    <x v="32"/>
    <x v="338"/>
    <x v="801"/>
    <x v="0"/>
    <s v="VERSALLES"/>
    <x v="2"/>
  </r>
  <r>
    <x v="43"/>
    <x v="186"/>
    <x v="10"/>
    <x v="10"/>
    <x v="1"/>
    <x v="2"/>
    <x v="32"/>
    <x v="321"/>
    <x v="848"/>
    <x v="0"/>
    <s v="VERSALLES"/>
    <x v="2"/>
  </r>
  <r>
    <x v="43"/>
    <x v="200"/>
    <x v="11"/>
    <x v="11"/>
    <x v="1"/>
    <x v="2"/>
    <x v="32"/>
    <x v="351"/>
    <x v="982"/>
    <x v="0"/>
    <s v="VERSALLES"/>
    <x v="2"/>
  </r>
  <r>
    <x v="43"/>
    <x v="299"/>
    <x v="11"/>
    <x v="11"/>
    <x v="1"/>
    <x v="2"/>
    <x v="32"/>
    <x v="315"/>
    <x v="1215"/>
    <x v="0"/>
    <s v="VERSALLES"/>
    <x v="2"/>
  </r>
  <r>
    <x v="43"/>
    <x v="315"/>
    <x v="2"/>
    <x v="2"/>
    <x v="1"/>
    <x v="2"/>
    <x v="32"/>
    <x v="405"/>
    <x v="801"/>
    <x v="0"/>
    <s v="VERSALLES"/>
    <x v="2"/>
  </r>
  <r>
    <x v="43"/>
    <x v="240"/>
    <x v="2"/>
    <x v="2"/>
    <x v="1"/>
    <x v="2"/>
    <x v="32"/>
    <x v="442"/>
    <x v="3108"/>
    <x v="0"/>
    <s v="VERSALLES"/>
    <x v="2"/>
  </r>
  <r>
    <x v="43"/>
    <x v="335"/>
    <x v="6"/>
    <x v="6"/>
    <x v="1"/>
    <x v="2"/>
    <x v="32"/>
    <x v="408"/>
    <x v="1132"/>
    <x v="0"/>
    <s v="VERSALLES"/>
    <x v="2"/>
  </r>
  <r>
    <x v="43"/>
    <x v="271"/>
    <x v="6"/>
    <x v="6"/>
    <x v="1"/>
    <x v="2"/>
    <x v="32"/>
    <x v="426"/>
    <x v="1"/>
    <x v="372"/>
    <s v="VERSALLES"/>
    <x v="2"/>
  </r>
  <r>
    <x v="44"/>
    <x v="202"/>
    <x v="11"/>
    <x v="11"/>
    <x v="1"/>
    <x v="2"/>
    <x v="32"/>
    <x v="305"/>
    <x v="3109"/>
    <x v="0"/>
    <s v="BUSINESS PARK"/>
    <x v="2"/>
  </r>
  <r>
    <x v="45"/>
    <x v="330"/>
    <x v="11"/>
    <x v="11"/>
    <x v="1"/>
    <x v="2"/>
    <x v="32"/>
    <x v="381"/>
    <x v="3110"/>
    <x v="0"/>
    <s v="SAN FRANCISCO"/>
    <x v="2"/>
  </r>
  <r>
    <x v="45"/>
    <x v="182"/>
    <x v="2"/>
    <x v="2"/>
    <x v="1"/>
    <x v="2"/>
    <x v="32"/>
    <x v="392"/>
    <x v="3111"/>
    <x v="0"/>
    <s v="SAN FRANCISCO"/>
    <x v="2"/>
  </r>
  <r>
    <x v="47"/>
    <x v="288"/>
    <x v="7"/>
    <x v="7"/>
    <x v="1"/>
    <x v="2"/>
    <x v="32"/>
    <x v="439"/>
    <x v="590"/>
    <x v="0"/>
    <s v="LA CHORRERA - PARQUE 10 DE NOV."/>
    <x v="2"/>
  </r>
  <r>
    <x v="47"/>
    <x v="179"/>
    <x v="7"/>
    <x v="7"/>
    <x v="1"/>
    <x v="2"/>
    <x v="32"/>
    <x v="415"/>
    <x v="590"/>
    <x v="0"/>
    <s v="LA CHORRERA - PARQUE 10 DE NOV."/>
    <x v="2"/>
  </r>
  <r>
    <x v="47"/>
    <x v="242"/>
    <x v="9"/>
    <x v="9"/>
    <x v="1"/>
    <x v="2"/>
    <x v="32"/>
    <x v="435"/>
    <x v="3112"/>
    <x v="0"/>
    <s v="LA CHORRERA - PARQUE 10 DE NOV."/>
    <x v="2"/>
  </r>
  <r>
    <x v="47"/>
    <x v="249"/>
    <x v="11"/>
    <x v="11"/>
    <x v="1"/>
    <x v="2"/>
    <x v="32"/>
    <x v="359"/>
    <x v="590"/>
    <x v="0"/>
    <s v="LA CHORRERA - PARQUE 10 DE NOV."/>
    <x v="2"/>
  </r>
  <r>
    <x v="47"/>
    <x v="266"/>
    <x v="6"/>
    <x v="6"/>
    <x v="1"/>
    <x v="2"/>
    <x v="32"/>
    <x v="370"/>
    <x v="3077"/>
    <x v="0"/>
    <s v="LA CHORRERA - PARQUE 10 DE NOV."/>
    <x v="2"/>
  </r>
  <r>
    <x v="47"/>
    <x v="308"/>
    <x v="7"/>
    <x v="7"/>
    <x v="1"/>
    <x v="0"/>
    <x v="33"/>
    <x v="333"/>
    <x v="848"/>
    <x v="0"/>
    <s v="LA CHORRERA - PARQUE 10 DE NOV."/>
    <x v="2"/>
  </r>
  <r>
    <x v="47"/>
    <x v="179"/>
    <x v="7"/>
    <x v="7"/>
    <x v="1"/>
    <x v="0"/>
    <x v="33"/>
    <x v="415"/>
    <x v="934"/>
    <x v="0"/>
    <s v="LA CHORRERA - PARQUE 10 DE NOV."/>
    <x v="2"/>
  </r>
  <r>
    <x v="47"/>
    <x v="259"/>
    <x v="7"/>
    <x v="7"/>
    <x v="1"/>
    <x v="0"/>
    <x v="33"/>
    <x v="355"/>
    <x v="759"/>
    <x v="0"/>
    <s v="LA CHORRERA - PARQUE 10 DE NOV."/>
    <x v="2"/>
  </r>
  <r>
    <x v="47"/>
    <x v="225"/>
    <x v="7"/>
    <x v="7"/>
    <x v="1"/>
    <x v="0"/>
    <x v="33"/>
    <x v="416"/>
    <x v="765"/>
    <x v="0"/>
    <s v="LA CHORRERA - PARQUE 10 DE NOV."/>
    <x v="2"/>
  </r>
  <r>
    <x v="47"/>
    <x v="206"/>
    <x v="7"/>
    <x v="7"/>
    <x v="1"/>
    <x v="0"/>
    <x v="33"/>
    <x v="284"/>
    <x v="1182"/>
    <x v="0"/>
    <s v="LA CHORRERA - PARQUE 10 DE NOV."/>
    <x v="2"/>
  </r>
  <r>
    <x v="47"/>
    <x v="209"/>
    <x v="7"/>
    <x v="7"/>
    <x v="1"/>
    <x v="0"/>
    <x v="33"/>
    <x v="428"/>
    <x v="874"/>
    <x v="0"/>
    <s v="LA CHORRERA - PARQUE 10 DE NOV."/>
    <x v="2"/>
  </r>
  <r>
    <x v="47"/>
    <x v="332"/>
    <x v="7"/>
    <x v="7"/>
    <x v="1"/>
    <x v="0"/>
    <x v="33"/>
    <x v="397"/>
    <x v="874"/>
    <x v="0"/>
    <s v="LA CHORRERA - PARQUE 10 DE NOV."/>
    <x v="2"/>
  </r>
  <r>
    <x v="47"/>
    <x v="251"/>
    <x v="8"/>
    <x v="8"/>
    <x v="1"/>
    <x v="0"/>
    <x v="33"/>
    <x v="291"/>
    <x v="874"/>
    <x v="0"/>
    <s v="LA CHORRERA - PARQUE 10 DE NOV."/>
    <x v="2"/>
  </r>
  <r>
    <x v="47"/>
    <x v="326"/>
    <x v="8"/>
    <x v="8"/>
    <x v="1"/>
    <x v="0"/>
    <x v="33"/>
    <x v="423"/>
    <x v="1132"/>
    <x v="0"/>
    <s v="LA CHORRERA - PARQUE 10 DE NOV."/>
    <x v="2"/>
  </r>
  <r>
    <x v="47"/>
    <x v="254"/>
    <x v="8"/>
    <x v="8"/>
    <x v="1"/>
    <x v="0"/>
    <x v="33"/>
    <x v="326"/>
    <x v="899"/>
    <x v="0"/>
    <s v="LA CHORRERA - PARQUE 10 DE NOV."/>
    <x v="2"/>
  </r>
  <r>
    <x v="47"/>
    <x v="320"/>
    <x v="8"/>
    <x v="8"/>
    <x v="1"/>
    <x v="0"/>
    <x v="33"/>
    <x v="398"/>
    <x v="765"/>
    <x v="0"/>
    <s v="LA CHORRERA - PARQUE 10 DE NOV."/>
    <x v="2"/>
  </r>
  <r>
    <x v="47"/>
    <x v="323"/>
    <x v="8"/>
    <x v="8"/>
    <x v="1"/>
    <x v="0"/>
    <x v="33"/>
    <x v="367"/>
    <x v="759"/>
    <x v="0"/>
    <s v="LA CHORRERA - PARQUE 10 DE NOV."/>
    <x v="2"/>
  </r>
  <r>
    <x v="47"/>
    <x v="173"/>
    <x v="8"/>
    <x v="8"/>
    <x v="1"/>
    <x v="0"/>
    <x v="33"/>
    <x v="378"/>
    <x v="1182"/>
    <x v="0"/>
    <s v="LA CHORRERA - PARQUE 10 DE NOV."/>
    <x v="2"/>
  </r>
  <r>
    <x v="47"/>
    <x v="337"/>
    <x v="9"/>
    <x v="9"/>
    <x v="1"/>
    <x v="0"/>
    <x v="33"/>
    <x v="424"/>
    <x v="1132"/>
    <x v="0"/>
    <s v="LA CHORRERA - PARQUE 10 DE NOV."/>
    <x v="2"/>
  </r>
  <r>
    <x v="47"/>
    <x v="227"/>
    <x v="9"/>
    <x v="9"/>
    <x v="1"/>
    <x v="0"/>
    <x v="33"/>
    <x v="399"/>
    <x v="765"/>
    <x v="0"/>
    <s v="LA CHORRERA - PARQUE 10 DE NOV."/>
    <x v="2"/>
  </r>
  <r>
    <x v="47"/>
    <x v="194"/>
    <x v="9"/>
    <x v="9"/>
    <x v="1"/>
    <x v="0"/>
    <x v="33"/>
    <x v="390"/>
    <x v="759"/>
    <x v="0"/>
    <s v="LA CHORRERA - PARQUE 10 DE NOV."/>
    <x v="2"/>
  </r>
  <r>
    <x v="47"/>
    <x v="238"/>
    <x v="9"/>
    <x v="9"/>
    <x v="1"/>
    <x v="0"/>
    <x v="33"/>
    <x v="379"/>
    <x v="759"/>
    <x v="0"/>
    <s v="LA CHORRERA - PARQUE 10 DE NOV."/>
    <x v="2"/>
  </r>
  <r>
    <x v="47"/>
    <x v="197"/>
    <x v="9"/>
    <x v="9"/>
    <x v="1"/>
    <x v="0"/>
    <x v="33"/>
    <x v="432"/>
    <x v="899"/>
    <x v="0"/>
    <s v="LA CHORRERA - PARQUE 10 DE NOV."/>
    <x v="2"/>
  </r>
  <r>
    <x v="47"/>
    <x v="211"/>
    <x v="9"/>
    <x v="9"/>
    <x v="1"/>
    <x v="0"/>
    <x v="33"/>
    <x v="286"/>
    <x v="765"/>
    <x v="0"/>
    <s v="LA CHORRERA - PARQUE 10 DE NOV."/>
    <x v="2"/>
  </r>
  <r>
    <x v="47"/>
    <x v="178"/>
    <x v="9"/>
    <x v="9"/>
    <x v="1"/>
    <x v="0"/>
    <x v="33"/>
    <x v="353"/>
    <x v="759"/>
    <x v="0"/>
    <s v="LA CHORRERA - PARQUE 10 DE NOV."/>
    <x v="2"/>
  </r>
  <r>
    <x v="47"/>
    <x v="286"/>
    <x v="10"/>
    <x v="10"/>
    <x v="1"/>
    <x v="0"/>
    <x v="33"/>
    <x v="297"/>
    <x v="1132"/>
    <x v="0"/>
    <s v="LA CHORRERA - PARQUE 10 DE NOV."/>
    <x v="2"/>
  </r>
  <r>
    <x v="47"/>
    <x v="317"/>
    <x v="10"/>
    <x v="10"/>
    <x v="1"/>
    <x v="0"/>
    <x v="33"/>
    <x v="401"/>
    <x v="146"/>
    <x v="0"/>
    <s v="LA CHORRERA - PARQUE 10 DE NOV."/>
    <x v="2"/>
  </r>
  <r>
    <x v="47"/>
    <x v="232"/>
    <x v="10"/>
    <x v="10"/>
    <x v="1"/>
    <x v="0"/>
    <x v="33"/>
    <x v="290"/>
    <x v="759"/>
    <x v="0"/>
    <s v="LA CHORRERA - PARQUE 10 DE NOV."/>
    <x v="2"/>
  </r>
  <r>
    <x v="47"/>
    <x v="186"/>
    <x v="10"/>
    <x v="10"/>
    <x v="1"/>
    <x v="0"/>
    <x v="33"/>
    <x v="321"/>
    <x v="146"/>
    <x v="0"/>
    <s v="LA CHORRERA - PARQUE 10 DE NOV."/>
    <x v="2"/>
  </r>
  <r>
    <x v="47"/>
    <x v="329"/>
    <x v="10"/>
    <x v="10"/>
    <x v="1"/>
    <x v="0"/>
    <x v="33"/>
    <x v="380"/>
    <x v="146"/>
    <x v="0"/>
    <s v="LA CHORRERA - PARQUE 10 DE NOV."/>
    <x v="2"/>
  </r>
  <r>
    <x v="47"/>
    <x v="233"/>
    <x v="10"/>
    <x v="10"/>
    <x v="1"/>
    <x v="0"/>
    <x v="33"/>
    <x v="344"/>
    <x v="934"/>
    <x v="0"/>
    <s v="LA CHORRERA - PARQUE 10 DE NOV."/>
    <x v="2"/>
  </r>
  <r>
    <x v="47"/>
    <x v="176"/>
    <x v="10"/>
    <x v="10"/>
    <x v="1"/>
    <x v="0"/>
    <x v="33"/>
    <x v="412"/>
    <x v="874"/>
    <x v="0"/>
    <s v="LA CHORRERA - PARQUE 10 DE NOV."/>
    <x v="2"/>
  </r>
  <r>
    <x v="47"/>
    <x v="325"/>
    <x v="11"/>
    <x v="11"/>
    <x v="1"/>
    <x v="0"/>
    <x v="33"/>
    <x v="421"/>
    <x v="982"/>
    <x v="0"/>
    <s v="LA CHORRERA - PARQUE 10 DE NOV."/>
    <x v="2"/>
  </r>
  <r>
    <x v="47"/>
    <x v="187"/>
    <x v="11"/>
    <x v="11"/>
    <x v="1"/>
    <x v="0"/>
    <x v="33"/>
    <x v="328"/>
    <x v="934"/>
    <x v="0"/>
    <s v="LA CHORRERA - PARQUE 10 DE NOV."/>
    <x v="2"/>
  </r>
  <r>
    <x v="47"/>
    <x v="201"/>
    <x v="11"/>
    <x v="11"/>
    <x v="1"/>
    <x v="0"/>
    <x v="33"/>
    <x v="422"/>
    <x v="1182"/>
    <x v="0"/>
    <s v="LA CHORRERA - PARQUE 10 DE NOV."/>
    <x v="2"/>
  </r>
  <r>
    <x v="47"/>
    <x v="299"/>
    <x v="11"/>
    <x v="11"/>
    <x v="1"/>
    <x v="0"/>
    <x v="33"/>
    <x v="315"/>
    <x v="899"/>
    <x v="0"/>
    <s v="LA CHORRERA - PARQUE 10 DE NOV."/>
    <x v="2"/>
  </r>
  <r>
    <x v="47"/>
    <x v="202"/>
    <x v="11"/>
    <x v="11"/>
    <x v="1"/>
    <x v="0"/>
    <x v="33"/>
    <x v="305"/>
    <x v="859"/>
    <x v="0"/>
    <s v="LA CHORRERA - PARQUE 10 DE NOV."/>
    <x v="2"/>
  </r>
  <r>
    <x v="47"/>
    <x v="311"/>
    <x v="11"/>
    <x v="11"/>
    <x v="1"/>
    <x v="0"/>
    <x v="33"/>
    <x v="440"/>
    <x v="899"/>
    <x v="0"/>
    <s v="LA CHORRERA - PARQUE 10 DE NOV."/>
    <x v="2"/>
  </r>
  <r>
    <x v="47"/>
    <x v="181"/>
    <x v="11"/>
    <x v="11"/>
    <x v="1"/>
    <x v="0"/>
    <x v="33"/>
    <x v="362"/>
    <x v="146"/>
    <x v="0"/>
    <s v="LA CHORRERA - PARQUE 10 DE NOV."/>
    <x v="2"/>
  </r>
  <r>
    <x v="47"/>
    <x v="300"/>
    <x v="2"/>
    <x v="2"/>
    <x v="1"/>
    <x v="0"/>
    <x v="33"/>
    <x v="316"/>
    <x v="934"/>
    <x v="0"/>
    <s v="LA CHORRERA - PARQUE 10 DE NOV."/>
    <x v="2"/>
  </r>
  <r>
    <x v="47"/>
    <x v="334"/>
    <x v="2"/>
    <x v="2"/>
    <x v="1"/>
    <x v="0"/>
    <x v="33"/>
    <x v="406"/>
    <x v="146"/>
    <x v="0"/>
    <s v="LA CHORRERA - PARQUE 10 DE NOV."/>
    <x v="2"/>
  </r>
  <r>
    <x v="47"/>
    <x v="221"/>
    <x v="2"/>
    <x v="2"/>
    <x v="1"/>
    <x v="0"/>
    <x v="63"/>
    <x v="446"/>
    <x v="952"/>
    <x v="0"/>
    <s v="LA CHORRERA - PARQUE 10 DE NOV."/>
    <x v="2"/>
  </r>
  <r>
    <x v="47"/>
    <x v="222"/>
    <x v="2"/>
    <x v="2"/>
    <x v="1"/>
    <x v="0"/>
    <x v="32"/>
    <x v="384"/>
    <x v="952"/>
    <x v="0"/>
    <s v="LA CHORRERA - PARQUE 10 DE NOV."/>
    <x v="2"/>
  </r>
  <r>
    <x v="47"/>
    <x v="182"/>
    <x v="2"/>
    <x v="2"/>
    <x v="1"/>
    <x v="0"/>
    <x v="62"/>
    <x v="59"/>
    <x v="1"/>
    <x v="342"/>
    <s v="LA CHORRERA - PARQUE 10 DE NOV."/>
    <x v="2"/>
  </r>
  <r>
    <x v="47"/>
    <x v="182"/>
    <x v="2"/>
    <x v="2"/>
    <x v="1"/>
    <x v="0"/>
    <x v="33"/>
    <x v="392"/>
    <x v="759"/>
    <x v="0"/>
    <s v="LA CHORRERA - PARQUE 10 DE NOV."/>
    <x v="2"/>
  </r>
  <r>
    <x v="47"/>
    <x v="216"/>
    <x v="2"/>
    <x v="2"/>
    <x v="1"/>
    <x v="0"/>
    <x v="33"/>
    <x v="332"/>
    <x v="874"/>
    <x v="0"/>
    <s v="LA CHORRERA - PARQUE 10 DE NOV."/>
    <x v="2"/>
  </r>
  <r>
    <x v="47"/>
    <x v="280"/>
    <x v="2"/>
    <x v="2"/>
    <x v="1"/>
    <x v="0"/>
    <x v="33"/>
    <x v="295"/>
    <x v="899"/>
    <x v="0"/>
    <s v="LA CHORRERA - PARQUE 10 DE NOV."/>
    <x v="2"/>
  </r>
  <r>
    <x v="47"/>
    <x v="223"/>
    <x v="2"/>
    <x v="2"/>
    <x v="1"/>
    <x v="0"/>
    <x v="33"/>
    <x v="434"/>
    <x v="934"/>
    <x v="0"/>
    <s v="LA CHORRERA - PARQUE 10 DE NOV."/>
    <x v="2"/>
  </r>
  <r>
    <x v="47"/>
    <x v="316"/>
    <x v="2"/>
    <x v="2"/>
    <x v="1"/>
    <x v="0"/>
    <x v="33"/>
    <x v="348"/>
    <x v="874"/>
    <x v="0"/>
    <s v="LA CHORRERA - PARQUE 10 DE NOV."/>
    <x v="2"/>
  </r>
  <r>
    <x v="47"/>
    <x v="224"/>
    <x v="2"/>
    <x v="2"/>
    <x v="1"/>
    <x v="0"/>
    <x v="33"/>
    <x v="414"/>
    <x v="146"/>
    <x v="0"/>
    <s v="LA CHORRERA - PARQUE 10 DE NOV."/>
    <x v="2"/>
  </r>
  <r>
    <x v="47"/>
    <x v="264"/>
    <x v="6"/>
    <x v="6"/>
    <x v="1"/>
    <x v="0"/>
    <x v="33"/>
    <x v="311"/>
    <x v="899"/>
    <x v="0"/>
    <s v="LA CHORRERA - PARQUE 10 DE NOV."/>
    <x v="2"/>
  </r>
  <r>
    <x v="47"/>
    <x v="281"/>
    <x v="6"/>
    <x v="6"/>
    <x v="1"/>
    <x v="0"/>
    <x v="33"/>
    <x v="395"/>
    <x v="1182"/>
    <x v="0"/>
    <s v="LA CHORRERA - PARQUE 10 DE NOV."/>
    <x v="2"/>
  </r>
  <r>
    <x v="47"/>
    <x v="265"/>
    <x v="6"/>
    <x v="6"/>
    <x v="1"/>
    <x v="0"/>
    <x v="33"/>
    <x v="386"/>
    <x v="874"/>
    <x v="0"/>
    <s v="LA CHORRERA - PARQUE 10 DE NOV."/>
    <x v="2"/>
  </r>
  <r>
    <x v="47"/>
    <x v="184"/>
    <x v="6"/>
    <x v="6"/>
    <x v="1"/>
    <x v="0"/>
    <x v="33"/>
    <x v="413"/>
    <x v="874"/>
    <x v="0"/>
    <s v="LA CHORRERA - PARQUE 10 DE NOV."/>
    <x v="2"/>
  </r>
  <r>
    <x v="47"/>
    <x v="314"/>
    <x v="6"/>
    <x v="6"/>
    <x v="1"/>
    <x v="0"/>
    <x v="33"/>
    <x v="372"/>
    <x v="874"/>
    <x v="0"/>
    <s v="LA CHORRERA - PARQUE 10 DE NOV."/>
    <x v="2"/>
  </r>
  <r>
    <x v="47"/>
    <x v="296"/>
    <x v="6"/>
    <x v="6"/>
    <x v="1"/>
    <x v="0"/>
    <x v="33"/>
    <x v="312"/>
    <x v="759"/>
    <x v="0"/>
    <s v="LA CHORRERA - PARQUE 10 DE NOV."/>
    <x v="2"/>
  </r>
  <r>
    <x v="47"/>
    <x v="297"/>
    <x v="6"/>
    <x v="6"/>
    <x v="1"/>
    <x v="0"/>
    <x v="33"/>
    <x v="313"/>
    <x v="952"/>
    <x v="0"/>
    <s v="LA CHORRERA - PARQUE 10 DE NOV."/>
    <x v="2"/>
  </r>
  <r>
    <x v="47"/>
    <x v="313"/>
    <x v="6"/>
    <x v="6"/>
    <x v="1"/>
    <x v="0"/>
    <x v="33"/>
    <x v="341"/>
    <x v="874"/>
    <x v="0"/>
    <s v="LA CHORRERA - PARQUE 10 DE NOV."/>
    <x v="2"/>
  </r>
  <r>
    <x v="47"/>
    <x v="218"/>
    <x v="6"/>
    <x v="6"/>
    <x v="1"/>
    <x v="0"/>
    <x v="33"/>
    <x v="451"/>
    <x v="874"/>
    <x v="0"/>
    <s v="LA CHORRERA - PARQUE 10 DE NOV."/>
    <x v="2"/>
  </r>
  <r>
    <x v="47"/>
    <x v="191"/>
    <x v="6"/>
    <x v="6"/>
    <x v="1"/>
    <x v="0"/>
    <x v="33"/>
    <x v="318"/>
    <x v="874"/>
    <x v="0"/>
    <s v="LA CHORRERA - PARQUE 10 DE NOV."/>
    <x v="2"/>
  </r>
  <r>
    <x v="47"/>
    <x v="179"/>
    <x v="7"/>
    <x v="7"/>
    <x v="1"/>
    <x v="1"/>
    <x v="33"/>
    <x v="415"/>
    <x v="759"/>
    <x v="0"/>
    <s v="LA CHORRERA - PARQUE 10 DE NOV."/>
    <x v="2"/>
  </r>
  <r>
    <x v="47"/>
    <x v="309"/>
    <x v="7"/>
    <x v="7"/>
    <x v="1"/>
    <x v="1"/>
    <x v="33"/>
    <x v="334"/>
    <x v="874"/>
    <x v="0"/>
    <s v="LA CHORRERA - PARQUE 10 DE NOV."/>
    <x v="2"/>
  </r>
  <r>
    <x v="47"/>
    <x v="209"/>
    <x v="7"/>
    <x v="7"/>
    <x v="1"/>
    <x v="1"/>
    <x v="33"/>
    <x v="428"/>
    <x v="874"/>
    <x v="0"/>
    <s v="LA CHORRERA - PARQUE 10 DE NOV."/>
    <x v="2"/>
  </r>
  <r>
    <x v="47"/>
    <x v="279"/>
    <x v="7"/>
    <x v="7"/>
    <x v="1"/>
    <x v="1"/>
    <x v="33"/>
    <x v="449"/>
    <x v="874"/>
    <x v="0"/>
    <s v="LA CHORRERA - PARQUE 10 DE NOV."/>
    <x v="2"/>
  </r>
  <r>
    <x v="47"/>
    <x v="326"/>
    <x v="8"/>
    <x v="8"/>
    <x v="1"/>
    <x v="1"/>
    <x v="33"/>
    <x v="423"/>
    <x v="874"/>
    <x v="0"/>
    <s v="LA CHORRERA - PARQUE 10 DE NOV."/>
    <x v="2"/>
  </r>
  <r>
    <x v="47"/>
    <x v="254"/>
    <x v="8"/>
    <x v="8"/>
    <x v="1"/>
    <x v="1"/>
    <x v="33"/>
    <x v="326"/>
    <x v="874"/>
    <x v="0"/>
    <s v="LA CHORRERA - PARQUE 10 DE NOV."/>
    <x v="2"/>
  </r>
  <r>
    <x v="47"/>
    <x v="323"/>
    <x v="8"/>
    <x v="8"/>
    <x v="1"/>
    <x v="1"/>
    <x v="33"/>
    <x v="367"/>
    <x v="874"/>
    <x v="0"/>
    <s v="LA CHORRERA - PARQUE 10 DE NOV."/>
    <x v="2"/>
  </r>
  <r>
    <x v="47"/>
    <x v="337"/>
    <x v="9"/>
    <x v="9"/>
    <x v="1"/>
    <x v="1"/>
    <x v="33"/>
    <x v="424"/>
    <x v="759"/>
    <x v="0"/>
    <s v="LA CHORRERA - PARQUE 10 DE NOV."/>
    <x v="2"/>
  </r>
  <r>
    <x v="47"/>
    <x v="227"/>
    <x v="9"/>
    <x v="9"/>
    <x v="1"/>
    <x v="1"/>
    <x v="33"/>
    <x v="399"/>
    <x v="874"/>
    <x v="0"/>
    <s v="LA CHORRERA - PARQUE 10 DE NOV."/>
    <x v="2"/>
  </r>
  <r>
    <x v="47"/>
    <x v="194"/>
    <x v="9"/>
    <x v="9"/>
    <x v="1"/>
    <x v="1"/>
    <x v="33"/>
    <x v="390"/>
    <x v="874"/>
    <x v="0"/>
    <s v="LA CHORRERA - PARQUE 10 DE NOV."/>
    <x v="2"/>
  </r>
  <r>
    <x v="47"/>
    <x v="238"/>
    <x v="9"/>
    <x v="9"/>
    <x v="1"/>
    <x v="1"/>
    <x v="33"/>
    <x v="379"/>
    <x v="146"/>
    <x v="0"/>
    <s v="LA CHORRERA - PARQUE 10 DE NOV."/>
    <x v="2"/>
  </r>
  <r>
    <x v="47"/>
    <x v="197"/>
    <x v="9"/>
    <x v="9"/>
    <x v="1"/>
    <x v="1"/>
    <x v="33"/>
    <x v="432"/>
    <x v="874"/>
    <x v="0"/>
    <s v="LA CHORRERA - PARQUE 10 DE NOV."/>
    <x v="2"/>
  </r>
  <r>
    <x v="47"/>
    <x v="291"/>
    <x v="9"/>
    <x v="9"/>
    <x v="1"/>
    <x v="1"/>
    <x v="33"/>
    <x v="303"/>
    <x v="765"/>
    <x v="0"/>
    <s v="LA CHORRERA - PARQUE 10 DE NOV."/>
    <x v="2"/>
  </r>
  <r>
    <x v="47"/>
    <x v="286"/>
    <x v="10"/>
    <x v="10"/>
    <x v="1"/>
    <x v="1"/>
    <x v="33"/>
    <x v="297"/>
    <x v="759"/>
    <x v="0"/>
    <s v="LA CHORRERA - PARQUE 10 DE NOV."/>
    <x v="2"/>
  </r>
  <r>
    <x v="47"/>
    <x v="317"/>
    <x v="10"/>
    <x v="10"/>
    <x v="1"/>
    <x v="1"/>
    <x v="33"/>
    <x v="401"/>
    <x v="874"/>
    <x v="0"/>
    <s v="LA CHORRERA - PARQUE 10 DE NOV."/>
    <x v="2"/>
  </r>
  <r>
    <x v="47"/>
    <x v="180"/>
    <x v="10"/>
    <x v="10"/>
    <x v="1"/>
    <x v="1"/>
    <x v="33"/>
    <x v="452"/>
    <x v="874"/>
    <x v="0"/>
    <s v="LA CHORRERA - PARQUE 10 DE NOV."/>
    <x v="2"/>
  </r>
  <r>
    <x v="47"/>
    <x v="268"/>
    <x v="10"/>
    <x v="10"/>
    <x v="1"/>
    <x v="1"/>
    <x v="33"/>
    <x v="339"/>
    <x v="874"/>
    <x v="0"/>
    <s v="LA CHORRERA - PARQUE 10 DE NOV."/>
    <x v="2"/>
  </r>
  <r>
    <x v="47"/>
    <x v="232"/>
    <x v="10"/>
    <x v="10"/>
    <x v="1"/>
    <x v="1"/>
    <x v="33"/>
    <x v="290"/>
    <x v="874"/>
    <x v="0"/>
    <s v="LA CHORRERA - PARQUE 10 DE NOV."/>
    <x v="2"/>
  </r>
  <r>
    <x v="47"/>
    <x v="186"/>
    <x v="10"/>
    <x v="10"/>
    <x v="1"/>
    <x v="1"/>
    <x v="33"/>
    <x v="321"/>
    <x v="759"/>
    <x v="0"/>
    <s v="LA CHORRERA - PARQUE 10 DE NOV."/>
    <x v="2"/>
  </r>
  <r>
    <x v="47"/>
    <x v="329"/>
    <x v="10"/>
    <x v="10"/>
    <x v="1"/>
    <x v="1"/>
    <x v="33"/>
    <x v="380"/>
    <x v="874"/>
    <x v="0"/>
    <s v="LA CHORRERA - PARQUE 10 DE NOV."/>
    <x v="2"/>
  </r>
  <r>
    <x v="47"/>
    <x v="233"/>
    <x v="10"/>
    <x v="10"/>
    <x v="1"/>
    <x v="1"/>
    <x v="33"/>
    <x v="344"/>
    <x v="759"/>
    <x v="0"/>
    <s v="LA CHORRERA - PARQUE 10 DE NOV."/>
    <x v="2"/>
  </r>
  <r>
    <x v="47"/>
    <x v="176"/>
    <x v="10"/>
    <x v="10"/>
    <x v="1"/>
    <x v="1"/>
    <x v="33"/>
    <x v="412"/>
    <x v="765"/>
    <x v="0"/>
    <s v="LA CHORRERA - PARQUE 10 DE NOV."/>
    <x v="2"/>
  </r>
  <r>
    <x v="47"/>
    <x v="189"/>
    <x v="10"/>
    <x v="10"/>
    <x v="1"/>
    <x v="1"/>
    <x v="33"/>
    <x v="345"/>
    <x v="874"/>
    <x v="0"/>
    <s v="LA CHORRERA - PARQUE 10 DE NOV."/>
    <x v="2"/>
  </r>
  <r>
    <x v="47"/>
    <x v="325"/>
    <x v="11"/>
    <x v="11"/>
    <x v="1"/>
    <x v="1"/>
    <x v="33"/>
    <x v="421"/>
    <x v="759"/>
    <x v="0"/>
    <s v="LA CHORRERA - PARQUE 10 DE NOV."/>
    <x v="2"/>
  </r>
  <r>
    <x v="47"/>
    <x v="187"/>
    <x v="11"/>
    <x v="11"/>
    <x v="1"/>
    <x v="1"/>
    <x v="33"/>
    <x v="328"/>
    <x v="874"/>
    <x v="0"/>
    <s v="LA CHORRERA - PARQUE 10 DE NOV."/>
    <x v="2"/>
  </r>
  <r>
    <x v="47"/>
    <x v="201"/>
    <x v="11"/>
    <x v="11"/>
    <x v="1"/>
    <x v="1"/>
    <x v="33"/>
    <x v="422"/>
    <x v="146"/>
    <x v="0"/>
    <s v="LA CHORRERA - PARQUE 10 DE NOV."/>
    <x v="2"/>
  </r>
  <r>
    <x v="47"/>
    <x v="299"/>
    <x v="11"/>
    <x v="11"/>
    <x v="1"/>
    <x v="1"/>
    <x v="33"/>
    <x v="315"/>
    <x v="874"/>
    <x v="0"/>
    <s v="LA CHORRERA - PARQUE 10 DE NOV."/>
    <x v="2"/>
  </r>
  <r>
    <x v="47"/>
    <x v="202"/>
    <x v="11"/>
    <x v="11"/>
    <x v="1"/>
    <x v="1"/>
    <x v="33"/>
    <x v="305"/>
    <x v="874"/>
    <x v="0"/>
    <s v="LA CHORRERA - PARQUE 10 DE NOV."/>
    <x v="2"/>
  </r>
  <r>
    <x v="47"/>
    <x v="311"/>
    <x v="11"/>
    <x v="11"/>
    <x v="1"/>
    <x v="1"/>
    <x v="33"/>
    <x v="440"/>
    <x v="934"/>
    <x v="0"/>
    <s v="LA CHORRERA - PARQUE 10 DE NOV."/>
    <x v="2"/>
  </r>
  <r>
    <x v="47"/>
    <x v="181"/>
    <x v="11"/>
    <x v="11"/>
    <x v="1"/>
    <x v="1"/>
    <x v="33"/>
    <x v="362"/>
    <x v="874"/>
    <x v="0"/>
    <s v="LA CHORRERA - PARQUE 10 DE NOV."/>
    <x v="2"/>
  </r>
  <r>
    <x v="47"/>
    <x v="222"/>
    <x v="2"/>
    <x v="2"/>
    <x v="1"/>
    <x v="1"/>
    <x v="32"/>
    <x v="384"/>
    <x v="874"/>
    <x v="0"/>
    <s v="LA CHORRERA - PARQUE 10 DE NOV."/>
    <x v="2"/>
  </r>
  <r>
    <x v="47"/>
    <x v="182"/>
    <x v="2"/>
    <x v="2"/>
    <x v="1"/>
    <x v="1"/>
    <x v="33"/>
    <x v="392"/>
    <x v="874"/>
    <x v="0"/>
    <s v="LA CHORRERA - PARQUE 10 DE NOV."/>
    <x v="2"/>
  </r>
  <r>
    <x v="47"/>
    <x v="216"/>
    <x v="2"/>
    <x v="2"/>
    <x v="1"/>
    <x v="1"/>
    <x v="33"/>
    <x v="332"/>
    <x v="765"/>
    <x v="0"/>
    <s v="LA CHORRERA - PARQUE 10 DE NOV."/>
    <x v="2"/>
  </r>
  <r>
    <x v="47"/>
    <x v="224"/>
    <x v="2"/>
    <x v="2"/>
    <x v="1"/>
    <x v="1"/>
    <x v="33"/>
    <x v="414"/>
    <x v="146"/>
    <x v="0"/>
    <s v="LA CHORRERA - PARQUE 10 DE NOV."/>
    <x v="2"/>
  </r>
  <r>
    <x v="47"/>
    <x v="264"/>
    <x v="6"/>
    <x v="6"/>
    <x v="1"/>
    <x v="1"/>
    <x v="33"/>
    <x v="311"/>
    <x v="1132"/>
    <x v="0"/>
    <s v="LA CHORRERA - PARQUE 10 DE NOV."/>
    <x v="2"/>
  </r>
  <r>
    <x v="47"/>
    <x v="281"/>
    <x v="6"/>
    <x v="6"/>
    <x v="1"/>
    <x v="1"/>
    <x v="33"/>
    <x v="395"/>
    <x v="874"/>
    <x v="0"/>
    <s v="LA CHORRERA - PARQUE 10 DE NOV."/>
    <x v="2"/>
  </r>
  <r>
    <x v="47"/>
    <x v="265"/>
    <x v="6"/>
    <x v="6"/>
    <x v="1"/>
    <x v="1"/>
    <x v="33"/>
    <x v="386"/>
    <x v="874"/>
    <x v="0"/>
    <s v="LA CHORRERA - PARQUE 10 DE NOV."/>
    <x v="2"/>
  </r>
  <r>
    <x v="47"/>
    <x v="184"/>
    <x v="6"/>
    <x v="6"/>
    <x v="1"/>
    <x v="1"/>
    <x v="33"/>
    <x v="413"/>
    <x v="874"/>
    <x v="0"/>
    <s v="LA CHORRERA - PARQUE 10 DE NOV."/>
    <x v="2"/>
  </r>
  <r>
    <x v="47"/>
    <x v="314"/>
    <x v="6"/>
    <x v="6"/>
    <x v="1"/>
    <x v="1"/>
    <x v="33"/>
    <x v="372"/>
    <x v="874"/>
    <x v="0"/>
    <s v="LA CHORRERA - PARQUE 10 DE NOV."/>
    <x v="2"/>
  </r>
  <r>
    <x v="47"/>
    <x v="266"/>
    <x v="6"/>
    <x v="6"/>
    <x v="1"/>
    <x v="1"/>
    <x v="33"/>
    <x v="370"/>
    <x v="759"/>
    <x v="0"/>
    <s v="LA CHORRERA - PARQUE 10 DE NOV."/>
    <x v="2"/>
  </r>
  <r>
    <x v="47"/>
    <x v="296"/>
    <x v="6"/>
    <x v="6"/>
    <x v="1"/>
    <x v="1"/>
    <x v="33"/>
    <x v="312"/>
    <x v="759"/>
    <x v="0"/>
    <s v="LA CHORRERA - PARQUE 10 DE NOV."/>
    <x v="2"/>
  </r>
  <r>
    <x v="47"/>
    <x v="229"/>
    <x v="6"/>
    <x v="6"/>
    <x v="1"/>
    <x v="1"/>
    <x v="33"/>
    <x v="281"/>
    <x v="146"/>
    <x v="0"/>
    <s v="LA CHORRERA - PARQUE 10 DE NOV."/>
    <x v="2"/>
  </r>
  <r>
    <x v="47"/>
    <x v="241"/>
    <x v="6"/>
    <x v="6"/>
    <x v="1"/>
    <x v="1"/>
    <x v="33"/>
    <x v="447"/>
    <x v="874"/>
    <x v="0"/>
    <s v="LA CHORRERA - PARQUE 10 DE NOV."/>
    <x v="2"/>
  </r>
  <r>
    <x v="48"/>
    <x v="310"/>
    <x v="10"/>
    <x v="10"/>
    <x v="1"/>
    <x v="2"/>
    <x v="32"/>
    <x v="335"/>
    <x v="3113"/>
    <x v="0"/>
    <s v="COSTA DEL ESTE - CENTENARIO"/>
    <x v="2"/>
  </r>
  <r>
    <x v="49"/>
    <x v="207"/>
    <x v="8"/>
    <x v="8"/>
    <x v="1"/>
    <x v="2"/>
    <x v="32"/>
    <x v="374"/>
    <x v="841"/>
    <x v="0"/>
    <s v="CLAYTON"/>
    <x v="2"/>
  </r>
  <r>
    <x v="49"/>
    <x v="243"/>
    <x v="10"/>
    <x v="10"/>
    <x v="1"/>
    <x v="2"/>
    <x v="32"/>
    <x v="411"/>
    <x v="1109"/>
    <x v="0"/>
    <s v="CLAYTON"/>
    <x v="2"/>
  </r>
  <r>
    <x v="49"/>
    <x v="330"/>
    <x v="11"/>
    <x v="11"/>
    <x v="1"/>
    <x v="2"/>
    <x v="32"/>
    <x v="381"/>
    <x v="1331"/>
    <x v="0"/>
    <s v="CLAYTON"/>
    <x v="2"/>
  </r>
  <r>
    <x v="49"/>
    <x v="173"/>
    <x v="8"/>
    <x v="8"/>
    <x v="1"/>
    <x v="0"/>
    <x v="33"/>
    <x v="378"/>
    <x v="874"/>
    <x v="0"/>
    <s v="CLAYTON"/>
    <x v="2"/>
  </r>
  <r>
    <x v="49"/>
    <x v="276"/>
    <x v="2"/>
    <x v="2"/>
    <x v="1"/>
    <x v="0"/>
    <x v="33"/>
    <x v="385"/>
    <x v="874"/>
    <x v="0"/>
    <s v="CLAYTON"/>
    <x v="2"/>
  </r>
  <r>
    <x v="50"/>
    <x v="238"/>
    <x v="9"/>
    <x v="9"/>
    <x v="1"/>
    <x v="2"/>
    <x v="32"/>
    <x v="379"/>
    <x v="1355"/>
    <x v="0"/>
    <s v="MARBELLA"/>
    <x v="2"/>
  </r>
  <r>
    <x v="50"/>
    <x v="330"/>
    <x v="11"/>
    <x v="11"/>
    <x v="1"/>
    <x v="2"/>
    <x v="32"/>
    <x v="381"/>
    <x v="3114"/>
    <x v="0"/>
    <s v="MARBELLA"/>
    <x v="2"/>
  </r>
  <r>
    <x v="50"/>
    <x v="229"/>
    <x v="6"/>
    <x v="6"/>
    <x v="1"/>
    <x v="2"/>
    <x v="32"/>
    <x v="281"/>
    <x v="2826"/>
    <x v="0"/>
    <s v="MARBELLA"/>
    <x v="2"/>
  </r>
  <r>
    <x v="51"/>
    <x v="217"/>
    <x v="6"/>
    <x v="6"/>
    <x v="1"/>
    <x v="2"/>
    <x v="32"/>
    <x v="323"/>
    <x v="3115"/>
    <x v="0"/>
    <s v="PLAZA CAROLINA"/>
    <x v="2"/>
  </r>
  <r>
    <x v="52"/>
    <x v="263"/>
    <x v="10"/>
    <x v="10"/>
    <x v="1"/>
    <x v="2"/>
    <x v="32"/>
    <x v="436"/>
    <x v="3116"/>
    <x v="0"/>
    <s v="PLAZA CORDOBA"/>
    <x v="2"/>
  </r>
  <r>
    <x v="53"/>
    <x v="327"/>
    <x v="7"/>
    <x v="7"/>
    <x v="1"/>
    <x v="0"/>
    <x v="33"/>
    <x v="387"/>
    <x v="759"/>
    <x v="0"/>
    <s v="VIA SIMON BOLIVAR"/>
    <x v="2"/>
  </r>
  <r>
    <x v="53"/>
    <x v="258"/>
    <x v="7"/>
    <x v="7"/>
    <x v="1"/>
    <x v="0"/>
    <x v="33"/>
    <x v="349"/>
    <x v="874"/>
    <x v="0"/>
    <s v="VIA SIMON BOLIVAR"/>
    <x v="2"/>
  </r>
  <r>
    <x v="53"/>
    <x v="206"/>
    <x v="7"/>
    <x v="7"/>
    <x v="1"/>
    <x v="0"/>
    <x v="33"/>
    <x v="284"/>
    <x v="759"/>
    <x v="0"/>
    <s v="VIA SIMON BOLIVAR"/>
    <x v="2"/>
  </r>
  <r>
    <x v="53"/>
    <x v="326"/>
    <x v="8"/>
    <x v="8"/>
    <x v="1"/>
    <x v="0"/>
    <x v="33"/>
    <x v="423"/>
    <x v="759"/>
    <x v="0"/>
    <s v="VIA SIMON BOLIVAR"/>
    <x v="2"/>
  </r>
  <r>
    <x v="53"/>
    <x v="173"/>
    <x v="8"/>
    <x v="8"/>
    <x v="1"/>
    <x v="0"/>
    <x v="33"/>
    <x v="378"/>
    <x v="759"/>
    <x v="0"/>
    <s v="VIA SIMON BOLIVAR"/>
    <x v="2"/>
  </r>
  <r>
    <x v="53"/>
    <x v="337"/>
    <x v="9"/>
    <x v="9"/>
    <x v="1"/>
    <x v="0"/>
    <x v="33"/>
    <x v="424"/>
    <x v="874"/>
    <x v="0"/>
    <s v="VIA SIMON BOLIVAR"/>
    <x v="2"/>
  </r>
  <r>
    <x v="53"/>
    <x v="194"/>
    <x v="9"/>
    <x v="9"/>
    <x v="1"/>
    <x v="0"/>
    <x v="33"/>
    <x v="390"/>
    <x v="759"/>
    <x v="0"/>
    <s v="VIA SIMON BOLIVAR"/>
    <x v="2"/>
  </r>
  <r>
    <x v="53"/>
    <x v="178"/>
    <x v="9"/>
    <x v="9"/>
    <x v="1"/>
    <x v="0"/>
    <x v="33"/>
    <x v="353"/>
    <x v="146"/>
    <x v="0"/>
    <s v="VIA SIMON BOLIVAR"/>
    <x v="2"/>
  </r>
  <r>
    <x v="53"/>
    <x v="317"/>
    <x v="10"/>
    <x v="10"/>
    <x v="1"/>
    <x v="0"/>
    <x v="33"/>
    <x v="401"/>
    <x v="759"/>
    <x v="0"/>
    <s v="VIA SIMON BOLIVAR"/>
    <x v="2"/>
  </r>
  <r>
    <x v="53"/>
    <x v="248"/>
    <x v="10"/>
    <x v="10"/>
    <x v="1"/>
    <x v="0"/>
    <x v="33"/>
    <x v="304"/>
    <x v="146"/>
    <x v="0"/>
    <s v="VIA SIMON BOLIVAR"/>
    <x v="2"/>
  </r>
  <r>
    <x v="53"/>
    <x v="269"/>
    <x v="11"/>
    <x v="11"/>
    <x v="1"/>
    <x v="0"/>
    <x v="33"/>
    <x v="403"/>
    <x v="759"/>
    <x v="0"/>
    <s v="VIA SIMON BOLIVAR"/>
    <x v="2"/>
  </r>
  <r>
    <x v="53"/>
    <x v="187"/>
    <x v="11"/>
    <x v="11"/>
    <x v="1"/>
    <x v="0"/>
    <x v="33"/>
    <x v="328"/>
    <x v="146"/>
    <x v="0"/>
    <s v="VIA SIMON BOLIVAR"/>
    <x v="2"/>
  </r>
  <r>
    <x v="53"/>
    <x v="202"/>
    <x v="11"/>
    <x v="11"/>
    <x v="1"/>
    <x v="0"/>
    <x v="33"/>
    <x v="305"/>
    <x v="874"/>
    <x v="0"/>
    <s v="VIA SIMON BOLIVAR"/>
    <x v="2"/>
  </r>
  <r>
    <x v="53"/>
    <x v="294"/>
    <x v="11"/>
    <x v="11"/>
    <x v="1"/>
    <x v="0"/>
    <x v="33"/>
    <x v="382"/>
    <x v="874"/>
    <x v="0"/>
    <s v="VIA SIMON BOLIVAR"/>
    <x v="2"/>
  </r>
  <r>
    <x v="53"/>
    <x v="223"/>
    <x v="2"/>
    <x v="2"/>
    <x v="1"/>
    <x v="0"/>
    <x v="33"/>
    <x v="434"/>
    <x v="874"/>
    <x v="0"/>
    <s v="VIA SIMON BOLIVAR"/>
    <x v="2"/>
  </r>
  <r>
    <x v="53"/>
    <x v="276"/>
    <x v="2"/>
    <x v="2"/>
    <x v="1"/>
    <x v="0"/>
    <x v="33"/>
    <x v="385"/>
    <x v="759"/>
    <x v="0"/>
    <s v="VIA SIMON BOLIVAR"/>
    <x v="2"/>
  </r>
  <r>
    <x v="53"/>
    <x v="236"/>
    <x v="6"/>
    <x v="6"/>
    <x v="1"/>
    <x v="0"/>
    <x v="33"/>
    <x v="371"/>
    <x v="146"/>
    <x v="0"/>
    <s v="VIA SIMON BOLIVAR"/>
    <x v="2"/>
  </r>
  <r>
    <x v="53"/>
    <x v="218"/>
    <x v="6"/>
    <x v="6"/>
    <x v="1"/>
    <x v="0"/>
    <x v="33"/>
    <x v="451"/>
    <x v="759"/>
    <x v="0"/>
    <s v="VIA SIMON BOLIVAR"/>
    <x v="2"/>
  </r>
  <r>
    <x v="53"/>
    <x v="174"/>
    <x v="6"/>
    <x v="6"/>
    <x v="1"/>
    <x v="0"/>
    <x v="33"/>
    <x v="282"/>
    <x v="874"/>
    <x v="0"/>
    <s v="VIA SIMON BOLIVAR"/>
    <x v="2"/>
  </r>
  <r>
    <x v="53"/>
    <x v="190"/>
    <x v="6"/>
    <x v="6"/>
    <x v="1"/>
    <x v="0"/>
    <x v="33"/>
    <x v="342"/>
    <x v="874"/>
    <x v="0"/>
    <s v="VIA SIMON BOLIVAR"/>
    <x v="2"/>
  </r>
  <r>
    <x v="53"/>
    <x v="191"/>
    <x v="6"/>
    <x v="6"/>
    <x v="1"/>
    <x v="0"/>
    <x v="33"/>
    <x v="318"/>
    <x v="146"/>
    <x v="0"/>
    <s v="VIA SIMON BOLIVAR"/>
    <x v="2"/>
  </r>
  <r>
    <x v="55"/>
    <x v="259"/>
    <x v="7"/>
    <x v="7"/>
    <x v="1"/>
    <x v="20"/>
    <x v="33"/>
    <x v="355"/>
    <x v="3117"/>
    <x v="0"/>
    <s v="NEGOCIOS"/>
    <x v="2"/>
  </r>
  <r>
    <x v="55"/>
    <x v="225"/>
    <x v="7"/>
    <x v="7"/>
    <x v="1"/>
    <x v="20"/>
    <x v="32"/>
    <x v="416"/>
    <x v="3118"/>
    <x v="0"/>
    <s v="NEGOCIOS"/>
    <x v="2"/>
  </r>
  <r>
    <x v="55"/>
    <x v="210"/>
    <x v="7"/>
    <x v="7"/>
    <x v="1"/>
    <x v="20"/>
    <x v="32"/>
    <x v="418"/>
    <x v="2943"/>
    <x v="0"/>
    <s v="NEGOCIOS"/>
    <x v="2"/>
  </r>
  <r>
    <x v="55"/>
    <x v="251"/>
    <x v="8"/>
    <x v="8"/>
    <x v="1"/>
    <x v="20"/>
    <x v="32"/>
    <x v="291"/>
    <x v="764"/>
    <x v="0"/>
    <s v="NEGOCIOS"/>
    <x v="2"/>
  </r>
  <r>
    <x v="55"/>
    <x v="247"/>
    <x v="8"/>
    <x v="8"/>
    <x v="1"/>
    <x v="20"/>
    <x v="32"/>
    <x v="289"/>
    <x v="1675"/>
    <x v="0"/>
    <s v="NEGOCIOS"/>
    <x v="2"/>
  </r>
  <r>
    <x v="55"/>
    <x v="254"/>
    <x v="8"/>
    <x v="8"/>
    <x v="1"/>
    <x v="20"/>
    <x v="32"/>
    <x v="326"/>
    <x v="3119"/>
    <x v="0"/>
    <s v="NEGOCIOS"/>
    <x v="2"/>
  </r>
  <r>
    <x v="55"/>
    <x v="263"/>
    <x v="10"/>
    <x v="10"/>
    <x v="1"/>
    <x v="20"/>
    <x v="32"/>
    <x v="436"/>
    <x v="1505"/>
    <x v="0"/>
    <s v="NEGOCIOS"/>
    <x v="2"/>
  </r>
  <r>
    <x v="55"/>
    <x v="193"/>
    <x v="11"/>
    <x v="11"/>
    <x v="1"/>
    <x v="20"/>
    <x v="33"/>
    <x v="369"/>
    <x v="3120"/>
    <x v="0"/>
    <s v="NEGOCIOS"/>
    <x v="2"/>
  </r>
  <r>
    <x v="55"/>
    <x v="330"/>
    <x v="11"/>
    <x v="11"/>
    <x v="1"/>
    <x v="20"/>
    <x v="32"/>
    <x v="381"/>
    <x v="2943"/>
    <x v="0"/>
    <s v="NEGOCIOS"/>
    <x v="2"/>
  </r>
  <r>
    <x v="55"/>
    <x v="217"/>
    <x v="6"/>
    <x v="6"/>
    <x v="1"/>
    <x v="20"/>
    <x v="32"/>
    <x v="323"/>
    <x v="3121"/>
    <x v="0"/>
    <s v="NEGOCIOS"/>
    <x v="2"/>
  </r>
  <r>
    <x v="55"/>
    <x v="305"/>
    <x v="6"/>
    <x v="6"/>
    <x v="1"/>
    <x v="20"/>
    <x v="33"/>
    <x v="331"/>
    <x v="3122"/>
    <x v="0"/>
    <s v="NEGOCIOS"/>
    <x v="2"/>
  </r>
  <r>
    <x v="55"/>
    <x v="266"/>
    <x v="6"/>
    <x v="6"/>
    <x v="1"/>
    <x v="20"/>
    <x v="32"/>
    <x v="370"/>
    <x v="3123"/>
    <x v="0"/>
    <s v="NEGOCIOS"/>
    <x v="2"/>
  </r>
  <r>
    <x v="55"/>
    <x v="335"/>
    <x v="6"/>
    <x v="6"/>
    <x v="1"/>
    <x v="20"/>
    <x v="32"/>
    <x v="408"/>
    <x v="1942"/>
    <x v="0"/>
    <s v="NEGOCIOS"/>
    <x v="2"/>
  </r>
  <r>
    <x v="55"/>
    <x v="209"/>
    <x v="7"/>
    <x v="7"/>
    <x v="1"/>
    <x v="21"/>
    <x v="33"/>
    <x v="428"/>
    <x v="3124"/>
    <x v="0"/>
    <s v="NEGOCIOS"/>
    <x v="2"/>
  </r>
  <r>
    <x v="55"/>
    <x v="254"/>
    <x v="8"/>
    <x v="8"/>
    <x v="1"/>
    <x v="21"/>
    <x v="32"/>
    <x v="326"/>
    <x v="3125"/>
    <x v="0"/>
    <s v="NEGOCIOS"/>
    <x v="2"/>
  </r>
  <r>
    <x v="55"/>
    <x v="198"/>
    <x v="10"/>
    <x v="10"/>
    <x v="1"/>
    <x v="21"/>
    <x v="33"/>
    <x v="338"/>
    <x v="2325"/>
    <x v="0"/>
    <s v="NEGOCIOS"/>
    <x v="2"/>
  </r>
  <r>
    <x v="55"/>
    <x v="243"/>
    <x v="10"/>
    <x v="10"/>
    <x v="1"/>
    <x v="21"/>
    <x v="33"/>
    <x v="411"/>
    <x v="3126"/>
    <x v="0"/>
    <s v="NEGOCIOS"/>
    <x v="2"/>
  </r>
  <r>
    <x v="55"/>
    <x v="302"/>
    <x v="11"/>
    <x v="11"/>
    <x v="1"/>
    <x v="21"/>
    <x v="33"/>
    <x v="324"/>
    <x v="3127"/>
    <x v="0"/>
    <s v="NEGOCIOS"/>
    <x v="2"/>
  </r>
  <r>
    <x v="55"/>
    <x v="314"/>
    <x v="6"/>
    <x v="6"/>
    <x v="1"/>
    <x v="21"/>
    <x v="32"/>
    <x v="372"/>
    <x v="1"/>
    <x v="597"/>
    <s v="NEGOCIOS"/>
    <x v="2"/>
  </r>
  <r>
    <x v="55"/>
    <x v="229"/>
    <x v="6"/>
    <x v="6"/>
    <x v="1"/>
    <x v="21"/>
    <x v="33"/>
    <x v="281"/>
    <x v="3128"/>
    <x v="0"/>
    <s v="NEGOCIOS"/>
    <x v="2"/>
  </r>
  <r>
    <x v="55"/>
    <x v="266"/>
    <x v="6"/>
    <x v="6"/>
    <x v="1"/>
    <x v="22"/>
    <x v="32"/>
    <x v="370"/>
    <x v="3129"/>
    <x v="0"/>
    <s v="NEGOCIOS"/>
    <x v="2"/>
  </r>
  <r>
    <x v="55"/>
    <x v="194"/>
    <x v="9"/>
    <x v="9"/>
    <x v="1"/>
    <x v="3"/>
    <x v="33"/>
    <x v="390"/>
    <x v="736"/>
    <x v="0"/>
    <s v="NEGOCIOS"/>
    <x v="2"/>
  </r>
  <r>
    <x v="55"/>
    <x v="333"/>
    <x v="9"/>
    <x v="9"/>
    <x v="1"/>
    <x v="3"/>
    <x v="33"/>
    <x v="400"/>
    <x v="146"/>
    <x v="0"/>
    <s v="NEGOCIOS"/>
    <x v="2"/>
  </r>
  <r>
    <x v="55"/>
    <x v="211"/>
    <x v="9"/>
    <x v="9"/>
    <x v="1"/>
    <x v="3"/>
    <x v="33"/>
    <x v="286"/>
    <x v="735"/>
    <x v="0"/>
    <s v="NEGOCIOS"/>
    <x v="2"/>
  </r>
  <r>
    <x v="55"/>
    <x v="255"/>
    <x v="9"/>
    <x v="9"/>
    <x v="1"/>
    <x v="3"/>
    <x v="33"/>
    <x v="293"/>
    <x v="3130"/>
    <x v="0"/>
    <s v="NEGOCIOS"/>
    <x v="2"/>
  </r>
  <r>
    <x v="55"/>
    <x v="230"/>
    <x v="9"/>
    <x v="9"/>
    <x v="1"/>
    <x v="3"/>
    <x v="33"/>
    <x v="283"/>
    <x v="905"/>
    <x v="0"/>
    <s v="NEGOCIOS"/>
    <x v="2"/>
  </r>
  <r>
    <x v="55"/>
    <x v="180"/>
    <x v="10"/>
    <x v="10"/>
    <x v="1"/>
    <x v="3"/>
    <x v="33"/>
    <x v="452"/>
    <x v="911"/>
    <x v="0"/>
    <s v="NEGOCIOS"/>
    <x v="2"/>
  </r>
  <r>
    <x v="55"/>
    <x v="205"/>
    <x v="7"/>
    <x v="7"/>
    <x v="1"/>
    <x v="4"/>
    <x v="33"/>
    <x v="299"/>
    <x v="759"/>
    <x v="0"/>
    <s v="NEGOCIOS"/>
    <x v="2"/>
  </r>
  <r>
    <x v="55"/>
    <x v="206"/>
    <x v="7"/>
    <x v="7"/>
    <x v="1"/>
    <x v="4"/>
    <x v="33"/>
    <x v="284"/>
    <x v="736"/>
    <x v="0"/>
    <s v="NEGOCIOS"/>
    <x v="2"/>
  </r>
  <r>
    <x v="55"/>
    <x v="244"/>
    <x v="10"/>
    <x v="10"/>
    <x v="1"/>
    <x v="4"/>
    <x v="32"/>
    <x v="433"/>
    <x v="3131"/>
    <x v="0"/>
    <s v="NEGOCIOS"/>
    <x v="2"/>
  </r>
  <r>
    <x v="55"/>
    <x v="187"/>
    <x v="11"/>
    <x v="11"/>
    <x v="1"/>
    <x v="4"/>
    <x v="33"/>
    <x v="328"/>
    <x v="3132"/>
    <x v="0"/>
    <s v="NEGOCIOS"/>
    <x v="2"/>
  </r>
  <r>
    <x v="55"/>
    <x v="275"/>
    <x v="11"/>
    <x v="11"/>
    <x v="1"/>
    <x v="4"/>
    <x v="33"/>
    <x v="307"/>
    <x v="3133"/>
    <x v="0"/>
    <s v="NEGOCIOS"/>
    <x v="2"/>
  </r>
  <r>
    <x v="55"/>
    <x v="314"/>
    <x v="6"/>
    <x v="6"/>
    <x v="1"/>
    <x v="4"/>
    <x v="32"/>
    <x v="372"/>
    <x v="1"/>
    <x v="598"/>
    <s v="NEGOCIOS"/>
    <x v="2"/>
  </r>
  <r>
    <x v="55"/>
    <x v="268"/>
    <x v="10"/>
    <x v="10"/>
    <x v="1"/>
    <x v="5"/>
    <x v="32"/>
    <x v="339"/>
    <x v="743"/>
    <x v="0"/>
    <s v="NEGOCIOS"/>
    <x v="2"/>
  </r>
  <r>
    <x v="55"/>
    <x v="181"/>
    <x v="11"/>
    <x v="11"/>
    <x v="1"/>
    <x v="5"/>
    <x v="33"/>
    <x v="362"/>
    <x v="3134"/>
    <x v="0"/>
    <s v="NEGOCIOS"/>
    <x v="2"/>
  </r>
  <r>
    <x v="55"/>
    <x v="252"/>
    <x v="7"/>
    <x v="7"/>
    <x v="1"/>
    <x v="6"/>
    <x v="33"/>
    <x v="396"/>
    <x v="899"/>
    <x v="0"/>
    <s v="NEGOCIOS"/>
    <x v="2"/>
  </r>
  <r>
    <x v="55"/>
    <x v="260"/>
    <x v="7"/>
    <x v="7"/>
    <x v="1"/>
    <x v="6"/>
    <x v="32"/>
    <x v="437"/>
    <x v="3135"/>
    <x v="0"/>
    <s v="NEGOCIOS"/>
    <x v="2"/>
  </r>
  <r>
    <x v="55"/>
    <x v="254"/>
    <x v="8"/>
    <x v="8"/>
    <x v="1"/>
    <x v="6"/>
    <x v="33"/>
    <x v="326"/>
    <x v="3136"/>
    <x v="0"/>
    <s v="NEGOCIOS"/>
    <x v="2"/>
  </r>
  <r>
    <x v="55"/>
    <x v="185"/>
    <x v="8"/>
    <x v="8"/>
    <x v="1"/>
    <x v="6"/>
    <x v="32"/>
    <x v="296"/>
    <x v="2015"/>
    <x v="0"/>
    <s v="NEGOCIOS"/>
    <x v="2"/>
  </r>
  <r>
    <x v="55"/>
    <x v="194"/>
    <x v="9"/>
    <x v="9"/>
    <x v="1"/>
    <x v="6"/>
    <x v="33"/>
    <x v="390"/>
    <x v="899"/>
    <x v="0"/>
    <s v="NEGOCIOS"/>
    <x v="2"/>
  </r>
  <r>
    <x v="55"/>
    <x v="242"/>
    <x v="9"/>
    <x v="9"/>
    <x v="1"/>
    <x v="6"/>
    <x v="33"/>
    <x v="435"/>
    <x v="3137"/>
    <x v="0"/>
    <s v="NEGOCIOS"/>
    <x v="2"/>
  </r>
  <r>
    <x v="55"/>
    <x v="219"/>
    <x v="9"/>
    <x v="9"/>
    <x v="1"/>
    <x v="6"/>
    <x v="33"/>
    <x v="308"/>
    <x v="3138"/>
    <x v="0"/>
    <s v="NEGOCIOS"/>
    <x v="2"/>
  </r>
  <r>
    <x v="55"/>
    <x v="331"/>
    <x v="9"/>
    <x v="9"/>
    <x v="1"/>
    <x v="6"/>
    <x v="32"/>
    <x v="391"/>
    <x v="1759"/>
    <x v="0"/>
    <s v="NEGOCIOS"/>
    <x v="2"/>
  </r>
  <r>
    <x v="55"/>
    <x v="198"/>
    <x v="10"/>
    <x v="10"/>
    <x v="1"/>
    <x v="6"/>
    <x v="33"/>
    <x v="338"/>
    <x v="909"/>
    <x v="0"/>
    <s v="NEGOCIOS"/>
    <x v="2"/>
  </r>
  <r>
    <x v="55"/>
    <x v="263"/>
    <x v="10"/>
    <x v="10"/>
    <x v="1"/>
    <x v="6"/>
    <x v="32"/>
    <x v="436"/>
    <x v="3139"/>
    <x v="0"/>
    <s v="NEGOCIOS"/>
    <x v="2"/>
  </r>
  <r>
    <x v="55"/>
    <x v="310"/>
    <x v="10"/>
    <x v="10"/>
    <x v="1"/>
    <x v="6"/>
    <x v="32"/>
    <x v="335"/>
    <x v="3140"/>
    <x v="0"/>
    <s v="NEGOCIOS"/>
    <x v="2"/>
  </r>
  <r>
    <x v="55"/>
    <x v="243"/>
    <x v="10"/>
    <x v="10"/>
    <x v="1"/>
    <x v="6"/>
    <x v="32"/>
    <x v="411"/>
    <x v="3141"/>
    <x v="0"/>
    <s v="NEGOCIOS"/>
    <x v="2"/>
  </r>
  <r>
    <x v="55"/>
    <x v="268"/>
    <x v="10"/>
    <x v="10"/>
    <x v="1"/>
    <x v="6"/>
    <x v="32"/>
    <x v="339"/>
    <x v="3142"/>
    <x v="0"/>
    <s v="NEGOCIOS"/>
    <x v="2"/>
  </r>
  <r>
    <x v="55"/>
    <x v="186"/>
    <x v="10"/>
    <x v="10"/>
    <x v="1"/>
    <x v="6"/>
    <x v="33"/>
    <x v="321"/>
    <x v="3143"/>
    <x v="0"/>
    <s v="NEGOCIOS"/>
    <x v="2"/>
  </r>
  <r>
    <x v="55"/>
    <x v="200"/>
    <x v="11"/>
    <x v="11"/>
    <x v="1"/>
    <x v="6"/>
    <x v="32"/>
    <x v="351"/>
    <x v="3144"/>
    <x v="0"/>
    <s v="NEGOCIOS"/>
    <x v="2"/>
  </r>
  <r>
    <x v="55"/>
    <x v="200"/>
    <x v="11"/>
    <x v="11"/>
    <x v="1"/>
    <x v="6"/>
    <x v="33"/>
    <x v="351"/>
    <x v="798"/>
    <x v="0"/>
    <s v="NEGOCIOS"/>
    <x v="2"/>
  </r>
  <r>
    <x v="55"/>
    <x v="282"/>
    <x v="11"/>
    <x v="11"/>
    <x v="1"/>
    <x v="6"/>
    <x v="32"/>
    <x v="358"/>
    <x v="1165"/>
    <x v="0"/>
    <s v="NEGOCIOS"/>
    <x v="2"/>
  </r>
  <r>
    <x v="55"/>
    <x v="220"/>
    <x v="11"/>
    <x v="11"/>
    <x v="1"/>
    <x v="6"/>
    <x v="32"/>
    <x v="309"/>
    <x v="366"/>
    <x v="0"/>
    <s v="NEGOCIOS"/>
    <x v="2"/>
  </r>
  <r>
    <x v="55"/>
    <x v="201"/>
    <x v="11"/>
    <x v="11"/>
    <x v="1"/>
    <x v="6"/>
    <x v="32"/>
    <x v="422"/>
    <x v="3145"/>
    <x v="0"/>
    <s v="NEGOCIOS"/>
    <x v="2"/>
  </r>
  <r>
    <x v="55"/>
    <x v="202"/>
    <x v="11"/>
    <x v="11"/>
    <x v="1"/>
    <x v="6"/>
    <x v="32"/>
    <x v="305"/>
    <x v="1"/>
    <x v="599"/>
    <s v="NEGOCIOS"/>
    <x v="2"/>
  </r>
  <r>
    <x v="55"/>
    <x v="330"/>
    <x v="11"/>
    <x v="11"/>
    <x v="1"/>
    <x v="6"/>
    <x v="32"/>
    <x v="381"/>
    <x v="1560"/>
    <x v="0"/>
    <s v="NEGOCIOS"/>
    <x v="2"/>
  </r>
  <r>
    <x v="55"/>
    <x v="214"/>
    <x v="11"/>
    <x v="11"/>
    <x v="1"/>
    <x v="6"/>
    <x v="32"/>
    <x v="306"/>
    <x v="146"/>
    <x v="0"/>
    <s v="NEGOCIOS"/>
    <x v="2"/>
  </r>
  <r>
    <x v="55"/>
    <x v="315"/>
    <x v="2"/>
    <x v="2"/>
    <x v="1"/>
    <x v="6"/>
    <x v="32"/>
    <x v="405"/>
    <x v="3146"/>
    <x v="0"/>
    <s v="NEGOCIOS"/>
    <x v="2"/>
  </r>
  <r>
    <x v="55"/>
    <x v="240"/>
    <x v="2"/>
    <x v="2"/>
    <x v="1"/>
    <x v="6"/>
    <x v="32"/>
    <x v="442"/>
    <x v="3147"/>
    <x v="0"/>
    <s v="NEGOCIOS"/>
    <x v="2"/>
  </r>
  <r>
    <x v="55"/>
    <x v="316"/>
    <x v="2"/>
    <x v="2"/>
    <x v="1"/>
    <x v="6"/>
    <x v="32"/>
    <x v="348"/>
    <x v="3148"/>
    <x v="0"/>
    <s v="NEGOCIOS"/>
    <x v="2"/>
  </r>
  <r>
    <x v="55"/>
    <x v="183"/>
    <x v="2"/>
    <x v="2"/>
    <x v="1"/>
    <x v="6"/>
    <x v="32"/>
    <x v="330"/>
    <x v="3149"/>
    <x v="0"/>
    <s v="NEGOCIOS"/>
    <x v="2"/>
  </r>
  <r>
    <x v="55"/>
    <x v="217"/>
    <x v="6"/>
    <x v="6"/>
    <x v="1"/>
    <x v="6"/>
    <x v="32"/>
    <x v="323"/>
    <x v="1499"/>
    <x v="0"/>
    <s v="NEGOCIOS"/>
    <x v="2"/>
  </r>
  <r>
    <x v="55"/>
    <x v="266"/>
    <x v="6"/>
    <x v="6"/>
    <x v="1"/>
    <x v="6"/>
    <x v="32"/>
    <x v="370"/>
    <x v="1200"/>
    <x v="0"/>
    <s v="NEGOCIOS"/>
    <x v="2"/>
  </r>
  <r>
    <x v="55"/>
    <x v="335"/>
    <x v="6"/>
    <x v="6"/>
    <x v="1"/>
    <x v="6"/>
    <x v="32"/>
    <x v="408"/>
    <x v="3150"/>
    <x v="0"/>
    <s v="NEGOCIOS"/>
    <x v="2"/>
  </r>
  <r>
    <x v="55"/>
    <x v="255"/>
    <x v="9"/>
    <x v="9"/>
    <x v="1"/>
    <x v="25"/>
    <x v="33"/>
    <x v="293"/>
    <x v="3151"/>
    <x v="0"/>
    <s v="NEGOCIOS"/>
    <x v="2"/>
  </r>
  <r>
    <x v="55"/>
    <x v="290"/>
    <x v="9"/>
    <x v="9"/>
    <x v="1"/>
    <x v="7"/>
    <x v="32"/>
    <x v="302"/>
    <x v="3152"/>
    <x v="0"/>
    <s v="NEGOCIOS"/>
    <x v="2"/>
  </r>
  <r>
    <x v="55"/>
    <x v="310"/>
    <x v="10"/>
    <x v="10"/>
    <x v="1"/>
    <x v="7"/>
    <x v="32"/>
    <x v="335"/>
    <x v="3153"/>
    <x v="0"/>
    <s v="NEGOCIOS"/>
    <x v="2"/>
  </r>
  <r>
    <x v="55"/>
    <x v="335"/>
    <x v="6"/>
    <x v="6"/>
    <x v="1"/>
    <x v="7"/>
    <x v="32"/>
    <x v="408"/>
    <x v="3154"/>
    <x v="0"/>
    <s v="NEGOCIOS"/>
    <x v="2"/>
  </r>
  <r>
    <x v="55"/>
    <x v="261"/>
    <x v="8"/>
    <x v="8"/>
    <x v="1"/>
    <x v="8"/>
    <x v="33"/>
    <x v="320"/>
    <x v="3155"/>
    <x v="0"/>
    <s v="NEGOCIOS"/>
    <x v="2"/>
  </r>
  <r>
    <x v="55"/>
    <x v="196"/>
    <x v="8"/>
    <x v="8"/>
    <x v="1"/>
    <x v="8"/>
    <x v="33"/>
    <x v="375"/>
    <x v="3156"/>
    <x v="0"/>
    <s v="NEGOCIOS"/>
    <x v="2"/>
  </r>
  <r>
    <x v="55"/>
    <x v="243"/>
    <x v="10"/>
    <x v="10"/>
    <x v="1"/>
    <x v="8"/>
    <x v="33"/>
    <x v="411"/>
    <x v="736"/>
    <x v="0"/>
    <s v="NEGOCIOS"/>
    <x v="2"/>
  </r>
  <r>
    <x v="55"/>
    <x v="232"/>
    <x v="10"/>
    <x v="10"/>
    <x v="1"/>
    <x v="8"/>
    <x v="33"/>
    <x v="290"/>
    <x v="3157"/>
    <x v="0"/>
    <s v="NEGOCIOS"/>
    <x v="2"/>
  </r>
  <r>
    <x v="55"/>
    <x v="282"/>
    <x v="11"/>
    <x v="11"/>
    <x v="1"/>
    <x v="8"/>
    <x v="33"/>
    <x v="358"/>
    <x v="699"/>
    <x v="0"/>
    <s v="NEGOCIOS"/>
    <x v="2"/>
  </r>
  <r>
    <x v="55"/>
    <x v="249"/>
    <x v="11"/>
    <x v="11"/>
    <x v="1"/>
    <x v="8"/>
    <x v="33"/>
    <x v="359"/>
    <x v="3158"/>
    <x v="0"/>
    <s v="NEGOCIOS"/>
    <x v="2"/>
  </r>
  <r>
    <x v="55"/>
    <x v="299"/>
    <x v="11"/>
    <x v="11"/>
    <x v="1"/>
    <x v="8"/>
    <x v="33"/>
    <x v="315"/>
    <x v="3159"/>
    <x v="0"/>
    <s v="NEGOCIOS"/>
    <x v="2"/>
  </r>
  <r>
    <x v="55"/>
    <x v="274"/>
    <x v="11"/>
    <x v="11"/>
    <x v="1"/>
    <x v="8"/>
    <x v="33"/>
    <x v="404"/>
    <x v="3160"/>
    <x v="0"/>
    <s v="NEGOCIOS"/>
    <x v="2"/>
  </r>
  <r>
    <x v="55"/>
    <x v="334"/>
    <x v="2"/>
    <x v="2"/>
    <x v="1"/>
    <x v="8"/>
    <x v="33"/>
    <x v="406"/>
    <x v="3161"/>
    <x v="0"/>
    <s v="NEGOCIOS"/>
    <x v="2"/>
  </r>
  <r>
    <x v="55"/>
    <x v="307"/>
    <x v="2"/>
    <x v="2"/>
    <x v="1"/>
    <x v="8"/>
    <x v="33"/>
    <x v="441"/>
    <x v="3162"/>
    <x v="0"/>
    <s v="NEGOCIOS"/>
    <x v="2"/>
  </r>
  <r>
    <x v="55"/>
    <x v="276"/>
    <x v="2"/>
    <x v="2"/>
    <x v="1"/>
    <x v="8"/>
    <x v="33"/>
    <x v="385"/>
    <x v="3163"/>
    <x v="0"/>
    <s v="NEGOCIOS"/>
    <x v="2"/>
  </r>
  <r>
    <x v="55"/>
    <x v="305"/>
    <x v="6"/>
    <x v="6"/>
    <x v="1"/>
    <x v="8"/>
    <x v="32"/>
    <x v="331"/>
    <x v="1"/>
    <x v="600"/>
    <s v="NEGOCIOS"/>
    <x v="2"/>
  </r>
  <r>
    <x v="55"/>
    <x v="314"/>
    <x v="6"/>
    <x v="6"/>
    <x v="1"/>
    <x v="8"/>
    <x v="32"/>
    <x v="372"/>
    <x v="1"/>
    <x v="598"/>
    <s v="NEGOCIOS"/>
    <x v="2"/>
  </r>
  <r>
    <x v="55"/>
    <x v="174"/>
    <x v="6"/>
    <x v="6"/>
    <x v="1"/>
    <x v="8"/>
    <x v="33"/>
    <x v="282"/>
    <x v="3164"/>
    <x v="0"/>
    <s v="NEGOCIOS"/>
    <x v="2"/>
  </r>
  <r>
    <x v="55"/>
    <x v="206"/>
    <x v="7"/>
    <x v="7"/>
    <x v="1"/>
    <x v="9"/>
    <x v="32"/>
    <x v="284"/>
    <x v="3165"/>
    <x v="0"/>
    <s v="NEGOCIOS"/>
    <x v="2"/>
  </r>
  <r>
    <x v="55"/>
    <x v="332"/>
    <x v="7"/>
    <x v="7"/>
    <x v="1"/>
    <x v="9"/>
    <x v="32"/>
    <x v="397"/>
    <x v="3166"/>
    <x v="0"/>
    <s v="NEGOCIOS"/>
    <x v="2"/>
  </r>
  <r>
    <x v="55"/>
    <x v="192"/>
    <x v="8"/>
    <x v="8"/>
    <x v="1"/>
    <x v="9"/>
    <x v="33"/>
    <x v="300"/>
    <x v="1331"/>
    <x v="0"/>
    <s v="NEGOCIOS"/>
    <x v="2"/>
  </r>
  <r>
    <x v="55"/>
    <x v="323"/>
    <x v="8"/>
    <x v="8"/>
    <x v="1"/>
    <x v="9"/>
    <x v="32"/>
    <x v="367"/>
    <x v="3167"/>
    <x v="0"/>
    <s v="NEGOCIOS"/>
    <x v="2"/>
  </r>
  <r>
    <x v="55"/>
    <x v="319"/>
    <x v="8"/>
    <x v="8"/>
    <x v="1"/>
    <x v="9"/>
    <x v="33"/>
    <x v="350"/>
    <x v="3168"/>
    <x v="0"/>
    <s v="NEGOCIOS"/>
    <x v="2"/>
  </r>
  <r>
    <x v="55"/>
    <x v="243"/>
    <x v="10"/>
    <x v="10"/>
    <x v="1"/>
    <x v="9"/>
    <x v="32"/>
    <x v="411"/>
    <x v="3169"/>
    <x v="0"/>
    <s v="NEGOCIOS"/>
    <x v="2"/>
  </r>
  <r>
    <x v="55"/>
    <x v="233"/>
    <x v="10"/>
    <x v="10"/>
    <x v="1"/>
    <x v="9"/>
    <x v="33"/>
    <x v="344"/>
    <x v="3170"/>
    <x v="0"/>
    <s v="NEGOCIOS"/>
    <x v="2"/>
  </r>
  <r>
    <x v="55"/>
    <x v="189"/>
    <x v="10"/>
    <x v="10"/>
    <x v="1"/>
    <x v="9"/>
    <x v="32"/>
    <x v="345"/>
    <x v="3171"/>
    <x v="0"/>
    <s v="NEGOCIOS"/>
    <x v="2"/>
  </r>
  <r>
    <x v="55"/>
    <x v="187"/>
    <x v="11"/>
    <x v="11"/>
    <x v="1"/>
    <x v="9"/>
    <x v="33"/>
    <x v="328"/>
    <x v="3172"/>
    <x v="0"/>
    <s v="NEGOCIOS"/>
    <x v="2"/>
  </r>
  <r>
    <x v="55"/>
    <x v="220"/>
    <x v="11"/>
    <x v="11"/>
    <x v="1"/>
    <x v="9"/>
    <x v="33"/>
    <x v="309"/>
    <x v="556"/>
    <x v="0"/>
    <s v="NEGOCIOS"/>
    <x v="2"/>
  </r>
  <r>
    <x v="55"/>
    <x v="177"/>
    <x v="11"/>
    <x v="11"/>
    <x v="1"/>
    <x v="9"/>
    <x v="32"/>
    <x v="346"/>
    <x v="3173"/>
    <x v="0"/>
    <s v="NEGOCIOS"/>
    <x v="2"/>
  </r>
  <r>
    <x v="55"/>
    <x v="281"/>
    <x v="6"/>
    <x v="6"/>
    <x v="1"/>
    <x v="9"/>
    <x v="32"/>
    <x v="395"/>
    <x v="3174"/>
    <x v="0"/>
    <s v="NEGOCIOS"/>
    <x v="2"/>
  </r>
  <r>
    <x v="55"/>
    <x v="217"/>
    <x v="6"/>
    <x v="6"/>
    <x v="1"/>
    <x v="9"/>
    <x v="32"/>
    <x v="323"/>
    <x v="3175"/>
    <x v="0"/>
    <s v="NEGOCIOS"/>
    <x v="2"/>
  </r>
  <r>
    <x v="55"/>
    <x v="335"/>
    <x v="6"/>
    <x v="6"/>
    <x v="1"/>
    <x v="9"/>
    <x v="32"/>
    <x v="408"/>
    <x v="3176"/>
    <x v="0"/>
    <s v="NEGOCIOS"/>
    <x v="2"/>
  </r>
  <r>
    <x v="55"/>
    <x v="258"/>
    <x v="7"/>
    <x v="7"/>
    <x v="1"/>
    <x v="10"/>
    <x v="33"/>
    <x v="349"/>
    <x v="3177"/>
    <x v="0"/>
    <s v="NEGOCIOS"/>
    <x v="2"/>
  </r>
  <r>
    <x v="55"/>
    <x v="210"/>
    <x v="7"/>
    <x v="7"/>
    <x v="1"/>
    <x v="10"/>
    <x v="33"/>
    <x v="418"/>
    <x v="3178"/>
    <x v="0"/>
    <s v="NEGOCIOS"/>
    <x v="2"/>
  </r>
  <r>
    <x v="55"/>
    <x v="230"/>
    <x v="9"/>
    <x v="9"/>
    <x v="1"/>
    <x v="10"/>
    <x v="33"/>
    <x v="283"/>
    <x v="3179"/>
    <x v="0"/>
    <s v="NEGOCIOS"/>
    <x v="2"/>
  </r>
  <r>
    <x v="55"/>
    <x v="186"/>
    <x v="10"/>
    <x v="10"/>
    <x v="1"/>
    <x v="10"/>
    <x v="33"/>
    <x v="321"/>
    <x v="736"/>
    <x v="0"/>
    <s v="NEGOCIOS"/>
    <x v="2"/>
  </r>
  <r>
    <x v="55"/>
    <x v="325"/>
    <x v="11"/>
    <x v="11"/>
    <x v="1"/>
    <x v="10"/>
    <x v="33"/>
    <x v="421"/>
    <x v="736"/>
    <x v="0"/>
    <s v="NEGOCIOS"/>
    <x v="2"/>
  </r>
  <r>
    <x v="55"/>
    <x v="249"/>
    <x v="11"/>
    <x v="11"/>
    <x v="1"/>
    <x v="10"/>
    <x v="33"/>
    <x v="359"/>
    <x v="736"/>
    <x v="0"/>
    <s v="NEGOCIOS"/>
    <x v="2"/>
  </r>
  <r>
    <x v="55"/>
    <x v="273"/>
    <x v="11"/>
    <x v="11"/>
    <x v="1"/>
    <x v="10"/>
    <x v="33"/>
    <x v="354"/>
    <x v="3180"/>
    <x v="0"/>
    <s v="NEGOCIOS"/>
    <x v="2"/>
  </r>
  <r>
    <x v="55"/>
    <x v="314"/>
    <x v="6"/>
    <x v="6"/>
    <x v="1"/>
    <x v="10"/>
    <x v="32"/>
    <x v="372"/>
    <x v="1"/>
    <x v="420"/>
    <s v="NEGOCIOS"/>
    <x v="2"/>
  </r>
  <r>
    <x v="55"/>
    <x v="335"/>
    <x v="6"/>
    <x v="6"/>
    <x v="1"/>
    <x v="10"/>
    <x v="32"/>
    <x v="408"/>
    <x v="3181"/>
    <x v="0"/>
    <s v="NEGOCIOS"/>
    <x v="2"/>
  </r>
  <r>
    <x v="55"/>
    <x v="306"/>
    <x v="9"/>
    <x v="9"/>
    <x v="1"/>
    <x v="11"/>
    <x v="32"/>
    <x v="336"/>
    <x v="1603"/>
    <x v="0"/>
    <s v="NEGOCIOS"/>
    <x v="2"/>
  </r>
  <r>
    <x v="55"/>
    <x v="194"/>
    <x v="9"/>
    <x v="9"/>
    <x v="1"/>
    <x v="11"/>
    <x v="32"/>
    <x v="390"/>
    <x v="3182"/>
    <x v="0"/>
    <s v="NEGOCIOS"/>
    <x v="2"/>
  </r>
  <r>
    <x v="55"/>
    <x v="194"/>
    <x v="9"/>
    <x v="9"/>
    <x v="1"/>
    <x v="11"/>
    <x v="33"/>
    <x v="390"/>
    <x v="3183"/>
    <x v="0"/>
    <s v="NEGOCIOS"/>
    <x v="2"/>
  </r>
  <r>
    <x v="55"/>
    <x v="255"/>
    <x v="9"/>
    <x v="9"/>
    <x v="1"/>
    <x v="11"/>
    <x v="33"/>
    <x v="293"/>
    <x v="815"/>
    <x v="0"/>
    <s v="NEGOCIOS"/>
    <x v="2"/>
  </r>
  <r>
    <x v="55"/>
    <x v="248"/>
    <x v="10"/>
    <x v="10"/>
    <x v="1"/>
    <x v="11"/>
    <x v="33"/>
    <x v="304"/>
    <x v="1812"/>
    <x v="0"/>
    <s v="NEGOCIOS"/>
    <x v="2"/>
  </r>
  <r>
    <x v="55"/>
    <x v="176"/>
    <x v="10"/>
    <x v="10"/>
    <x v="1"/>
    <x v="11"/>
    <x v="33"/>
    <x v="412"/>
    <x v="1812"/>
    <x v="0"/>
    <s v="NEGOCIOS"/>
    <x v="2"/>
  </r>
  <r>
    <x v="55"/>
    <x v="187"/>
    <x v="11"/>
    <x v="11"/>
    <x v="1"/>
    <x v="11"/>
    <x v="32"/>
    <x v="328"/>
    <x v="3184"/>
    <x v="0"/>
    <s v="NEGOCIOS"/>
    <x v="2"/>
  </r>
  <r>
    <x v="55"/>
    <x v="272"/>
    <x v="11"/>
    <x v="11"/>
    <x v="1"/>
    <x v="11"/>
    <x v="33"/>
    <x v="360"/>
    <x v="1913"/>
    <x v="0"/>
    <s v="NEGOCIOS"/>
    <x v="2"/>
  </r>
  <r>
    <x v="55"/>
    <x v="272"/>
    <x v="11"/>
    <x v="11"/>
    <x v="1"/>
    <x v="11"/>
    <x v="32"/>
    <x v="360"/>
    <x v="1"/>
    <x v="601"/>
    <s v="NEGOCIOS"/>
    <x v="2"/>
  </r>
  <r>
    <x v="55"/>
    <x v="300"/>
    <x v="2"/>
    <x v="2"/>
    <x v="1"/>
    <x v="11"/>
    <x v="33"/>
    <x v="316"/>
    <x v="3185"/>
    <x v="0"/>
    <s v="NEGOCIOS"/>
    <x v="2"/>
  </r>
  <r>
    <x v="55"/>
    <x v="315"/>
    <x v="2"/>
    <x v="2"/>
    <x v="1"/>
    <x v="11"/>
    <x v="32"/>
    <x v="405"/>
    <x v="3186"/>
    <x v="0"/>
    <s v="NEGOCIOS"/>
    <x v="2"/>
  </r>
  <r>
    <x v="55"/>
    <x v="246"/>
    <x v="2"/>
    <x v="2"/>
    <x v="1"/>
    <x v="11"/>
    <x v="33"/>
    <x v="287"/>
    <x v="3187"/>
    <x v="0"/>
    <s v="NEGOCIOS"/>
    <x v="2"/>
  </r>
  <r>
    <x v="55"/>
    <x v="297"/>
    <x v="6"/>
    <x v="6"/>
    <x v="1"/>
    <x v="11"/>
    <x v="33"/>
    <x v="313"/>
    <x v="3188"/>
    <x v="0"/>
    <s v="NEGOCIOS"/>
    <x v="2"/>
  </r>
  <r>
    <x v="55"/>
    <x v="308"/>
    <x v="7"/>
    <x v="7"/>
    <x v="1"/>
    <x v="12"/>
    <x v="33"/>
    <x v="333"/>
    <x v="1527"/>
    <x v="0"/>
    <s v="NEGOCIOS"/>
    <x v="2"/>
  </r>
  <r>
    <x v="55"/>
    <x v="173"/>
    <x v="8"/>
    <x v="8"/>
    <x v="1"/>
    <x v="12"/>
    <x v="33"/>
    <x v="378"/>
    <x v="146"/>
    <x v="0"/>
    <s v="NEGOCIOS"/>
    <x v="2"/>
  </r>
  <r>
    <x v="55"/>
    <x v="274"/>
    <x v="11"/>
    <x v="11"/>
    <x v="1"/>
    <x v="12"/>
    <x v="33"/>
    <x v="404"/>
    <x v="3189"/>
    <x v="0"/>
    <s v="NEGOCIOS"/>
    <x v="2"/>
  </r>
  <r>
    <x v="55"/>
    <x v="208"/>
    <x v="8"/>
    <x v="8"/>
    <x v="1"/>
    <x v="13"/>
    <x v="32"/>
    <x v="377"/>
    <x v="3190"/>
    <x v="0"/>
    <s v="NEGOCIOS"/>
    <x v="2"/>
  </r>
  <r>
    <x v="55"/>
    <x v="263"/>
    <x v="10"/>
    <x v="10"/>
    <x v="1"/>
    <x v="13"/>
    <x v="32"/>
    <x v="436"/>
    <x v="3191"/>
    <x v="0"/>
    <s v="NEGOCIOS"/>
    <x v="2"/>
  </r>
  <r>
    <x v="55"/>
    <x v="202"/>
    <x v="11"/>
    <x v="11"/>
    <x v="1"/>
    <x v="13"/>
    <x v="32"/>
    <x v="305"/>
    <x v="3192"/>
    <x v="0"/>
    <s v="NEGOCIOS"/>
    <x v="2"/>
  </r>
  <r>
    <x v="55"/>
    <x v="240"/>
    <x v="2"/>
    <x v="2"/>
    <x v="1"/>
    <x v="13"/>
    <x v="32"/>
    <x v="442"/>
    <x v="3193"/>
    <x v="0"/>
    <s v="NEGOCIOS"/>
    <x v="2"/>
  </r>
  <r>
    <x v="55"/>
    <x v="217"/>
    <x v="6"/>
    <x v="6"/>
    <x v="1"/>
    <x v="13"/>
    <x v="32"/>
    <x v="323"/>
    <x v="3194"/>
    <x v="0"/>
    <s v="NEGOCIOS"/>
    <x v="2"/>
  </r>
  <r>
    <x v="55"/>
    <x v="314"/>
    <x v="6"/>
    <x v="6"/>
    <x v="1"/>
    <x v="13"/>
    <x v="32"/>
    <x v="372"/>
    <x v="1"/>
    <x v="602"/>
    <s v="NEGOCIOS"/>
    <x v="2"/>
  </r>
  <r>
    <x v="55"/>
    <x v="309"/>
    <x v="7"/>
    <x v="7"/>
    <x v="1"/>
    <x v="14"/>
    <x v="33"/>
    <x v="334"/>
    <x v="911"/>
    <x v="0"/>
    <s v="NEGOCIOS"/>
    <x v="2"/>
  </r>
  <r>
    <x v="55"/>
    <x v="254"/>
    <x v="8"/>
    <x v="8"/>
    <x v="1"/>
    <x v="14"/>
    <x v="33"/>
    <x v="326"/>
    <x v="736"/>
    <x v="0"/>
    <s v="NEGOCIOS"/>
    <x v="2"/>
  </r>
  <r>
    <x v="55"/>
    <x v="208"/>
    <x v="8"/>
    <x v="8"/>
    <x v="1"/>
    <x v="14"/>
    <x v="32"/>
    <x v="377"/>
    <x v="1868"/>
    <x v="0"/>
    <s v="NEGOCIOS"/>
    <x v="2"/>
  </r>
  <r>
    <x v="55"/>
    <x v="338"/>
    <x v="9"/>
    <x v="9"/>
    <x v="1"/>
    <x v="14"/>
    <x v="33"/>
    <x v="425"/>
    <x v="3195"/>
    <x v="0"/>
    <s v="NEGOCIOS"/>
    <x v="2"/>
  </r>
  <r>
    <x v="55"/>
    <x v="239"/>
    <x v="10"/>
    <x v="10"/>
    <x v="1"/>
    <x v="14"/>
    <x v="33"/>
    <x v="419"/>
    <x v="759"/>
    <x v="0"/>
    <s v="NEGOCIOS"/>
    <x v="2"/>
  </r>
  <r>
    <x v="55"/>
    <x v="180"/>
    <x v="10"/>
    <x v="10"/>
    <x v="1"/>
    <x v="14"/>
    <x v="33"/>
    <x v="452"/>
    <x v="3125"/>
    <x v="0"/>
    <s v="NEGOCIOS"/>
    <x v="2"/>
  </r>
  <r>
    <x v="55"/>
    <x v="248"/>
    <x v="10"/>
    <x v="10"/>
    <x v="1"/>
    <x v="14"/>
    <x v="33"/>
    <x v="304"/>
    <x v="911"/>
    <x v="0"/>
    <s v="NEGOCIOS"/>
    <x v="2"/>
  </r>
  <r>
    <x v="55"/>
    <x v="236"/>
    <x v="6"/>
    <x v="6"/>
    <x v="1"/>
    <x v="14"/>
    <x v="33"/>
    <x v="371"/>
    <x v="3196"/>
    <x v="0"/>
    <s v="NEGOCIOS"/>
    <x v="2"/>
  </r>
  <r>
    <x v="55"/>
    <x v="200"/>
    <x v="11"/>
    <x v="11"/>
    <x v="1"/>
    <x v="28"/>
    <x v="32"/>
    <x v="351"/>
    <x v="710"/>
    <x v="0"/>
    <s v="NEGOCIOS"/>
    <x v="2"/>
  </r>
  <r>
    <x v="55"/>
    <x v="335"/>
    <x v="6"/>
    <x v="6"/>
    <x v="1"/>
    <x v="28"/>
    <x v="32"/>
    <x v="408"/>
    <x v="3197"/>
    <x v="0"/>
    <s v="NEGOCIOS"/>
    <x v="2"/>
  </r>
  <r>
    <x v="55"/>
    <x v="237"/>
    <x v="7"/>
    <x v="7"/>
    <x v="1"/>
    <x v="29"/>
    <x v="33"/>
    <x v="417"/>
    <x v="1471"/>
    <x v="0"/>
    <s v="NEGOCIOS"/>
    <x v="2"/>
  </r>
  <r>
    <x v="55"/>
    <x v="306"/>
    <x v="9"/>
    <x v="9"/>
    <x v="1"/>
    <x v="29"/>
    <x v="32"/>
    <x v="336"/>
    <x v="3198"/>
    <x v="0"/>
    <s v="NEGOCIOS"/>
    <x v="2"/>
  </r>
  <r>
    <x v="55"/>
    <x v="244"/>
    <x v="10"/>
    <x v="10"/>
    <x v="1"/>
    <x v="29"/>
    <x v="32"/>
    <x v="433"/>
    <x v="3199"/>
    <x v="0"/>
    <s v="NEGOCIOS"/>
    <x v="2"/>
  </r>
  <r>
    <x v="55"/>
    <x v="187"/>
    <x v="11"/>
    <x v="11"/>
    <x v="1"/>
    <x v="29"/>
    <x v="32"/>
    <x v="328"/>
    <x v="3200"/>
    <x v="0"/>
    <s v="NEGOCIOS"/>
    <x v="2"/>
  </r>
  <r>
    <x v="55"/>
    <x v="177"/>
    <x v="11"/>
    <x v="11"/>
    <x v="1"/>
    <x v="29"/>
    <x v="32"/>
    <x v="346"/>
    <x v="884"/>
    <x v="0"/>
    <s v="NEGOCIOS"/>
    <x v="2"/>
  </r>
  <r>
    <x v="55"/>
    <x v="315"/>
    <x v="2"/>
    <x v="2"/>
    <x v="1"/>
    <x v="29"/>
    <x v="32"/>
    <x v="405"/>
    <x v="3201"/>
    <x v="0"/>
    <s v="NEGOCIOS"/>
    <x v="2"/>
  </r>
  <r>
    <x v="55"/>
    <x v="235"/>
    <x v="2"/>
    <x v="2"/>
    <x v="1"/>
    <x v="29"/>
    <x v="32"/>
    <x v="393"/>
    <x v="3202"/>
    <x v="0"/>
    <s v="NEGOCIOS"/>
    <x v="2"/>
  </r>
  <r>
    <x v="55"/>
    <x v="305"/>
    <x v="6"/>
    <x v="6"/>
    <x v="1"/>
    <x v="29"/>
    <x v="32"/>
    <x v="331"/>
    <x v="1"/>
    <x v="603"/>
    <s v="NEGOCIOS"/>
    <x v="2"/>
  </r>
  <r>
    <x v="55"/>
    <x v="332"/>
    <x v="7"/>
    <x v="7"/>
    <x v="1"/>
    <x v="30"/>
    <x v="32"/>
    <x v="397"/>
    <x v="448"/>
    <x v="0"/>
    <s v="NEGOCIOS"/>
    <x v="2"/>
  </r>
  <r>
    <x v="55"/>
    <x v="261"/>
    <x v="8"/>
    <x v="8"/>
    <x v="1"/>
    <x v="30"/>
    <x v="32"/>
    <x v="320"/>
    <x v="3203"/>
    <x v="0"/>
    <s v="NEGOCIOS"/>
    <x v="2"/>
  </r>
  <r>
    <x v="55"/>
    <x v="207"/>
    <x v="8"/>
    <x v="8"/>
    <x v="1"/>
    <x v="30"/>
    <x v="32"/>
    <x v="374"/>
    <x v="1505"/>
    <x v="0"/>
    <s v="NEGOCIOS"/>
    <x v="2"/>
  </r>
  <r>
    <x v="55"/>
    <x v="194"/>
    <x v="9"/>
    <x v="9"/>
    <x v="1"/>
    <x v="30"/>
    <x v="33"/>
    <x v="390"/>
    <x v="3204"/>
    <x v="0"/>
    <s v="NEGOCIOS"/>
    <x v="2"/>
  </r>
  <r>
    <x v="55"/>
    <x v="200"/>
    <x v="11"/>
    <x v="11"/>
    <x v="1"/>
    <x v="30"/>
    <x v="33"/>
    <x v="351"/>
    <x v="3205"/>
    <x v="0"/>
    <s v="NEGOCIOS"/>
    <x v="2"/>
  </r>
  <r>
    <x v="55"/>
    <x v="202"/>
    <x v="11"/>
    <x v="11"/>
    <x v="1"/>
    <x v="30"/>
    <x v="32"/>
    <x v="305"/>
    <x v="3206"/>
    <x v="0"/>
    <s v="NEGOCIOS"/>
    <x v="2"/>
  </r>
  <r>
    <x v="55"/>
    <x v="182"/>
    <x v="2"/>
    <x v="2"/>
    <x v="1"/>
    <x v="30"/>
    <x v="32"/>
    <x v="392"/>
    <x v="3207"/>
    <x v="0"/>
    <s v="NEGOCIOS"/>
    <x v="2"/>
  </r>
  <r>
    <x v="55"/>
    <x v="240"/>
    <x v="2"/>
    <x v="2"/>
    <x v="1"/>
    <x v="30"/>
    <x v="32"/>
    <x v="442"/>
    <x v="3208"/>
    <x v="0"/>
    <s v="NEGOCIOS"/>
    <x v="2"/>
  </r>
  <r>
    <x v="55"/>
    <x v="277"/>
    <x v="7"/>
    <x v="7"/>
    <x v="1"/>
    <x v="17"/>
    <x v="32"/>
    <x v="325"/>
    <x v="3209"/>
    <x v="0"/>
    <s v="NEGOCIOS"/>
    <x v="2"/>
  </r>
  <r>
    <x v="55"/>
    <x v="332"/>
    <x v="7"/>
    <x v="7"/>
    <x v="1"/>
    <x v="17"/>
    <x v="32"/>
    <x v="397"/>
    <x v="3210"/>
    <x v="0"/>
    <s v="NEGOCIOS"/>
    <x v="2"/>
  </r>
  <r>
    <x v="55"/>
    <x v="261"/>
    <x v="8"/>
    <x v="8"/>
    <x v="1"/>
    <x v="17"/>
    <x v="32"/>
    <x v="320"/>
    <x v="3211"/>
    <x v="0"/>
    <s v="NEGOCIOS"/>
    <x v="2"/>
  </r>
  <r>
    <x v="55"/>
    <x v="323"/>
    <x v="8"/>
    <x v="8"/>
    <x v="1"/>
    <x v="17"/>
    <x v="32"/>
    <x v="367"/>
    <x v="3212"/>
    <x v="0"/>
    <s v="NEGOCIOS"/>
    <x v="2"/>
  </r>
  <r>
    <x v="55"/>
    <x v="208"/>
    <x v="8"/>
    <x v="8"/>
    <x v="1"/>
    <x v="17"/>
    <x v="32"/>
    <x v="377"/>
    <x v="3213"/>
    <x v="0"/>
    <s v="NEGOCIOS"/>
    <x v="2"/>
  </r>
  <r>
    <x v="55"/>
    <x v="227"/>
    <x v="9"/>
    <x v="9"/>
    <x v="1"/>
    <x v="17"/>
    <x v="32"/>
    <x v="399"/>
    <x v="3214"/>
    <x v="0"/>
    <s v="NEGOCIOS"/>
    <x v="2"/>
  </r>
  <r>
    <x v="55"/>
    <x v="243"/>
    <x v="10"/>
    <x v="10"/>
    <x v="1"/>
    <x v="17"/>
    <x v="32"/>
    <x v="411"/>
    <x v="3215"/>
    <x v="0"/>
    <s v="NEGOCIOS"/>
    <x v="2"/>
  </r>
  <r>
    <x v="55"/>
    <x v="268"/>
    <x v="10"/>
    <x v="10"/>
    <x v="1"/>
    <x v="17"/>
    <x v="32"/>
    <x v="339"/>
    <x v="1346"/>
    <x v="0"/>
    <s v="NEGOCIOS"/>
    <x v="2"/>
  </r>
  <r>
    <x v="55"/>
    <x v="314"/>
    <x v="6"/>
    <x v="6"/>
    <x v="1"/>
    <x v="17"/>
    <x v="32"/>
    <x v="372"/>
    <x v="1"/>
    <x v="604"/>
    <s v="NEGOCIOS"/>
    <x v="2"/>
  </r>
  <r>
    <x v="55"/>
    <x v="266"/>
    <x v="6"/>
    <x v="6"/>
    <x v="1"/>
    <x v="17"/>
    <x v="32"/>
    <x v="370"/>
    <x v="1385"/>
    <x v="0"/>
    <s v="NEGOCIOS"/>
    <x v="2"/>
  </r>
  <r>
    <x v="55"/>
    <x v="216"/>
    <x v="2"/>
    <x v="2"/>
    <x v="1"/>
    <x v="31"/>
    <x v="33"/>
    <x v="332"/>
    <x v="2847"/>
    <x v="0"/>
    <s v="NEGOCIOS"/>
    <x v="2"/>
  </r>
  <r>
    <x v="55"/>
    <x v="242"/>
    <x v="9"/>
    <x v="9"/>
    <x v="1"/>
    <x v="32"/>
    <x v="32"/>
    <x v="435"/>
    <x v="3216"/>
    <x v="0"/>
    <s v="NEGOCIOS"/>
    <x v="2"/>
  </r>
  <r>
    <x v="55"/>
    <x v="242"/>
    <x v="9"/>
    <x v="9"/>
    <x v="1"/>
    <x v="32"/>
    <x v="33"/>
    <x v="435"/>
    <x v="1596"/>
    <x v="0"/>
    <s v="NEGOCIOS"/>
    <x v="2"/>
  </r>
  <r>
    <x v="55"/>
    <x v="263"/>
    <x v="10"/>
    <x v="10"/>
    <x v="1"/>
    <x v="18"/>
    <x v="33"/>
    <x v="436"/>
    <x v="3217"/>
    <x v="0"/>
    <s v="NEGOCIOS"/>
    <x v="2"/>
  </r>
  <r>
    <x v="56"/>
    <x v="209"/>
    <x v="7"/>
    <x v="7"/>
    <x v="1"/>
    <x v="2"/>
    <x v="33"/>
    <x v="428"/>
    <x v="759"/>
    <x v="0"/>
    <s v="BOULEVARD EL DORADO"/>
    <x v="2"/>
  </r>
  <r>
    <x v="56"/>
    <x v="194"/>
    <x v="9"/>
    <x v="9"/>
    <x v="1"/>
    <x v="2"/>
    <x v="32"/>
    <x v="390"/>
    <x v="1504"/>
    <x v="0"/>
    <s v="BOULEVARD EL DORADO"/>
    <x v="2"/>
  </r>
  <r>
    <x v="56"/>
    <x v="202"/>
    <x v="11"/>
    <x v="11"/>
    <x v="1"/>
    <x v="2"/>
    <x v="33"/>
    <x v="305"/>
    <x v="874"/>
    <x v="0"/>
    <s v="BOULEVARD EL DORADO"/>
    <x v="2"/>
  </r>
  <r>
    <x v="56"/>
    <x v="182"/>
    <x v="2"/>
    <x v="2"/>
    <x v="1"/>
    <x v="2"/>
    <x v="32"/>
    <x v="392"/>
    <x v="1928"/>
    <x v="0"/>
    <s v="BOULEVARD EL DORADO"/>
    <x v="2"/>
  </r>
  <r>
    <x v="56"/>
    <x v="240"/>
    <x v="2"/>
    <x v="2"/>
    <x v="1"/>
    <x v="2"/>
    <x v="32"/>
    <x v="442"/>
    <x v="3218"/>
    <x v="0"/>
    <s v="BOULEVARD EL DORADO"/>
    <x v="2"/>
  </r>
  <r>
    <x v="56"/>
    <x v="308"/>
    <x v="7"/>
    <x v="7"/>
    <x v="1"/>
    <x v="0"/>
    <x v="33"/>
    <x v="333"/>
    <x v="146"/>
    <x v="0"/>
    <s v="BOULEVARD EL DORADO"/>
    <x v="2"/>
  </r>
  <r>
    <x v="56"/>
    <x v="206"/>
    <x v="7"/>
    <x v="7"/>
    <x v="1"/>
    <x v="0"/>
    <x v="33"/>
    <x v="284"/>
    <x v="765"/>
    <x v="0"/>
    <s v="BOULEVARD EL DORADO"/>
    <x v="2"/>
  </r>
  <r>
    <x v="56"/>
    <x v="192"/>
    <x v="8"/>
    <x v="8"/>
    <x v="1"/>
    <x v="0"/>
    <x v="33"/>
    <x v="300"/>
    <x v="759"/>
    <x v="0"/>
    <s v="BOULEVARD EL DORADO"/>
    <x v="2"/>
  </r>
  <r>
    <x v="56"/>
    <x v="320"/>
    <x v="8"/>
    <x v="8"/>
    <x v="1"/>
    <x v="0"/>
    <x v="33"/>
    <x v="398"/>
    <x v="874"/>
    <x v="0"/>
    <s v="BOULEVARD EL DORADO"/>
    <x v="2"/>
  </r>
  <r>
    <x v="56"/>
    <x v="292"/>
    <x v="9"/>
    <x v="9"/>
    <x v="1"/>
    <x v="0"/>
    <x v="33"/>
    <x v="352"/>
    <x v="759"/>
    <x v="0"/>
    <s v="BOULEVARD EL DORADO"/>
    <x v="2"/>
  </r>
  <r>
    <x v="56"/>
    <x v="303"/>
    <x v="9"/>
    <x v="9"/>
    <x v="1"/>
    <x v="0"/>
    <x v="33"/>
    <x v="327"/>
    <x v="934"/>
    <x v="0"/>
    <s v="BOULEVARD EL DORADO"/>
    <x v="2"/>
  </r>
  <r>
    <x v="56"/>
    <x v="197"/>
    <x v="9"/>
    <x v="9"/>
    <x v="1"/>
    <x v="0"/>
    <x v="33"/>
    <x v="432"/>
    <x v="759"/>
    <x v="0"/>
    <s v="BOULEVARD EL DORADO"/>
    <x v="2"/>
  </r>
  <r>
    <x v="56"/>
    <x v="198"/>
    <x v="10"/>
    <x v="10"/>
    <x v="1"/>
    <x v="0"/>
    <x v="33"/>
    <x v="338"/>
    <x v="146"/>
    <x v="0"/>
    <s v="BOULEVARD EL DORADO"/>
    <x v="2"/>
  </r>
  <r>
    <x v="56"/>
    <x v="310"/>
    <x v="10"/>
    <x v="10"/>
    <x v="1"/>
    <x v="0"/>
    <x v="33"/>
    <x v="335"/>
    <x v="146"/>
    <x v="0"/>
    <s v="BOULEVARD EL DORADO"/>
    <x v="2"/>
  </r>
  <r>
    <x v="56"/>
    <x v="317"/>
    <x v="10"/>
    <x v="10"/>
    <x v="1"/>
    <x v="0"/>
    <x v="33"/>
    <x v="401"/>
    <x v="759"/>
    <x v="0"/>
    <s v="BOULEVARD EL DORADO"/>
    <x v="2"/>
  </r>
  <r>
    <x v="56"/>
    <x v="243"/>
    <x v="10"/>
    <x v="10"/>
    <x v="1"/>
    <x v="0"/>
    <x v="33"/>
    <x v="411"/>
    <x v="874"/>
    <x v="0"/>
    <s v="BOULEVARD EL DORADO"/>
    <x v="2"/>
  </r>
  <r>
    <x v="56"/>
    <x v="186"/>
    <x v="10"/>
    <x v="10"/>
    <x v="1"/>
    <x v="0"/>
    <x v="33"/>
    <x v="321"/>
    <x v="765"/>
    <x v="0"/>
    <s v="BOULEVARD EL DORADO"/>
    <x v="2"/>
  </r>
  <r>
    <x v="56"/>
    <x v="329"/>
    <x v="10"/>
    <x v="10"/>
    <x v="1"/>
    <x v="0"/>
    <x v="33"/>
    <x v="380"/>
    <x v="874"/>
    <x v="0"/>
    <s v="BOULEVARD EL DORADO"/>
    <x v="2"/>
  </r>
  <r>
    <x v="56"/>
    <x v="176"/>
    <x v="10"/>
    <x v="10"/>
    <x v="1"/>
    <x v="0"/>
    <x v="33"/>
    <x v="412"/>
    <x v="765"/>
    <x v="0"/>
    <s v="BOULEVARD EL DORADO"/>
    <x v="2"/>
  </r>
  <r>
    <x v="56"/>
    <x v="200"/>
    <x v="11"/>
    <x v="11"/>
    <x v="1"/>
    <x v="0"/>
    <x v="33"/>
    <x v="351"/>
    <x v="874"/>
    <x v="0"/>
    <s v="BOULEVARD EL DORADO"/>
    <x v="2"/>
  </r>
  <r>
    <x v="56"/>
    <x v="325"/>
    <x v="11"/>
    <x v="11"/>
    <x v="1"/>
    <x v="0"/>
    <x v="33"/>
    <x v="421"/>
    <x v="899"/>
    <x v="0"/>
    <s v="BOULEVARD EL DORADO"/>
    <x v="2"/>
  </r>
  <r>
    <x v="56"/>
    <x v="216"/>
    <x v="2"/>
    <x v="2"/>
    <x v="1"/>
    <x v="0"/>
    <x v="33"/>
    <x v="332"/>
    <x v="146"/>
    <x v="0"/>
    <s v="BOULEVARD EL DORADO"/>
    <x v="2"/>
  </r>
  <r>
    <x v="56"/>
    <x v="257"/>
    <x v="2"/>
    <x v="2"/>
    <x v="1"/>
    <x v="0"/>
    <x v="33"/>
    <x v="410"/>
    <x v="759"/>
    <x v="0"/>
    <s v="BOULEVARD EL DORADO"/>
    <x v="2"/>
  </r>
  <r>
    <x v="56"/>
    <x v="217"/>
    <x v="6"/>
    <x v="6"/>
    <x v="1"/>
    <x v="0"/>
    <x v="33"/>
    <x v="323"/>
    <x v="874"/>
    <x v="0"/>
    <s v="BOULEVARD EL DORADO"/>
    <x v="2"/>
  </r>
  <r>
    <x v="56"/>
    <x v="265"/>
    <x v="6"/>
    <x v="6"/>
    <x v="1"/>
    <x v="0"/>
    <x v="33"/>
    <x v="386"/>
    <x v="874"/>
    <x v="0"/>
    <s v="BOULEVARD EL DORADO"/>
    <x v="2"/>
  </r>
  <r>
    <x v="56"/>
    <x v="313"/>
    <x v="6"/>
    <x v="6"/>
    <x v="1"/>
    <x v="0"/>
    <x v="33"/>
    <x v="341"/>
    <x v="146"/>
    <x v="0"/>
    <s v="BOULEVARD EL DORADO"/>
    <x v="2"/>
  </r>
  <r>
    <x v="56"/>
    <x v="174"/>
    <x v="6"/>
    <x v="6"/>
    <x v="1"/>
    <x v="0"/>
    <x v="33"/>
    <x v="282"/>
    <x v="874"/>
    <x v="0"/>
    <s v="BOULEVARD EL DORADO"/>
    <x v="2"/>
  </r>
  <r>
    <x v="56"/>
    <x v="205"/>
    <x v="7"/>
    <x v="7"/>
    <x v="1"/>
    <x v="1"/>
    <x v="33"/>
    <x v="299"/>
    <x v="874"/>
    <x v="0"/>
    <s v="BOULEVARD EL DORADO"/>
    <x v="2"/>
  </r>
  <r>
    <x v="56"/>
    <x v="209"/>
    <x v="7"/>
    <x v="7"/>
    <x v="1"/>
    <x v="1"/>
    <x v="33"/>
    <x v="428"/>
    <x v="759"/>
    <x v="0"/>
    <s v="BOULEVARD EL DORADO"/>
    <x v="2"/>
  </r>
  <r>
    <x v="56"/>
    <x v="320"/>
    <x v="8"/>
    <x v="8"/>
    <x v="1"/>
    <x v="1"/>
    <x v="33"/>
    <x v="398"/>
    <x v="874"/>
    <x v="0"/>
    <s v="BOULEVARD EL DORADO"/>
    <x v="2"/>
  </r>
  <r>
    <x v="56"/>
    <x v="212"/>
    <x v="10"/>
    <x v="10"/>
    <x v="1"/>
    <x v="1"/>
    <x v="33"/>
    <x v="319"/>
    <x v="759"/>
    <x v="0"/>
    <s v="BOULEVARD EL DORADO"/>
    <x v="2"/>
  </r>
  <r>
    <x v="56"/>
    <x v="186"/>
    <x v="10"/>
    <x v="10"/>
    <x v="1"/>
    <x v="1"/>
    <x v="33"/>
    <x v="321"/>
    <x v="874"/>
    <x v="0"/>
    <s v="BOULEVARD EL DORADO"/>
    <x v="2"/>
  </r>
  <r>
    <x v="56"/>
    <x v="248"/>
    <x v="10"/>
    <x v="10"/>
    <x v="1"/>
    <x v="1"/>
    <x v="33"/>
    <x v="304"/>
    <x v="874"/>
    <x v="0"/>
    <s v="BOULEVARD EL DORADO"/>
    <x v="2"/>
  </r>
  <r>
    <x v="56"/>
    <x v="273"/>
    <x v="11"/>
    <x v="11"/>
    <x v="1"/>
    <x v="1"/>
    <x v="33"/>
    <x v="354"/>
    <x v="146"/>
    <x v="0"/>
    <s v="BOULEVARD EL DORADO"/>
    <x v="2"/>
  </r>
  <r>
    <x v="56"/>
    <x v="300"/>
    <x v="2"/>
    <x v="2"/>
    <x v="1"/>
    <x v="1"/>
    <x v="33"/>
    <x v="316"/>
    <x v="759"/>
    <x v="0"/>
    <s v="BOULEVARD EL DORADO"/>
    <x v="2"/>
  </r>
  <r>
    <x v="56"/>
    <x v="204"/>
    <x v="6"/>
    <x v="6"/>
    <x v="1"/>
    <x v="1"/>
    <x v="33"/>
    <x v="317"/>
    <x v="874"/>
    <x v="0"/>
    <s v="BOULEVARD EL DORADO"/>
    <x v="2"/>
  </r>
  <r>
    <x v="56"/>
    <x v="188"/>
    <x v="6"/>
    <x v="6"/>
    <x v="1"/>
    <x v="1"/>
    <x v="33"/>
    <x v="407"/>
    <x v="759"/>
    <x v="0"/>
    <s v="BOULEVARD EL DORADO"/>
    <x v="2"/>
  </r>
  <r>
    <x v="56"/>
    <x v="218"/>
    <x v="6"/>
    <x v="6"/>
    <x v="1"/>
    <x v="1"/>
    <x v="33"/>
    <x v="451"/>
    <x v="759"/>
    <x v="0"/>
    <s v="BOULEVARD EL DORADO"/>
    <x v="2"/>
  </r>
  <r>
    <x v="56"/>
    <x v="190"/>
    <x v="6"/>
    <x v="6"/>
    <x v="1"/>
    <x v="1"/>
    <x v="33"/>
    <x v="342"/>
    <x v="874"/>
    <x v="0"/>
    <s v="BOULEVARD EL DORADO"/>
    <x v="2"/>
  </r>
  <r>
    <x v="57"/>
    <x v="219"/>
    <x v="9"/>
    <x v="9"/>
    <x v="1"/>
    <x v="2"/>
    <x v="33"/>
    <x v="308"/>
    <x v="874"/>
    <x v="0"/>
    <s v="SAN SEBASTIAN"/>
    <x v="2"/>
  </r>
  <r>
    <x v="57"/>
    <x v="201"/>
    <x v="11"/>
    <x v="11"/>
    <x v="1"/>
    <x v="2"/>
    <x v="33"/>
    <x v="422"/>
    <x v="874"/>
    <x v="0"/>
    <s v="SAN SEBASTIAN"/>
    <x v="2"/>
  </r>
  <r>
    <x v="57"/>
    <x v="294"/>
    <x v="11"/>
    <x v="11"/>
    <x v="1"/>
    <x v="2"/>
    <x v="33"/>
    <x v="382"/>
    <x v="874"/>
    <x v="0"/>
    <s v="SAN SEBASTIAN"/>
    <x v="2"/>
  </r>
  <r>
    <x v="57"/>
    <x v="277"/>
    <x v="7"/>
    <x v="7"/>
    <x v="1"/>
    <x v="0"/>
    <x v="33"/>
    <x v="325"/>
    <x v="874"/>
    <x v="0"/>
    <s v="SAN SEBASTIAN"/>
    <x v="2"/>
  </r>
  <r>
    <x v="57"/>
    <x v="327"/>
    <x v="7"/>
    <x v="7"/>
    <x v="1"/>
    <x v="0"/>
    <x v="33"/>
    <x v="387"/>
    <x v="1132"/>
    <x v="0"/>
    <s v="SAN SEBASTIAN"/>
    <x v="2"/>
  </r>
  <r>
    <x v="57"/>
    <x v="278"/>
    <x v="7"/>
    <x v="7"/>
    <x v="1"/>
    <x v="0"/>
    <x v="33"/>
    <x v="450"/>
    <x v="765"/>
    <x v="0"/>
    <s v="SAN SEBASTIAN"/>
    <x v="2"/>
  </r>
  <r>
    <x v="57"/>
    <x v="179"/>
    <x v="7"/>
    <x v="7"/>
    <x v="1"/>
    <x v="0"/>
    <x v="33"/>
    <x v="415"/>
    <x v="874"/>
    <x v="0"/>
    <s v="SAN SEBASTIAN"/>
    <x v="2"/>
  </r>
  <r>
    <x v="57"/>
    <x v="259"/>
    <x v="7"/>
    <x v="7"/>
    <x v="1"/>
    <x v="0"/>
    <x v="33"/>
    <x v="355"/>
    <x v="874"/>
    <x v="0"/>
    <s v="SAN SEBASTIAN"/>
    <x v="2"/>
  </r>
  <r>
    <x v="57"/>
    <x v="225"/>
    <x v="7"/>
    <x v="7"/>
    <x v="1"/>
    <x v="0"/>
    <x v="33"/>
    <x v="416"/>
    <x v="765"/>
    <x v="0"/>
    <s v="SAN SEBASTIAN"/>
    <x v="2"/>
  </r>
  <r>
    <x v="57"/>
    <x v="309"/>
    <x v="7"/>
    <x v="7"/>
    <x v="1"/>
    <x v="0"/>
    <x v="33"/>
    <x v="334"/>
    <x v="759"/>
    <x v="0"/>
    <s v="SAN SEBASTIAN"/>
    <x v="2"/>
  </r>
  <r>
    <x v="57"/>
    <x v="209"/>
    <x v="7"/>
    <x v="7"/>
    <x v="1"/>
    <x v="0"/>
    <x v="33"/>
    <x v="428"/>
    <x v="952"/>
    <x v="0"/>
    <s v="SAN SEBASTIAN"/>
    <x v="2"/>
  </r>
  <r>
    <x v="57"/>
    <x v="332"/>
    <x v="7"/>
    <x v="7"/>
    <x v="1"/>
    <x v="0"/>
    <x v="33"/>
    <x v="397"/>
    <x v="934"/>
    <x v="0"/>
    <s v="SAN SEBASTIAN"/>
    <x v="2"/>
  </r>
  <r>
    <x v="57"/>
    <x v="210"/>
    <x v="7"/>
    <x v="7"/>
    <x v="1"/>
    <x v="0"/>
    <x v="33"/>
    <x v="418"/>
    <x v="1182"/>
    <x v="0"/>
    <s v="SAN SEBASTIAN"/>
    <x v="2"/>
  </r>
  <r>
    <x v="57"/>
    <x v="251"/>
    <x v="8"/>
    <x v="8"/>
    <x v="1"/>
    <x v="0"/>
    <x v="33"/>
    <x v="291"/>
    <x v="859"/>
    <x v="0"/>
    <s v="SAN SEBASTIAN"/>
    <x v="2"/>
  </r>
  <r>
    <x v="57"/>
    <x v="192"/>
    <x v="8"/>
    <x v="8"/>
    <x v="1"/>
    <x v="0"/>
    <x v="33"/>
    <x v="300"/>
    <x v="759"/>
    <x v="0"/>
    <s v="SAN SEBASTIAN"/>
    <x v="2"/>
  </r>
  <r>
    <x v="57"/>
    <x v="254"/>
    <x v="8"/>
    <x v="8"/>
    <x v="1"/>
    <x v="0"/>
    <x v="33"/>
    <x v="326"/>
    <x v="765"/>
    <x v="0"/>
    <s v="SAN SEBASTIAN"/>
    <x v="2"/>
  </r>
  <r>
    <x v="57"/>
    <x v="320"/>
    <x v="8"/>
    <x v="8"/>
    <x v="1"/>
    <x v="0"/>
    <x v="33"/>
    <x v="398"/>
    <x v="874"/>
    <x v="0"/>
    <s v="SAN SEBASTIAN"/>
    <x v="2"/>
  </r>
  <r>
    <x v="57"/>
    <x v="261"/>
    <x v="8"/>
    <x v="8"/>
    <x v="1"/>
    <x v="0"/>
    <x v="33"/>
    <x v="320"/>
    <x v="765"/>
    <x v="0"/>
    <s v="SAN SEBASTIAN"/>
    <x v="2"/>
  </r>
  <r>
    <x v="57"/>
    <x v="323"/>
    <x v="8"/>
    <x v="8"/>
    <x v="1"/>
    <x v="0"/>
    <x v="33"/>
    <x v="367"/>
    <x v="765"/>
    <x v="0"/>
    <s v="SAN SEBASTIAN"/>
    <x v="2"/>
  </r>
  <r>
    <x v="57"/>
    <x v="245"/>
    <x v="8"/>
    <x v="8"/>
    <x v="1"/>
    <x v="0"/>
    <x v="33"/>
    <x v="285"/>
    <x v="1132"/>
    <x v="0"/>
    <s v="SAN SEBASTIAN"/>
    <x v="2"/>
  </r>
  <r>
    <x v="57"/>
    <x v="196"/>
    <x v="8"/>
    <x v="8"/>
    <x v="1"/>
    <x v="0"/>
    <x v="33"/>
    <x v="375"/>
    <x v="874"/>
    <x v="0"/>
    <s v="SAN SEBASTIAN"/>
    <x v="2"/>
  </r>
  <r>
    <x v="57"/>
    <x v="226"/>
    <x v="8"/>
    <x v="8"/>
    <x v="1"/>
    <x v="0"/>
    <x v="33"/>
    <x v="376"/>
    <x v="874"/>
    <x v="0"/>
    <s v="SAN SEBASTIAN"/>
    <x v="2"/>
  </r>
  <r>
    <x v="57"/>
    <x v="173"/>
    <x v="8"/>
    <x v="8"/>
    <x v="1"/>
    <x v="0"/>
    <x v="33"/>
    <x v="378"/>
    <x v="146"/>
    <x v="0"/>
    <s v="SAN SEBASTIAN"/>
    <x v="2"/>
  </r>
  <r>
    <x v="57"/>
    <x v="185"/>
    <x v="8"/>
    <x v="8"/>
    <x v="1"/>
    <x v="0"/>
    <x v="33"/>
    <x v="296"/>
    <x v="146"/>
    <x v="0"/>
    <s v="SAN SEBASTIAN"/>
    <x v="2"/>
  </r>
  <r>
    <x v="57"/>
    <x v="337"/>
    <x v="9"/>
    <x v="9"/>
    <x v="1"/>
    <x v="0"/>
    <x v="33"/>
    <x v="424"/>
    <x v="933"/>
    <x v="0"/>
    <s v="SAN SEBASTIAN"/>
    <x v="2"/>
  </r>
  <r>
    <x v="57"/>
    <x v="303"/>
    <x v="9"/>
    <x v="9"/>
    <x v="1"/>
    <x v="0"/>
    <x v="33"/>
    <x v="327"/>
    <x v="146"/>
    <x v="0"/>
    <s v="SAN SEBASTIAN"/>
    <x v="2"/>
  </r>
  <r>
    <x v="57"/>
    <x v="290"/>
    <x v="9"/>
    <x v="9"/>
    <x v="1"/>
    <x v="0"/>
    <x v="33"/>
    <x v="302"/>
    <x v="759"/>
    <x v="0"/>
    <s v="SAN SEBASTIAN"/>
    <x v="2"/>
  </r>
  <r>
    <x v="57"/>
    <x v="197"/>
    <x v="9"/>
    <x v="9"/>
    <x v="1"/>
    <x v="0"/>
    <x v="33"/>
    <x v="432"/>
    <x v="859"/>
    <x v="0"/>
    <s v="SAN SEBASTIAN"/>
    <x v="2"/>
  </r>
  <r>
    <x v="57"/>
    <x v="242"/>
    <x v="9"/>
    <x v="9"/>
    <x v="1"/>
    <x v="0"/>
    <x v="33"/>
    <x v="435"/>
    <x v="874"/>
    <x v="0"/>
    <s v="SAN SEBASTIAN"/>
    <x v="2"/>
  </r>
  <r>
    <x v="57"/>
    <x v="338"/>
    <x v="9"/>
    <x v="9"/>
    <x v="1"/>
    <x v="0"/>
    <x v="33"/>
    <x v="425"/>
    <x v="759"/>
    <x v="0"/>
    <s v="SAN SEBASTIAN"/>
    <x v="2"/>
  </r>
  <r>
    <x v="57"/>
    <x v="178"/>
    <x v="9"/>
    <x v="9"/>
    <x v="1"/>
    <x v="0"/>
    <x v="33"/>
    <x v="353"/>
    <x v="759"/>
    <x v="0"/>
    <s v="SAN SEBASTIAN"/>
    <x v="2"/>
  </r>
  <r>
    <x v="57"/>
    <x v="331"/>
    <x v="9"/>
    <x v="9"/>
    <x v="1"/>
    <x v="0"/>
    <x v="33"/>
    <x v="391"/>
    <x v="874"/>
    <x v="0"/>
    <s v="SAN SEBASTIAN"/>
    <x v="2"/>
  </r>
  <r>
    <x v="57"/>
    <x v="291"/>
    <x v="9"/>
    <x v="9"/>
    <x v="1"/>
    <x v="0"/>
    <x v="33"/>
    <x v="303"/>
    <x v="874"/>
    <x v="0"/>
    <s v="SAN SEBASTIAN"/>
    <x v="2"/>
  </r>
  <r>
    <x v="57"/>
    <x v="230"/>
    <x v="9"/>
    <x v="9"/>
    <x v="1"/>
    <x v="0"/>
    <x v="33"/>
    <x v="283"/>
    <x v="874"/>
    <x v="0"/>
    <s v="SAN SEBASTIAN"/>
    <x v="2"/>
  </r>
  <r>
    <x v="57"/>
    <x v="198"/>
    <x v="10"/>
    <x v="10"/>
    <x v="1"/>
    <x v="0"/>
    <x v="33"/>
    <x v="338"/>
    <x v="874"/>
    <x v="0"/>
    <s v="SAN SEBASTIAN"/>
    <x v="2"/>
  </r>
  <r>
    <x v="57"/>
    <x v="286"/>
    <x v="10"/>
    <x v="10"/>
    <x v="1"/>
    <x v="0"/>
    <x v="33"/>
    <x v="297"/>
    <x v="1182"/>
    <x v="0"/>
    <s v="SAN SEBASTIAN"/>
    <x v="2"/>
  </r>
  <r>
    <x v="57"/>
    <x v="212"/>
    <x v="10"/>
    <x v="10"/>
    <x v="1"/>
    <x v="0"/>
    <x v="33"/>
    <x v="319"/>
    <x v="759"/>
    <x v="0"/>
    <s v="SAN SEBASTIAN"/>
    <x v="2"/>
  </r>
  <r>
    <x v="57"/>
    <x v="317"/>
    <x v="10"/>
    <x v="10"/>
    <x v="1"/>
    <x v="0"/>
    <x v="33"/>
    <x v="401"/>
    <x v="874"/>
    <x v="0"/>
    <s v="SAN SEBASTIAN"/>
    <x v="2"/>
  </r>
  <r>
    <x v="57"/>
    <x v="231"/>
    <x v="10"/>
    <x v="10"/>
    <x v="1"/>
    <x v="0"/>
    <x v="33"/>
    <x v="402"/>
    <x v="874"/>
    <x v="0"/>
    <s v="SAN SEBASTIAN"/>
    <x v="2"/>
  </r>
  <r>
    <x v="57"/>
    <x v="239"/>
    <x v="10"/>
    <x v="10"/>
    <x v="1"/>
    <x v="0"/>
    <x v="33"/>
    <x v="419"/>
    <x v="759"/>
    <x v="0"/>
    <s v="SAN SEBASTIAN"/>
    <x v="2"/>
  </r>
  <r>
    <x v="57"/>
    <x v="180"/>
    <x v="10"/>
    <x v="10"/>
    <x v="1"/>
    <x v="0"/>
    <x v="33"/>
    <x v="452"/>
    <x v="759"/>
    <x v="0"/>
    <s v="SAN SEBASTIAN"/>
    <x v="2"/>
  </r>
  <r>
    <x v="57"/>
    <x v="268"/>
    <x v="10"/>
    <x v="10"/>
    <x v="1"/>
    <x v="0"/>
    <x v="33"/>
    <x v="339"/>
    <x v="759"/>
    <x v="0"/>
    <s v="SAN SEBASTIAN"/>
    <x v="2"/>
  </r>
  <r>
    <x v="57"/>
    <x v="232"/>
    <x v="10"/>
    <x v="10"/>
    <x v="1"/>
    <x v="0"/>
    <x v="33"/>
    <x v="290"/>
    <x v="874"/>
    <x v="0"/>
    <s v="SAN SEBASTIAN"/>
    <x v="2"/>
  </r>
  <r>
    <x v="57"/>
    <x v="186"/>
    <x v="10"/>
    <x v="10"/>
    <x v="1"/>
    <x v="0"/>
    <x v="33"/>
    <x v="321"/>
    <x v="759"/>
    <x v="0"/>
    <s v="SAN SEBASTIAN"/>
    <x v="2"/>
  </r>
  <r>
    <x v="57"/>
    <x v="329"/>
    <x v="10"/>
    <x v="10"/>
    <x v="1"/>
    <x v="0"/>
    <x v="33"/>
    <x v="380"/>
    <x v="934"/>
    <x v="0"/>
    <s v="SAN SEBASTIAN"/>
    <x v="2"/>
  </r>
  <r>
    <x v="57"/>
    <x v="339"/>
    <x v="10"/>
    <x v="10"/>
    <x v="1"/>
    <x v="0"/>
    <x v="33"/>
    <x v="427"/>
    <x v="146"/>
    <x v="0"/>
    <s v="SAN SEBASTIAN"/>
    <x v="2"/>
  </r>
  <r>
    <x v="57"/>
    <x v="248"/>
    <x v="10"/>
    <x v="10"/>
    <x v="1"/>
    <x v="0"/>
    <x v="33"/>
    <x v="304"/>
    <x v="874"/>
    <x v="0"/>
    <s v="SAN SEBASTIAN"/>
    <x v="2"/>
  </r>
  <r>
    <x v="57"/>
    <x v="233"/>
    <x v="10"/>
    <x v="10"/>
    <x v="1"/>
    <x v="0"/>
    <x v="33"/>
    <x v="344"/>
    <x v="759"/>
    <x v="0"/>
    <s v="SAN SEBASTIAN"/>
    <x v="2"/>
  </r>
  <r>
    <x v="57"/>
    <x v="199"/>
    <x v="10"/>
    <x v="10"/>
    <x v="1"/>
    <x v="0"/>
    <x v="33"/>
    <x v="298"/>
    <x v="759"/>
    <x v="0"/>
    <s v="SAN SEBASTIAN"/>
    <x v="2"/>
  </r>
  <r>
    <x v="57"/>
    <x v="269"/>
    <x v="11"/>
    <x v="11"/>
    <x v="1"/>
    <x v="0"/>
    <x v="33"/>
    <x v="403"/>
    <x v="146"/>
    <x v="0"/>
    <s v="SAN SEBASTIAN"/>
    <x v="2"/>
  </r>
  <r>
    <x v="57"/>
    <x v="282"/>
    <x v="11"/>
    <x v="11"/>
    <x v="1"/>
    <x v="0"/>
    <x v="33"/>
    <x v="358"/>
    <x v="1132"/>
    <x v="0"/>
    <s v="SAN SEBASTIAN"/>
    <x v="2"/>
  </r>
  <r>
    <x v="57"/>
    <x v="187"/>
    <x v="11"/>
    <x v="11"/>
    <x v="1"/>
    <x v="0"/>
    <x v="33"/>
    <x v="328"/>
    <x v="146"/>
    <x v="0"/>
    <s v="SAN SEBASTIAN"/>
    <x v="2"/>
  </r>
  <r>
    <x v="57"/>
    <x v="220"/>
    <x v="11"/>
    <x v="11"/>
    <x v="1"/>
    <x v="0"/>
    <x v="33"/>
    <x v="309"/>
    <x v="759"/>
    <x v="0"/>
    <s v="SAN SEBASTIAN"/>
    <x v="2"/>
  </r>
  <r>
    <x v="57"/>
    <x v="177"/>
    <x v="11"/>
    <x v="11"/>
    <x v="1"/>
    <x v="0"/>
    <x v="33"/>
    <x v="346"/>
    <x v="759"/>
    <x v="0"/>
    <s v="SAN SEBASTIAN"/>
    <x v="2"/>
  </r>
  <r>
    <x v="57"/>
    <x v="201"/>
    <x v="11"/>
    <x v="11"/>
    <x v="1"/>
    <x v="0"/>
    <x v="33"/>
    <x v="422"/>
    <x v="759"/>
    <x v="0"/>
    <s v="SAN SEBASTIAN"/>
    <x v="2"/>
  </r>
  <r>
    <x v="57"/>
    <x v="249"/>
    <x v="11"/>
    <x v="11"/>
    <x v="1"/>
    <x v="0"/>
    <x v="33"/>
    <x v="359"/>
    <x v="874"/>
    <x v="0"/>
    <s v="SAN SEBASTIAN"/>
    <x v="2"/>
  </r>
  <r>
    <x v="57"/>
    <x v="302"/>
    <x v="11"/>
    <x v="11"/>
    <x v="1"/>
    <x v="0"/>
    <x v="33"/>
    <x v="324"/>
    <x v="982"/>
    <x v="0"/>
    <s v="SAN SEBASTIAN"/>
    <x v="2"/>
  </r>
  <r>
    <x v="57"/>
    <x v="202"/>
    <x v="11"/>
    <x v="11"/>
    <x v="1"/>
    <x v="0"/>
    <x v="33"/>
    <x v="305"/>
    <x v="759"/>
    <x v="0"/>
    <s v="SAN SEBASTIAN"/>
    <x v="2"/>
  </r>
  <r>
    <x v="57"/>
    <x v="273"/>
    <x v="11"/>
    <x v="11"/>
    <x v="1"/>
    <x v="0"/>
    <x v="33"/>
    <x v="354"/>
    <x v="874"/>
    <x v="0"/>
    <s v="SAN SEBASTIAN"/>
    <x v="2"/>
  </r>
  <r>
    <x v="57"/>
    <x v="311"/>
    <x v="11"/>
    <x v="11"/>
    <x v="1"/>
    <x v="0"/>
    <x v="33"/>
    <x v="440"/>
    <x v="874"/>
    <x v="0"/>
    <s v="SAN SEBASTIAN"/>
    <x v="2"/>
  </r>
  <r>
    <x v="57"/>
    <x v="181"/>
    <x v="11"/>
    <x v="11"/>
    <x v="1"/>
    <x v="0"/>
    <x v="33"/>
    <x v="362"/>
    <x v="874"/>
    <x v="0"/>
    <s v="SAN SEBASTIAN"/>
    <x v="2"/>
  </r>
  <r>
    <x v="57"/>
    <x v="274"/>
    <x v="11"/>
    <x v="11"/>
    <x v="1"/>
    <x v="0"/>
    <x v="33"/>
    <x v="404"/>
    <x v="759"/>
    <x v="0"/>
    <s v="SAN SEBASTIAN"/>
    <x v="2"/>
  </r>
  <r>
    <x v="57"/>
    <x v="275"/>
    <x v="11"/>
    <x v="11"/>
    <x v="1"/>
    <x v="0"/>
    <x v="33"/>
    <x v="307"/>
    <x v="874"/>
    <x v="0"/>
    <s v="SAN SEBASTIAN"/>
    <x v="2"/>
  </r>
  <r>
    <x v="57"/>
    <x v="294"/>
    <x v="11"/>
    <x v="11"/>
    <x v="1"/>
    <x v="0"/>
    <x v="33"/>
    <x v="382"/>
    <x v="874"/>
    <x v="0"/>
    <s v="SAN SEBASTIAN"/>
    <x v="2"/>
  </r>
  <r>
    <x v="57"/>
    <x v="300"/>
    <x v="2"/>
    <x v="2"/>
    <x v="1"/>
    <x v="0"/>
    <x v="33"/>
    <x v="316"/>
    <x v="859"/>
    <x v="0"/>
    <s v="SAN SEBASTIAN"/>
    <x v="2"/>
  </r>
  <r>
    <x v="57"/>
    <x v="284"/>
    <x v="2"/>
    <x v="2"/>
    <x v="1"/>
    <x v="0"/>
    <x v="33"/>
    <x v="383"/>
    <x v="1182"/>
    <x v="0"/>
    <s v="SAN SEBASTIAN"/>
    <x v="2"/>
  </r>
  <r>
    <x v="57"/>
    <x v="222"/>
    <x v="2"/>
    <x v="2"/>
    <x v="1"/>
    <x v="0"/>
    <x v="33"/>
    <x v="384"/>
    <x v="874"/>
    <x v="0"/>
    <s v="SAN SEBASTIAN"/>
    <x v="2"/>
  </r>
  <r>
    <x v="57"/>
    <x v="307"/>
    <x v="2"/>
    <x v="2"/>
    <x v="1"/>
    <x v="0"/>
    <x v="33"/>
    <x v="441"/>
    <x v="759"/>
    <x v="0"/>
    <s v="SAN SEBASTIAN"/>
    <x v="2"/>
  </r>
  <r>
    <x v="57"/>
    <x v="270"/>
    <x v="2"/>
    <x v="2"/>
    <x v="1"/>
    <x v="0"/>
    <x v="33"/>
    <x v="363"/>
    <x v="759"/>
    <x v="0"/>
    <s v="SAN SEBASTIAN"/>
    <x v="2"/>
  </r>
  <r>
    <x v="57"/>
    <x v="216"/>
    <x v="2"/>
    <x v="2"/>
    <x v="1"/>
    <x v="0"/>
    <x v="33"/>
    <x v="332"/>
    <x v="874"/>
    <x v="0"/>
    <s v="SAN SEBASTIAN"/>
    <x v="2"/>
  </r>
  <r>
    <x v="57"/>
    <x v="240"/>
    <x v="2"/>
    <x v="2"/>
    <x v="1"/>
    <x v="0"/>
    <x v="33"/>
    <x v="442"/>
    <x v="1132"/>
    <x v="0"/>
    <s v="SAN SEBASTIAN"/>
    <x v="2"/>
  </r>
  <r>
    <x v="57"/>
    <x v="223"/>
    <x v="2"/>
    <x v="2"/>
    <x v="1"/>
    <x v="0"/>
    <x v="33"/>
    <x v="434"/>
    <x v="146"/>
    <x v="0"/>
    <s v="SAN SEBASTIAN"/>
    <x v="2"/>
  </r>
  <r>
    <x v="57"/>
    <x v="316"/>
    <x v="2"/>
    <x v="2"/>
    <x v="1"/>
    <x v="0"/>
    <x v="33"/>
    <x v="348"/>
    <x v="874"/>
    <x v="0"/>
    <s v="SAN SEBASTIAN"/>
    <x v="2"/>
  </r>
  <r>
    <x v="57"/>
    <x v="276"/>
    <x v="2"/>
    <x v="2"/>
    <x v="1"/>
    <x v="0"/>
    <x v="33"/>
    <x v="385"/>
    <x v="874"/>
    <x v="0"/>
    <s v="SAN SEBASTIAN"/>
    <x v="2"/>
  </r>
  <r>
    <x v="57"/>
    <x v="304"/>
    <x v="2"/>
    <x v="2"/>
    <x v="1"/>
    <x v="0"/>
    <x v="33"/>
    <x v="329"/>
    <x v="874"/>
    <x v="0"/>
    <s v="SAN SEBASTIAN"/>
    <x v="2"/>
  </r>
  <r>
    <x v="57"/>
    <x v="183"/>
    <x v="2"/>
    <x v="2"/>
    <x v="1"/>
    <x v="0"/>
    <x v="33"/>
    <x v="330"/>
    <x v="759"/>
    <x v="0"/>
    <s v="SAN SEBASTIAN"/>
    <x v="2"/>
  </r>
  <r>
    <x v="57"/>
    <x v="235"/>
    <x v="2"/>
    <x v="2"/>
    <x v="1"/>
    <x v="0"/>
    <x v="33"/>
    <x v="393"/>
    <x v="874"/>
    <x v="0"/>
    <s v="SAN SEBASTIAN"/>
    <x v="2"/>
  </r>
  <r>
    <x v="57"/>
    <x v="246"/>
    <x v="2"/>
    <x v="2"/>
    <x v="1"/>
    <x v="0"/>
    <x v="33"/>
    <x v="287"/>
    <x v="874"/>
    <x v="0"/>
    <s v="SAN SEBASTIAN"/>
    <x v="2"/>
  </r>
  <r>
    <x v="57"/>
    <x v="264"/>
    <x v="6"/>
    <x v="6"/>
    <x v="1"/>
    <x v="0"/>
    <x v="33"/>
    <x v="311"/>
    <x v="759"/>
    <x v="0"/>
    <s v="SAN SEBASTIAN"/>
    <x v="2"/>
  </r>
  <r>
    <x v="57"/>
    <x v="281"/>
    <x v="6"/>
    <x v="6"/>
    <x v="1"/>
    <x v="0"/>
    <x v="33"/>
    <x v="395"/>
    <x v="874"/>
    <x v="0"/>
    <s v="SAN SEBASTIAN"/>
    <x v="2"/>
  </r>
  <r>
    <x v="57"/>
    <x v="285"/>
    <x v="6"/>
    <x v="6"/>
    <x v="1"/>
    <x v="0"/>
    <x v="33"/>
    <x v="409"/>
    <x v="146"/>
    <x v="0"/>
    <s v="SAN SEBASTIAN"/>
    <x v="2"/>
  </r>
  <r>
    <x v="57"/>
    <x v="217"/>
    <x v="6"/>
    <x v="6"/>
    <x v="1"/>
    <x v="0"/>
    <x v="33"/>
    <x v="323"/>
    <x v="899"/>
    <x v="0"/>
    <s v="SAN SEBASTIAN"/>
    <x v="2"/>
  </r>
  <r>
    <x v="57"/>
    <x v="265"/>
    <x v="6"/>
    <x v="6"/>
    <x v="1"/>
    <x v="0"/>
    <x v="33"/>
    <x v="386"/>
    <x v="146"/>
    <x v="0"/>
    <s v="SAN SEBASTIAN"/>
    <x v="2"/>
  </r>
  <r>
    <x v="57"/>
    <x v="184"/>
    <x v="6"/>
    <x v="6"/>
    <x v="1"/>
    <x v="0"/>
    <x v="33"/>
    <x v="413"/>
    <x v="874"/>
    <x v="0"/>
    <s v="SAN SEBASTIAN"/>
    <x v="2"/>
  </r>
  <r>
    <x v="57"/>
    <x v="314"/>
    <x v="6"/>
    <x v="6"/>
    <x v="1"/>
    <x v="0"/>
    <x v="33"/>
    <x v="372"/>
    <x v="874"/>
    <x v="0"/>
    <s v="SAN SEBASTIAN"/>
    <x v="2"/>
  </r>
  <r>
    <x v="57"/>
    <x v="296"/>
    <x v="6"/>
    <x v="6"/>
    <x v="1"/>
    <x v="0"/>
    <x v="33"/>
    <x v="312"/>
    <x v="759"/>
    <x v="0"/>
    <s v="SAN SEBASTIAN"/>
    <x v="2"/>
  </r>
  <r>
    <x v="57"/>
    <x v="204"/>
    <x v="6"/>
    <x v="6"/>
    <x v="1"/>
    <x v="0"/>
    <x v="33"/>
    <x v="317"/>
    <x v="759"/>
    <x v="0"/>
    <s v="SAN SEBASTIAN"/>
    <x v="2"/>
  </r>
  <r>
    <x v="57"/>
    <x v="297"/>
    <x v="6"/>
    <x v="6"/>
    <x v="1"/>
    <x v="0"/>
    <x v="33"/>
    <x v="313"/>
    <x v="934"/>
    <x v="0"/>
    <s v="SAN SEBASTIAN"/>
    <x v="2"/>
  </r>
  <r>
    <x v="57"/>
    <x v="236"/>
    <x v="6"/>
    <x v="6"/>
    <x v="1"/>
    <x v="0"/>
    <x v="33"/>
    <x v="371"/>
    <x v="146"/>
    <x v="0"/>
    <s v="SAN SEBASTIAN"/>
    <x v="2"/>
  </r>
  <r>
    <x v="57"/>
    <x v="188"/>
    <x v="6"/>
    <x v="6"/>
    <x v="1"/>
    <x v="0"/>
    <x v="33"/>
    <x v="407"/>
    <x v="874"/>
    <x v="0"/>
    <s v="SAN SEBASTIAN"/>
    <x v="2"/>
  </r>
  <r>
    <x v="57"/>
    <x v="313"/>
    <x v="6"/>
    <x v="6"/>
    <x v="1"/>
    <x v="0"/>
    <x v="33"/>
    <x v="341"/>
    <x v="759"/>
    <x v="0"/>
    <s v="SAN SEBASTIAN"/>
    <x v="2"/>
  </r>
  <r>
    <x v="57"/>
    <x v="335"/>
    <x v="6"/>
    <x v="6"/>
    <x v="1"/>
    <x v="0"/>
    <x v="33"/>
    <x v="408"/>
    <x v="759"/>
    <x v="0"/>
    <s v="SAN SEBASTIAN"/>
    <x v="2"/>
  </r>
  <r>
    <x v="57"/>
    <x v="271"/>
    <x v="6"/>
    <x v="6"/>
    <x v="1"/>
    <x v="0"/>
    <x v="33"/>
    <x v="426"/>
    <x v="874"/>
    <x v="0"/>
    <s v="SAN SEBASTIAN"/>
    <x v="2"/>
  </r>
  <r>
    <x v="57"/>
    <x v="174"/>
    <x v="6"/>
    <x v="6"/>
    <x v="1"/>
    <x v="0"/>
    <x v="33"/>
    <x v="282"/>
    <x v="874"/>
    <x v="0"/>
    <s v="SAN SEBASTIAN"/>
    <x v="2"/>
  </r>
  <r>
    <x v="57"/>
    <x v="229"/>
    <x v="6"/>
    <x v="6"/>
    <x v="1"/>
    <x v="0"/>
    <x v="33"/>
    <x v="281"/>
    <x v="874"/>
    <x v="0"/>
    <s v="SAN SEBASTIAN"/>
    <x v="2"/>
  </r>
  <r>
    <x v="57"/>
    <x v="241"/>
    <x v="6"/>
    <x v="6"/>
    <x v="1"/>
    <x v="0"/>
    <x v="33"/>
    <x v="447"/>
    <x v="874"/>
    <x v="0"/>
    <s v="SAN SEBASTIAN"/>
    <x v="2"/>
  </r>
  <r>
    <x v="57"/>
    <x v="278"/>
    <x v="7"/>
    <x v="7"/>
    <x v="1"/>
    <x v="1"/>
    <x v="33"/>
    <x v="450"/>
    <x v="874"/>
    <x v="0"/>
    <s v="SAN SEBASTIAN"/>
    <x v="2"/>
  </r>
  <r>
    <x v="57"/>
    <x v="259"/>
    <x v="7"/>
    <x v="7"/>
    <x v="1"/>
    <x v="1"/>
    <x v="33"/>
    <x v="355"/>
    <x v="146"/>
    <x v="0"/>
    <s v="SAN SEBASTIAN"/>
    <x v="2"/>
  </r>
  <r>
    <x v="57"/>
    <x v="332"/>
    <x v="7"/>
    <x v="7"/>
    <x v="1"/>
    <x v="1"/>
    <x v="33"/>
    <x v="397"/>
    <x v="874"/>
    <x v="0"/>
    <s v="SAN SEBASTIAN"/>
    <x v="2"/>
  </r>
  <r>
    <x v="57"/>
    <x v="261"/>
    <x v="8"/>
    <x v="8"/>
    <x v="1"/>
    <x v="1"/>
    <x v="33"/>
    <x v="320"/>
    <x v="874"/>
    <x v="0"/>
    <s v="SAN SEBASTIAN"/>
    <x v="2"/>
  </r>
  <r>
    <x v="57"/>
    <x v="303"/>
    <x v="9"/>
    <x v="9"/>
    <x v="1"/>
    <x v="1"/>
    <x v="33"/>
    <x v="327"/>
    <x v="874"/>
    <x v="0"/>
    <s v="SAN SEBASTIAN"/>
    <x v="2"/>
  </r>
  <r>
    <x v="57"/>
    <x v="201"/>
    <x v="11"/>
    <x v="11"/>
    <x v="1"/>
    <x v="1"/>
    <x v="33"/>
    <x v="422"/>
    <x v="874"/>
    <x v="0"/>
    <s v="SAN SEBASTIAN"/>
    <x v="2"/>
  </r>
  <r>
    <x v="57"/>
    <x v="275"/>
    <x v="11"/>
    <x v="11"/>
    <x v="1"/>
    <x v="1"/>
    <x v="33"/>
    <x v="307"/>
    <x v="874"/>
    <x v="0"/>
    <s v="SAN SEBASTIAN"/>
    <x v="2"/>
  </r>
  <r>
    <x v="57"/>
    <x v="265"/>
    <x v="6"/>
    <x v="6"/>
    <x v="1"/>
    <x v="1"/>
    <x v="33"/>
    <x v="386"/>
    <x v="874"/>
    <x v="0"/>
    <s v="SAN SEBASTIAN"/>
    <x v="2"/>
  </r>
  <r>
    <x v="57"/>
    <x v="296"/>
    <x v="6"/>
    <x v="6"/>
    <x v="1"/>
    <x v="1"/>
    <x v="33"/>
    <x v="312"/>
    <x v="874"/>
    <x v="0"/>
    <s v="SAN SEBASTIAN"/>
    <x v="2"/>
  </r>
  <r>
    <x v="57"/>
    <x v="204"/>
    <x v="6"/>
    <x v="6"/>
    <x v="1"/>
    <x v="1"/>
    <x v="33"/>
    <x v="317"/>
    <x v="874"/>
    <x v="0"/>
    <s v="SAN SEBASTIAN"/>
    <x v="2"/>
  </r>
  <r>
    <x v="57"/>
    <x v="297"/>
    <x v="6"/>
    <x v="6"/>
    <x v="1"/>
    <x v="1"/>
    <x v="33"/>
    <x v="313"/>
    <x v="874"/>
    <x v="0"/>
    <s v="SAN SEBASTIAN"/>
    <x v="2"/>
  </r>
  <r>
    <x v="57"/>
    <x v="236"/>
    <x v="6"/>
    <x v="6"/>
    <x v="1"/>
    <x v="1"/>
    <x v="33"/>
    <x v="371"/>
    <x v="874"/>
    <x v="0"/>
    <s v="SAN SEBASTIAN"/>
    <x v="2"/>
  </r>
  <r>
    <x v="57"/>
    <x v="188"/>
    <x v="6"/>
    <x v="6"/>
    <x v="1"/>
    <x v="1"/>
    <x v="33"/>
    <x v="407"/>
    <x v="874"/>
    <x v="0"/>
    <s v="SAN SEBASTIAN"/>
    <x v="2"/>
  </r>
  <r>
    <x v="57"/>
    <x v="313"/>
    <x v="6"/>
    <x v="6"/>
    <x v="1"/>
    <x v="1"/>
    <x v="33"/>
    <x v="341"/>
    <x v="874"/>
    <x v="0"/>
    <s v="SAN SEBASTIAN"/>
    <x v="2"/>
  </r>
  <r>
    <x v="57"/>
    <x v="335"/>
    <x v="6"/>
    <x v="6"/>
    <x v="1"/>
    <x v="1"/>
    <x v="33"/>
    <x v="408"/>
    <x v="874"/>
    <x v="0"/>
    <s v="SAN SEBASTIAN"/>
    <x v="2"/>
  </r>
  <r>
    <x v="59"/>
    <x v="194"/>
    <x v="9"/>
    <x v="9"/>
    <x v="1"/>
    <x v="2"/>
    <x v="32"/>
    <x v="390"/>
    <x v="3219"/>
    <x v="0"/>
    <s v="CIUDAD DEL SABER"/>
    <x v="2"/>
  </r>
  <r>
    <x v="59"/>
    <x v="325"/>
    <x v="11"/>
    <x v="11"/>
    <x v="1"/>
    <x v="2"/>
    <x v="33"/>
    <x v="421"/>
    <x v="874"/>
    <x v="0"/>
    <s v="CIUDAD DEL SABER"/>
    <x v="2"/>
  </r>
  <r>
    <x v="60"/>
    <x v="206"/>
    <x v="7"/>
    <x v="7"/>
    <x v="1"/>
    <x v="0"/>
    <x v="33"/>
    <x v="284"/>
    <x v="874"/>
    <x v="0"/>
    <s v="VILLA ZAITA"/>
    <x v="2"/>
  </r>
  <r>
    <x v="62"/>
    <x v="227"/>
    <x v="9"/>
    <x v="9"/>
    <x v="1"/>
    <x v="2"/>
    <x v="32"/>
    <x v="399"/>
    <x v="1331"/>
    <x v="0"/>
    <s v="TOWN CENTER COSTA DEL ESTE"/>
    <x v="2"/>
  </r>
  <r>
    <x v="62"/>
    <x v="242"/>
    <x v="9"/>
    <x v="9"/>
    <x v="1"/>
    <x v="2"/>
    <x v="32"/>
    <x v="435"/>
    <x v="3220"/>
    <x v="0"/>
    <s v="TOWN CENTER COSTA DEL ESTE"/>
    <x v="2"/>
  </r>
  <r>
    <x v="62"/>
    <x v="214"/>
    <x v="11"/>
    <x v="11"/>
    <x v="1"/>
    <x v="2"/>
    <x v="32"/>
    <x v="306"/>
    <x v="3221"/>
    <x v="0"/>
    <s v="TOWN CENTER COSTA DEL ESTE"/>
    <x v="2"/>
  </r>
  <r>
    <x v="62"/>
    <x v="204"/>
    <x v="6"/>
    <x v="6"/>
    <x v="1"/>
    <x v="0"/>
    <x v="33"/>
    <x v="317"/>
    <x v="874"/>
    <x v="0"/>
    <s v="TOWN CENTER COSTA DEL ESTE"/>
    <x v="2"/>
  </r>
  <r>
    <x v="63"/>
    <x v="194"/>
    <x v="9"/>
    <x v="9"/>
    <x v="1"/>
    <x v="2"/>
    <x v="32"/>
    <x v="390"/>
    <x v="3222"/>
    <x v="0"/>
    <s v="COSTA VERDE"/>
    <x v="2"/>
  </r>
  <r>
    <x v="63"/>
    <x v="242"/>
    <x v="9"/>
    <x v="9"/>
    <x v="1"/>
    <x v="2"/>
    <x v="32"/>
    <x v="435"/>
    <x v="3223"/>
    <x v="0"/>
    <s v="COSTA VERDE"/>
    <x v="2"/>
  </r>
  <r>
    <x v="63"/>
    <x v="263"/>
    <x v="10"/>
    <x v="10"/>
    <x v="1"/>
    <x v="2"/>
    <x v="32"/>
    <x v="436"/>
    <x v="3222"/>
    <x v="0"/>
    <s v="COSTA VERDE"/>
    <x v="2"/>
  </r>
  <r>
    <x v="63"/>
    <x v="311"/>
    <x v="11"/>
    <x v="11"/>
    <x v="1"/>
    <x v="2"/>
    <x v="32"/>
    <x v="440"/>
    <x v="1"/>
    <x v="216"/>
    <s v="COSTA VERDE"/>
    <x v="2"/>
  </r>
  <r>
    <x v="63"/>
    <x v="330"/>
    <x v="11"/>
    <x v="11"/>
    <x v="1"/>
    <x v="2"/>
    <x v="32"/>
    <x v="381"/>
    <x v="3224"/>
    <x v="0"/>
    <s v="COSTA VERDE"/>
    <x v="2"/>
  </r>
  <r>
    <x v="63"/>
    <x v="229"/>
    <x v="6"/>
    <x v="6"/>
    <x v="1"/>
    <x v="2"/>
    <x v="32"/>
    <x v="281"/>
    <x v="3225"/>
    <x v="0"/>
    <s v="COSTA VERDE"/>
    <x v="2"/>
  </r>
  <r>
    <x v="63"/>
    <x v="302"/>
    <x v="11"/>
    <x v="11"/>
    <x v="1"/>
    <x v="0"/>
    <x v="33"/>
    <x v="324"/>
    <x v="952"/>
    <x v="0"/>
    <s v="COSTA VERDE"/>
    <x v="2"/>
  </r>
  <r>
    <x v="63"/>
    <x v="273"/>
    <x v="11"/>
    <x v="11"/>
    <x v="1"/>
    <x v="0"/>
    <x v="33"/>
    <x v="354"/>
    <x v="759"/>
    <x v="0"/>
    <s v="COSTA VERDE"/>
    <x v="2"/>
  </r>
  <r>
    <x v="63"/>
    <x v="181"/>
    <x v="11"/>
    <x v="11"/>
    <x v="1"/>
    <x v="0"/>
    <x v="32"/>
    <x v="362"/>
    <x v="1"/>
    <x v="349"/>
    <s v="COSTA VERDE"/>
    <x v="2"/>
  </r>
  <r>
    <x v="63"/>
    <x v="215"/>
    <x v="2"/>
    <x v="2"/>
    <x v="1"/>
    <x v="0"/>
    <x v="33"/>
    <x v="322"/>
    <x v="759"/>
    <x v="0"/>
    <s v="COSTA VERDE"/>
    <x v="2"/>
  </r>
  <r>
    <x v="63"/>
    <x v="284"/>
    <x v="2"/>
    <x v="2"/>
    <x v="1"/>
    <x v="0"/>
    <x v="33"/>
    <x v="383"/>
    <x v="759"/>
    <x v="0"/>
    <s v="COSTA VERDE"/>
    <x v="2"/>
  </r>
  <r>
    <x v="63"/>
    <x v="216"/>
    <x v="2"/>
    <x v="2"/>
    <x v="1"/>
    <x v="0"/>
    <x v="33"/>
    <x v="332"/>
    <x v="759"/>
    <x v="0"/>
    <s v="COSTA VERDE"/>
    <x v="2"/>
  </r>
  <r>
    <x v="63"/>
    <x v="223"/>
    <x v="2"/>
    <x v="2"/>
    <x v="1"/>
    <x v="0"/>
    <x v="33"/>
    <x v="434"/>
    <x v="759"/>
    <x v="0"/>
    <s v="COSTA VERDE"/>
    <x v="2"/>
  </r>
  <r>
    <x v="63"/>
    <x v="183"/>
    <x v="2"/>
    <x v="2"/>
    <x v="1"/>
    <x v="0"/>
    <x v="33"/>
    <x v="330"/>
    <x v="874"/>
    <x v="0"/>
    <s v="COSTA VERDE"/>
    <x v="2"/>
  </r>
  <r>
    <x v="63"/>
    <x v="285"/>
    <x v="6"/>
    <x v="6"/>
    <x v="1"/>
    <x v="0"/>
    <x v="33"/>
    <x v="409"/>
    <x v="759"/>
    <x v="0"/>
    <s v="COSTA VERDE"/>
    <x v="2"/>
  </r>
  <r>
    <x v="63"/>
    <x v="217"/>
    <x v="6"/>
    <x v="6"/>
    <x v="1"/>
    <x v="0"/>
    <x v="33"/>
    <x v="323"/>
    <x v="146"/>
    <x v="0"/>
    <s v="COSTA VERDE"/>
    <x v="2"/>
  </r>
  <r>
    <x v="63"/>
    <x v="265"/>
    <x v="6"/>
    <x v="6"/>
    <x v="1"/>
    <x v="0"/>
    <x v="33"/>
    <x v="386"/>
    <x v="874"/>
    <x v="0"/>
    <s v="COSTA VERDE"/>
    <x v="2"/>
  </r>
  <r>
    <x v="63"/>
    <x v="184"/>
    <x v="6"/>
    <x v="6"/>
    <x v="1"/>
    <x v="0"/>
    <x v="33"/>
    <x v="413"/>
    <x v="146"/>
    <x v="0"/>
    <s v="COSTA VERDE"/>
    <x v="2"/>
  </r>
  <r>
    <x v="63"/>
    <x v="296"/>
    <x v="6"/>
    <x v="6"/>
    <x v="1"/>
    <x v="0"/>
    <x v="33"/>
    <x v="312"/>
    <x v="146"/>
    <x v="0"/>
    <s v="COSTA VERDE"/>
    <x v="2"/>
  </r>
  <r>
    <x v="63"/>
    <x v="297"/>
    <x v="6"/>
    <x v="6"/>
    <x v="1"/>
    <x v="0"/>
    <x v="33"/>
    <x v="313"/>
    <x v="934"/>
    <x v="0"/>
    <s v="COSTA VERDE"/>
    <x v="2"/>
  </r>
  <r>
    <x v="63"/>
    <x v="313"/>
    <x v="6"/>
    <x v="6"/>
    <x v="1"/>
    <x v="0"/>
    <x v="33"/>
    <x v="341"/>
    <x v="759"/>
    <x v="0"/>
    <s v="COSTA VERDE"/>
    <x v="2"/>
  </r>
  <r>
    <x v="63"/>
    <x v="218"/>
    <x v="6"/>
    <x v="6"/>
    <x v="1"/>
    <x v="0"/>
    <x v="33"/>
    <x v="451"/>
    <x v="759"/>
    <x v="0"/>
    <s v="COSTA VERDE"/>
    <x v="2"/>
  </r>
  <r>
    <x v="63"/>
    <x v="229"/>
    <x v="6"/>
    <x v="6"/>
    <x v="1"/>
    <x v="0"/>
    <x v="33"/>
    <x v="281"/>
    <x v="765"/>
    <x v="0"/>
    <s v="COSTA VERDE"/>
    <x v="2"/>
  </r>
  <r>
    <x v="63"/>
    <x v="191"/>
    <x v="6"/>
    <x v="6"/>
    <x v="1"/>
    <x v="0"/>
    <x v="33"/>
    <x v="318"/>
    <x v="759"/>
    <x v="0"/>
    <s v="COSTA VERDE"/>
    <x v="2"/>
  </r>
  <r>
    <x v="63"/>
    <x v="216"/>
    <x v="2"/>
    <x v="2"/>
    <x v="1"/>
    <x v="1"/>
    <x v="33"/>
    <x v="332"/>
    <x v="874"/>
    <x v="0"/>
    <s v="COSTA VERDE"/>
    <x v="2"/>
  </r>
  <r>
    <x v="63"/>
    <x v="276"/>
    <x v="2"/>
    <x v="2"/>
    <x v="1"/>
    <x v="1"/>
    <x v="33"/>
    <x v="385"/>
    <x v="759"/>
    <x v="0"/>
    <s v="COSTA VERDE"/>
    <x v="2"/>
  </r>
  <r>
    <x v="63"/>
    <x v="264"/>
    <x v="6"/>
    <x v="6"/>
    <x v="1"/>
    <x v="1"/>
    <x v="33"/>
    <x v="311"/>
    <x v="874"/>
    <x v="0"/>
    <s v="COSTA VERDE"/>
    <x v="2"/>
  </r>
  <r>
    <x v="63"/>
    <x v="281"/>
    <x v="6"/>
    <x v="6"/>
    <x v="1"/>
    <x v="1"/>
    <x v="33"/>
    <x v="395"/>
    <x v="765"/>
    <x v="0"/>
    <s v="COSTA VERDE"/>
    <x v="2"/>
  </r>
  <r>
    <x v="64"/>
    <x v="208"/>
    <x v="8"/>
    <x v="8"/>
    <x v="1"/>
    <x v="2"/>
    <x v="32"/>
    <x v="377"/>
    <x v="3226"/>
    <x v="0"/>
    <s v="PLAZA LOS ANGELES"/>
    <x v="2"/>
  </r>
  <r>
    <x v="64"/>
    <x v="315"/>
    <x v="2"/>
    <x v="2"/>
    <x v="1"/>
    <x v="2"/>
    <x v="32"/>
    <x v="405"/>
    <x v="3227"/>
    <x v="0"/>
    <s v="PLAZA LOS ANGELES"/>
    <x v="2"/>
  </r>
  <r>
    <x v="64"/>
    <x v="316"/>
    <x v="2"/>
    <x v="2"/>
    <x v="1"/>
    <x v="0"/>
    <x v="33"/>
    <x v="348"/>
    <x v="874"/>
    <x v="0"/>
    <s v="PLAZA LOS ANGELES"/>
    <x v="2"/>
  </r>
  <r>
    <x v="65"/>
    <x v="242"/>
    <x v="9"/>
    <x v="9"/>
    <x v="1"/>
    <x v="2"/>
    <x v="32"/>
    <x v="435"/>
    <x v="3228"/>
    <x v="0"/>
    <s v="SAN MATEO"/>
    <x v="2"/>
  </r>
  <r>
    <x v="65"/>
    <x v="263"/>
    <x v="10"/>
    <x v="10"/>
    <x v="1"/>
    <x v="2"/>
    <x v="32"/>
    <x v="436"/>
    <x v="3228"/>
    <x v="0"/>
    <s v="SAN MATEO"/>
    <x v="2"/>
  </r>
  <r>
    <x v="65"/>
    <x v="187"/>
    <x v="11"/>
    <x v="11"/>
    <x v="1"/>
    <x v="2"/>
    <x v="32"/>
    <x v="328"/>
    <x v="3228"/>
    <x v="0"/>
    <s v="SAN MATEO"/>
    <x v="2"/>
  </r>
  <r>
    <x v="65"/>
    <x v="229"/>
    <x v="6"/>
    <x v="6"/>
    <x v="1"/>
    <x v="2"/>
    <x v="32"/>
    <x v="281"/>
    <x v="3161"/>
    <x v="0"/>
    <s v="SAN MATEO"/>
    <x v="2"/>
  </r>
  <r>
    <x v="66"/>
    <x v="263"/>
    <x v="10"/>
    <x v="10"/>
    <x v="1"/>
    <x v="2"/>
    <x v="32"/>
    <x v="436"/>
    <x v="3229"/>
    <x v="0"/>
    <s v="BRISAS DEL GOLF ARRAIJAN"/>
    <x v="2"/>
  </r>
  <r>
    <x v="66"/>
    <x v="240"/>
    <x v="2"/>
    <x v="2"/>
    <x v="1"/>
    <x v="2"/>
    <x v="32"/>
    <x v="442"/>
    <x v="3230"/>
    <x v="0"/>
    <s v="BRISAS DEL GOLF ARRAIJAN"/>
    <x v="2"/>
  </r>
  <r>
    <x v="66"/>
    <x v="264"/>
    <x v="6"/>
    <x v="6"/>
    <x v="1"/>
    <x v="2"/>
    <x v="34"/>
    <x v="454"/>
    <x v="759"/>
    <x v="0"/>
    <s v="BRISAS DEL GOLF ARRAIJAN"/>
    <x v="2"/>
  </r>
  <r>
    <x v="67"/>
    <x v="225"/>
    <x v="7"/>
    <x v="7"/>
    <x v="1"/>
    <x v="2"/>
    <x v="32"/>
    <x v="416"/>
    <x v="3231"/>
    <x v="0"/>
    <s v="PASEO ARRAIJAN"/>
    <x v="2"/>
  </r>
  <r>
    <x v="67"/>
    <x v="323"/>
    <x v="8"/>
    <x v="8"/>
    <x v="1"/>
    <x v="2"/>
    <x v="32"/>
    <x v="367"/>
    <x v="3232"/>
    <x v="0"/>
    <s v="PASEO ARRAIJAN"/>
    <x v="2"/>
  </r>
  <r>
    <x v="67"/>
    <x v="185"/>
    <x v="8"/>
    <x v="8"/>
    <x v="1"/>
    <x v="2"/>
    <x v="32"/>
    <x v="296"/>
    <x v="3233"/>
    <x v="0"/>
    <s v="PASEO ARRAIJAN"/>
    <x v="2"/>
  </r>
  <r>
    <x v="67"/>
    <x v="263"/>
    <x v="10"/>
    <x v="10"/>
    <x v="1"/>
    <x v="2"/>
    <x v="32"/>
    <x v="436"/>
    <x v="3234"/>
    <x v="0"/>
    <s v="PASEO ARRAIJAN"/>
    <x v="2"/>
  </r>
  <r>
    <x v="68"/>
    <x v="224"/>
    <x v="2"/>
    <x v="2"/>
    <x v="1"/>
    <x v="1"/>
    <x v="33"/>
    <x v="414"/>
    <x v="759"/>
    <x v="0"/>
    <s v="PLAZA NUEVO TOCUMEN"/>
    <x v="2"/>
  </r>
  <r>
    <x v="8"/>
    <x v="316"/>
    <x v="2"/>
    <x v="2"/>
    <x v="1"/>
    <x v="2"/>
    <x v="37"/>
    <x v="348"/>
    <x v="881"/>
    <x v="0"/>
    <s v="SANTIAGO"/>
    <x v="3"/>
  </r>
  <r>
    <x v="26"/>
    <x v="171"/>
    <x v="7"/>
    <x v="7"/>
    <x v="1"/>
    <x v="2"/>
    <x v="37"/>
    <x v="429"/>
    <x v="3235"/>
    <x v="0"/>
    <s v="CORONADO"/>
    <x v="3"/>
  </r>
  <r>
    <x v="31"/>
    <x v="277"/>
    <x v="7"/>
    <x v="7"/>
    <x v="1"/>
    <x v="2"/>
    <x v="37"/>
    <x v="325"/>
    <x v="3236"/>
    <x v="0"/>
    <s v="LAS TABLAS"/>
    <x v="3"/>
  </r>
  <r>
    <x v="33"/>
    <x v="326"/>
    <x v="8"/>
    <x v="8"/>
    <x v="1"/>
    <x v="2"/>
    <x v="37"/>
    <x v="423"/>
    <x v="3237"/>
    <x v="0"/>
    <s v="DAVID - TERRONAL"/>
    <x v="3"/>
  </r>
  <r>
    <x v="34"/>
    <x v="214"/>
    <x v="11"/>
    <x v="11"/>
    <x v="1"/>
    <x v="2"/>
    <x v="37"/>
    <x v="306"/>
    <x v="3106"/>
    <x v="0"/>
    <s v="COSTA DEL ESTE"/>
    <x v="3"/>
  </r>
  <r>
    <x v="75"/>
    <x v="214"/>
    <x v="11"/>
    <x v="11"/>
    <x v="1"/>
    <x v="2"/>
    <x v="37"/>
    <x v="306"/>
    <x v="782"/>
    <x v="0"/>
    <s v="SABANITAS"/>
    <x v="3"/>
  </r>
  <r>
    <x v="42"/>
    <x v="277"/>
    <x v="7"/>
    <x v="7"/>
    <x v="1"/>
    <x v="2"/>
    <x v="37"/>
    <x v="325"/>
    <x v="3238"/>
    <x v="0"/>
    <s v="ALTOS DE PANAMA"/>
    <x v="3"/>
  </r>
  <r>
    <x v="47"/>
    <x v="288"/>
    <x v="7"/>
    <x v="7"/>
    <x v="1"/>
    <x v="2"/>
    <x v="37"/>
    <x v="439"/>
    <x v="3239"/>
    <x v="0"/>
    <s v="LA CHORRERA - PARQUE 10 DE NOV."/>
    <x v="3"/>
  </r>
  <r>
    <x v="49"/>
    <x v="327"/>
    <x v="7"/>
    <x v="7"/>
    <x v="1"/>
    <x v="2"/>
    <x v="37"/>
    <x v="387"/>
    <x v="3240"/>
    <x v="0"/>
    <s v="CLAYTON"/>
    <x v="3"/>
  </r>
  <r>
    <x v="55"/>
    <x v="303"/>
    <x v="9"/>
    <x v="9"/>
    <x v="1"/>
    <x v="5"/>
    <x v="38"/>
    <x v="327"/>
    <x v="1401"/>
    <x v="0"/>
    <s v="NEGOCIOS"/>
    <x v="3"/>
  </r>
  <r>
    <x v="55"/>
    <x v="338"/>
    <x v="9"/>
    <x v="9"/>
    <x v="1"/>
    <x v="5"/>
    <x v="38"/>
    <x v="425"/>
    <x v="3241"/>
    <x v="0"/>
    <s v="NEGOCIOS"/>
    <x v="3"/>
  </r>
  <r>
    <x v="55"/>
    <x v="298"/>
    <x v="10"/>
    <x v="10"/>
    <x v="1"/>
    <x v="5"/>
    <x v="38"/>
    <x v="314"/>
    <x v="3242"/>
    <x v="0"/>
    <s v="NEGOCIOS"/>
    <x v="3"/>
  </r>
  <r>
    <x v="55"/>
    <x v="277"/>
    <x v="7"/>
    <x v="7"/>
    <x v="1"/>
    <x v="6"/>
    <x v="37"/>
    <x v="325"/>
    <x v="782"/>
    <x v="0"/>
    <s v="NEGOCIOS"/>
    <x v="3"/>
  </r>
  <r>
    <x v="55"/>
    <x v="179"/>
    <x v="7"/>
    <x v="7"/>
    <x v="1"/>
    <x v="6"/>
    <x v="37"/>
    <x v="415"/>
    <x v="3243"/>
    <x v="0"/>
    <s v="NEGOCIOS"/>
    <x v="3"/>
  </r>
  <r>
    <x v="55"/>
    <x v="260"/>
    <x v="7"/>
    <x v="7"/>
    <x v="1"/>
    <x v="6"/>
    <x v="37"/>
    <x v="437"/>
    <x v="3244"/>
    <x v="0"/>
    <s v="NEGOCIOS"/>
    <x v="3"/>
  </r>
  <r>
    <x v="55"/>
    <x v="237"/>
    <x v="7"/>
    <x v="7"/>
    <x v="1"/>
    <x v="6"/>
    <x v="65"/>
    <x v="455"/>
    <x v="3245"/>
    <x v="0"/>
    <s v="NEGOCIOS"/>
    <x v="3"/>
  </r>
  <r>
    <x v="55"/>
    <x v="321"/>
    <x v="8"/>
    <x v="8"/>
    <x v="1"/>
    <x v="6"/>
    <x v="38"/>
    <x v="430"/>
    <x v="3246"/>
    <x v="0"/>
    <s v="NEGOCIOS"/>
    <x v="3"/>
  </r>
  <r>
    <x v="55"/>
    <x v="319"/>
    <x v="8"/>
    <x v="8"/>
    <x v="1"/>
    <x v="6"/>
    <x v="66"/>
    <x v="456"/>
    <x v="1"/>
    <x v="605"/>
    <s v="NEGOCIOS"/>
    <x v="3"/>
  </r>
  <r>
    <x v="55"/>
    <x v="298"/>
    <x v="10"/>
    <x v="10"/>
    <x v="1"/>
    <x v="6"/>
    <x v="67"/>
    <x v="456"/>
    <x v="1"/>
    <x v="606"/>
    <s v="NEGOCIOS"/>
    <x v="3"/>
  </r>
  <r>
    <x v="55"/>
    <x v="298"/>
    <x v="10"/>
    <x v="10"/>
    <x v="1"/>
    <x v="6"/>
    <x v="38"/>
    <x v="314"/>
    <x v="3247"/>
    <x v="0"/>
    <s v="NEGOCIOS"/>
    <x v="3"/>
  </r>
  <r>
    <x v="55"/>
    <x v="269"/>
    <x v="11"/>
    <x v="11"/>
    <x v="1"/>
    <x v="6"/>
    <x v="38"/>
    <x v="403"/>
    <x v="3248"/>
    <x v="0"/>
    <s v="NEGOCIOS"/>
    <x v="3"/>
  </r>
  <r>
    <x v="55"/>
    <x v="201"/>
    <x v="11"/>
    <x v="11"/>
    <x v="1"/>
    <x v="6"/>
    <x v="37"/>
    <x v="422"/>
    <x v="900"/>
    <x v="0"/>
    <s v="NEGOCIOS"/>
    <x v="3"/>
  </r>
  <r>
    <x v="55"/>
    <x v="275"/>
    <x v="11"/>
    <x v="11"/>
    <x v="1"/>
    <x v="6"/>
    <x v="68"/>
    <x v="456"/>
    <x v="1"/>
    <x v="607"/>
    <s v="NEGOCIOS"/>
    <x v="3"/>
  </r>
  <r>
    <x v="55"/>
    <x v="335"/>
    <x v="6"/>
    <x v="6"/>
    <x v="1"/>
    <x v="6"/>
    <x v="37"/>
    <x v="408"/>
    <x v="3249"/>
    <x v="0"/>
    <s v="NEGOCIOS"/>
    <x v="3"/>
  </r>
  <r>
    <x v="55"/>
    <x v="191"/>
    <x v="6"/>
    <x v="6"/>
    <x v="1"/>
    <x v="6"/>
    <x v="38"/>
    <x v="318"/>
    <x v="3250"/>
    <x v="0"/>
    <s v="NEGOCIOS"/>
    <x v="3"/>
  </r>
  <r>
    <x v="55"/>
    <x v="206"/>
    <x v="7"/>
    <x v="7"/>
    <x v="1"/>
    <x v="7"/>
    <x v="37"/>
    <x v="284"/>
    <x v="3251"/>
    <x v="0"/>
    <s v="NEGOCIOS"/>
    <x v="3"/>
  </r>
  <r>
    <x v="55"/>
    <x v="217"/>
    <x v="6"/>
    <x v="6"/>
    <x v="1"/>
    <x v="7"/>
    <x v="37"/>
    <x v="323"/>
    <x v="3252"/>
    <x v="0"/>
    <s v="NEGOCIOS"/>
    <x v="3"/>
  </r>
  <r>
    <x v="55"/>
    <x v="335"/>
    <x v="6"/>
    <x v="6"/>
    <x v="1"/>
    <x v="7"/>
    <x v="37"/>
    <x v="408"/>
    <x v="1784"/>
    <x v="0"/>
    <s v="NEGOCIOS"/>
    <x v="3"/>
  </r>
  <r>
    <x v="55"/>
    <x v="249"/>
    <x v="11"/>
    <x v="11"/>
    <x v="1"/>
    <x v="9"/>
    <x v="37"/>
    <x v="359"/>
    <x v="3253"/>
    <x v="0"/>
    <s v="NEGOCIOS"/>
    <x v="3"/>
  </r>
  <r>
    <x v="55"/>
    <x v="220"/>
    <x v="11"/>
    <x v="11"/>
    <x v="1"/>
    <x v="11"/>
    <x v="38"/>
    <x v="309"/>
    <x v="3254"/>
    <x v="0"/>
    <s v="NEGOCIOS"/>
    <x v="3"/>
  </r>
  <r>
    <x v="55"/>
    <x v="290"/>
    <x v="9"/>
    <x v="9"/>
    <x v="1"/>
    <x v="12"/>
    <x v="37"/>
    <x v="302"/>
    <x v="3255"/>
    <x v="0"/>
    <s v="NEGOCIOS"/>
    <x v="3"/>
  </r>
  <r>
    <x v="55"/>
    <x v="187"/>
    <x v="11"/>
    <x v="11"/>
    <x v="1"/>
    <x v="12"/>
    <x v="37"/>
    <x v="328"/>
    <x v="3256"/>
    <x v="0"/>
    <s v="NEGOCIOS"/>
    <x v="3"/>
  </r>
  <r>
    <x v="55"/>
    <x v="332"/>
    <x v="7"/>
    <x v="7"/>
    <x v="1"/>
    <x v="14"/>
    <x v="37"/>
    <x v="397"/>
    <x v="1176"/>
    <x v="0"/>
    <s v="NEGOCIOS"/>
    <x v="3"/>
  </r>
  <r>
    <x v="55"/>
    <x v="251"/>
    <x v="8"/>
    <x v="8"/>
    <x v="1"/>
    <x v="14"/>
    <x v="37"/>
    <x v="291"/>
    <x v="816"/>
    <x v="0"/>
    <s v="NEGOCIOS"/>
    <x v="3"/>
  </r>
  <r>
    <x v="55"/>
    <x v="331"/>
    <x v="9"/>
    <x v="9"/>
    <x v="1"/>
    <x v="14"/>
    <x v="37"/>
    <x v="391"/>
    <x v="925"/>
    <x v="0"/>
    <s v="NEGOCIOS"/>
    <x v="3"/>
  </r>
  <r>
    <x v="55"/>
    <x v="243"/>
    <x v="10"/>
    <x v="10"/>
    <x v="1"/>
    <x v="14"/>
    <x v="37"/>
    <x v="411"/>
    <x v="3257"/>
    <x v="0"/>
    <s v="NEGOCIOS"/>
    <x v="3"/>
  </r>
  <r>
    <x v="55"/>
    <x v="330"/>
    <x v="11"/>
    <x v="11"/>
    <x v="1"/>
    <x v="14"/>
    <x v="37"/>
    <x v="381"/>
    <x v="816"/>
    <x v="0"/>
    <s v="NEGOCIOS"/>
    <x v="3"/>
  </r>
  <r>
    <x v="55"/>
    <x v="274"/>
    <x v="11"/>
    <x v="11"/>
    <x v="1"/>
    <x v="14"/>
    <x v="37"/>
    <x v="404"/>
    <x v="988"/>
    <x v="0"/>
    <s v="NEGOCIOS"/>
    <x v="3"/>
  </r>
  <r>
    <x v="55"/>
    <x v="315"/>
    <x v="2"/>
    <x v="2"/>
    <x v="1"/>
    <x v="14"/>
    <x v="37"/>
    <x v="405"/>
    <x v="1596"/>
    <x v="0"/>
    <s v="NEGOCIOS"/>
    <x v="3"/>
  </r>
  <r>
    <x v="55"/>
    <x v="265"/>
    <x v="6"/>
    <x v="6"/>
    <x v="1"/>
    <x v="14"/>
    <x v="37"/>
    <x v="386"/>
    <x v="816"/>
    <x v="0"/>
    <s v="NEGOCIOS"/>
    <x v="3"/>
  </r>
  <r>
    <x v="55"/>
    <x v="261"/>
    <x v="8"/>
    <x v="8"/>
    <x v="1"/>
    <x v="15"/>
    <x v="38"/>
    <x v="320"/>
    <x v="1596"/>
    <x v="0"/>
    <s v="NEGOCIOS"/>
    <x v="3"/>
  </r>
  <r>
    <x v="55"/>
    <x v="273"/>
    <x v="11"/>
    <x v="11"/>
    <x v="1"/>
    <x v="15"/>
    <x v="38"/>
    <x v="354"/>
    <x v="900"/>
    <x v="0"/>
    <s v="NEGOCIOS"/>
    <x v="3"/>
  </r>
  <r>
    <x v="55"/>
    <x v="305"/>
    <x v="6"/>
    <x v="6"/>
    <x v="1"/>
    <x v="29"/>
    <x v="37"/>
    <x v="331"/>
    <x v="1105"/>
    <x v="0"/>
    <s v="NEGOCIOS"/>
    <x v="3"/>
  </r>
  <r>
    <x v="55"/>
    <x v="314"/>
    <x v="6"/>
    <x v="6"/>
    <x v="1"/>
    <x v="16"/>
    <x v="38"/>
    <x v="372"/>
    <x v="3258"/>
    <x v="0"/>
    <s v="NEGOCIOS"/>
    <x v="3"/>
  </r>
  <r>
    <x v="58"/>
    <x v="249"/>
    <x v="11"/>
    <x v="11"/>
    <x v="1"/>
    <x v="2"/>
    <x v="37"/>
    <x v="359"/>
    <x v="900"/>
    <x v="0"/>
    <s v="SANTIAGO INTERAMERICANA"/>
    <x v="3"/>
  </r>
  <r>
    <x v="67"/>
    <x v="277"/>
    <x v="7"/>
    <x v="7"/>
    <x v="1"/>
    <x v="2"/>
    <x v="37"/>
    <x v="325"/>
    <x v="798"/>
    <x v="0"/>
    <s v="PASEO ARRAIJAN"/>
    <x v="3"/>
  </r>
  <r>
    <x v="0"/>
    <x v="247"/>
    <x v="8"/>
    <x v="8"/>
    <x v="1"/>
    <x v="2"/>
    <x v="39"/>
    <x v="289"/>
    <x v="3259"/>
    <x v="0"/>
    <s v="CASA MATRIZ"/>
    <x v="4"/>
  </r>
  <r>
    <x v="0"/>
    <x v="227"/>
    <x v="9"/>
    <x v="9"/>
    <x v="1"/>
    <x v="2"/>
    <x v="39"/>
    <x v="399"/>
    <x v="3260"/>
    <x v="0"/>
    <s v="CASA MATRIZ"/>
    <x v="4"/>
  </r>
  <r>
    <x v="0"/>
    <x v="339"/>
    <x v="10"/>
    <x v="10"/>
    <x v="1"/>
    <x v="2"/>
    <x v="39"/>
    <x v="427"/>
    <x v="3261"/>
    <x v="0"/>
    <s v="CASA MATRIZ"/>
    <x v="4"/>
  </r>
  <r>
    <x v="0"/>
    <x v="244"/>
    <x v="10"/>
    <x v="10"/>
    <x v="1"/>
    <x v="2"/>
    <x v="39"/>
    <x v="433"/>
    <x v="3261"/>
    <x v="0"/>
    <s v="CASA MATRIZ"/>
    <x v="4"/>
  </r>
  <r>
    <x v="0"/>
    <x v="200"/>
    <x v="11"/>
    <x v="11"/>
    <x v="1"/>
    <x v="2"/>
    <x v="39"/>
    <x v="351"/>
    <x v="2368"/>
    <x v="0"/>
    <s v="CASA MATRIZ"/>
    <x v="4"/>
  </r>
  <r>
    <x v="0"/>
    <x v="187"/>
    <x v="11"/>
    <x v="11"/>
    <x v="1"/>
    <x v="2"/>
    <x v="39"/>
    <x v="328"/>
    <x v="3262"/>
    <x v="0"/>
    <s v="CASA MATRIZ"/>
    <x v="4"/>
  </r>
  <r>
    <x v="0"/>
    <x v="281"/>
    <x v="6"/>
    <x v="6"/>
    <x v="1"/>
    <x v="2"/>
    <x v="39"/>
    <x v="395"/>
    <x v="3187"/>
    <x v="0"/>
    <s v="CASA MATRIZ"/>
    <x v="4"/>
  </r>
  <r>
    <x v="1"/>
    <x v="185"/>
    <x v="8"/>
    <x v="8"/>
    <x v="1"/>
    <x v="2"/>
    <x v="40"/>
    <x v="296"/>
    <x v="3263"/>
    <x v="0"/>
    <s v="PAITILLA"/>
    <x v="4"/>
  </r>
  <r>
    <x v="1"/>
    <x v="212"/>
    <x v="10"/>
    <x v="10"/>
    <x v="1"/>
    <x v="2"/>
    <x v="40"/>
    <x v="319"/>
    <x v="3264"/>
    <x v="0"/>
    <s v="PAITILLA"/>
    <x v="4"/>
  </r>
  <r>
    <x v="2"/>
    <x v="214"/>
    <x v="11"/>
    <x v="11"/>
    <x v="1"/>
    <x v="2"/>
    <x v="40"/>
    <x v="306"/>
    <x v="1622"/>
    <x v="0"/>
    <s v="EL DORADO"/>
    <x v="4"/>
  </r>
  <r>
    <x v="2"/>
    <x v="214"/>
    <x v="11"/>
    <x v="11"/>
    <x v="1"/>
    <x v="2"/>
    <x v="39"/>
    <x v="306"/>
    <x v="1124"/>
    <x v="0"/>
    <s v="EL DORADO"/>
    <x v="4"/>
  </r>
  <r>
    <x v="3"/>
    <x v="227"/>
    <x v="9"/>
    <x v="9"/>
    <x v="1"/>
    <x v="2"/>
    <x v="39"/>
    <x v="399"/>
    <x v="3265"/>
    <x v="0"/>
    <s v="VIA ARGENTINA"/>
    <x v="4"/>
  </r>
  <r>
    <x v="3"/>
    <x v="240"/>
    <x v="2"/>
    <x v="2"/>
    <x v="1"/>
    <x v="2"/>
    <x v="39"/>
    <x v="442"/>
    <x v="3266"/>
    <x v="0"/>
    <s v="VIA ARGENTINA"/>
    <x v="4"/>
  </r>
  <r>
    <x v="4"/>
    <x v="319"/>
    <x v="8"/>
    <x v="8"/>
    <x v="1"/>
    <x v="2"/>
    <x v="39"/>
    <x v="350"/>
    <x v="952"/>
    <x v="0"/>
    <s v="VIA PORRAS"/>
    <x v="4"/>
  </r>
  <r>
    <x v="4"/>
    <x v="291"/>
    <x v="9"/>
    <x v="9"/>
    <x v="1"/>
    <x v="2"/>
    <x v="39"/>
    <x v="303"/>
    <x v="3267"/>
    <x v="0"/>
    <s v="VIA PORRAS"/>
    <x v="4"/>
  </r>
  <r>
    <x v="4"/>
    <x v="214"/>
    <x v="11"/>
    <x v="11"/>
    <x v="1"/>
    <x v="2"/>
    <x v="39"/>
    <x v="306"/>
    <x v="1365"/>
    <x v="0"/>
    <s v="VIA PORRAS"/>
    <x v="4"/>
  </r>
  <r>
    <x v="4"/>
    <x v="240"/>
    <x v="2"/>
    <x v="2"/>
    <x v="1"/>
    <x v="2"/>
    <x v="39"/>
    <x v="442"/>
    <x v="1215"/>
    <x v="0"/>
    <s v="VIA PORRAS"/>
    <x v="4"/>
  </r>
  <r>
    <x v="4"/>
    <x v="188"/>
    <x v="6"/>
    <x v="6"/>
    <x v="1"/>
    <x v="2"/>
    <x v="39"/>
    <x v="407"/>
    <x v="3268"/>
    <x v="0"/>
    <s v="VIA PORRAS"/>
    <x v="4"/>
  </r>
  <r>
    <x v="5"/>
    <x v="331"/>
    <x v="9"/>
    <x v="9"/>
    <x v="1"/>
    <x v="2"/>
    <x v="39"/>
    <x v="391"/>
    <x v="3269"/>
    <x v="0"/>
    <s v="EL INGENIO"/>
    <x v="4"/>
  </r>
  <r>
    <x v="5"/>
    <x v="217"/>
    <x v="6"/>
    <x v="6"/>
    <x v="1"/>
    <x v="2"/>
    <x v="39"/>
    <x v="323"/>
    <x v="3270"/>
    <x v="0"/>
    <s v="EL INGENIO"/>
    <x v="4"/>
  </r>
  <r>
    <x v="6"/>
    <x v="332"/>
    <x v="7"/>
    <x v="7"/>
    <x v="1"/>
    <x v="2"/>
    <x v="39"/>
    <x v="397"/>
    <x v="3271"/>
    <x v="0"/>
    <s v="CHANIS"/>
    <x v="4"/>
  </r>
  <r>
    <x v="6"/>
    <x v="242"/>
    <x v="9"/>
    <x v="9"/>
    <x v="1"/>
    <x v="2"/>
    <x v="40"/>
    <x v="435"/>
    <x v="1641"/>
    <x v="0"/>
    <s v="CHANIS"/>
    <x v="4"/>
  </r>
  <r>
    <x v="6"/>
    <x v="282"/>
    <x v="11"/>
    <x v="11"/>
    <x v="1"/>
    <x v="2"/>
    <x v="39"/>
    <x v="358"/>
    <x v="1983"/>
    <x v="0"/>
    <s v="CHANIS"/>
    <x v="4"/>
  </r>
  <r>
    <x v="6"/>
    <x v="177"/>
    <x v="11"/>
    <x v="11"/>
    <x v="1"/>
    <x v="2"/>
    <x v="39"/>
    <x v="346"/>
    <x v="1286"/>
    <x v="0"/>
    <s v="CHANIS"/>
    <x v="4"/>
  </r>
  <r>
    <x v="6"/>
    <x v="316"/>
    <x v="2"/>
    <x v="2"/>
    <x v="1"/>
    <x v="2"/>
    <x v="39"/>
    <x v="348"/>
    <x v="3272"/>
    <x v="0"/>
    <s v="CHANIS"/>
    <x v="4"/>
  </r>
  <r>
    <x v="7"/>
    <x v="319"/>
    <x v="8"/>
    <x v="8"/>
    <x v="1"/>
    <x v="2"/>
    <x v="39"/>
    <x v="350"/>
    <x v="3273"/>
    <x v="0"/>
    <s v="PLAZA TOCUMEN"/>
    <x v="4"/>
  </r>
  <r>
    <x v="7"/>
    <x v="242"/>
    <x v="9"/>
    <x v="9"/>
    <x v="1"/>
    <x v="2"/>
    <x v="39"/>
    <x v="435"/>
    <x v="3274"/>
    <x v="0"/>
    <s v="PLAZA TOCUMEN"/>
    <x v="4"/>
  </r>
  <r>
    <x v="7"/>
    <x v="329"/>
    <x v="10"/>
    <x v="10"/>
    <x v="1"/>
    <x v="2"/>
    <x v="40"/>
    <x v="380"/>
    <x v="3275"/>
    <x v="0"/>
    <s v="PLAZA TOCUMEN"/>
    <x v="4"/>
  </r>
  <r>
    <x v="7"/>
    <x v="240"/>
    <x v="2"/>
    <x v="2"/>
    <x v="1"/>
    <x v="2"/>
    <x v="39"/>
    <x v="442"/>
    <x v="2880"/>
    <x v="0"/>
    <s v="PLAZA TOCUMEN"/>
    <x v="4"/>
  </r>
  <r>
    <x v="7"/>
    <x v="281"/>
    <x v="6"/>
    <x v="6"/>
    <x v="1"/>
    <x v="2"/>
    <x v="39"/>
    <x v="395"/>
    <x v="3276"/>
    <x v="0"/>
    <s v="PLAZA TOCUMEN"/>
    <x v="4"/>
  </r>
  <r>
    <x v="8"/>
    <x v="210"/>
    <x v="7"/>
    <x v="7"/>
    <x v="1"/>
    <x v="2"/>
    <x v="39"/>
    <x v="418"/>
    <x v="3277"/>
    <x v="0"/>
    <s v="SANTIAGO"/>
    <x v="4"/>
  </r>
  <r>
    <x v="8"/>
    <x v="306"/>
    <x v="9"/>
    <x v="9"/>
    <x v="1"/>
    <x v="2"/>
    <x v="39"/>
    <x v="336"/>
    <x v="3278"/>
    <x v="0"/>
    <s v="SANTIAGO"/>
    <x v="4"/>
  </r>
  <r>
    <x v="8"/>
    <x v="310"/>
    <x v="10"/>
    <x v="10"/>
    <x v="1"/>
    <x v="2"/>
    <x v="39"/>
    <x v="335"/>
    <x v="3279"/>
    <x v="0"/>
    <s v="SANTIAGO"/>
    <x v="4"/>
  </r>
  <r>
    <x v="8"/>
    <x v="316"/>
    <x v="2"/>
    <x v="2"/>
    <x v="1"/>
    <x v="2"/>
    <x v="39"/>
    <x v="348"/>
    <x v="3280"/>
    <x v="0"/>
    <s v="SANTIAGO"/>
    <x v="4"/>
  </r>
  <r>
    <x v="8"/>
    <x v="229"/>
    <x v="6"/>
    <x v="6"/>
    <x v="1"/>
    <x v="2"/>
    <x v="39"/>
    <x v="281"/>
    <x v="810"/>
    <x v="0"/>
    <s v="SANTIAGO"/>
    <x v="4"/>
  </r>
  <r>
    <x v="9"/>
    <x v="254"/>
    <x v="8"/>
    <x v="8"/>
    <x v="1"/>
    <x v="2"/>
    <x v="40"/>
    <x v="326"/>
    <x v="53"/>
    <x v="0"/>
    <s v="OBARRIO"/>
    <x v="4"/>
  </r>
  <r>
    <x v="9"/>
    <x v="323"/>
    <x v="8"/>
    <x v="8"/>
    <x v="1"/>
    <x v="2"/>
    <x v="39"/>
    <x v="367"/>
    <x v="3281"/>
    <x v="0"/>
    <s v="OBARRIO"/>
    <x v="4"/>
  </r>
  <r>
    <x v="9"/>
    <x v="207"/>
    <x v="8"/>
    <x v="8"/>
    <x v="1"/>
    <x v="2"/>
    <x v="39"/>
    <x v="374"/>
    <x v="3282"/>
    <x v="0"/>
    <s v="OBARRIO"/>
    <x v="4"/>
  </r>
  <r>
    <x v="9"/>
    <x v="244"/>
    <x v="10"/>
    <x v="10"/>
    <x v="1"/>
    <x v="2"/>
    <x v="39"/>
    <x v="433"/>
    <x v="3283"/>
    <x v="0"/>
    <s v="OBARRIO"/>
    <x v="4"/>
  </r>
  <r>
    <x v="9"/>
    <x v="202"/>
    <x v="11"/>
    <x v="11"/>
    <x v="1"/>
    <x v="2"/>
    <x v="39"/>
    <x v="305"/>
    <x v="1168"/>
    <x v="0"/>
    <s v="OBARRIO"/>
    <x v="4"/>
  </r>
  <r>
    <x v="9"/>
    <x v="183"/>
    <x v="2"/>
    <x v="2"/>
    <x v="1"/>
    <x v="2"/>
    <x v="39"/>
    <x v="330"/>
    <x v="3284"/>
    <x v="0"/>
    <s v="OBARRIO"/>
    <x v="4"/>
  </r>
  <r>
    <x v="70"/>
    <x v="260"/>
    <x v="7"/>
    <x v="7"/>
    <x v="1"/>
    <x v="2"/>
    <x v="39"/>
    <x v="437"/>
    <x v="3285"/>
    <x v="0"/>
    <s v="COLON"/>
    <x v="4"/>
  </r>
  <r>
    <x v="70"/>
    <x v="240"/>
    <x v="2"/>
    <x v="2"/>
    <x v="1"/>
    <x v="2"/>
    <x v="39"/>
    <x v="442"/>
    <x v="3286"/>
    <x v="0"/>
    <s v="COLON"/>
    <x v="4"/>
  </r>
  <r>
    <x v="70"/>
    <x v="229"/>
    <x v="6"/>
    <x v="6"/>
    <x v="1"/>
    <x v="2"/>
    <x v="39"/>
    <x v="281"/>
    <x v="3287"/>
    <x v="0"/>
    <s v="COLON"/>
    <x v="4"/>
  </r>
  <r>
    <x v="10"/>
    <x v="251"/>
    <x v="8"/>
    <x v="8"/>
    <x v="1"/>
    <x v="2"/>
    <x v="39"/>
    <x v="291"/>
    <x v="3288"/>
    <x v="0"/>
    <s v="HATO PINTADO"/>
    <x v="4"/>
  </r>
  <r>
    <x v="10"/>
    <x v="319"/>
    <x v="8"/>
    <x v="8"/>
    <x v="1"/>
    <x v="2"/>
    <x v="39"/>
    <x v="350"/>
    <x v="3289"/>
    <x v="0"/>
    <s v="HATO PINTADO"/>
    <x v="4"/>
  </r>
  <r>
    <x v="10"/>
    <x v="306"/>
    <x v="9"/>
    <x v="9"/>
    <x v="1"/>
    <x v="2"/>
    <x v="39"/>
    <x v="336"/>
    <x v="3290"/>
    <x v="0"/>
    <s v="HATO PINTADO"/>
    <x v="4"/>
  </r>
  <r>
    <x v="10"/>
    <x v="194"/>
    <x v="9"/>
    <x v="9"/>
    <x v="1"/>
    <x v="2"/>
    <x v="39"/>
    <x v="390"/>
    <x v="3291"/>
    <x v="0"/>
    <s v="HATO PINTADO"/>
    <x v="4"/>
  </r>
  <r>
    <x v="10"/>
    <x v="263"/>
    <x v="10"/>
    <x v="10"/>
    <x v="1"/>
    <x v="2"/>
    <x v="39"/>
    <x v="436"/>
    <x v="2701"/>
    <x v="0"/>
    <s v="HATO PINTADO"/>
    <x v="4"/>
  </r>
  <r>
    <x v="10"/>
    <x v="200"/>
    <x v="11"/>
    <x v="11"/>
    <x v="1"/>
    <x v="2"/>
    <x v="39"/>
    <x v="351"/>
    <x v="3292"/>
    <x v="0"/>
    <s v="HATO PINTADO"/>
    <x v="4"/>
  </r>
  <r>
    <x v="10"/>
    <x v="177"/>
    <x v="11"/>
    <x v="11"/>
    <x v="1"/>
    <x v="2"/>
    <x v="39"/>
    <x v="346"/>
    <x v="3293"/>
    <x v="0"/>
    <s v="HATO PINTADO"/>
    <x v="4"/>
  </r>
  <r>
    <x v="10"/>
    <x v="214"/>
    <x v="11"/>
    <x v="11"/>
    <x v="1"/>
    <x v="2"/>
    <x v="39"/>
    <x v="306"/>
    <x v="3294"/>
    <x v="0"/>
    <s v="HATO PINTADO"/>
    <x v="4"/>
  </r>
  <r>
    <x v="10"/>
    <x v="315"/>
    <x v="2"/>
    <x v="2"/>
    <x v="1"/>
    <x v="2"/>
    <x v="39"/>
    <x v="405"/>
    <x v="3295"/>
    <x v="0"/>
    <s v="HATO PINTADO"/>
    <x v="4"/>
  </r>
  <r>
    <x v="10"/>
    <x v="183"/>
    <x v="2"/>
    <x v="2"/>
    <x v="1"/>
    <x v="2"/>
    <x v="39"/>
    <x v="330"/>
    <x v="3296"/>
    <x v="0"/>
    <s v="HATO PINTADO"/>
    <x v="4"/>
  </r>
  <r>
    <x v="10"/>
    <x v="217"/>
    <x v="6"/>
    <x v="6"/>
    <x v="1"/>
    <x v="2"/>
    <x v="39"/>
    <x v="323"/>
    <x v="3297"/>
    <x v="0"/>
    <s v="HATO PINTADO"/>
    <x v="4"/>
  </r>
  <r>
    <x v="11"/>
    <x v="263"/>
    <x v="10"/>
    <x v="10"/>
    <x v="1"/>
    <x v="2"/>
    <x v="39"/>
    <x v="436"/>
    <x v="3298"/>
    <x v="0"/>
    <s v="RIO ABAJO"/>
    <x v="4"/>
  </r>
  <r>
    <x v="11"/>
    <x v="177"/>
    <x v="11"/>
    <x v="11"/>
    <x v="1"/>
    <x v="2"/>
    <x v="39"/>
    <x v="346"/>
    <x v="3299"/>
    <x v="0"/>
    <s v="RIO ABAJO"/>
    <x v="4"/>
  </r>
  <r>
    <x v="12"/>
    <x v="238"/>
    <x v="9"/>
    <x v="9"/>
    <x v="1"/>
    <x v="2"/>
    <x v="39"/>
    <x v="379"/>
    <x v="3300"/>
    <x v="0"/>
    <s v="LA CHORRERA"/>
    <x v="4"/>
  </r>
  <r>
    <x v="13"/>
    <x v="243"/>
    <x v="10"/>
    <x v="10"/>
    <x v="1"/>
    <x v="2"/>
    <x v="39"/>
    <x v="411"/>
    <x v="1212"/>
    <x v="0"/>
    <s v="AVENIDA CENTRAL"/>
    <x v="4"/>
  </r>
  <r>
    <x v="13"/>
    <x v="249"/>
    <x v="11"/>
    <x v="11"/>
    <x v="1"/>
    <x v="2"/>
    <x v="39"/>
    <x v="359"/>
    <x v="3301"/>
    <x v="0"/>
    <s v="AVENIDA CENTRAL"/>
    <x v="4"/>
  </r>
  <r>
    <x v="13"/>
    <x v="240"/>
    <x v="2"/>
    <x v="2"/>
    <x v="1"/>
    <x v="2"/>
    <x v="39"/>
    <x v="442"/>
    <x v="3302"/>
    <x v="0"/>
    <s v="AVENIDA CENTRAL"/>
    <x v="4"/>
  </r>
  <r>
    <x v="14"/>
    <x v="179"/>
    <x v="7"/>
    <x v="7"/>
    <x v="1"/>
    <x v="2"/>
    <x v="39"/>
    <x v="415"/>
    <x v="3303"/>
    <x v="0"/>
    <s v="LOS ANGELES"/>
    <x v="4"/>
  </r>
  <r>
    <x v="14"/>
    <x v="194"/>
    <x v="9"/>
    <x v="9"/>
    <x v="1"/>
    <x v="2"/>
    <x v="39"/>
    <x v="390"/>
    <x v="3304"/>
    <x v="0"/>
    <s v="LOS ANGELES"/>
    <x v="4"/>
  </r>
  <r>
    <x v="14"/>
    <x v="263"/>
    <x v="10"/>
    <x v="10"/>
    <x v="1"/>
    <x v="2"/>
    <x v="39"/>
    <x v="436"/>
    <x v="3305"/>
    <x v="0"/>
    <s v="LOS ANGELES"/>
    <x v="4"/>
  </r>
  <r>
    <x v="14"/>
    <x v="249"/>
    <x v="11"/>
    <x v="11"/>
    <x v="1"/>
    <x v="2"/>
    <x v="39"/>
    <x v="359"/>
    <x v="3306"/>
    <x v="0"/>
    <s v="LOS ANGELES"/>
    <x v="4"/>
  </r>
  <r>
    <x v="14"/>
    <x v="202"/>
    <x v="11"/>
    <x v="11"/>
    <x v="1"/>
    <x v="2"/>
    <x v="39"/>
    <x v="305"/>
    <x v="3307"/>
    <x v="0"/>
    <s v="LOS ANGELES"/>
    <x v="4"/>
  </r>
  <r>
    <x v="14"/>
    <x v="240"/>
    <x v="2"/>
    <x v="2"/>
    <x v="1"/>
    <x v="2"/>
    <x v="39"/>
    <x v="442"/>
    <x v="3308"/>
    <x v="0"/>
    <s v="LOS ANGELES"/>
    <x v="4"/>
  </r>
  <r>
    <x v="14"/>
    <x v="266"/>
    <x v="6"/>
    <x v="6"/>
    <x v="1"/>
    <x v="2"/>
    <x v="39"/>
    <x v="370"/>
    <x v="3309"/>
    <x v="0"/>
    <s v="LOS ANGELES"/>
    <x v="4"/>
  </r>
  <r>
    <x v="15"/>
    <x v="207"/>
    <x v="8"/>
    <x v="8"/>
    <x v="1"/>
    <x v="2"/>
    <x v="39"/>
    <x v="374"/>
    <x v="3310"/>
    <x v="0"/>
    <s v="VILLA LUCRE"/>
    <x v="4"/>
  </r>
  <r>
    <x v="15"/>
    <x v="263"/>
    <x v="10"/>
    <x v="10"/>
    <x v="1"/>
    <x v="2"/>
    <x v="39"/>
    <x v="436"/>
    <x v="3311"/>
    <x v="0"/>
    <s v="VILLA LUCRE"/>
    <x v="4"/>
  </r>
  <r>
    <x v="15"/>
    <x v="282"/>
    <x v="11"/>
    <x v="11"/>
    <x v="1"/>
    <x v="2"/>
    <x v="39"/>
    <x v="358"/>
    <x v="3312"/>
    <x v="0"/>
    <s v="VILLA LUCRE"/>
    <x v="4"/>
  </r>
  <r>
    <x v="15"/>
    <x v="330"/>
    <x v="11"/>
    <x v="11"/>
    <x v="1"/>
    <x v="2"/>
    <x v="39"/>
    <x v="381"/>
    <x v="3313"/>
    <x v="0"/>
    <s v="VILLA LUCRE"/>
    <x v="4"/>
  </r>
  <r>
    <x v="15"/>
    <x v="315"/>
    <x v="2"/>
    <x v="2"/>
    <x v="1"/>
    <x v="2"/>
    <x v="39"/>
    <x v="405"/>
    <x v="1807"/>
    <x v="0"/>
    <s v="VILLA LUCRE"/>
    <x v="4"/>
  </r>
  <r>
    <x v="15"/>
    <x v="240"/>
    <x v="2"/>
    <x v="2"/>
    <x v="1"/>
    <x v="2"/>
    <x v="39"/>
    <x v="442"/>
    <x v="3314"/>
    <x v="0"/>
    <s v="VILLA LUCRE"/>
    <x v="4"/>
  </r>
  <r>
    <x v="15"/>
    <x v="305"/>
    <x v="6"/>
    <x v="6"/>
    <x v="1"/>
    <x v="2"/>
    <x v="39"/>
    <x v="331"/>
    <x v="3315"/>
    <x v="0"/>
    <s v="VILLA LUCRE"/>
    <x v="4"/>
  </r>
  <r>
    <x v="15"/>
    <x v="335"/>
    <x v="6"/>
    <x v="6"/>
    <x v="1"/>
    <x v="2"/>
    <x v="39"/>
    <x v="408"/>
    <x v="768"/>
    <x v="0"/>
    <s v="VILLA LUCRE"/>
    <x v="4"/>
  </r>
  <r>
    <x v="15"/>
    <x v="229"/>
    <x v="6"/>
    <x v="6"/>
    <x v="1"/>
    <x v="2"/>
    <x v="39"/>
    <x v="281"/>
    <x v="3316"/>
    <x v="0"/>
    <s v="VILLA LUCRE"/>
    <x v="4"/>
  </r>
  <r>
    <x v="16"/>
    <x v="247"/>
    <x v="8"/>
    <x v="8"/>
    <x v="1"/>
    <x v="2"/>
    <x v="39"/>
    <x v="289"/>
    <x v="3317"/>
    <x v="0"/>
    <s v="LOS ANDES"/>
    <x v="4"/>
  </r>
  <r>
    <x v="16"/>
    <x v="331"/>
    <x v="9"/>
    <x v="9"/>
    <x v="1"/>
    <x v="2"/>
    <x v="39"/>
    <x v="391"/>
    <x v="3318"/>
    <x v="0"/>
    <s v="LOS ANDES"/>
    <x v="4"/>
  </r>
  <r>
    <x v="16"/>
    <x v="244"/>
    <x v="10"/>
    <x v="10"/>
    <x v="1"/>
    <x v="2"/>
    <x v="39"/>
    <x v="433"/>
    <x v="3319"/>
    <x v="0"/>
    <s v="LOS ANDES"/>
    <x v="4"/>
  </r>
  <r>
    <x v="16"/>
    <x v="300"/>
    <x v="2"/>
    <x v="2"/>
    <x v="1"/>
    <x v="2"/>
    <x v="40"/>
    <x v="316"/>
    <x v="782"/>
    <x v="0"/>
    <s v="LOS ANDES"/>
    <x v="4"/>
  </r>
  <r>
    <x v="16"/>
    <x v="315"/>
    <x v="2"/>
    <x v="2"/>
    <x v="1"/>
    <x v="2"/>
    <x v="39"/>
    <x v="405"/>
    <x v="3320"/>
    <x v="0"/>
    <s v="LOS ANDES"/>
    <x v="4"/>
  </r>
  <r>
    <x v="16"/>
    <x v="182"/>
    <x v="2"/>
    <x v="2"/>
    <x v="1"/>
    <x v="2"/>
    <x v="39"/>
    <x v="392"/>
    <x v="3321"/>
    <x v="0"/>
    <s v="LOS ANDES"/>
    <x v="4"/>
  </r>
  <r>
    <x v="16"/>
    <x v="264"/>
    <x v="6"/>
    <x v="6"/>
    <x v="1"/>
    <x v="2"/>
    <x v="40"/>
    <x v="311"/>
    <x v="782"/>
    <x v="0"/>
    <s v="LOS ANDES"/>
    <x v="4"/>
  </r>
  <r>
    <x v="16"/>
    <x v="281"/>
    <x v="6"/>
    <x v="6"/>
    <x v="1"/>
    <x v="2"/>
    <x v="39"/>
    <x v="395"/>
    <x v="3322"/>
    <x v="0"/>
    <s v="LOS ANDES"/>
    <x v="4"/>
  </r>
  <r>
    <x v="16"/>
    <x v="217"/>
    <x v="6"/>
    <x v="6"/>
    <x v="1"/>
    <x v="2"/>
    <x v="40"/>
    <x v="323"/>
    <x v="782"/>
    <x v="0"/>
    <s v="LOS ANDES"/>
    <x v="4"/>
  </r>
  <r>
    <x v="17"/>
    <x v="205"/>
    <x v="7"/>
    <x v="7"/>
    <x v="1"/>
    <x v="2"/>
    <x v="39"/>
    <x v="299"/>
    <x v="1641"/>
    <x v="0"/>
    <s v="VIA ESPANA"/>
    <x v="4"/>
  </r>
  <r>
    <x v="17"/>
    <x v="171"/>
    <x v="7"/>
    <x v="7"/>
    <x v="1"/>
    <x v="2"/>
    <x v="39"/>
    <x v="429"/>
    <x v="1641"/>
    <x v="0"/>
    <s v="VIA ESPANA"/>
    <x v="4"/>
  </r>
  <r>
    <x v="17"/>
    <x v="194"/>
    <x v="9"/>
    <x v="9"/>
    <x v="1"/>
    <x v="2"/>
    <x v="39"/>
    <x v="390"/>
    <x v="1282"/>
    <x v="0"/>
    <s v="VIA ESPANA"/>
    <x v="4"/>
  </r>
  <r>
    <x v="17"/>
    <x v="316"/>
    <x v="2"/>
    <x v="2"/>
    <x v="1"/>
    <x v="2"/>
    <x v="39"/>
    <x v="348"/>
    <x v="3323"/>
    <x v="0"/>
    <s v="VIA ESPANA"/>
    <x v="4"/>
  </r>
  <r>
    <x v="18"/>
    <x v="310"/>
    <x v="10"/>
    <x v="10"/>
    <x v="1"/>
    <x v="2"/>
    <x v="39"/>
    <x v="335"/>
    <x v="3324"/>
    <x v="0"/>
    <s v="AVENIDA CUBA"/>
    <x v="4"/>
  </r>
  <r>
    <x v="18"/>
    <x v="317"/>
    <x v="10"/>
    <x v="10"/>
    <x v="1"/>
    <x v="2"/>
    <x v="40"/>
    <x v="401"/>
    <x v="3325"/>
    <x v="0"/>
    <s v="AVENIDA CUBA"/>
    <x v="4"/>
  </r>
  <r>
    <x v="19"/>
    <x v="207"/>
    <x v="8"/>
    <x v="8"/>
    <x v="1"/>
    <x v="2"/>
    <x v="39"/>
    <x v="374"/>
    <x v="3326"/>
    <x v="0"/>
    <s v="CHITRE"/>
    <x v="4"/>
  </r>
  <r>
    <x v="19"/>
    <x v="290"/>
    <x v="9"/>
    <x v="9"/>
    <x v="1"/>
    <x v="2"/>
    <x v="39"/>
    <x v="302"/>
    <x v="3327"/>
    <x v="0"/>
    <s v="CHITRE"/>
    <x v="4"/>
  </r>
  <r>
    <x v="19"/>
    <x v="182"/>
    <x v="2"/>
    <x v="2"/>
    <x v="1"/>
    <x v="2"/>
    <x v="39"/>
    <x v="392"/>
    <x v="3328"/>
    <x v="0"/>
    <s v="CHITRE"/>
    <x v="4"/>
  </r>
  <r>
    <x v="20"/>
    <x v="206"/>
    <x v="7"/>
    <x v="7"/>
    <x v="1"/>
    <x v="2"/>
    <x v="39"/>
    <x v="284"/>
    <x v="3329"/>
    <x v="0"/>
    <s v="LOS PUEBLOS"/>
    <x v="4"/>
  </r>
  <r>
    <x v="20"/>
    <x v="227"/>
    <x v="9"/>
    <x v="9"/>
    <x v="1"/>
    <x v="2"/>
    <x v="39"/>
    <x v="399"/>
    <x v="3330"/>
    <x v="0"/>
    <s v="LOS PUEBLOS"/>
    <x v="4"/>
  </r>
  <r>
    <x v="20"/>
    <x v="263"/>
    <x v="10"/>
    <x v="10"/>
    <x v="1"/>
    <x v="2"/>
    <x v="39"/>
    <x v="436"/>
    <x v="3331"/>
    <x v="0"/>
    <s v="LOS PUEBLOS"/>
    <x v="4"/>
  </r>
  <r>
    <x v="20"/>
    <x v="200"/>
    <x v="11"/>
    <x v="11"/>
    <x v="1"/>
    <x v="2"/>
    <x v="39"/>
    <x v="351"/>
    <x v="3332"/>
    <x v="0"/>
    <s v="LOS PUEBLOS"/>
    <x v="4"/>
  </r>
  <r>
    <x v="20"/>
    <x v="315"/>
    <x v="2"/>
    <x v="2"/>
    <x v="1"/>
    <x v="2"/>
    <x v="39"/>
    <x v="405"/>
    <x v="3333"/>
    <x v="0"/>
    <s v="LOS PUEBLOS"/>
    <x v="4"/>
  </r>
  <r>
    <x v="20"/>
    <x v="281"/>
    <x v="6"/>
    <x v="6"/>
    <x v="1"/>
    <x v="2"/>
    <x v="39"/>
    <x v="395"/>
    <x v="3334"/>
    <x v="0"/>
    <s v="LOS PUEBLOS"/>
    <x v="4"/>
  </r>
  <r>
    <x v="21"/>
    <x v="326"/>
    <x v="8"/>
    <x v="8"/>
    <x v="1"/>
    <x v="2"/>
    <x v="39"/>
    <x v="423"/>
    <x v="3335"/>
    <x v="0"/>
    <s v="TRANSISTMICA"/>
    <x v="4"/>
  </r>
  <r>
    <x v="21"/>
    <x v="175"/>
    <x v="9"/>
    <x v="9"/>
    <x v="1"/>
    <x v="2"/>
    <x v="39"/>
    <x v="389"/>
    <x v="120"/>
    <x v="0"/>
    <s v="TRANSISTMICA"/>
    <x v="4"/>
  </r>
  <r>
    <x v="21"/>
    <x v="255"/>
    <x v="9"/>
    <x v="9"/>
    <x v="1"/>
    <x v="2"/>
    <x v="39"/>
    <x v="293"/>
    <x v="907"/>
    <x v="0"/>
    <s v="TRANSISTMICA"/>
    <x v="4"/>
  </r>
  <r>
    <x v="21"/>
    <x v="263"/>
    <x v="10"/>
    <x v="10"/>
    <x v="1"/>
    <x v="2"/>
    <x v="39"/>
    <x v="436"/>
    <x v="810"/>
    <x v="0"/>
    <s v="TRANSISTMICA"/>
    <x v="4"/>
  </r>
  <r>
    <x v="21"/>
    <x v="200"/>
    <x v="11"/>
    <x v="11"/>
    <x v="1"/>
    <x v="2"/>
    <x v="39"/>
    <x v="351"/>
    <x v="3336"/>
    <x v="0"/>
    <s v="TRANSISTMICA"/>
    <x v="4"/>
  </r>
  <r>
    <x v="21"/>
    <x v="214"/>
    <x v="11"/>
    <x v="11"/>
    <x v="1"/>
    <x v="2"/>
    <x v="39"/>
    <x v="306"/>
    <x v="3337"/>
    <x v="0"/>
    <s v="TRANSISTMICA"/>
    <x v="4"/>
  </r>
  <r>
    <x v="21"/>
    <x v="335"/>
    <x v="6"/>
    <x v="6"/>
    <x v="1"/>
    <x v="2"/>
    <x v="39"/>
    <x v="408"/>
    <x v="907"/>
    <x v="0"/>
    <s v="TRANSISTMICA"/>
    <x v="4"/>
  </r>
  <r>
    <x v="72"/>
    <x v="261"/>
    <x v="8"/>
    <x v="8"/>
    <x v="1"/>
    <x v="2"/>
    <x v="39"/>
    <x v="320"/>
    <x v="460"/>
    <x v="0"/>
    <s v="ZONA LIBRE"/>
    <x v="4"/>
  </r>
  <r>
    <x v="72"/>
    <x v="189"/>
    <x v="10"/>
    <x v="10"/>
    <x v="1"/>
    <x v="2"/>
    <x v="39"/>
    <x v="345"/>
    <x v="3338"/>
    <x v="0"/>
    <s v="ZONA LIBRE"/>
    <x v="4"/>
  </r>
  <r>
    <x v="72"/>
    <x v="235"/>
    <x v="2"/>
    <x v="2"/>
    <x v="1"/>
    <x v="2"/>
    <x v="39"/>
    <x v="393"/>
    <x v="3339"/>
    <x v="0"/>
    <s v="ZONA LIBRE"/>
    <x v="4"/>
  </r>
  <r>
    <x v="22"/>
    <x v="278"/>
    <x v="7"/>
    <x v="7"/>
    <x v="1"/>
    <x v="2"/>
    <x v="40"/>
    <x v="450"/>
    <x v="3340"/>
    <x v="0"/>
    <s v="PLAZA GALAPAGO"/>
    <x v="4"/>
  </r>
  <r>
    <x v="22"/>
    <x v="171"/>
    <x v="7"/>
    <x v="7"/>
    <x v="1"/>
    <x v="2"/>
    <x v="39"/>
    <x v="429"/>
    <x v="1"/>
    <x v="608"/>
    <s v="PLAZA GALAPAGO"/>
    <x v="4"/>
  </r>
  <r>
    <x v="22"/>
    <x v="268"/>
    <x v="10"/>
    <x v="10"/>
    <x v="1"/>
    <x v="2"/>
    <x v="39"/>
    <x v="339"/>
    <x v="1325"/>
    <x v="0"/>
    <s v="PLAZA GALAPAGO"/>
    <x v="4"/>
  </r>
  <r>
    <x v="22"/>
    <x v="189"/>
    <x v="10"/>
    <x v="10"/>
    <x v="1"/>
    <x v="2"/>
    <x v="39"/>
    <x v="345"/>
    <x v="3084"/>
    <x v="0"/>
    <s v="PLAZA GALAPAGO"/>
    <x v="4"/>
  </r>
  <r>
    <x v="22"/>
    <x v="200"/>
    <x v="11"/>
    <x v="11"/>
    <x v="1"/>
    <x v="2"/>
    <x v="39"/>
    <x v="351"/>
    <x v="3341"/>
    <x v="0"/>
    <s v="PLAZA GALAPAGO"/>
    <x v="4"/>
  </r>
  <r>
    <x v="23"/>
    <x v="243"/>
    <x v="10"/>
    <x v="10"/>
    <x v="1"/>
    <x v="2"/>
    <x v="39"/>
    <x v="411"/>
    <x v="86"/>
    <x v="0"/>
    <s v="PARQUE LEFEVRE"/>
    <x v="4"/>
  </r>
  <r>
    <x v="23"/>
    <x v="282"/>
    <x v="11"/>
    <x v="11"/>
    <x v="1"/>
    <x v="2"/>
    <x v="39"/>
    <x v="358"/>
    <x v="2471"/>
    <x v="0"/>
    <s v="PARQUE LEFEVRE"/>
    <x v="4"/>
  </r>
  <r>
    <x v="23"/>
    <x v="202"/>
    <x v="11"/>
    <x v="11"/>
    <x v="1"/>
    <x v="2"/>
    <x v="39"/>
    <x v="305"/>
    <x v="3342"/>
    <x v="0"/>
    <s v="PARQUE LEFEVRE"/>
    <x v="4"/>
  </r>
  <r>
    <x v="23"/>
    <x v="217"/>
    <x v="6"/>
    <x v="6"/>
    <x v="1"/>
    <x v="2"/>
    <x v="39"/>
    <x v="323"/>
    <x v="3343"/>
    <x v="0"/>
    <s v="PARQUE LEFEVRE"/>
    <x v="4"/>
  </r>
  <r>
    <x v="25"/>
    <x v="206"/>
    <x v="7"/>
    <x v="7"/>
    <x v="1"/>
    <x v="2"/>
    <x v="39"/>
    <x v="284"/>
    <x v="3344"/>
    <x v="0"/>
    <s v="PLAZA LAS AMERICAS"/>
    <x v="4"/>
  </r>
  <r>
    <x v="25"/>
    <x v="310"/>
    <x v="10"/>
    <x v="10"/>
    <x v="1"/>
    <x v="2"/>
    <x v="39"/>
    <x v="335"/>
    <x v="3345"/>
    <x v="0"/>
    <s v="PLAZA LAS AMERICAS"/>
    <x v="4"/>
  </r>
  <r>
    <x v="25"/>
    <x v="315"/>
    <x v="2"/>
    <x v="2"/>
    <x v="1"/>
    <x v="2"/>
    <x v="39"/>
    <x v="405"/>
    <x v="3346"/>
    <x v="0"/>
    <s v="PLAZA LAS AMERICAS"/>
    <x v="4"/>
  </r>
  <r>
    <x v="26"/>
    <x v="260"/>
    <x v="7"/>
    <x v="7"/>
    <x v="1"/>
    <x v="2"/>
    <x v="39"/>
    <x v="437"/>
    <x v="3347"/>
    <x v="0"/>
    <s v="CORONADO"/>
    <x v="4"/>
  </r>
  <r>
    <x v="26"/>
    <x v="175"/>
    <x v="9"/>
    <x v="9"/>
    <x v="1"/>
    <x v="2"/>
    <x v="39"/>
    <x v="389"/>
    <x v="1484"/>
    <x v="0"/>
    <s v="CORONADO"/>
    <x v="4"/>
  </r>
  <r>
    <x v="26"/>
    <x v="189"/>
    <x v="10"/>
    <x v="10"/>
    <x v="1"/>
    <x v="2"/>
    <x v="39"/>
    <x v="345"/>
    <x v="3348"/>
    <x v="0"/>
    <s v="CORONADO"/>
    <x v="4"/>
  </r>
  <r>
    <x v="26"/>
    <x v="182"/>
    <x v="2"/>
    <x v="2"/>
    <x v="1"/>
    <x v="2"/>
    <x v="39"/>
    <x v="392"/>
    <x v="3349"/>
    <x v="0"/>
    <s v="CORONADO"/>
    <x v="4"/>
  </r>
  <r>
    <x v="26"/>
    <x v="217"/>
    <x v="6"/>
    <x v="6"/>
    <x v="1"/>
    <x v="2"/>
    <x v="39"/>
    <x v="323"/>
    <x v="3350"/>
    <x v="0"/>
    <s v="CORONADO"/>
    <x v="4"/>
  </r>
  <r>
    <x v="26"/>
    <x v="335"/>
    <x v="6"/>
    <x v="6"/>
    <x v="1"/>
    <x v="2"/>
    <x v="39"/>
    <x v="408"/>
    <x v="3351"/>
    <x v="0"/>
    <s v="CORONADO"/>
    <x v="4"/>
  </r>
  <r>
    <x v="27"/>
    <x v="242"/>
    <x v="9"/>
    <x v="9"/>
    <x v="1"/>
    <x v="2"/>
    <x v="39"/>
    <x v="435"/>
    <x v="1342"/>
    <x v="0"/>
    <s v="ALBROOK MALL"/>
    <x v="4"/>
  </r>
  <r>
    <x v="27"/>
    <x v="230"/>
    <x v="9"/>
    <x v="9"/>
    <x v="1"/>
    <x v="2"/>
    <x v="39"/>
    <x v="283"/>
    <x v="3352"/>
    <x v="0"/>
    <s v="ALBROOK MALL"/>
    <x v="4"/>
  </r>
  <r>
    <x v="27"/>
    <x v="330"/>
    <x v="11"/>
    <x v="11"/>
    <x v="1"/>
    <x v="2"/>
    <x v="39"/>
    <x v="381"/>
    <x v="3353"/>
    <x v="0"/>
    <s v="ALBROOK MALL"/>
    <x v="4"/>
  </r>
  <r>
    <x v="28"/>
    <x v="247"/>
    <x v="8"/>
    <x v="8"/>
    <x v="1"/>
    <x v="2"/>
    <x v="39"/>
    <x v="289"/>
    <x v="3354"/>
    <x v="0"/>
    <s v="PANAMA PACIFICO"/>
    <x v="4"/>
  </r>
  <r>
    <x v="28"/>
    <x v="207"/>
    <x v="8"/>
    <x v="8"/>
    <x v="1"/>
    <x v="2"/>
    <x v="39"/>
    <x v="374"/>
    <x v="1836"/>
    <x v="0"/>
    <s v="PANAMA PACIFICO"/>
    <x v="4"/>
  </r>
  <r>
    <x v="28"/>
    <x v="319"/>
    <x v="8"/>
    <x v="8"/>
    <x v="1"/>
    <x v="2"/>
    <x v="39"/>
    <x v="350"/>
    <x v="3355"/>
    <x v="0"/>
    <s v="PANAMA PACIFICO"/>
    <x v="4"/>
  </r>
  <r>
    <x v="28"/>
    <x v="182"/>
    <x v="2"/>
    <x v="2"/>
    <x v="1"/>
    <x v="2"/>
    <x v="39"/>
    <x v="392"/>
    <x v="3356"/>
    <x v="0"/>
    <s v="PANAMA PACIFICO"/>
    <x v="4"/>
  </r>
  <r>
    <x v="28"/>
    <x v="316"/>
    <x v="2"/>
    <x v="2"/>
    <x v="1"/>
    <x v="2"/>
    <x v="39"/>
    <x v="348"/>
    <x v="3357"/>
    <x v="0"/>
    <s v="PANAMA PACIFICO"/>
    <x v="4"/>
  </r>
  <r>
    <x v="73"/>
    <x v="238"/>
    <x v="9"/>
    <x v="9"/>
    <x v="1"/>
    <x v="2"/>
    <x v="39"/>
    <x v="379"/>
    <x v="3358"/>
    <x v="0"/>
    <s v="PENONOME"/>
    <x v="4"/>
  </r>
  <r>
    <x v="73"/>
    <x v="243"/>
    <x v="10"/>
    <x v="10"/>
    <x v="1"/>
    <x v="2"/>
    <x v="39"/>
    <x v="411"/>
    <x v="3359"/>
    <x v="0"/>
    <s v="PENONOME"/>
    <x v="4"/>
  </r>
  <r>
    <x v="29"/>
    <x v="263"/>
    <x v="10"/>
    <x v="10"/>
    <x v="1"/>
    <x v="2"/>
    <x v="39"/>
    <x v="436"/>
    <x v="3360"/>
    <x v="0"/>
    <s v="ALBROOK"/>
    <x v="4"/>
  </r>
  <r>
    <x v="29"/>
    <x v="249"/>
    <x v="11"/>
    <x v="11"/>
    <x v="1"/>
    <x v="2"/>
    <x v="39"/>
    <x v="359"/>
    <x v="784"/>
    <x v="0"/>
    <s v="ALBROOK"/>
    <x v="4"/>
  </r>
  <r>
    <x v="29"/>
    <x v="188"/>
    <x v="6"/>
    <x v="6"/>
    <x v="1"/>
    <x v="2"/>
    <x v="40"/>
    <x v="407"/>
    <x v="3361"/>
    <x v="0"/>
    <s v="ALBROOK"/>
    <x v="4"/>
  </r>
  <r>
    <x v="30"/>
    <x v="254"/>
    <x v="8"/>
    <x v="8"/>
    <x v="1"/>
    <x v="2"/>
    <x v="40"/>
    <x v="326"/>
    <x v="3362"/>
    <x v="0"/>
    <s v="SUCURSAL DE VISTA ALEGRE"/>
    <x v="4"/>
  </r>
  <r>
    <x v="30"/>
    <x v="194"/>
    <x v="9"/>
    <x v="9"/>
    <x v="1"/>
    <x v="2"/>
    <x v="39"/>
    <x v="390"/>
    <x v="3363"/>
    <x v="0"/>
    <s v="SUCURSAL DE VISTA ALEGRE"/>
    <x v="4"/>
  </r>
  <r>
    <x v="30"/>
    <x v="200"/>
    <x v="11"/>
    <x v="11"/>
    <x v="1"/>
    <x v="2"/>
    <x v="39"/>
    <x v="351"/>
    <x v="3364"/>
    <x v="0"/>
    <s v="SUCURSAL DE VISTA ALEGRE"/>
    <x v="4"/>
  </r>
  <r>
    <x v="30"/>
    <x v="202"/>
    <x v="11"/>
    <x v="11"/>
    <x v="1"/>
    <x v="2"/>
    <x v="39"/>
    <x v="305"/>
    <x v="2943"/>
    <x v="0"/>
    <s v="SUCURSAL DE VISTA ALEGRE"/>
    <x v="4"/>
  </r>
  <r>
    <x v="30"/>
    <x v="281"/>
    <x v="6"/>
    <x v="6"/>
    <x v="1"/>
    <x v="2"/>
    <x v="39"/>
    <x v="395"/>
    <x v="3365"/>
    <x v="0"/>
    <s v="SUCURSAL DE VISTA ALEGRE"/>
    <x v="4"/>
  </r>
  <r>
    <x v="31"/>
    <x v="247"/>
    <x v="8"/>
    <x v="8"/>
    <x v="1"/>
    <x v="2"/>
    <x v="39"/>
    <x v="289"/>
    <x v="3366"/>
    <x v="0"/>
    <s v="LAS TABLAS"/>
    <x v="4"/>
  </r>
  <r>
    <x v="31"/>
    <x v="242"/>
    <x v="9"/>
    <x v="9"/>
    <x v="1"/>
    <x v="2"/>
    <x v="39"/>
    <x v="435"/>
    <x v="1182"/>
    <x v="0"/>
    <s v="LAS TABLAS"/>
    <x v="4"/>
  </r>
  <r>
    <x v="31"/>
    <x v="176"/>
    <x v="10"/>
    <x v="10"/>
    <x v="1"/>
    <x v="2"/>
    <x v="39"/>
    <x v="412"/>
    <x v="366"/>
    <x v="0"/>
    <s v="LAS TABLAS"/>
    <x v="4"/>
  </r>
  <r>
    <x v="32"/>
    <x v="247"/>
    <x v="8"/>
    <x v="8"/>
    <x v="1"/>
    <x v="2"/>
    <x v="39"/>
    <x v="289"/>
    <x v="1641"/>
    <x v="0"/>
    <s v="24 DE DICIEMBRE"/>
    <x v="4"/>
  </r>
  <r>
    <x v="32"/>
    <x v="175"/>
    <x v="9"/>
    <x v="9"/>
    <x v="1"/>
    <x v="2"/>
    <x v="39"/>
    <x v="389"/>
    <x v="1335"/>
    <x v="0"/>
    <s v="24 DE DICIEMBRE"/>
    <x v="4"/>
  </r>
  <r>
    <x v="32"/>
    <x v="329"/>
    <x v="10"/>
    <x v="10"/>
    <x v="1"/>
    <x v="2"/>
    <x v="39"/>
    <x v="380"/>
    <x v="3367"/>
    <x v="0"/>
    <s v="24 DE DICIEMBRE"/>
    <x v="4"/>
  </r>
  <r>
    <x v="32"/>
    <x v="249"/>
    <x v="11"/>
    <x v="11"/>
    <x v="1"/>
    <x v="2"/>
    <x v="39"/>
    <x v="359"/>
    <x v="3368"/>
    <x v="0"/>
    <s v="24 DE DICIEMBRE"/>
    <x v="4"/>
  </r>
  <r>
    <x v="32"/>
    <x v="240"/>
    <x v="2"/>
    <x v="2"/>
    <x v="1"/>
    <x v="2"/>
    <x v="39"/>
    <x v="442"/>
    <x v="3369"/>
    <x v="0"/>
    <s v="24 DE DICIEMBRE"/>
    <x v="4"/>
  </r>
  <r>
    <x v="33"/>
    <x v="179"/>
    <x v="7"/>
    <x v="7"/>
    <x v="1"/>
    <x v="2"/>
    <x v="39"/>
    <x v="415"/>
    <x v="1866"/>
    <x v="0"/>
    <s v="DAVID - TERRONAL"/>
    <x v="4"/>
  </r>
  <r>
    <x v="33"/>
    <x v="263"/>
    <x v="10"/>
    <x v="10"/>
    <x v="1"/>
    <x v="2"/>
    <x v="39"/>
    <x v="436"/>
    <x v="3370"/>
    <x v="0"/>
    <s v="DAVID - TERRONAL"/>
    <x v="4"/>
  </r>
  <r>
    <x v="33"/>
    <x v="201"/>
    <x v="11"/>
    <x v="11"/>
    <x v="1"/>
    <x v="2"/>
    <x v="39"/>
    <x v="422"/>
    <x v="905"/>
    <x v="0"/>
    <s v="DAVID - TERRONAL"/>
    <x v="4"/>
  </r>
  <r>
    <x v="33"/>
    <x v="213"/>
    <x v="11"/>
    <x v="11"/>
    <x v="1"/>
    <x v="2"/>
    <x v="39"/>
    <x v="361"/>
    <x v="1"/>
    <x v="262"/>
    <s v="DAVID - TERRONAL"/>
    <x v="4"/>
  </r>
  <r>
    <x v="33"/>
    <x v="316"/>
    <x v="2"/>
    <x v="2"/>
    <x v="1"/>
    <x v="2"/>
    <x v="39"/>
    <x v="348"/>
    <x v="3371"/>
    <x v="0"/>
    <s v="DAVID - TERRONAL"/>
    <x v="4"/>
  </r>
  <r>
    <x v="33"/>
    <x v="229"/>
    <x v="6"/>
    <x v="6"/>
    <x v="1"/>
    <x v="2"/>
    <x v="39"/>
    <x v="281"/>
    <x v="3372"/>
    <x v="0"/>
    <s v="DAVID - TERRONAL"/>
    <x v="4"/>
  </r>
  <r>
    <x v="34"/>
    <x v="189"/>
    <x v="10"/>
    <x v="10"/>
    <x v="1"/>
    <x v="2"/>
    <x v="39"/>
    <x v="345"/>
    <x v="3373"/>
    <x v="0"/>
    <s v="COSTA DEL ESTE"/>
    <x v="4"/>
  </r>
  <r>
    <x v="34"/>
    <x v="315"/>
    <x v="2"/>
    <x v="2"/>
    <x v="1"/>
    <x v="2"/>
    <x v="39"/>
    <x v="405"/>
    <x v="3374"/>
    <x v="0"/>
    <s v="COSTA DEL ESTE"/>
    <x v="4"/>
  </r>
  <r>
    <x v="34"/>
    <x v="229"/>
    <x v="6"/>
    <x v="6"/>
    <x v="1"/>
    <x v="2"/>
    <x v="39"/>
    <x v="281"/>
    <x v="3375"/>
    <x v="0"/>
    <s v="COSTA DEL ESTE"/>
    <x v="4"/>
  </r>
  <r>
    <x v="35"/>
    <x v="261"/>
    <x v="8"/>
    <x v="8"/>
    <x v="1"/>
    <x v="2"/>
    <x v="39"/>
    <x v="320"/>
    <x v="3376"/>
    <x v="0"/>
    <s v="MULTI PLAZA"/>
    <x v="4"/>
  </r>
  <r>
    <x v="35"/>
    <x v="207"/>
    <x v="8"/>
    <x v="8"/>
    <x v="1"/>
    <x v="2"/>
    <x v="39"/>
    <x v="374"/>
    <x v="3377"/>
    <x v="0"/>
    <s v="MULTI PLAZA"/>
    <x v="4"/>
  </r>
  <r>
    <x v="35"/>
    <x v="310"/>
    <x v="10"/>
    <x v="10"/>
    <x v="1"/>
    <x v="2"/>
    <x v="39"/>
    <x v="335"/>
    <x v="3378"/>
    <x v="0"/>
    <s v="MULTI PLAZA"/>
    <x v="4"/>
  </r>
  <r>
    <x v="35"/>
    <x v="187"/>
    <x v="11"/>
    <x v="11"/>
    <x v="1"/>
    <x v="2"/>
    <x v="39"/>
    <x v="328"/>
    <x v="3379"/>
    <x v="0"/>
    <s v="MULTI PLAZA"/>
    <x v="4"/>
  </r>
  <r>
    <x v="35"/>
    <x v="202"/>
    <x v="11"/>
    <x v="11"/>
    <x v="1"/>
    <x v="2"/>
    <x v="39"/>
    <x v="305"/>
    <x v="3380"/>
    <x v="0"/>
    <s v="MULTI PLAZA"/>
    <x v="4"/>
  </r>
  <r>
    <x v="35"/>
    <x v="265"/>
    <x v="6"/>
    <x v="6"/>
    <x v="1"/>
    <x v="2"/>
    <x v="39"/>
    <x v="386"/>
    <x v="3381"/>
    <x v="0"/>
    <s v="MULTI PLAZA"/>
    <x v="4"/>
  </r>
  <r>
    <x v="35"/>
    <x v="305"/>
    <x v="6"/>
    <x v="6"/>
    <x v="1"/>
    <x v="2"/>
    <x v="39"/>
    <x v="331"/>
    <x v="1525"/>
    <x v="0"/>
    <s v="MULTI PLAZA"/>
    <x v="4"/>
  </r>
  <r>
    <x v="77"/>
    <x v="326"/>
    <x v="8"/>
    <x v="8"/>
    <x v="1"/>
    <x v="2"/>
    <x v="39"/>
    <x v="423"/>
    <x v="3382"/>
    <x v="0"/>
    <s v="HOSPITAL PUNTA PACIFICA"/>
    <x v="4"/>
  </r>
  <r>
    <x v="77"/>
    <x v="261"/>
    <x v="8"/>
    <x v="8"/>
    <x v="1"/>
    <x v="2"/>
    <x v="40"/>
    <x v="320"/>
    <x v="858"/>
    <x v="0"/>
    <s v="HOSPITAL PUNTA PACIFICA"/>
    <x v="4"/>
  </r>
  <r>
    <x v="77"/>
    <x v="306"/>
    <x v="9"/>
    <x v="9"/>
    <x v="1"/>
    <x v="2"/>
    <x v="39"/>
    <x v="336"/>
    <x v="3383"/>
    <x v="0"/>
    <s v="HOSPITAL PUNTA PACIFICA"/>
    <x v="4"/>
  </r>
  <r>
    <x v="77"/>
    <x v="227"/>
    <x v="9"/>
    <x v="9"/>
    <x v="1"/>
    <x v="2"/>
    <x v="40"/>
    <x v="399"/>
    <x v="858"/>
    <x v="0"/>
    <s v="HOSPITAL PUNTA PACIFICA"/>
    <x v="4"/>
  </r>
  <r>
    <x v="77"/>
    <x v="290"/>
    <x v="9"/>
    <x v="9"/>
    <x v="1"/>
    <x v="2"/>
    <x v="39"/>
    <x v="302"/>
    <x v="3384"/>
    <x v="0"/>
    <s v="HOSPITAL PUNTA PACIFICA"/>
    <x v="4"/>
  </r>
  <r>
    <x v="77"/>
    <x v="242"/>
    <x v="9"/>
    <x v="9"/>
    <x v="1"/>
    <x v="2"/>
    <x v="39"/>
    <x v="435"/>
    <x v="3385"/>
    <x v="0"/>
    <s v="HOSPITAL PUNTA PACIFICA"/>
    <x v="4"/>
  </r>
  <r>
    <x v="77"/>
    <x v="198"/>
    <x v="10"/>
    <x v="10"/>
    <x v="1"/>
    <x v="2"/>
    <x v="40"/>
    <x v="338"/>
    <x v="858"/>
    <x v="0"/>
    <s v="HOSPITAL PUNTA PACIFICA"/>
    <x v="4"/>
  </r>
  <r>
    <x v="77"/>
    <x v="243"/>
    <x v="10"/>
    <x v="10"/>
    <x v="1"/>
    <x v="2"/>
    <x v="39"/>
    <x v="411"/>
    <x v="1533"/>
    <x v="0"/>
    <s v="HOSPITAL PUNTA PACIFICA"/>
    <x v="4"/>
  </r>
  <r>
    <x v="77"/>
    <x v="186"/>
    <x v="10"/>
    <x v="10"/>
    <x v="1"/>
    <x v="2"/>
    <x v="40"/>
    <x v="321"/>
    <x v="244"/>
    <x v="0"/>
    <s v="HOSPITAL PUNTA PACIFICA"/>
    <x v="4"/>
  </r>
  <r>
    <x v="77"/>
    <x v="202"/>
    <x v="11"/>
    <x v="11"/>
    <x v="1"/>
    <x v="2"/>
    <x v="39"/>
    <x v="305"/>
    <x v="3355"/>
    <x v="0"/>
    <s v="HOSPITAL PUNTA PACIFICA"/>
    <x v="4"/>
  </r>
  <r>
    <x v="77"/>
    <x v="183"/>
    <x v="2"/>
    <x v="2"/>
    <x v="1"/>
    <x v="2"/>
    <x v="40"/>
    <x v="330"/>
    <x v="3386"/>
    <x v="0"/>
    <s v="HOSPITAL PUNTA PACIFICA"/>
    <x v="4"/>
  </r>
  <r>
    <x v="77"/>
    <x v="183"/>
    <x v="2"/>
    <x v="2"/>
    <x v="1"/>
    <x v="2"/>
    <x v="39"/>
    <x v="330"/>
    <x v="3387"/>
    <x v="0"/>
    <s v="HOSPITAL PUNTA PACIFICA"/>
    <x v="4"/>
  </r>
  <r>
    <x v="36"/>
    <x v="225"/>
    <x v="7"/>
    <x v="7"/>
    <x v="1"/>
    <x v="2"/>
    <x v="39"/>
    <x v="416"/>
    <x v="1535"/>
    <x v="0"/>
    <s v="TERMINAL DE ALBROOK"/>
    <x v="4"/>
  </r>
  <r>
    <x v="36"/>
    <x v="332"/>
    <x v="7"/>
    <x v="7"/>
    <x v="1"/>
    <x v="2"/>
    <x v="39"/>
    <x v="397"/>
    <x v="1999"/>
    <x v="0"/>
    <s v="TERMINAL DE ALBROOK"/>
    <x v="4"/>
  </r>
  <r>
    <x v="36"/>
    <x v="251"/>
    <x v="8"/>
    <x v="8"/>
    <x v="1"/>
    <x v="2"/>
    <x v="39"/>
    <x v="291"/>
    <x v="3388"/>
    <x v="0"/>
    <s v="TERMINAL DE ALBROOK"/>
    <x v="4"/>
  </r>
  <r>
    <x v="36"/>
    <x v="261"/>
    <x v="8"/>
    <x v="8"/>
    <x v="1"/>
    <x v="2"/>
    <x v="39"/>
    <x v="320"/>
    <x v="920"/>
    <x v="0"/>
    <s v="TERMINAL DE ALBROOK"/>
    <x v="4"/>
  </r>
  <r>
    <x v="36"/>
    <x v="319"/>
    <x v="8"/>
    <x v="8"/>
    <x v="1"/>
    <x v="2"/>
    <x v="39"/>
    <x v="350"/>
    <x v="2722"/>
    <x v="0"/>
    <s v="TERMINAL DE ALBROOK"/>
    <x v="4"/>
  </r>
  <r>
    <x v="36"/>
    <x v="263"/>
    <x v="10"/>
    <x v="10"/>
    <x v="1"/>
    <x v="2"/>
    <x v="39"/>
    <x v="436"/>
    <x v="1156"/>
    <x v="0"/>
    <s v="TERMINAL DE ALBROOK"/>
    <x v="4"/>
  </r>
  <r>
    <x v="36"/>
    <x v="200"/>
    <x v="11"/>
    <x v="11"/>
    <x v="1"/>
    <x v="2"/>
    <x v="39"/>
    <x v="351"/>
    <x v="3389"/>
    <x v="0"/>
    <s v="TERMINAL DE ALBROOK"/>
    <x v="4"/>
  </r>
  <r>
    <x v="36"/>
    <x v="182"/>
    <x v="2"/>
    <x v="2"/>
    <x v="1"/>
    <x v="2"/>
    <x v="39"/>
    <x v="392"/>
    <x v="3390"/>
    <x v="0"/>
    <s v="TERMINAL DE ALBROOK"/>
    <x v="4"/>
  </r>
  <r>
    <x v="36"/>
    <x v="335"/>
    <x v="6"/>
    <x v="6"/>
    <x v="1"/>
    <x v="2"/>
    <x v="39"/>
    <x v="408"/>
    <x v="3391"/>
    <x v="0"/>
    <s v="TERMINAL DE ALBROOK"/>
    <x v="4"/>
  </r>
  <r>
    <x v="37"/>
    <x v="310"/>
    <x v="10"/>
    <x v="10"/>
    <x v="1"/>
    <x v="2"/>
    <x v="39"/>
    <x v="335"/>
    <x v="3392"/>
    <x v="0"/>
    <s v="CONCEPCION"/>
    <x v="4"/>
  </r>
  <r>
    <x v="37"/>
    <x v="330"/>
    <x v="11"/>
    <x v="11"/>
    <x v="1"/>
    <x v="2"/>
    <x v="39"/>
    <x v="381"/>
    <x v="3393"/>
    <x v="0"/>
    <s v="CONCEPCION"/>
    <x v="4"/>
  </r>
  <r>
    <x v="38"/>
    <x v="326"/>
    <x v="8"/>
    <x v="8"/>
    <x v="1"/>
    <x v="2"/>
    <x v="39"/>
    <x v="423"/>
    <x v="858"/>
    <x v="0"/>
    <s v="BOQUETE"/>
    <x v="4"/>
  </r>
  <r>
    <x v="38"/>
    <x v="194"/>
    <x v="9"/>
    <x v="9"/>
    <x v="1"/>
    <x v="2"/>
    <x v="39"/>
    <x v="390"/>
    <x v="858"/>
    <x v="0"/>
    <s v="BOQUETE"/>
    <x v="4"/>
  </r>
  <r>
    <x v="38"/>
    <x v="183"/>
    <x v="2"/>
    <x v="2"/>
    <x v="1"/>
    <x v="2"/>
    <x v="39"/>
    <x v="330"/>
    <x v="858"/>
    <x v="0"/>
    <s v="BOQUETE"/>
    <x v="4"/>
  </r>
  <r>
    <x v="38"/>
    <x v="229"/>
    <x v="6"/>
    <x v="6"/>
    <x v="1"/>
    <x v="2"/>
    <x v="39"/>
    <x v="281"/>
    <x v="858"/>
    <x v="0"/>
    <s v="BOQUETE"/>
    <x v="4"/>
  </r>
  <r>
    <x v="39"/>
    <x v="179"/>
    <x v="7"/>
    <x v="7"/>
    <x v="1"/>
    <x v="2"/>
    <x v="39"/>
    <x v="415"/>
    <x v="1838"/>
    <x v="0"/>
    <s v="BRISAS DEL GOLF"/>
    <x v="4"/>
  </r>
  <r>
    <x v="39"/>
    <x v="306"/>
    <x v="9"/>
    <x v="9"/>
    <x v="1"/>
    <x v="2"/>
    <x v="39"/>
    <x v="336"/>
    <x v="3394"/>
    <x v="0"/>
    <s v="BRISAS DEL GOLF"/>
    <x v="4"/>
  </r>
  <r>
    <x v="39"/>
    <x v="262"/>
    <x v="9"/>
    <x v="9"/>
    <x v="1"/>
    <x v="2"/>
    <x v="39"/>
    <x v="368"/>
    <x v="1221"/>
    <x v="0"/>
    <s v="BRISAS DEL GOLF"/>
    <x v="4"/>
  </r>
  <r>
    <x v="39"/>
    <x v="219"/>
    <x v="9"/>
    <x v="9"/>
    <x v="1"/>
    <x v="2"/>
    <x v="40"/>
    <x v="308"/>
    <x v="782"/>
    <x v="0"/>
    <s v="BRISAS DEL GOLF"/>
    <x v="4"/>
  </r>
  <r>
    <x v="39"/>
    <x v="282"/>
    <x v="11"/>
    <x v="11"/>
    <x v="1"/>
    <x v="2"/>
    <x v="39"/>
    <x v="358"/>
    <x v="3395"/>
    <x v="0"/>
    <s v="BRISAS DEL GOLF"/>
    <x v="4"/>
  </r>
  <r>
    <x v="39"/>
    <x v="177"/>
    <x v="11"/>
    <x v="11"/>
    <x v="1"/>
    <x v="2"/>
    <x v="40"/>
    <x v="346"/>
    <x v="782"/>
    <x v="0"/>
    <s v="BRISAS DEL GOLF"/>
    <x v="4"/>
  </r>
  <r>
    <x v="39"/>
    <x v="177"/>
    <x v="11"/>
    <x v="11"/>
    <x v="1"/>
    <x v="2"/>
    <x v="39"/>
    <x v="346"/>
    <x v="3396"/>
    <x v="0"/>
    <s v="BRISAS DEL GOLF"/>
    <x v="4"/>
  </r>
  <r>
    <x v="39"/>
    <x v="235"/>
    <x v="2"/>
    <x v="2"/>
    <x v="1"/>
    <x v="2"/>
    <x v="39"/>
    <x v="393"/>
    <x v="3397"/>
    <x v="0"/>
    <s v="BRISAS DEL GOLF"/>
    <x v="4"/>
  </r>
  <r>
    <x v="39"/>
    <x v="335"/>
    <x v="6"/>
    <x v="6"/>
    <x v="1"/>
    <x v="2"/>
    <x v="39"/>
    <x v="408"/>
    <x v="1303"/>
    <x v="0"/>
    <s v="BRISAS DEL GOLF"/>
    <x v="4"/>
  </r>
  <r>
    <x v="40"/>
    <x v="286"/>
    <x v="10"/>
    <x v="10"/>
    <x v="1"/>
    <x v="2"/>
    <x v="40"/>
    <x v="297"/>
    <x v="865"/>
    <x v="0"/>
    <s v="PUENTE CENTENARIO"/>
    <x v="4"/>
  </r>
  <r>
    <x v="40"/>
    <x v="263"/>
    <x v="10"/>
    <x v="10"/>
    <x v="1"/>
    <x v="2"/>
    <x v="39"/>
    <x v="436"/>
    <x v="3398"/>
    <x v="0"/>
    <s v="PUENTE CENTENARIO"/>
    <x v="4"/>
  </r>
  <r>
    <x v="40"/>
    <x v="188"/>
    <x v="6"/>
    <x v="6"/>
    <x v="1"/>
    <x v="2"/>
    <x v="40"/>
    <x v="407"/>
    <x v="782"/>
    <x v="0"/>
    <s v="PUENTE CENTENARIO"/>
    <x v="4"/>
  </r>
  <r>
    <x v="40"/>
    <x v="229"/>
    <x v="6"/>
    <x v="6"/>
    <x v="1"/>
    <x v="2"/>
    <x v="39"/>
    <x v="281"/>
    <x v="1231"/>
    <x v="0"/>
    <s v="PUENTE CENTENARIO"/>
    <x v="4"/>
  </r>
  <r>
    <x v="74"/>
    <x v="227"/>
    <x v="9"/>
    <x v="9"/>
    <x v="1"/>
    <x v="2"/>
    <x v="39"/>
    <x v="399"/>
    <x v="3399"/>
    <x v="0"/>
    <s v="AGUADULCE"/>
    <x v="4"/>
  </r>
  <r>
    <x v="74"/>
    <x v="189"/>
    <x v="10"/>
    <x v="10"/>
    <x v="1"/>
    <x v="2"/>
    <x v="39"/>
    <x v="345"/>
    <x v="2751"/>
    <x v="0"/>
    <s v="AGUADULCE"/>
    <x v="4"/>
  </r>
  <r>
    <x v="75"/>
    <x v="323"/>
    <x v="8"/>
    <x v="8"/>
    <x v="1"/>
    <x v="2"/>
    <x v="39"/>
    <x v="367"/>
    <x v="3400"/>
    <x v="0"/>
    <s v="SABANITAS"/>
    <x v="4"/>
  </r>
  <r>
    <x v="75"/>
    <x v="282"/>
    <x v="11"/>
    <x v="11"/>
    <x v="1"/>
    <x v="2"/>
    <x v="39"/>
    <x v="358"/>
    <x v="3401"/>
    <x v="0"/>
    <s v="SABANITAS"/>
    <x v="4"/>
  </r>
  <r>
    <x v="75"/>
    <x v="214"/>
    <x v="11"/>
    <x v="11"/>
    <x v="1"/>
    <x v="2"/>
    <x v="39"/>
    <x v="306"/>
    <x v="3402"/>
    <x v="0"/>
    <s v="SABANITAS"/>
    <x v="4"/>
  </r>
  <r>
    <x v="75"/>
    <x v="265"/>
    <x v="6"/>
    <x v="6"/>
    <x v="1"/>
    <x v="2"/>
    <x v="39"/>
    <x v="386"/>
    <x v="905"/>
    <x v="0"/>
    <s v="SABANITAS"/>
    <x v="4"/>
  </r>
  <r>
    <x v="41"/>
    <x v="255"/>
    <x v="9"/>
    <x v="9"/>
    <x v="1"/>
    <x v="2"/>
    <x v="39"/>
    <x v="293"/>
    <x v="3403"/>
    <x v="0"/>
    <s v="METROMALL"/>
    <x v="4"/>
  </r>
  <r>
    <x v="41"/>
    <x v="187"/>
    <x v="11"/>
    <x v="11"/>
    <x v="1"/>
    <x v="2"/>
    <x v="39"/>
    <x v="328"/>
    <x v="545"/>
    <x v="0"/>
    <s v="METROMALL"/>
    <x v="4"/>
  </r>
  <r>
    <x v="42"/>
    <x v="208"/>
    <x v="8"/>
    <x v="8"/>
    <x v="1"/>
    <x v="2"/>
    <x v="39"/>
    <x v="377"/>
    <x v="3404"/>
    <x v="0"/>
    <s v="ALTOS DE PANAMA"/>
    <x v="4"/>
  </r>
  <r>
    <x v="42"/>
    <x v="331"/>
    <x v="9"/>
    <x v="9"/>
    <x v="1"/>
    <x v="2"/>
    <x v="39"/>
    <x v="391"/>
    <x v="3405"/>
    <x v="0"/>
    <s v="ALTOS DE PANAMA"/>
    <x v="4"/>
  </r>
  <r>
    <x v="42"/>
    <x v="220"/>
    <x v="11"/>
    <x v="11"/>
    <x v="1"/>
    <x v="2"/>
    <x v="39"/>
    <x v="309"/>
    <x v="3406"/>
    <x v="0"/>
    <s v="ALTOS DE PANAMA"/>
    <x v="4"/>
  </r>
  <r>
    <x v="42"/>
    <x v="235"/>
    <x v="2"/>
    <x v="2"/>
    <x v="1"/>
    <x v="2"/>
    <x v="39"/>
    <x v="393"/>
    <x v="1331"/>
    <x v="0"/>
    <s v="ALTOS DE PANAMA"/>
    <x v="4"/>
  </r>
  <r>
    <x v="43"/>
    <x v="261"/>
    <x v="8"/>
    <x v="8"/>
    <x v="1"/>
    <x v="2"/>
    <x v="39"/>
    <x v="320"/>
    <x v="3407"/>
    <x v="0"/>
    <s v="VERSALLES"/>
    <x v="4"/>
  </r>
  <r>
    <x v="43"/>
    <x v="240"/>
    <x v="2"/>
    <x v="2"/>
    <x v="1"/>
    <x v="2"/>
    <x v="39"/>
    <x v="442"/>
    <x v="3408"/>
    <x v="0"/>
    <s v="VERSALLES"/>
    <x v="4"/>
  </r>
  <r>
    <x v="44"/>
    <x v="268"/>
    <x v="10"/>
    <x v="10"/>
    <x v="1"/>
    <x v="2"/>
    <x v="39"/>
    <x v="339"/>
    <x v="816"/>
    <x v="0"/>
    <s v="BUSINESS PARK"/>
    <x v="4"/>
  </r>
  <r>
    <x v="44"/>
    <x v="329"/>
    <x v="10"/>
    <x v="10"/>
    <x v="1"/>
    <x v="2"/>
    <x v="39"/>
    <x v="380"/>
    <x v="245"/>
    <x v="0"/>
    <s v="BUSINESS PARK"/>
    <x v="4"/>
  </r>
  <r>
    <x v="44"/>
    <x v="315"/>
    <x v="2"/>
    <x v="2"/>
    <x v="1"/>
    <x v="2"/>
    <x v="39"/>
    <x v="405"/>
    <x v="1815"/>
    <x v="0"/>
    <s v="BUSINESS PARK"/>
    <x v="4"/>
  </r>
  <r>
    <x v="44"/>
    <x v="240"/>
    <x v="2"/>
    <x v="2"/>
    <x v="1"/>
    <x v="2"/>
    <x v="39"/>
    <x v="442"/>
    <x v="346"/>
    <x v="0"/>
    <s v="BUSINESS PARK"/>
    <x v="4"/>
  </r>
  <r>
    <x v="44"/>
    <x v="281"/>
    <x v="6"/>
    <x v="6"/>
    <x v="1"/>
    <x v="2"/>
    <x v="39"/>
    <x v="395"/>
    <x v="3355"/>
    <x v="0"/>
    <s v="BUSINESS PARK"/>
    <x v="4"/>
  </r>
  <r>
    <x v="44"/>
    <x v="266"/>
    <x v="6"/>
    <x v="6"/>
    <x v="1"/>
    <x v="2"/>
    <x v="39"/>
    <x v="370"/>
    <x v="187"/>
    <x v="0"/>
    <s v="BUSINESS PARK"/>
    <x v="4"/>
  </r>
  <r>
    <x v="44"/>
    <x v="335"/>
    <x v="6"/>
    <x v="6"/>
    <x v="1"/>
    <x v="2"/>
    <x v="39"/>
    <x v="408"/>
    <x v="804"/>
    <x v="0"/>
    <s v="BUSINESS PARK"/>
    <x v="4"/>
  </r>
  <r>
    <x v="45"/>
    <x v="327"/>
    <x v="7"/>
    <x v="7"/>
    <x v="1"/>
    <x v="2"/>
    <x v="40"/>
    <x v="387"/>
    <x v="1641"/>
    <x v="0"/>
    <s v="SAN FRANCISCO"/>
    <x v="4"/>
  </r>
  <r>
    <x v="45"/>
    <x v="306"/>
    <x v="9"/>
    <x v="9"/>
    <x v="1"/>
    <x v="2"/>
    <x v="39"/>
    <x v="336"/>
    <x v="3409"/>
    <x v="0"/>
    <s v="SAN FRANCISCO"/>
    <x v="4"/>
  </r>
  <r>
    <x v="45"/>
    <x v="292"/>
    <x v="9"/>
    <x v="9"/>
    <x v="1"/>
    <x v="2"/>
    <x v="40"/>
    <x v="352"/>
    <x v="3410"/>
    <x v="0"/>
    <s v="SAN FRANCISCO"/>
    <x v="4"/>
  </r>
  <r>
    <x v="45"/>
    <x v="310"/>
    <x v="10"/>
    <x v="10"/>
    <x v="1"/>
    <x v="2"/>
    <x v="39"/>
    <x v="335"/>
    <x v="3411"/>
    <x v="0"/>
    <s v="SAN FRANCISCO"/>
    <x v="4"/>
  </r>
  <r>
    <x v="45"/>
    <x v="200"/>
    <x v="11"/>
    <x v="11"/>
    <x v="1"/>
    <x v="2"/>
    <x v="39"/>
    <x v="351"/>
    <x v="3411"/>
    <x v="0"/>
    <s v="SAN FRANCISCO"/>
    <x v="4"/>
  </r>
  <r>
    <x v="45"/>
    <x v="177"/>
    <x v="11"/>
    <x v="11"/>
    <x v="1"/>
    <x v="2"/>
    <x v="39"/>
    <x v="346"/>
    <x v="1335"/>
    <x v="0"/>
    <s v="SAN FRANCISCO"/>
    <x v="4"/>
  </r>
  <r>
    <x v="46"/>
    <x v="261"/>
    <x v="8"/>
    <x v="8"/>
    <x v="1"/>
    <x v="2"/>
    <x v="39"/>
    <x v="320"/>
    <x v="3181"/>
    <x v="0"/>
    <s v="PLAZA BANCO GENERAL"/>
    <x v="4"/>
  </r>
  <r>
    <x v="46"/>
    <x v="339"/>
    <x v="10"/>
    <x v="10"/>
    <x v="1"/>
    <x v="2"/>
    <x v="39"/>
    <x v="427"/>
    <x v="3412"/>
    <x v="0"/>
    <s v="PLAZA BANCO GENERAL"/>
    <x v="4"/>
  </r>
  <r>
    <x v="46"/>
    <x v="315"/>
    <x v="2"/>
    <x v="2"/>
    <x v="1"/>
    <x v="2"/>
    <x v="39"/>
    <x v="405"/>
    <x v="681"/>
    <x v="0"/>
    <s v="PLAZA BANCO GENERAL"/>
    <x v="4"/>
  </r>
  <r>
    <x v="46"/>
    <x v="281"/>
    <x v="6"/>
    <x v="6"/>
    <x v="1"/>
    <x v="2"/>
    <x v="39"/>
    <x v="395"/>
    <x v="1310"/>
    <x v="0"/>
    <s v="PLAZA BANCO GENERAL"/>
    <x v="4"/>
  </r>
  <r>
    <x v="47"/>
    <x v="319"/>
    <x v="8"/>
    <x v="8"/>
    <x v="1"/>
    <x v="2"/>
    <x v="39"/>
    <x v="350"/>
    <x v="3099"/>
    <x v="0"/>
    <s v="LA CHORRERA - PARQUE 10 DE NOV."/>
    <x v="4"/>
  </r>
  <r>
    <x v="47"/>
    <x v="242"/>
    <x v="9"/>
    <x v="9"/>
    <x v="1"/>
    <x v="2"/>
    <x v="39"/>
    <x v="435"/>
    <x v="57"/>
    <x v="0"/>
    <s v="LA CHORRERA - PARQUE 10 DE NOV."/>
    <x v="4"/>
  </r>
  <r>
    <x v="47"/>
    <x v="249"/>
    <x v="11"/>
    <x v="11"/>
    <x v="1"/>
    <x v="2"/>
    <x v="39"/>
    <x v="359"/>
    <x v="3413"/>
    <x v="0"/>
    <s v="LA CHORRERA - PARQUE 10 DE NOV."/>
    <x v="4"/>
  </r>
  <r>
    <x v="47"/>
    <x v="266"/>
    <x v="6"/>
    <x v="6"/>
    <x v="1"/>
    <x v="2"/>
    <x v="39"/>
    <x v="370"/>
    <x v="3414"/>
    <x v="0"/>
    <s v="LA CHORRERA - PARQUE 10 DE NOV."/>
    <x v="4"/>
  </r>
  <r>
    <x v="48"/>
    <x v="208"/>
    <x v="8"/>
    <x v="8"/>
    <x v="1"/>
    <x v="2"/>
    <x v="39"/>
    <x v="377"/>
    <x v="147"/>
    <x v="0"/>
    <s v="COSTA DEL ESTE - CENTENARIO"/>
    <x v="4"/>
  </r>
  <r>
    <x v="48"/>
    <x v="244"/>
    <x v="10"/>
    <x v="10"/>
    <x v="1"/>
    <x v="2"/>
    <x v="39"/>
    <x v="433"/>
    <x v="3415"/>
    <x v="0"/>
    <s v="COSTA DEL ESTE - CENTENARIO"/>
    <x v="4"/>
  </r>
  <r>
    <x v="48"/>
    <x v="182"/>
    <x v="2"/>
    <x v="2"/>
    <x v="1"/>
    <x v="2"/>
    <x v="39"/>
    <x v="392"/>
    <x v="3416"/>
    <x v="0"/>
    <s v="COSTA DEL ESTE - CENTENARIO"/>
    <x v="4"/>
  </r>
  <r>
    <x v="48"/>
    <x v="183"/>
    <x v="2"/>
    <x v="2"/>
    <x v="1"/>
    <x v="2"/>
    <x v="39"/>
    <x v="330"/>
    <x v="3417"/>
    <x v="0"/>
    <s v="COSTA DEL ESTE - CENTENARIO"/>
    <x v="4"/>
  </r>
  <r>
    <x v="49"/>
    <x v="251"/>
    <x v="8"/>
    <x v="8"/>
    <x v="1"/>
    <x v="2"/>
    <x v="39"/>
    <x v="291"/>
    <x v="3240"/>
    <x v="0"/>
    <s v="CLAYTON"/>
    <x v="4"/>
  </r>
  <r>
    <x v="49"/>
    <x v="176"/>
    <x v="10"/>
    <x v="10"/>
    <x v="1"/>
    <x v="2"/>
    <x v="39"/>
    <x v="412"/>
    <x v="3418"/>
    <x v="0"/>
    <s v="CLAYTON"/>
    <x v="4"/>
  </r>
  <r>
    <x v="49"/>
    <x v="240"/>
    <x v="2"/>
    <x v="2"/>
    <x v="1"/>
    <x v="2"/>
    <x v="39"/>
    <x v="442"/>
    <x v="3419"/>
    <x v="0"/>
    <s v="CLAYTON"/>
    <x v="4"/>
  </r>
  <r>
    <x v="49"/>
    <x v="316"/>
    <x v="2"/>
    <x v="2"/>
    <x v="1"/>
    <x v="2"/>
    <x v="39"/>
    <x v="348"/>
    <x v="3420"/>
    <x v="0"/>
    <s v="CLAYTON"/>
    <x v="4"/>
  </r>
  <r>
    <x v="49"/>
    <x v="183"/>
    <x v="2"/>
    <x v="2"/>
    <x v="1"/>
    <x v="2"/>
    <x v="39"/>
    <x v="330"/>
    <x v="3362"/>
    <x v="0"/>
    <s v="CLAYTON"/>
    <x v="4"/>
  </r>
  <r>
    <x v="49"/>
    <x v="335"/>
    <x v="6"/>
    <x v="6"/>
    <x v="1"/>
    <x v="2"/>
    <x v="39"/>
    <x v="408"/>
    <x v="3421"/>
    <x v="0"/>
    <s v="CLAYTON"/>
    <x v="4"/>
  </r>
  <r>
    <x v="50"/>
    <x v="207"/>
    <x v="8"/>
    <x v="8"/>
    <x v="1"/>
    <x v="2"/>
    <x v="39"/>
    <x v="374"/>
    <x v="3422"/>
    <x v="0"/>
    <s v="MARBELLA"/>
    <x v="4"/>
  </r>
  <r>
    <x v="50"/>
    <x v="255"/>
    <x v="9"/>
    <x v="9"/>
    <x v="1"/>
    <x v="2"/>
    <x v="39"/>
    <x v="293"/>
    <x v="1327"/>
    <x v="0"/>
    <s v="MARBELLA"/>
    <x v="4"/>
  </r>
  <r>
    <x v="50"/>
    <x v="243"/>
    <x v="10"/>
    <x v="10"/>
    <x v="1"/>
    <x v="2"/>
    <x v="39"/>
    <x v="411"/>
    <x v="3423"/>
    <x v="0"/>
    <s v="MARBELLA"/>
    <x v="4"/>
  </r>
  <r>
    <x v="50"/>
    <x v="282"/>
    <x v="11"/>
    <x v="11"/>
    <x v="1"/>
    <x v="2"/>
    <x v="39"/>
    <x v="358"/>
    <x v="838"/>
    <x v="0"/>
    <s v="MARBELLA"/>
    <x v="4"/>
  </r>
  <r>
    <x v="50"/>
    <x v="281"/>
    <x v="6"/>
    <x v="6"/>
    <x v="1"/>
    <x v="2"/>
    <x v="39"/>
    <x v="395"/>
    <x v="3424"/>
    <x v="0"/>
    <s v="MARBELLA"/>
    <x v="4"/>
  </r>
  <r>
    <x v="51"/>
    <x v="263"/>
    <x v="10"/>
    <x v="10"/>
    <x v="1"/>
    <x v="2"/>
    <x v="39"/>
    <x v="436"/>
    <x v="3425"/>
    <x v="0"/>
    <s v="PLAZA CAROLINA"/>
    <x v="4"/>
  </r>
  <r>
    <x v="51"/>
    <x v="282"/>
    <x v="11"/>
    <x v="11"/>
    <x v="1"/>
    <x v="2"/>
    <x v="39"/>
    <x v="358"/>
    <x v="1797"/>
    <x v="0"/>
    <s v="PLAZA CAROLINA"/>
    <x v="4"/>
  </r>
  <r>
    <x v="51"/>
    <x v="246"/>
    <x v="2"/>
    <x v="2"/>
    <x v="1"/>
    <x v="2"/>
    <x v="40"/>
    <x v="287"/>
    <x v="1061"/>
    <x v="0"/>
    <s v="PLAZA CAROLINA"/>
    <x v="4"/>
  </r>
  <r>
    <x v="52"/>
    <x v="319"/>
    <x v="8"/>
    <x v="8"/>
    <x v="1"/>
    <x v="2"/>
    <x v="39"/>
    <x v="350"/>
    <x v="3426"/>
    <x v="0"/>
    <s v="PLAZA CORDOBA"/>
    <x v="4"/>
  </r>
  <r>
    <x v="52"/>
    <x v="201"/>
    <x v="11"/>
    <x v="11"/>
    <x v="1"/>
    <x v="2"/>
    <x v="39"/>
    <x v="422"/>
    <x v="3427"/>
    <x v="0"/>
    <s v="PLAZA CORDOBA"/>
    <x v="4"/>
  </r>
  <r>
    <x v="53"/>
    <x v="206"/>
    <x v="7"/>
    <x v="7"/>
    <x v="1"/>
    <x v="2"/>
    <x v="39"/>
    <x v="284"/>
    <x v="1335"/>
    <x v="0"/>
    <s v="VIA SIMON BOLIVAR"/>
    <x v="4"/>
  </r>
  <r>
    <x v="53"/>
    <x v="237"/>
    <x v="7"/>
    <x v="7"/>
    <x v="1"/>
    <x v="2"/>
    <x v="39"/>
    <x v="417"/>
    <x v="3428"/>
    <x v="0"/>
    <s v="VIA SIMON BOLIVAR"/>
    <x v="4"/>
  </r>
  <r>
    <x v="53"/>
    <x v="261"/>
    <x v="8"/>
    <x v="8"/>
    <x v="1"/>
    <x v="2"/>
    <x v="39"/>
    <x v="320"/>
    <x v="970"/>
    <x v="0"/>
    <s v="VIA SIMON BOLIVAR"/>
    <x v="4"/>
  </r>
  <r>
    <x v="53"/>
    <x v="263"/>
    <x v="10"/>
    <x v="10"/>
    <x v="1"/>
    <x v="2"/>
    <x v="39"/>
    <x v="436"/>
    <x v="3429"/>
    <x v="0"/>
    <s v="VIA SIMON BOLIVAR"/>
    <x v="4"/>
  </r>
  <r>
    <x v="53"/>
    <x v="200"/>
    <x v="11"/>
    <x v="11"/>
    <x v="1"/>
    <x v="2"/>
    <x v="39"/>
    <x v="351"/>
    <x v="3430"/>
    <x v="0"/>
    <s v="VIA SIMON BOLIVAR"/>
    <x v="4"/>
  </r>
  <r>
    <x v="53"/>
    <x v="177"/>
    <x v="11"/>
    <x v="11"/>
    <x v="1"/>
    <x v="2"/>
    <x v="39"/>
    <x v="346"/>
    <x v="3431"/>
    <x v="0"/>
    <s v="VIA SIMON BOLIVAR"/>
    <x v="4"/>
  </r>
  <r>
    <x v="53"/>
    <x v="249"/>
    <x v="11"/>
    <x v="11"/>
    <x v="1"/>
    <x v="2"/>
    <x v="39"/>
    <x v="359"/>
    <x v="3432"/>
    <x v="0"/>
    <s v="VIA SIMON BOLIVAR"/>
    <x v="4"/>
  </r>
  <r>
    <x v="53"/>
    <x v="214"/>
    <x v="11"/>
    <x v="11"/>
    <x v="1"/>
    <x v="2"/>
    <x v="39"/>
    <x v="306"/>
    <x v="3433"/>
    <x v="0"/>
    <s v="VIA SIMON BOLIVAR"/>
    <x v="4"/>
  </r>
  <r>
    <x v="54"/>
    <x v="208"/>
    <x v="8"/>
    <x v="8"/>
    <x v="1"/>
    <x v="2"/>
    <x v="39"/>
    <x v="377"/>
    <x v="3434"/>
    <x v="0"/>
    <s v="JUSTO AROSEMENA"/>
    <x v="4"/>
  </r>
  <r>
    <x v="54"/>
    <x v="242"/>
    <x v="9"/>
    <x v="9"/>
    <x v="1"/>
    <x v="2"/>
    <x v="39"/>
    <x v="435"/>
    <x v="3435"/>
    <x v="0"/>
    <s v="JUSTO AROSEMENA"/>
    <x v="4"/>
  </r>
  <r>
    <x v="54"/>
    <x v="244"/>
    <x v="10"/>
    <x v="10"/>
    <x v="1"/>
    <x v="2"/>
    <x v="39"/>
    <x v="433"/>
    <x v="3436"/>
    <x v="0"/>
    <s v="JUSTO AROSEMENA"/>
    <x v="4"/>
  </r>
  <r>
    <x v="54"/>
    <x v="315"/>
    <x v="2"/>
    <x v="2"/>
    <x v="1"/>
    <x v="2"/>
    <x v="39"/>
    <x v="405"/>
    <x v="3437"/>
    <x v="0"/>
    <s v="JUSTO AROSEMENA"/>
    <x v="4"/>
  </r>
  <r>
    <x v="54"/>
    <x v="182"/>
    <x v="2"/>
    <x v="2"/>
    <x v="1"/>
    <x v="2"/>
    <x v="39"/>
    <x v="392"/>
    <x v="3438"/>
    <x v="0"/>
    <s v="JUSTO AROSEMENA"/>
    <x v="4"/>
  </r>
  <r>
    <x v="54"/>
    <x v="335"/>
    <x v="6"/>
    <x v="6"/>
    <x v="1"/>
    <x v="2"/>
    <x v="40"/>
    <x v="408"/>
    <x v="3439"/>
    <x v="0"/>
    <s v="JUSTO AROSEMENA"/>
    <x v="4"/>
  </r>
  <r>
    <x v="55"/>
    <x v="319"/>
    <x v="8"/>
    <x v="8"/>
    <x v="1"/>
    <x v="20"/>
    <x v="39"/>
    <x v="350"/>
    <x v="847"/>
    <x v="0"/>
    <s v="NEGOCIOS"/>
    <x v="4"/>
  </r>
  <r>
    <x v="55"/>
    <x v="208"/>
    <x v="8"/>
    <x v="8"/>
    <x v="1"/>
    <x v="3"/>
    <x v="40"/>
    <x v="377"/>
    <x v="3440"/>
    <x v="0"/>
    <s v="NEGOCIOS"/>
    <x v="4"/>
  </r>
  <r>
    <x v="55"/>
    <x v="269"/>
    <x v="11"/>
    <x v="11"/>
    <x v="1"/>
    <x v="4"/>
    <x v="40"/>
    <x v="403"/>
    <x v="698"/>
    <x v="0"/>
    <s v="NEGOCIOS"/>
    <x v="4"/>
  </r>
  <r>
    <x v="55"/>
    <x v="272"/>
    <x v="11"/>
    <x v="11"/>
    <x v="1"/>
    <x v="4"/>
    <x v="40"/>
    <x v="360"/>
    <x v="3441"/>
    <x v="0"/>
    <s v="NEGOCIOS"/>
    <x v="4"/>
  </r>
  <r>
    <x v="55"/>
    <x v="314"/>
    <x v="6"/>
    <x v="6"/>
    <x v="1"/>
    <x v="4"/>
    <x v="40"/>
    <x v="372"/>
    <x v="2118"/>
    <x v="0"/>
    <s v="NEGOCIOS"/>
    <x v="4"/>
  </r>
  <r>
    <x v="55"/>
    <x v="266"/>
    <x v="6"/>
    <x v="6"/>
    <x v="1"/>
    <x v="4"/>
    <x v="39"/>
    <x v="370"/>
    <x v="3442"/>
    <x v="0"/>
    <s v="NEGOCIOS"/>
    <x v="4"/>
  </r>
  <r>
    <x v="55"/>
    <x v="236"/>
    <x v="6"/>
    <x v="6"/>
    <x v="1"/>
    <x v="4"/>
    <x v="40"/>
    <x v="371"/>
    <x v="3443"/>
    <x v="0"/>
    <s v="NEGOCIOS"/>
    <x v="4"/>
  </r>
  <r>
    <x v="55"/>
    <x v="268"/>
    <x v="10"/>
    <x v="10"/>
    <x v="1"/>
    <x v="5"/>
    <x v="40"/>
    <x v="339"/>
    <x v="1571"/>
    <x v="0"/>
    <s v="NEGOCIOS"/>
    <x v="4"/>
  </r>
  <r>
    <x v="55"/>
    <x v="275"/>
    <x v="11"/>
    <x v="11"/>
    <x v="1"/>
    <x v="5"/>
    <x v="40"/>
    <x v="307"/>
    <x v="3444"/>
    <x v="0"/>
    <s v="NEGOCIOS"/>
    <x v="4"/>
  </r>
  <r>
    <x v="55"/>
    <x v="314"/>
    <x v="6"/>
    <x v="6"/>
    <x v="1"/>
    <x v="5"/>
    <x v="40"/>
    <x v="372"/>
    <x v="3445"/>
    <x v="0"/>
    <s v="NEGOCIOS"/>
    <x v="4"/>
  </r>
  <r>
    <x v="55"/>
    <x v="260"/>
    <x v="7"/>
    <x v="7"/>
    <x v="1"/>
    <x v="6"/>
    <x v="39"/>
    <x v="437"/>
    <x v="3446"/>
    <x v="0"/>
    <s v="NEGOCIOS"/>
    <x v="4"/>
  </r>
  <r>
    <x v="55"/>
    <x v="247"/>
    <x v="8"/>
    <x v="8"/>
    <x v="1"/>
    <x v="6"/>
    <x v="39"/>
    <x v="289"/>
    <x v="1682"/>
    <x v="0"/>
    <s v="NEGOCIOS"/>
    <x v="4"/>
  </r>
  <r>
    <x v="55"/>
    <x v="208"/>
    <x v="8"/>
    <x v="8"/>
    <x v="1"/>
    <x v="6"/>
    <x v="39"/>
    <x v="377"/>
    <x v="3447"/>
    <x v="0"/>
    <s v="NEGOCIOS"/>
    <x v="4"/>
  </r>
  <r>
    <x v="55"/>
    <x v="319"/>
    <x v="8"/>
    <x v="8"/>
    <x v="1"/>
    <x v="6"/>
    <x v="39"/>
    <x v="350"/>
    <x v="1595"/>
    <x v="0"/>
    <s v="NEGOCIOS"/>
    <x v="4"/>
  </r>
  <r>
    <x v="55"/>
    <x v="293"/>
    <x v="9"/>
    <x v="9"/>
    <x v="1"/>
    <x v="6"/>
    <x v="40"/>
    <x v="337"/>
    <x v="3448"/>
    <x v="0"/>
    <s v="NEGOCIOS"/>
    <x v="4"/>
  </r>
  <r>
    <x v="55"/>
    <x v="331"/>
    <x v="9"/>
    <x v="9"/>
    <x v="1"/>
    <x v="6"/>
    <x v="39"/>
    <x v="391"/>
    <x v="3449"/>
    <x v="0"/>
    <s v="NEGOCIOS"/>
    <x v="4"/>
  </r>
  <r>
    <x v="55"/>
    <x v="255"/>
    <x v="9"/>
    <x v="9"/>
    <x v="1"/>
    <x v="6"/>
    <x v="39"/>
    <x v="293"/>
    <x v="858"/>
    <x v="0"/>
    <s v="NEGOCIOS"/>
    <x v="4"/>
  </r>
  <r>
    <x v="55"/>
    <x v="198"/>
    <x v="10"/>
    <x v="10"/>
    <x v="1"/>
    <x v="6"/>
    <x v="40"/>
    <x v="338"/>
    <x v="1157"/>
    <x v="0"/>
    <s v="NEGOCIOS"/>
    <x v="4"/>
  </r>
  <r>
    <x v="55"/>
    <x v="243"/>
    <x v="10"/>
    <x v="10"/>
    <x v="1"/>
    <x v="6"/>
    <x v="39"/>
    <x v="411"/>
    <x v="858"/>
    <x v="0"/>
    <s v="NEGOCIOS"/>
    <x v="4"/>
  </r>
  <r>
    <x v="55"/>
    <x v="244"/>
    <x v="10"/>
    <x v="10"/>
    <x v="1"/>
    <x v="6"/>
    <x v="39"/>
    <x v="433"/>
    <x v="3450"/>
    <x v="0"/>
    <s v="NEGOCIOS"/>
    <x v="4"/>
  </r>
  <r>
    <x v="55"/>
    <x v="244"/>
    <x v="10"/>
    <x v="10"/>
    <x v="1"/>
    <x v="6"/>
    <x v="40"/>
    <x v="433"/>
    <x v="1641"/>
    <x v="0"/>
    <s v="NEGOCIOS"/>
    <x v="4"/>
  </r>
  <r>
    <x v="55"/>
    <x v="249"/>
    <x v="11"/>
    <x v="11"/>
    <x v="1"/>
    <x v="6"/>
    <x v="39"/>
    <x v="359"/>
    <x v="3194"/>
    <x v="0"/>
    <s v="NEGOCIOS"/>
    <x v="4"/>
  </r>
  <r>
    <x v="55"/>
    <x v="302"/>
    <x v="11"/>
    <x v="11"/>
    <x v="1"/>
    <x v="6"/>
    <x v="40"/>
    <x v="324"/>
    <x v="3451"/>
    <x v="0"/>
    <s v="NEGOCIOS"/>
    <x v="4"/>
  </r>
  <r>
    <x v="55"/>
    <x v="202"/>
    <x v="11"/>
    <x v="11"/>
    <x v="1"/>
    <x v="6"/>
    <x v="39"/>
    <x v="305"/>
    <x v="3237"/>
    <x v="0"/>
    <s v="NEGOCIOS"/>
    <x v="4"/>
  </r>
  <r>
    <x v="55"/>
    <x v="202"/>
    <x v="11"/>
    <x v="11"/>
    <x v="1"/>
    <x v="6"/>
    <x v="40"/>
    <x v="305"/>
    <x v="3452"/>
    <x v="0"/>
    <s v="NEGOCIOS"/>
    <x v="4"/>
  </r>
  <r>
    <x v="55"/>
    <x v="315"/>
    <x v="2"/>
    <x v="2"/>
    <x v="1"/>
    <x v="6"/>
    <x v="39"/>
    <x v="405"/>
    <x v="858"/>
    <x v="0"/>
    <s v="NEGOCIOS"/>
    <x v="4"/>
  </r>
  <r>
    <x v="55"/>
    <x v="307"/>
    <x v="2"/>
    <x v="2"/>
    <x v="1"/>
    <x v="6"/>
    <x v="40"/>
    <x v="441"/>
    <x v="764"/>
    <x v="0"/>
    <s v="NEGOCIOS"/>
    <x v="4"/>
  </r>
  <r>
    <x v="55"/>
    <x v="217"/>
    <x v="6"/>
    <x v="6"/>
    <x v="1"/>
    <x v="6"/>
    <x v="39"/>
    <x v="323"/>
    <x v="3453"/>
    <x v="0"/>
    <s v="NEGOCIOS"/>
    <x v="4"/>
  </r>
  <r>
    <x v="55"/>
    <x v="305"/>
    <x v="6"/>
    <x v="6"/>
    <x v="1"/>
    <x v="6"/>
    <x v="40"/>
    <x v="331"/>
    <x v="3454"/>
    <x v="0"/>
    <s v="NEGOCIOS"/>
    <x v="4"/>
  </r>
  <r>
    <x v="55"/>
    <x v="229"/>
    <x v="6"/>
    <x v="6"/>
    <x v="1"/>
    <x v="6"/>
    <x v="39"/>
    <x v="281"/>
    <x v="860"/>
    <x v="0"/>
    <s v="NEGOCIOS"/>
    <x v="4"/>
  </r>
  <r>
    <x v="55"/>
    <x v="229"/>
    <x v="6"/>
    <x v="6"/>
    <x v="1"/>
    <x v="6"/>
    <x v="40"/>
    <x v="281"/>
    <x v="1157"/>
    <x v="0"/>
    <s v="NEGOCIOS"/>
    <x v="4"/>
  </r>
  <r>
    <x v="55"/>
    <x v="267"/>
    <x v="8"/>
    <x v="8"/>
    <x v="1"/>
    <x v="38"/>
    <x v="40"/>
    <x v="438"/>
    <x v="3242"/>
    <x v="0"/>
    <s v="NEGOCIOS"/>
    <x v="4"/>
  </r>
  <r>
    <x v="55"/>
    <x v="293"/>
    <x v="9"/>
    <x v="9"/>
    <x v="1"/>
    <x v="38"/>
    <x v="39"/>
    <x v="337"/>
    <x v="3242"/>
    <x v="0"/>
    <s v="NEGOCIOS"/>
    <x v="4"/>
  </r>
  <r>
    <x v="55"/>
    <x v="215"/>
    <x v="2"/>
    <x v="2"/>
    <x v="1"/>
    <x v="38"/>
    <x v="40"/>
    <x v="322"/>
    <x v="3455"/>
    <x v="0"/>
    <s v="NEGOCIOS"/>
    <x v="4"/>
  </r>
  <r>
    <x v="55"/>
    <x v="312"/>
    <x v="2"/>
    <x v="2"/>
    <x v="1"/>
    <x v="38"/>
    <x v="39"/>
    <x v="394"/>
    <x v="3242"/>
    <x v="0"/>
    <s v="NEGOCIOS"/>
    <x v="4"/>
  </r>
  <r>
    <x v="55"/>
    <x v="217"/>
    <x v="6"/>
    <x v="6"/>
    <x v="1"/>
    <x v="38"/>
    <x v="39"/>
    <x v="323"/>
    <x v="1"/>
    <x v="609"/>
    <s v="NEGOCIOS"/>
    <x v="4"/>
  </r>
  <r>
    <x v="55"/>
    <x v="237"/>
    <x v="7"/>
    <x v="7"/>
    <x v="1"/>
    <x v="7"/>
    <x v="40"/>
    <x v="417"/>
    <x v="3456"/>
    <x v="0"/>
    <s v="NEGOCIOS"/>
    <x v="4"/>
  </r>
  <r>
    <x v="55"/>
    <x v="290"/>
    <x v="9"/>
    <x v="9"/>
    <x v="1"/>
    <x v="7"/>
    <x v="39"/>
    <x v="302"/>
    <x v="3457"/>
    <x v="0"/>
    <s v="NEGOCIOS"/>
    <x v="4"/>
  </r>
  <r>
    <x v="55"/>
    <x v="198"/>
    <x v="10"/>
    <x v="10"/>
    <x v="1"/>
    <x v="7"/>
    <x v="40"/>
    <x v="338"/>
    <x v="3458"/>
    <x v="0"/>
    <s v="NEGOCIOS"/>
    <x v="4"/>
  </r>
  <r>
    <x v="55"/>
    <x v="263"/>
    <x v="10"/>
    <x v="10"/>
    <x v="1"/>
    <x v="7"/>
    <x v="40"/>
    <x v="436"/>
    <x v="3459"/>
    <x v="0"/>
    <s v="NEGOCIOS"/>
    <x v="4"/>
  </r>
  <r>
    <x v="55"/>
    <x v="315"/>
    <x v="2"/>
    <x v="2"/>
    <x v="1"/>
    <x v="7"/>
    <x v="39"/>
    <x v="405"/>
    <x v="3460"/>
    <x v="0"/>
    <s v="NEGOCIOS"/>
    <x v="4"/>
  </r>
  <r>
    <x v="55"/>
    <x v="315"/>
    <x v="2"/>
    <x v="2"/>
    <x v="1"/>
    <x v="7"/>
    <x v="40"/>
    <x v="405"/>
    <x v="1882"/>
    <x v="0"/>
    <s v="NEGOCIOS"/>
    <x v="4"/>
  </r>
  <r>
    <x v="55"/>
    <x v="215"/>
    <x v="2"/>
    <x v="2"/>
    <x v="1"/>
    <x v="7"/>
    <x v="40"/>
    <x v="322"/>
    <x v="3461"/>
    <x v="0"/>
    <s v="NEGOCIOS"/>
    <x v="4"/>
  </r>
  <r>
    <x v="55"/>
    <x v="280"/>
    <x v="2"/>
    <x v="2"/>
    <x v="1"/>
    <x v="7"/>
    <x v="40"/>
    <x v="295"/>
    <x v="2216"/>
    <x v="0"/>
    <s v="NEGOCIOS"/>
    <x v="4"/>
  </r>
  <r>
    <x v="55"/>
    <x v="223"/>
    <x v="2"/>
    <x v="2"/>
    <x v="1"/>
    <x v="7"/>
    <x v="40"/>
    <x v="434"/>
    <x v="3462"/>
    <x v="0"/>
    <s v="NEGOCIOS"/>
    <x v="4"/>
  </r>
  <r>
    <x v="55"/>
    <x v="183"/>
    <x v="2"/>
    <x v="2"/>
    <x v="1"/>
    <x v="7"/>
    <x v="40"/>
    <x v="330"/>
    <x v="3463"/>
    <x v="0"/>
    <s v="NEGOCIOS"/>
    <x v="4"/>
  </r>
  <r>
    <x v="55"/>
    <x v="281"/>
    <x v="6"/>
    <x v="6"/>
    <x v="1"/>
    <x v="7"/>
    <x v="39"/>
    <x v="395"/>
    <x v="3464"/>
    <x v="0"/>
    <s v="NEGOCIOS"/>
    <x v="4"/>
  </r>
  <r>
    <x v="55"/>
    <x v="281"/>
    <x v="6"/>
    <x v="6"/>
    <x v="1"/>
    <x v="7"/>
    <x v="40"/>
    <x v="395"/>
    <x v="3465"/>
    <x v="0"/>
    <s v="NEGOCIOS"/>
    <x v="4"/>
  </r>
  <r>
    <x v="55"/>
    <x v="217"/>
    <x v="6"/>
    <x v="6"/>
    <x v="1"/>
    <x v="40"/>
    <x v="39"/>
    <x v="323"/>
    <x v="1087"/>
    <x v="0"/>
    <s v="NEGOCIOS"/>
    <x v="4"/>
  </r>
  <r>
    <x v="55"/>
    <x v="204"/>
    <x v="6"/>
    <x v="6"/>
    <x v="1"/>
    <x v="40"/>
    <x v="40"/>
    <x v="317"/>
    <x v="3242"/>
    <x v="0"/>
    <s v="NEGOCIOS"/>
    <x v="4"/>
  </r>
  <r>
    <x v="55"/>
    <x v="273"/>
    <x v="11"/>
    <x v="11"/>
    <x v="1"/>
    <x v="35"/>
    <x v="40"/>
    <x v="354"/>
    <x v="3466"/>
    <x v="0"/>
    <s v="NEGOCIOS"/>
    <x v="4"/>
  </r>
  <r>
    <x v="55"/>
    <x v="329"/>
    <x v="10"/>
    <x v="10"/>
    <x v="1"/>
    <x v="8"/>
    <x v="40"/>
    <x v="380"/>
    <x v="1087"/>
    <x v="0"/>
    <s v="NEGOCIOS"/>
    <x v="4"/>
  </r>
  <r>
    <x v="55"/>
    <x v="334"/>
    <x v="2"/>
    <x v="2"/>
    <x v="1"/>
    <x v="8"/>
    <x v="39"/>
    <x v="406"/>
    <x v="1"/>
    <x v="609"/>
    <s v="NEGOCIOS"/>
    <x v="4"/>
  </r>
  <r>
    <x v="55"/>
    <x v="257"/>
    <x v="2"/>
    <x v="2"/>
    <x v="1"/>
    <x v="8"/>
    <x v="40"/>
    <x v="410"/>
    <x v="3467"/>
    <x v="0"/>
    <s v="NEGOCIOS"/>
    <x v="4"/>
  </r>
  <r>
    <x v="55"/>
    <x v="305"/>
    <x v="6"/>
    <x v="6"/>
    <x v="1"/>
    <x v="8"/>
    <x v="39"/>
    <x v="331"/>
    <x v="3163"/>
    <x v="0"/>
    <s v="NEGOCIOS"/>
    <x v="4"/>
  </r>
  <r>
    <x v="55"/>
    <x v="218"/>
    <x v="6"/>
    <x v="6"/>
    <x v="1"/>
    <x v="8"/>
    <x v="40"/>
    <x v="451"/>
    <x v="3468"/>
    <x v="0"/>
    <s v="NEGOCIOS"/>
    <x v="4"/>
  </r>
  <r>
    <x v="55"/>
    <x v="190"/>
    <x v="6"/>
    <x v="6"/>
    <x v="1"/>
    <x v="8"/>
    <x v="40"/>
    <x v="342"/>
    <x v="3469"/>
    <x v="0"/>
    <s v="NEGOCIOS"/>
    <x v="4"/>
  </r>
  <r>
    <x v="55"/>
    <x v="191"/>
    <x v="6"/>
    <x v="6"/>
    <x v="1"/>
    <x v="8"/>
    <x v="40"/>
    <x v="318"/>
    <x v="3469"/>
    <x v="0"/>
    <s v="NEGOCIOS"/>
    <x v="4"/>
  </r>
  <r>
    <x v="55"/>
    <x v="191"/>
    <x v="6"/>
    <x v="6"/>
    <x v="1"/>
    <x v="8"/>
    <x v="39"/>
    <x v="318"/>
    <x v="1"/>
    <x v="610"/>
    <s v="NEGOCIOS"/>
    <x v="4"/>
  </r>
  <r>
    <x v="55"/>
    <x v="172"/>
    <x v="8"/>
    <x v="8"/>
    <x v="1"/>
    <x v="9"/>
    <x v="40"/>
    <x v="431"/>
    <x v="1119"/>
    <x v="0"/>
    <s v="NEGOCIOS"/>
    <x v="4"/>
  </r>
  <r>
    <x v="55"/>
    <x v="245"/>
    <x v="8"/>
    <x v="8"/>
    <x v="1"/>
    <x v="9"/>
    <x v="40"/>
    <x v="285"/>
    <x v="3470"/>
    <x v="0"/>
    <s v="NEGOCIOS"/>
    <x v="4"/>
  </r>
  <r>
    <x v="55"/>
    <x v="337"/>
    <x v="9"/>
    <x v="9"/>
    <x v="1"/>
    <x v="9"/>
    <x v="40"/>
    <x v="424"/>
    <x v="3471"/>
    <x v="0"/>
    <s v="NEGOCIOS"/>
    <x v="4"/>
  </r>
  <r>
    <x v="55"/>
    <x v="293"/>
    <x v="9"/>
    <x v="9"/>
    <x v="1"/>
    <x v="9"/>
    <x v="40"/>
    <x v="337"/>
    <x v="3472"/>
    <x v="0"/>
    <s v="NEGOCIOS"/>
    <x v="4"/>
  </r>
  <r>
    <x v="55"/>
    <x v="310"/>
    <x v="10"/>
    <x v="10"/>
    <x v="1"/>
    <x v="9"/>
    <x v="39"/>
    <x v="335"/>
    <x v="3473"/>
    <x v="0"/>
    <s v="NEGOCIOS"/>
    <x v="4"/>
  </r>
  <r>
    <x v="55"/>
    <x v="180"/>
    <x v="10"/>
    <x v="10"/>
    <x v="1"/>
    <x v="9"/>
    <x v="40"/>
    <x v="452"/>
    <x v="3474"/>
    <x v="0"/>
    <s v="NEGOCIOS"/>
    <x v="4"/>
  </r>
  <r>
    <x v="55"/>
    <x v="232"/>
    <x v="10"/>
    <x v="10"/>
    <x v="1"/>
    <x v="9"/>
    <x v="40"/>
    <x v="290"/>
    <x v="2247"/>
    <x v="0"/>
    <s v="NEGOCIOS"/>
    <x v="4"/>
  </r>
  <r>
    <x v="55"/>
    <x v="298"/>
    <x v="10"/>
    <x v="10"/>
    <x v="1"/>
    <x v="9"/>
    <x v="39"/>
    <x v="314"/>
    <x v="3475"/>
    <x v="0"/>
    <s v="NEGOCIOS"/>
    <x v="4"/>
  </r>
  <r>
    <x v="55"/>
    <x v="177"/>
    <x v="11"/>
    <x v="11"/>
    <x v="1"/>
    <x v="9"/>
    <x v="39"/>
    <x v="346"/>
    <x v="3476"/>
    <x v="0"/>
    <s v="NEGOCIOS"/>
    <x v="4"/>
  </r>
  <r>
    <x v="55"/>
    <x v="315"/>
    <x v="2"/>
    <x v="2"/>
    <x v="1"/>
    <x v="9"/>
    <x v="39"/>
    <x v="405"/>
    <x v="3477"/>
    <x v="0"/>
    <s v="NEGOCIOS"/>
    <x v="4"/>
  </r>
  <r>
    <x v="55"/>
    <x v="307"/>
    <x v="2"/>
    <x v="2"/>
    <x v="1"/>
    <x v="9"/>
    <x v="40"/>
    <x v="441"/>
    <x v="1866"/>
    <x v="0"/>
    <s v="NEGOCIOS"/>
    <x v="4"/>
  </r>
  <r>
    <x v="55"/>
    <x v="257"/>
    <x v="2"/>
    <x v="2"/>
    <x v="1"/>
    <x v="9"/>
    <x v="40"/>
    <x v="410"/>
    <x v="3265"/>
    <x v="0"/>
    <s v="NEGOCIOS"/>
    <x v="4"/>
  </r>
  <r>
    <x v="55"/>
    <x v="304"/>
    <x v="2"/>
    <x v="2"/>
    <x v="1"/>
    <x v="9"/>
    <x v="40"/>
    <x v="329"/>
    <x v="3304"/>
    <x v="0"/>
    <s v="NEGOCIOS"/>
    <x v="4"/>
  </r>
  <r>
    <x v="55"/>
    <x v="183"/>
    <x v="2"/>
    <x v="2"/>
    <x v="1"/>
    <x v="9"/>
    <x v="39"/>
    <x v="330"/>
    <x v="3478"/>
    <x v="0"/>
    <s v="NEGOCIOS"/>
    <x v="4"/>
  </r>
  <r>
    <x v="55"/>
    <x v="281"/>
    <x v="6"/>
    <x v="6"/>
    <x v="1"/>
    <x v="9"/>
    <x v="39"/>
    <x v="395"/>
    <x v="541"/>
    <x v="0"/>
    <s v="NEGOCIOS"/>
    <x v="4"/>
  </r>
  <r>
    <x v="55"/>
    <x v="285"/>
    <x v="6"/>
    <x v="6"/>
    <x v="1"/>
    <x v="9"/>
    <x v="40"/>
    <x v="409"/>
    <x v="2771"/>
    <x v="0"/>
    <s v="NEGOCIOS"/>
    <x v="4"/>
  </r>
  <r>
    <x v="55"/>
    <x v="258"/>
    <x v="7"/>
    <x v="7"/>
    <x v="1"/>
    <x v="10"/>
    <x v="40"/>
    <x v="349"/>
    <x v="1866"/>
    <x v="0"/>
    <s v="NEGOCIOS"/>
    <x v="4"/>
  </r>
  <r>
    <x v="55"/>
    <x v="210"/>
    <x v="7"/>
    <x v="7"/>
    <x v="1"/>
    <x v="10"/>
    <x v="40"/>
    <x v="418"/>
    <x v="1866"/>
    <x v="0"/>
    <s v="NEGOCIOS"/>
    <x v="4"/>
  </r>
  <r>
    <x v="55"/>
    <x v="291"/>
    <x v="9"/>
    <x v="9"/>
    <x v="1"/>
    <x v="10"/>
    <x v="40"/>
    <x v="303"/>
    <x v="3479"/>
    <x v="0"/>
    <s v="NEGOCIOS"/>
    <x v="4"/>
  </r>
  <r>
    <x v="55"/>
    <x v="317"/>
    <x v="10"/>
    <x v="10"/>
    <x v="1"/>
    <x v="10"/>
    <x v="40"/>
    <x v="401"/>
    <x v="3480"/>
    <x v="0"/>
    <s v="NEGOCIOS"/>
    <x v="4"/>
  </r>
  <r>
    <x v="55"/>
    <x v="239"/>
    <x v="10"/>
    <x v="10"/>
    <x v="1"/>
    <x v="10"/>
    <x v="40"/>
    <x v="419"/>
    <x v="3481"/>
    <x v="0"/>
    <s v="NEGOCIOS"/>
    <x v="4"/>
  </r>
  <r>
    <x v="55"/>
    <x v="233"/>
    <x v="10"/>
    <x v="10"/>
    <x v="1"/>
    <x v="10"/>
    <x v="40"/>
    <x v="344"/>
    <x v="3482"/>
    <x v="0"/>
    <s v="NEGOCIOS"/>
    <x v="4"/>
  </r>
  <r>
    <x v="55"/>
    <x v="325"/>
    <x v="11"/>
    <x v="11"/>
    <x v="1"/>
    <x v="10"/>
    <x v="40"/>
    <x v="421"/>
    <x v="1866"/>
    <x v="0"/>
    <s v="NEGOCIOS"/>
    <x v="4"/>
  </r>
  <r>
    <x v="55"/>
    <x v="273"/>
    <x v="11"/>
    <x v="11"/>
    <x v="1"/>
    <x v="10"/>
    <x v="40"/>
    <x v="354"/>
    <x v="1212"/>
    <x v="0"/>
    <s v="NEGOCIOS"/>
    <x v="4"/>
  </r>
  <r>
    <x v="55"/>
    <x v="174"/>
    <x v="6"/>
    <x v="6"/>
    <x v="1"/>
    <x v="10"/>
    <x v="40"/>
    <x v="282"/>
    <x v="1866"/>
    <x v="0"/>
    <s v="NEGOCIOS"/>
    <x v="4"/>
  </r>
  <r>
    <x v="55"/>
    <x v="319"/>
    <x v="8"/>
    <x v="8"/>
    <x v="1"/>
    <x v="11"/>
    <x v="40"/>
    <x v="350"/>
    <x v="187"/>
    <x v="0"/>
    <s v="NEGOCIOS"/>
    <x v="4"/>
  </r>
  <r>
    <x v="55"/>
    <x v="194"/>
    <x v="9"/>
    <x v="9"/>
    <x v="1"/>
    <x v="11"/>
    <x v="40"/>
    <x v="390"/>
    <x v="3307"/>
    <x v="0"/>
    <s v="NEGOCIOS"/>
    <x v="4"/>
  </r>
  <r>
    <x v="55"/>
    <x v="255"/>
    <x v="9"/>
    <x v="9"/>
    <x v="1"/>
    <x v="11"/>
    <x v="40"/>
    <x v="293"/>
    <x v="3483"/>
    <x v="0"/>
    <s v="NEGOCIOS"/>
    <x v="4"/>
  </r>
  <r>
    <x v="55"/>
    <x v="291"/>
    <x v="9"/>
    <x v="9"/>
    <x v="1"/>
    <x v="11"/>
    <x v="40"/>
    <x v="303"/>
    <x v="1815"/>
    <x v="0"/>
    <s v="NEGOCIOS"/>
    <x v="4"/>
  </r>
  <r>
    <x v="55"/>
    <x v="198"/>
    <x v="10"/>
    <x v="10"/>
    <x v="1"/>
    <x v="11"/>
    <x v="40"/>
    <x v="338"/>
    <x v="3484"/>
    <x v="0"/>
    <s v="NEGOCIOS"/>
    <x v="4"/>
  </r>
  <r>
    <x v="55"/>
    <x v="317"/>
    <x v="10"/>
    <x v="10"/>
    <x v="1"/>
    <x v="11"/>
    <x v="40"/>
    <x v="401"/>
    <x v="3485"/>
    <x v="0"/>
    <s v="NEGOCIOS"/>
    <x v="4"/>
  </r>
  <r>
    <x v="55"/>
    <x v="243"/>
    <x v="10"/>
    <x v="10"/>
    <x v="1"/>
    <x v="11"/>
    <x v="39"/>
    <x v="411"/>
    <x v="3486"/>
    <x v="0"/>
    <s v="NEGOCIOS"/>
    <x v="4"/>
  </r>
  <r>
    <x v="55"/>
    <x v="248"/>
    <x v="10"/>
    <x v="10"/>
    <x v="1"/>
    <x v="11"/>
    <x v="40"/>
    <x v="304"/>
    <x v="3487"/>
    <x v="0"/>
    <s v="NEGOCIOS"/>
    <x v="4"/>
  </r>
  <r>
    <x v="55"/>
    <x v="269"/>
    <x v="11"/>
    <x v="11"/>
    <x v="1"/>
    <x v="11"/>
    <x v="40"/>
    <x v="403"/>
    <x v="3488"/>
    <x v="0"/>
    <s v="NEGOCIOS"/>
    <x v="4"/>
  </r>
  <r>
    <x v="55"/>
    <x v="221"/>
    <x v="2"/>
    <x v="2"/>
    <x v="1"/>
    <x v="11"/>
    <x v="40"/>
    <x v="347"/>
    <x v="3489"/>
    <x v="0"/>
    <s v="NEGOCIOS"/>
    <x v="4"/>
  </r>
  <r>
    <x v="55"/>
    <x v="183"/>
    <x v="2"/>
    <x v="2"/>
    <x v="1"/>
    <x v="11"/>
    <x v="39"/>
    <x v="330"/>
    <x v="3490"/>
    <x v="0"/>
    <s v="NEGOCIOS"/>
    <x v="4"/>
  </r>
  <r>
    <x v="55"/>
    <x v="246"/>
    <x v="2"/>
    <x v="2"/>
    <x v="1"/>
    <x v="11"/>
    <x v="40"/>
    <x v="287"/>
    <x v="849"/>
    <x v="0"/>
    <s v="NEGOCIOS"/>
    <x v="4"/>
  </r>
  <r>
    <x v="55"/>
    <x v="297"/>
    <x v="6"/>
    <x v="6"/>
    <x v="1"/>
    <x v="11"/>
    <x v="40"/>
    <x v="313"/>
    <x v="3268"/>
    <x v="0"/>
    <s v="NEGOCIOS"/>
    <x v="4"/>
  </r>
  <r>
    <x v="55"/>
    <x v="229"/>
    <x v="6"/>
    <x v="6"/>
    <x v="1"/>
    <x v="11"/>
    <x v="40"/>
    <x v="281"/>
    <x v="2143"/>
    <x v="0"/>
    <s v="NEGOCIOS"/>
    <x v="4"/>
  </r>
  <r>
    <x v="55"/>
    <x v="319"/>
    <x v="8"/>
    <x v="8"/>
    <x v="1"/>
    <x v="36"/>
    <x v="39"/>
    <x v="350"/>
    <x v="282"/>
    <x v="0"/>
    <s v="NEGOCIOS"/>
    <x v="4"/>
  </r>
  <r>
    <x v="55"/>
    <x v="263"/>
    <x v="10"/>
    <x v="10"/>
    <x v="1"/>
    <x v="36"/>
    <x v="39"/>
    <x v="436"/>
    <x v="3491"/>
    <x v="0"/>
    <s v="NEGOCIOS"/>
    <x v="4"/>
  </r>
  <r>
    <x v="55"/>
    <x v="244"/>
    <x v="10"/>
    <x v="10"/>
    <x v="1"/>
    <x v="36"/>
    <x v="39"/>
    <x v="433"/>
    <x v="3492"/>
    <x v="0"/>
    <s v="NEGOCIOS"/>
    <x v="4"/>
  </r>
  <r>
    <x v="55"/>
    <x v="315"/>
    <x v="2"/>
    <x v="2"/>
    <x v="1"/>
    <x v="36"/>
    <x v="39"/>
    <x v="405"/>
    <x v="3493"/>
    <x v="0"/>
    <s v="NEGOCIOS"/>
    <x v="4"/>
  </r>
  <r>
    <x v="55"/>
    <x v="251"/>
    <x v="8"/>
    <x v="8"/>
    <x v="1"/>
    <x v="12"/>
    <x v="40"/>
    <x v="291"/>
    <x v="3058"/>
    <x v="0"/>
    <s v="NEGOCIOS"/>
    <x v="4"/>
  </r>
  <r>
    <x v="55"/>
    <x v="321"/>
    <x v="8"/>
    <x v="8"/>
    <x v="1"/>
    <x v="12"/>
    <x v="40"/>
    <x v="430"/>
    <x v="816"/>
    <x v="0"/>
    <s v="NEGOCIOS"/>
    <x v="4"/>
  </r>
  <r>
    <x v="55"/>
    <x v="196"/>
    <x v="8"/>
    <x v="8"/>
    <x v="1"/>
    <x v="12"/>
    <x v="40"/>
    <x v="375"/>
    <x v="816"/>
    <x v="0"/>
    <s v="NEGOCIOS"/>
    <x v="4"/>
  </r>
  <r>
    <x v="55"/>
    <x v="185"/>
    <x v="8"/>
    <x v="8"/>
    <x v="1"/>
    <x v="12"/>
    <x v="40"/>
    <x v="296"/>
    <x v="859"/>
    <x v="0"/>
    <s v="NEGOCIOS"/>
    <x v="4"/>
  </r>
  <r>
    <x v="55"/>
    <x v="178"/>
    <x v="9"/>
    <x v="9"/>
    <x v="1"/>
    <x v="12"/>
    <x v="40"/>
    <x v="353"/>
    <x v="3494"/>
    <x v="0"/>
    <s v="NEGOCIOS"/>
    <x v="4"/>
  </r>
  <r>
    <x v="55"/>
    <x v="286"/>
    <x v="10"/>
    <x v="10"/>
    <x v="1"/>
    <x v="12"/>
    <x v="40"/>
    <x v="297"/>
    <x v="905"/>
    <x v="0"/>
    <s v="NEGOCIOS"/>
    <x v="4"/>
  </r>
  <r>
    <x v="55"/>
    <x v="339"/>
    <x v="10"/>
    <x v="10"/>
    <x v="1"/>
    <x v="12"/>
    <x v="40"/>
    <x v="427"/>
    <x v="1200"/>
    <x v="0"/>
    <s v="NEGOCIOS"/>
    <x v="4"/>
  </r>
  <r>
    <x v="55"/>
    <x v="269"/>
    <x v="11"/>
    <x v="11"/>
    <x v="1"/>
    <x v="12"/>
    <x v="40"/>
    <x v="403"/>
    <x v="782"/>
    <x v="0"/>
    <s v="NEGOCIOS"/>
    <x v="4"/>
  </r>
  <r>
    <x v="55"/>
    <x v="299"/>
    <x v="11"/>
    <x v="11"/>
    <x v="1"/>
    <x v="12"/>
    <x v="40"/>
    <x v="315"/>
    <x v="899"/>
    <x v="0"/>
    <s v="NEGOCIOS"/>
    <x v="4"/>
  </r>
  <r>
    <x v="55"/>
    <x v="215"/>
    <x v="2"/>
    <x v="2"/>
    <x v="1"/>
    <x v="12"/>
    <x v="40"/>
    <x v="322"/>
    <x v="3495"/>
    <x v="0"/>
    <s v="NEGOCIOS"/>
    <x v="4"/>
  </r>
  <r>
    <x v="55"/>
    <x v="182"/>
    <x v="2"/>
    <x v="2"/>
    <x v="1"/>
    <x v="12"/>
    <x v="39"/>
    <x v="392"/>
    <x v="899"/>
    <x v="0"/>
    <s v="NEGOCIOS"/>
    <x v="4"/>
  </r>
  <r>
    <x v="55"/>
    <x v="307"/>
    <x v="2"/>
    <x v="2"/>
    <x v="1"/>
    <x v="12"/>
    <x v="40"/>
    <x v="441"/>
    <x v="3496"/>
    <x v="0"/>
    <s v="NEGOCIOS"/>
    <x v="4"/>
  </r>
  <r>
    <x v="55"/>
    <x v="316"/>
    <x v="2"/>
    <x v="2"/>
    <x v="1"/>
    <x v="12"/>
    <x v="40"/>
    <x v="348"/>
    <x v="187"/>
    <x v="0"/>
    <s v="NEGOCIOS"/>
    <x v="4"/>
  </r>
  <r>
    <x v="55"/>
    <x v="281"/>
    <x v="6"/>
    <x v="6"/>
    <x v="1"/>
    <x v="12"/>
    <x v="40"/>
    <x v="395"/>
    <x v="905"/>
    <x v="0"/>
    <s v="NEGOCIOS"/>
    <x v="4"/>
  </r>
  <r>
    <x v="55"/>
    <x v="236"/>
    <x v="6"/>
    <x v="6"/>
    <x v="1"/>
    <x v="12"/>
    <x v="40"/>
    <x v="371"/>
    <x v="3497"/>
    <x v="0"/>
    <s v="NEGOCIOS"/>
    <x v="4"/>
  </r>
  <r>
    <x v="55"/>
    <x v="188"/>
    <x v="6"/>
    <x v="6"/>
    <x v="1"/>
    <x v="12"/>
    <x v="40"/>
    <x v="407"/>
    <x v="3498"/>
    <x v="0"/>
    <s v="NEGOCIOS"/>
    <x v="4"/>
  </r>
  <r>
    <x v="55"/>
    <x v="263"/>
    <x v="10"/>
    <x v="10"/>
    <x v="1"/>
    <x v="13"/>
    <x v="39"/>
    <x v="436"/>
    <x v="3499"/>
    <x v="0"/>
    <s v="NEGOCIOS"/>
    <x v="4"/>
  </r>
  <r>
    <x v="55"/>
    <x v="232"/>
    <x v="10"/>
    <x v="10"/>
    <x v="1"/>
    <x v="13"/>
    <x v="40"/>
    <x v="290"/>
    <x v="3500"/>
    <x v="0"/>
    <s v="NEGOCIOS"/>
    <x v="4"/>
  </r>
  <r>
    <x v="55"/>
    <x v="240"/>
    <x v="2"/>
    <x v="2"/>
    <x v="1"/>
    <x v="13"/>
    <x v="39"/>
    <x v="442"/>
    <x v="3501"/>
    <x v="0"/>
    <s v="NEGOCIOS"/>
    <x v="4"/>
  </r>
  <r>
    <x v="55"/>
    <x v="217"/>
    <x v="6"/>
    <x v="6"/>
    <x v="1"/>
    <x v="13"/>
    <x v="39"/>
    <x v="323"/>
    <x v="3502"/>
    <x v="0"/>
    <s v="NEGOCIOS"/>
    <x v="4"/>
  </r>
  <r>
    <x v="55"/>
    <x v="327"/>
    <x v="7"/>
    <x v="7"/>
    <x v="1"/>
    <x v="14"/>
    <x v="40"/>
    <x v="387"/>
    <x v="3503"/>
    <x v="0"/>
    <s v="NEGOCIOS"/>
    <x v="4"/>
  </r>
  <r>
    <x v="55"/>
    <x v="237"/>
    <x v="7"/>
    <x v="7"/>
    <x v="1"/>
    <x v="14"/>
    <x v="39"/>
    <x v="417"/>
    <x v="3504"/>
    <x v="0"/>
    <s v="NEGOCIOS"/>
    <x v="4"/>
  </r>
  <r>
    <x v="55"/>
    <x v="279"/>
    <x v="7"/>
    <x v="7"/>
    <x v="1"/>
    <x v="14"/>
    <x v="40"/>
    <x v="449"/>
    <x v="1417"/>
    <x v="0"/>
    <s v="NEGOCIOS"/>
    <x v="4"/>
  </r>
  <r>
    <x v="55"/>
    <x v="251"/>
    <x v="8"/>
    <x v="8"/>
    <x v="1"/>
    <x v="14"/>
    <x v="40"/>
    <x v="291"/>
    <x v="3505"/>
    <x v="0"/>
    <s v="NEGOCIOS"/>
    <x v="4"/>
  </r>
  <r>
    <x v="55"/>
    <x v="207"/>
    <x v="8"/>
    <x v="8"/>
    <x v="1"/>
    <x v="14"/>
    <x v="39"/>
    <x v="374"/>
    <x v="3506"/>
    <x v="0"/>
    <s v="NEGOCIOS"/>
    <x v="4"/>
  </r>
  <r>
    <x v="55"/>
    <x v="337"/>
    <x v="9"/>
    <x v="9"/>
    <x v="1"/>
    <x v="14"/>
    <x v="40"/>
    <x v="424"/>
    <x v="848"/>
    <x v="0"/>
    <s v="NEGOCIOS"/>
    <x v="4"/>
  </r>
  <r>
    <x v="55"/>
    <x v="175"/>
    <x v="9"/>
    <x v="9"/>
    <x v="1"/>
    <x v="14"/>
    <x v="39"/>
    <x v="389"/>
    <x v="3507"/>
    <x v="0"/>
    <s v="NEGOCIOS"/>
    <x v="4"/>
  </r>
  <r>
    <x v="55"/>
    <x v="194"/>
    <x v="9"/>
    <x v="9"/>
    <x v="1"/>
    <x v="14"/>
    <x v="40"/>
    <x v="390"/>
    <x v="3508"/>
    <x v="0"/>
    <s v="NEGOCIOS"/>
    <x v="4"/>
  </r>
  <r>
    <x v="55"/>
    <x v="255"/>
    <x v="9"/>
    <x v="9"/>
    <x v="1"/>
    <x v="14"/>
    <x v="39"/>
    <x v="293"/>
    <x v="3509"/>
    <x v="0"/>
    <s v="NEGOCIOS"/>
    <x v="4"/>
  </r>
  <r>
    <x v="55"/>
    <x v="263"/>
    <x v="10"/>
    <x v="10"/>
    <x v="1"/>
    <x v="14"/>
    <x v="39"/>
    <x v="436"/>
    <x v="3510"/>
    <x v="0"/>
    <s v="NEGOCIOS"/>
    <x v="4"/>
  </r>
  <r>
    <x v="55"/>
    <x v="310"/>
    <x v="10"/>
    <x v="10"/>
    <x v="1"/>
    <x v="14"/>
    <x v="40"/>
    <x v="335"/>
    <x v="3511"/>
    <x v="0"/>
    <s v="NEGOCIOS"/>
    <x v="4"/>
  </r>
  <r>
    <x v="55"/>
    <x v="177"/>
    <x v="11"/>
    <x v="11"/>
    <x v="1"/>
    <x v="14"/>
    <x v="40"/>
    <x v="346"/>
    <x v="3512"/>
    <x v="0"/>
    <s v="NEGOCIOS"/>
    <x v="4"/>
  </r>
  <r>
    <x v="55"/>
    <x v="300"/>
    <x v="2"/>
    <x v="2"/>
    <x v="1"/>
    <x v="14"/>
    <x v="40"/>
    <x v="316"/>
    <x v="1282"/>
    <x v="0"/>
    <s v="NEGOCIOS"/>
    <x v="4"/>
  </r>
  <r>
    <x v="55"/>
    <x v="315"/>
    <x v="2"/>
    <x v="2"/>
    <x v="1"/>
    <x v="14"/>
    <x v="39"/>
    <x v="405"/>
    <x v="3513"/>
    <x v="0"/>
    <s v="NEGOCIOS"/>
    <x v="4"/>
  </r>
  <r>
    <x v="55"/>
    <x v="281"/>
    <x v="6"/>
    <x v="6"/>
    <x v="1"/>
    <x v="14"/>
    <x v="40"/>
    <x v="395"/>
    <x v="849"/>
    <x v="0"/>
    <s v="NEGOCIOS"/>
    <x v="4"/>
  </r>
  <r>
    <x v="55"/>
    <x v="265"/>
    <x v="6"/>
    <x v="6"/>
    <x v="1"/>
    <x v="14"/>
    <x v="39"/>
    <x v="386"/>
    <x v="3514"/>
    <x v="0"/>
    <s v="NEGOCIOS"/>
    <x v="4"/>
  </r>
  <r>
    <x v="55"/>
    <x v="335"/>
    <x v="6"/>
    <x v="6"/>
    <x v="1"/>
    <x v="14"/>
    <x v="40"/>
    <x v="408"/>
    <x v="911"/>
    <x v="0"/>
    <s v="NEGOCIOS"/>
    <x v="4"/>
  </r>
  <r>
    <x v="55"/>
    <x v="254"/>
    <x v="8"/>
    <x v="8"/>
    <x v="1"/>
    <x v="15"/>
    <x v="40"/>
    <x v="326"/>
    <x v="1303"/>
    <x v="0"/>
    <s v="NEGOCIOS"/>
    <x v="4"/>
  </r>
  <r>
    <x v="55"/>
    <x v="177"/>
    <x v="11"/>
    <x v="11"/>
    <x v="1"/>
    <x v="15"/>
    <x v="40"/>
    <x v="346"/>
    <x v="1202"/>
    <x v="0"/>
    <s v="NEGOCIOS"/>
    <x v="4"/>
  </r>
  <r>
    <x v="55"/>
    <x v="254"/>
    <x v="8"/>
    <x v="8"/>
    <x v="1"/>
    <x v="28"/>
    <x v="40"/>
    <x v="326"/>
    <x v="782"/>
    <x v="0"/>
    <s v="NEGOCIOS"/>
    <x v="4"/>
  </r>
  <r>
    <x v="55"/>
    <x v="173"/>
    <x v="8"/>
    <x v="8"/>
    <x v="1"/>
    <x v="28"/>
    <x v="40"/>
    <x v="378"/>
    <x v="1682"/>
    <x v="0"/>
    <s v="NEGOCIOS"/>
    <x v="4"/>
  </r>
  <r>
    <x v="55"/>
    <x v="187"/>
    <x v="11"/>
    <x v="11"/>
    <x v="1"/>
    <x v="28"/>
    <x v="40"/>
    <x v="328"/>
    <x v="782"/>
    <x v="0"/>
    <s v="NEGOCIOS"/>
    <x v="4"/>
  </r>
  <r>
    <x v="55"/>
    <x v="304"/>
    <x v="2"/>
    <x v="2"/>
    <x v="1"/>
    <x v="28"/>
    <x v="40"/>
    <x v="329"/>
    <x v="782"/>
    <x v="0"/>
    <s v="NEGOCIOS"/>
    <x v="4"/>
  </r>
  <r>
    <x v="55"/>
    <x v="265"/>
    <x v="6"/>
    <x v="6"/>
    <x v="1"/>
    <x v="28"/>
    <x v="39"/>
    <x v="386"/>
    <x v="982"/>
    <x v="0"/>
    <s v="NEGOCIOS"/>
    <x v="4"/>
  </r>
  <r>
    <x v="55"/>
    <x v="188"/>
    <x v="6"/>
    <x v="6"/>
    <x v="1"/>
    <x v="28"/>
    <x v="40"/>
    <x v="407"/>
    <x v="782"/>
    <x v="0"/>
    <s v="NEGOCIOS"/>
    <x v="4"/>
  </r>
  <r>
    <x v="55"/>
    <x v="335"/>
    <x v="6"/>
    <x v="6"/>
    <x v="1"/>
    <x v="28"/>
    <x v="39"/>
    <x v="408"/>
    <x v="765"/>
    <x v="0"/>
    <s v="NEGOCIOS"/>
    <x v="4"/>
  </r>
  <r>
    <x v="55"/>
    <x v="214"/>
    <x v="11"/>
    <x v="11"/>
    <x v="1"/>
    <x v="29"/>
    <x v="39"/>
    <x v="306"/>
    <x v="3515"/>
    <x v="0"/>
    <s v="NEGOCIOS"/>
    <x v="4"/>
  </r>
  <r>
    <x v="55"/>
    <x v="240"/>
    <x v="2"/>
    <x v="2"/>
    <x v="1"/>
    <x v="29"/>
    <x v="39"/>
    <x v="442"/>
    <x v="1157"/>
    <x v="0"/>
    <s v="NEGOCIOS"/>
    <x v="4"/>
  </r>
  <r>
    <x v="55"/>
    <x v="335"/>
    <x v="6"/>
    <x v="6"/>
    <x v="1"/>
    <x v="29"/>
    <x v="39"/>
    <x v="408"/>
    <x v="1157"/>
    <x v="0"/>
    <s v="NEGOCIOS"/>
    <x v="4"/>
  </r>
  <r>
    <x v="55"/>
    <x v="176"/>
    <x v="10"/>
    <x v="10"/>
    <x v="1"/>
    <x v="17"/>
    <x v="39"/>
    <x v="412"/>
    <x v="53"/>
    <x v="0"/>
    <s v="NEGOCIOS"/>
    <x v="4"/>
  </r>
  <r>
    <x v="55"/>
    <x v="202"/>
    <x v="11"/>
    <x v="11"/>
    <x v="1"/>
    <x v="17"/>
    <x v="39"/>
    <x v="305"/>
    <x v="3439"/>
    <x v="0"/>
    <s v="NEGOCIOS"/>
    <x v="4"/>
  </r>
  <r>
    <x v="55"/>
    <x v="215"/>
    <x v="2"/>
    <x v="2"/>
    <x v="1"/>
    <x v="17"/>
    <x v="40"/>
    <x v="322"/>
    <x v="900"/>
    <x v="0"/>
    <s v="NEGOCIOS"/>
    <x v="4"/>
  </r>
  <r>
    <x v="55"/>
    <x v="264"/>
    <x v="6"/>
    <x v="6"/>
    <x v="1"/>
    <x v="17"/>
    <x v="40"/>
    <x v="311"/>
    <x v="905"/>
    <x v="0"/>
    <s v="NEGOCIOS"/>
    <x v="4"/>
  </r>
  <r>
    <x v="55"/>
    <x v="266"/>
    <x v="6"/>
    <x v="6"/>
    <x v="1"/>
    <x v="17"/>
    <x v="39"/>
    <x v="370"/>
    <x v="3516"/>
    <x v="0"/>
    <s v="NEGOCIOS"/>
    <x v="4"/>
  </r>
  <r>
    <x v="55"/>
    <x v="302"/>
    <x v="11"/>
    <x v="11"/>
    <x v="1"/>
    <x v="33"/>
    <x v="40"/>
    <x v="324"/>
    <x v="3517"/>
    <x v="0"/>
    <s v="NEGOCIOS"/>
    <x v="4"/>
  </r>
  <r>
    <x v="55"/>
    <x v="285"/>
    <x v="6"/>
    <x v="6"/>
    <x v="1"/>
    <x v="33"/>
    <x v="40"/>
    <x v="409"/>
    <x v="3518"/>
    <x v="0"/>
    <s v="NEGOCIOS"/>
    <x v="4"/>
  </r>
  <r>
    <x v="55"/>
    <x v="184"/>
    <x v="6"/>
    <x v="6"/>
    <x v="1"/>
    <x v="33"/>
    <x v="40"/>
    <x v="413"/>
    <x v="3127"/>
    <x v="0"/>
    <s v="NEGOCIOS"/>
    <x v="4"/>
  </r>
  <r>
    <x v="55"/>
    <x v="196"/>
    <x v="8"/>
    <x v="8"/>
    <x v="1"/>
    <x v="37"/>
    <x v="40"/>
    <x v="375"/>
    <x v="1966"/>
    <x v="0"/>
    <s v="NEGOCIOS"/>
    <x v="4"/>
  </r>
  <r>
    <x v="55"/>
    <x v="219"/>
    <x v="9"/>
    <x v="9"/>
    <x v="1"/>
    <x v="37"/>
    <x v="40"/>
    <x v="308"/>
    <x v="3519"/>
    <x v="0"/>
    <s v="NEGOCIOS"/>
    <x v="4"/>
  </r>
  <r>
    <x v="55"/>
    <x v="186"/>
    <x v="10"/>
    <x v="10"/>
    <x v="1"/>
    <x v="37"/>
    <x v="40"/>
    <x v="321"/>
    <x v="3520"/>
    <x v="0"/>
    <s v="NEGOCIOS"/>
    <x v="4"/>
  </r>
  <r>
    <x v="55"/>
    <x v="181"/>
    <x v="11"/>
    <x v="11"/>
    <x v="1"/>
    <x v="37"/>
    <x v="40"/>
    <x v="362"/>
    <x v="3521"/>
    <x v="0"/>
    <s v="NEGOCIOS"/>
    <x v="4"/>
  </r>
  <r>
    <x v="55"/>
    <x v="327"/>
    <x v="7"/>
    <x v="7"/>
    <x v="1"/>
    <x v="18"/>
    <x v="40"/>
    <x v="387"/>
    <x v="3522"/>
    <x v="0"/>
    <s v="NEGOCIOS"/>
    <x v="4"/>
  </r>
  <r>
    <x v="55"/>
    <x v="247"/>
    <x v="8"/>
    <x v="8"/>
    <x v="1"/>
    <x v="18"/>
    <x v="40"/>
    <x v="289"/>
    <x v="3523"/>
    <x v="0"/>
    <s v="NEGOCIOS"/>
    <x v="4"/>
  </r>
  <r>
    <x v="55"/>
    <x v="227"/>
    <x v="9"/>
    <x v="9"/>
    <x v="1"/>
    <x v="18"/>
    <x v="40"/>
    <x v="399"/>
    <x v="3524"/>
    <x v="0"/>
    <s v="NEGOCIOS"/>
    <x v="4"/>
  </r>
  <r>
    <x v="55"/>
    <x v="310"/>
    <x v="10"/>
    <x v="10"/>
    <x v="1"/>
    <x v="18"/>
    <x v="40"/>
    <x v="335"/>
    <x v="3525"/>
    <x v="0"/>
    <s v="NEGOCIOS"/>
    <x v="4"/>
  </r>
  <r>
    <x v="55"/>
    <x v="282"/>
    <x v="11"/>
    <x v="11"/>
    <x v="1"/>
    <x v="18"/>
    <x v="40"/>
    <x v="358"/>
    <x v="3526"/>
    <x v="0"/>
    <s v="NEGOCIOS"/>
    <x v="4"/>
  </r>
  <r>
    <x v="55"/>
    <x v="334"/>
    <x v="2"/>
    <x v="2"/>
    <x v="1"/>
    <x v="18"/>
    <x v="40"/>
    <x v="406"/>
    <x v="3527"/>
    <x v="0"/>
    <s v="NEGOCIOS"/>
    <x v="4"/>
  </r>
  <r>
    <x v="55"/>
    <x v="217"/>
    <x v="6"/>
    <x v="6"/>
    <x v="1"/>
    <x v="18"/>
    <x v="40"/>
    <x v="323"/>
    <x v="3528"/>
    <x v="0"/>
    <s v="NEGOCIOS"/>
    <x v="4"/>
  </r>
  <r>
    <x v="56"/>
    <x v="260"/>
    <x v="7"/>
    <x v="7"/>
    <x v="1"/>
    <x v="2"/>
    <x v="39"/>
    <x v="437"/>
    <x v="1182"/>
    <x v="0"/>
    <s v="BOULEVARD EL DORADO"/>
    <x v="4"/>
  </r>
  <r>
    <x v="56"/>
    <x v="321"/>
    <x v="8"/>
    <x v="8"/>
    <x v="1"/>
    <x v="2"/>
    <x v="40"/>
    <x v="430"/>
    <x v="782"/>
    <x v="0"/>
    <s v="BOULEVARD EL DORADO"/>
    <x v="4"/>
  </r>
  <r>
    <x v="56"/>
    <x v="261"/>
    <x v="8"/>
    <x v="8"/>
    <x v="1"/>
    <x v="2"/>
    <x v="39"/>
    <x v="320"/>
    <x v="3529"/>
    <x v="0"/>
    <s v="BOULEVARD EL DORADO"/>
    <x v="4"/>
  </r>
  <r>
    <x v="56"/>
    <x v="310"/>
    <x v="10"/>
    <x v="10"/>
    <x v="1"/>
    <x v="2"/>
    <x v="39"/>
    <x v="335"/>
    <x v="3530"/>
    <x v="0"/>
    <s v="BOULEVARD EL DORADO"/>
    <x v="4"/>
  </r>
  <r>
    <x v="56"/>
    <x v="200"/>
    <x v="11"/>
    <x v="11"/>
    <x v="1"/>
    <x v="2"/>
    <x v="39"/>
    <x v="351"/>
    <x v="93"/>
    <x v="0"/>
    <s v="BOULEVARD EL DORADO"/>
    <x v="4"/>
  </r>
  <r>
    <x v="56"/>
    <x v="249"/>
    <x v="11"/>
    <x v="11"/>
    <x v="1"/>
    <x v="2"/>
    <x v="39"/>
    <x v="359"/>
    <x v="3531"/>
    <x v="0"/>
    <s v="BOULEVARD EL DORADO"/>
    <x v="4"/>
  </r>
  <r>
    <x v="56"/>
    <x v="182"/>
    <x v="2"/>
    <x v="2"/>
    <x v="1"/>
    <x v="2"/>
    <x v="39"/>
    <x v="392"/>
    <x v="3532"/>
    <x v="0"/>
    <s v="BOULEVARD EL DORADO"/>
    <x v="4"/>
  </r>
  <r>
    <x v="56"/>
    <x v="281"/>
    <x v="6"/>
    <x v="6"/>
    <x v="1"/>
    <x v="2"/>
    <x v="39"/>
    <x v="395"/>
    <x v="1863"/>
    <x v="0"/>
    <s v="BOULEVARD EL DORADO"/>
    <x v="4"/>
  </r>
  <r>
    <x v="56"/>
    <x v="217"/>
    <x v="6"/>
    <x v="6"/>
    <x v="1"/>
    <x v="2"/>
    <x v="39"/>
    <x v="323"/>
    <x v="3533"/>
    <x v="0"/>
    <s v="BOULEVARD EL DORADO"/>
    <x v="4"/>
  </r>
  <r>
    <x v="57"/>
    <x v="187"/>
    <x v="11"/>
    <x v="11"/>
    <x v="1"/>
    <x v="2"/>
    <x v="39"/>
    <x v="328"/>
    <x v="3534"/>
    <x v="0"/>
    <s v="SAN SEBASTIAN"/>
    <x v="4"/>
  </r>
  <r>
    <x v="58"/>
    <x v="247"/>
    <x v="8"/>
    <x v="8"/>
    <x v="1"/>
    <x v="2"/>
    <x v="39"/>
    <x v="289"/>
    <x v="3535"/>
    <x v="0"/>
    <s v="SANTIAGO INTERAMERICANA"/>
    <x v="4"/>
  </r>
  <r>
    <x v="58"/>
    <x v="326"/>
    <x v="8"/>
    <x v="8"/>
    <x v="1"/>
    <x v="2"/>
    <x v="39"/>
    <x v="423"/>
    <x v="3536"/>
    <x v="0"/>
    <s v="SANTIAGO INTERAMERICANA"/>
    <x v="4"/>
  </r>
  <r>
    <x v="58"/>
    <x v="242"/>
    <x v="9"/>
    <x v="9"/>
    <x v="1"/>
    <x v="2"/>
    <x v="39"/>
    <x v="435"/>
    <x v="3537"/>
    <x v="0"/>
    <s v="SANTIAGO INTERAMERICANA"/>
    <x v="4"/>
  </r>
  <r>
    <x v="58"/>
    <x v="220"/>
    <x v="11"/>
    <x v="11"/>
    <x v="1"/>
    <x v="2"/>
    <x v="39"/>
    <x v="309"/>
    <x v="3538"/>
    <x v="0"/>
    <s v="SANTIAGO INTERAMERICANA"/>
    <x v="4"/>
  </r>
  <r>
    <x v="58"/>
    <x v="335"/>
    <x v="6"/>
    <x v="6"/>
    <x v="1"/>
    <x v="2"/>
    <x v="39"/>
    <x v="408"/>
    <x v="1700"/>
    <x v="0"/>
    <s v="SANTIAGO INTERAMERICANA"/>
    <x v="4"/>
  </r>
  <r>
    <x v="59"/>
    <x v="326"/>
    <x v="8"/>
    <x v="8"/>
    <x v="1"/>
    <x v="2"/>
    <x v="39"/>
    <x v="423"/>
    <x v="3539"/>
    <x v="0"/>
    <s v="CIUDAD DEL SABER"/>
    <x v="4"/>
  </r>
  <r>
    <x v="59"/>
    <x v="189"/>
    <x v="10"/>
    <x v="10"/>
    <x v="1"/>
    <x v="2"/>
    <x v="39"/>
    <x v="345"/>
    <x v="891"/>
    <x v="0"/>
    <s v="CIUDAD DEL SABER"/>
    <x v="4"/>
  </r>
  <r>
    <x v="59"/>
    <x v="257"/>
    <x v="2"/>
    <x v="2"/>
    <x v="1"/>
    <x v="2"/>
    <x v="40"/>
    <x v="410"/>
    <x v="816"/>
    <x v="0"/>
    <s v="CIUDAD DEL SABER"/>
    <x v="4"/>
  </r>
  <r>
    <x v="59"/>
    <x v="266"/>
    <x v="6"/>
    <x v="6"/>
    <x v="1"/>
    <x v="2"/>
    <x v="39"/>
    <x v="370"/>
    <x v="816"/>
    <x v="0"/>
    <s v="CIUDAD DEL SABER"/>
    <x v="4"/>
  </r>
  <r>
    <x v="60"/>
    <x v="171"/>
    <x v="7"/>
    <x v="7"/>
    <x v="1"/>
    <x v="2"/>
    <x v="39"/>
    <x v="429"/>
    <x v="1182"/>
    <x v="0"/>
    <s v="VILLA ZAITA"/>
    <x v="4"/>
  </r>
  <r>
    <x v="60"/>
    <x v="247"/>
    <x v="8"/>
    <x v="8"/>
    <x v="1"/>
    <x v="2"/>
    <x v="39"/>
    <x v="289"/>
    <x v="3540"/>
    <x v="0"/>
    <s v="VILLA ZAITA"/>
    <x v="4"/>
  </r>
  <r>
    <x v="60"/>
    <x v="247"/>
    <x v="8"/>
    <x v="8"/>
    <x v="1"/>
    <x v="2"/>
    <x v="40"/>
    <x v="289"/>
    <x v="858"/>
    <x v="0"/>
    <s v="VILLA ZAITA"/>
    <x v="4"/>
  </r>
  <r>
    <x v="60"/>
    <x v="243"/>
    <x v="10"/>
    <x v="10"/>
    <x v="1"/>
    <x v="2"/>
    <x v="39"/>
    <x v="411"/>
    <x v="3094"/>
    <x v="0"/>
    <s v="VILLA ZAITA"/>
    <x v="4"/>
  </r>
  <r>
    <x v="60"/>
    <x v="186"/>
    <x v="10"/>
    <x v="10"/>
    <x v="1"/>
    <x v="2"/>
    <x v="40"/>
    <x v="321"/>
    <x v="1744"/>
    <x v="0"/>
    <s v="VILLA ZAITA"/>
    <x v="4"/>
  </r>
  <r>
    <x v="60"/>
    <x v="187"/>
    <x v="11"/>
    <x v="11"/>
    <x v="1"/>
    <x v="2"/>
    <x v="39"/>
    <x v="328"/>
    <x v="3541"/>
    <x v="0"/>
    <s v="VILLA ZAITA"/>
    <x v="4"/>
  </r>
  <r>
    <x v="60"/>
    <x v="177"/>
    <x v="11"/>
    <x v="11"/>
    <x v="1"/>
    <x v="2"/>
    <x v="40"/>
    <x v="346"/>
    <x v="3542"/>
    <x v="0"/>
    <s v="VILLA ZAITA"/>
    <x v="4"/>
  </r>
  <r>
    <x v="60"/>
    <x v="183"/>
    <x v="2"/>
    <x v="2"/>
    <x v="1"/>
    <x v="2"/>
    <x v="40"/>
    <x v="330"/>
    <x v="3543"/>
    <x v="0"/>
    <s v="VILLA ZAITA"/>
    <x v="4"/>
  </r>
  <r>
    <x v="61"/>
    <x v="310"/>
    <x v="10"/>
    <x v="10"/>
    <x v="1"/>
    <x v="2"/>
    <x v="39"/>
    <x v="335"/>
    <x v="1822"/>
    <x v="0"/>
    <s v="AZUERO TERMINAL PLAZA"/>
    <x v="4"/>
  </r>
  <r>
    <x v="61"/>
    <x v="220"/>
    <x v="11"/>
    <x v="11"/>
    <x v="1"/>
    <x v="2"/>
    <x v="39"/>
    <x v="309"/>
    <x v="2777"/>
    <x v="0"/>
    <s v="AZUERO TERMINAL PLAZA"/>
    <x v="4"/>
  </r>
  <r>
    <x v="61"/>
    <x v="217"/>
    <x v="6"/>
    <x v="6"/>
    <x v="1"/>
    <x v="2"/>
    <x v="39"/>
    <x v="323"/>
    <x v="3544"/>
    <x v="0"/>
    <s v="AZUERO TERMINAL PLAZA"/>
    <x v="4"/>
  </r>
  <r>
    <x v="62"/>
    <x v="262"/>
    <x v="9"/>
    <x v="9"/>
    <x v="1"/>
    <x v="2"/>
    <x v="39"/>
    <x v="368"/>
    <x v="1352"/>
    <x v="0"/>
    <s v="TOWN CENTER COSTA DEL ESTE"/>
    <x v="4"/>
  </r>
  <r>
    <x v="62"/>
    <x v="189"/>
    <x v="10"/>
    <x v="10"/>
    <x v="1"/>
    <x v="2"/>
    <x v="39"/>
    <x v="345"/>
    <x v="3545"/>
    <x v="0"/>
    <s v="TOWN CENTER COSTA DEL ESTE"/>
    <x v="4"/>
  </r>
  <r>
    <x v="62"/>
    <x v="330"/>
    <x v="11"/>
    <x v="11"/>
    <x v="1"/>
    <x v="2"/>
    <x v="39"/>
    <x v="381"/>
    <x v="3546"/>
    <x v="0"/>
    <s v="TOWN CENTER COSTA DEL ESTE"/>
    <x v="4"/>
  </r>
  <r>
    <x v="62"/>
    <x v="182"/>
    <x v="2"/>
    <x v="2"/>
    <x v="1"/>
    <x v="2"/>
    <x v="39"/>
    <x v="392"/>
    <x v="3547"/>
    <x v="0"/>
    <s v="TOWN CENTER COSTA DEL ESTE"/>
    <x v="4"/>
  </r>
  <r>
    <x v="62"/>
    <x v="335"/>
    <x v="6"/>
    <x v="6"/>
    <x v="1"/>
    <x v="2"/>
    <x v="39"/>
    <x v="408"/>
    <x v="3548"/>
    <x v="0"/>
    <s v="TOWN CENTER COSTA DEL ESTE"/>
    <x v="4"/>
  </r>
  <r>
    <x v="63"/>
    <x v="187"/>
    <x v="11"/>
    <x v="11"/>
    <x v="1"/>
    <x v="2"/>
    <x v="39"/>
    <x v="328"/>
    <x v="3549"/>
    <x v="0"/>
    <s v="COSTA VERDE"/>
    <x v="4"/>
  </r>
  <r>
    <x v="63"/>
    <x v="315"/>
    <x v="2"/>
    <x v="2"/>
    <x v="1"/>
    <x v="2"/>
    <x v="39"/>
    <x v="405"/>
    <x v="554"/>
    <x v="0"/>
    <s v="COSTA VERDE"/>
    <x v="4"/>
  </r>
  <r>
    <x v="63"/>
    <x v="240"/>
    <x v="2"/>
    <x v="2"/>
    <x v="1"/>
    <x v="2"/>
    <x v="39"/>
    <x v="442"/>
    <x v="3347"/>
    <x v="0"/>
    <s v="COSTA VERDE"/>
    <x v="4"/>
  </r>
  <r>
    <x v="64"/>
    <x v="205"/>
    <x v="7"/>
    <x v="7"/>
    <x v="1"/>
    <x v="2"/>
    <x v="39"/>
    <x v="299"/>
    <x v="3550"/>
    <x v="0"/>
    <s v="PLAZA LOS ANGELES"/>
    <x v="4"/>
  </r>
  <r>
    <x v="64"/>
    <x v="322"/>
    <x v="7"/>
    <x v="7"/>
    <x v="1"/>
    <x v="2"/>
    <x v="39"/>
    <x v="448"/>
    <x v="1"/>
    <x v="611"/>
    <s v="PLAZA LOS ANGELES"/>
    <x v="4"/>
  </r>
  <r>
    <x v="64"/>
    <x v="263"/>
    <x v="10"/>
    <x v="10"/>
    <x v="1"/>
    <x v="2"/>
    <x v="39"/>
    <x v="436"/>
    <x v="3551"/>
    <x v="0"/>
    <s v="PLAZA LOS ANGELES"/>
    <x v="4"/>
  </r>
  <r>
    <x v="64"/>
    <x v="202"/>
    <x v="11"/>
    <x v="11"/>
    <x v="1"/>
    <x v="2"/>
    <x v="39"/>
    <x v="305"/>
    <x v="3552"/>
    <x v="0"/>
    <s v="PLAZA LOS ANGELES"/>
    <x v="4"/>
  </r>
  <r>
    <x v="64"/>
    <x v="183"/>
    <x v="2"/>
    <x v="2"/>
    <x v="1"/>
    <x v="2"/>
    <x v="39"/>
    <x v="330"/>
    <x v="1852"/>
    <x v="0"/>
    <s v="PLAZA LOS ANGELES"/>
    <x v="4"/>
  </r>
  <r>
    <x v="65"/>
    <x v="242"/>
    <x v="9"/>
    <x v="9"/>
    <x v="1"/>
    <x v="2"/>
    <x v="39"/>
    <x v="435"/>
    <x v="3553"/>
    <x v="0"/>
    <s v="SAN MATEO"/>
    <x v="4"/>
  </r>
  <r>
    <x v="65"/>
    <x v="217"/>
    <x v="6"/>
    <x v="6"/>
    <x v="1"/>
    <x v="2"/>
    <x v="39"/>
    <x v="323"/>
    <x v="3554"/>
    <x v="0"/>
    <s v="SAN MATEO"/>
    <x v="4"/>
  </r>
  <r>
    <x v="65"/>
    <x v="266"/>
    <x v="6"/>
    <x v="6"/>
    <x v="1"/>
    <x v="2"/>
    <x v="39"/>
    <x v="370"/>
    <x v="3161"/>
    <x v="0"/>
    <s v="SAN MATEO"/>
    <x v="4"/>
  </r>
  <r>
    <x v="65"/>
    <x v="188"/>
    <x v="6"/>
    <x v="6"/>
    <x v="1"/>
    <x v="2"/>
    <x v="39"/>
    <x v="407"/>
    <x v="3161"/>
    <x v="0"/>
    <s v="SAN MATEO"/>
    <x v="4"/>
  </r>
  <r>
    <x v="66"/>
    <x v="205"/>
    <x v="7"/>
    <x v="7"/>
    <x v="1"/>
    <x v="2"/>
    <x v="39"/>
    <x v="299"/>
    <x v="3555"/>
    <x v="0"/>
    <s v="BRISAS DEL GOLF ARRAIJAN"/>
    <x v="4"/>
  </r>
  <r>
    <x v="66"/>
    <x v="326"/>
    <x v="8"/>
    <x v="8"/>
    <x v="1"/>
    <x v="2"/>
    <x v="39"/>
    <x v="423"/>
    <x v="3556"/>
    <x v="0"/>
    <s v="BRISAS DEL GOLF ARRAIJAN"/>
    <x v="4"/>
  </r>
  <r>
    <x v="66"/>
    <x v="263"/>
    <x v="10"/>
    <x v="10"/>
    <x v="1"/>
    <x v="2"/>
    <x v="39"/>
    <x v="436"/>
    <x v="759"/>
    <x v="0"/>
    <s v="BRISAS DEL GOLF ARRAIJAN"/>
    <x v="4"/>
  </r>
  <r>
    <x v="66"/>
    <x v="183"/>
    <x v="2"/>
    <x v="2"/>
    <x v="1"/>
    <x v="2"/>
    <x v="39"/>
    <x v="330"/>
    <x v="1422"/>
    <x v="0"/>
    <s v="BRISAS DEL GOLF ARRAIJAN"/>
    <x v="4"/>
  </r>
  <r>
    <x v="67"/>
    <x v="179"/>
    <x v="7"/>
    <x v="7"/>
    <x v="1"/>
    <x v="2"/>
    <x v="39"/>
    <x v="415"/>
    <x v="1212"/>
    <x v="0"/>
    <s v="PASEO ARRAIJAN"/>
    <x v="4"/>
  </r>
  <r>
    <x v="67"/>
    <x v="322"/>
    <x v="7"/>
    <x v="7"/>
    <x v="1"/>
    <x v="2"/>
    <x v="39"/>
    <x v="448"/>
    <x v="3550"/>
    <x v="0"/>
    <s v="PASEO ARRAIJAN"/>
    <x v="4"/>
  </r>
  <r>
    <x v="67"/>
    <x v="171"/>
    <x v="7"/>
    <x v="7"/>
    <x v="1"/>
    <x v="2"/>
    <x v="39"/>
    <x v="429"/>
    <x v="3557"/>
    <x v="0"/>
    <s v="PASEO ARRAIJAN"/>
    <x v="4"/>
  </r>
  <r>
    <x v="67"/>
    <x v="323"/>
    <x v="8"/>
    <x v="8"/>
    <x v="1"/>
    <x v="2"/>
    <x v="39"/>
    <x v="367"/>
    <x v="3558"/>
    <x v="0"/>
    <s v="PASEO ARRAIJAN"/>
    <x v="4"/>
  </r>
  <r>
    <x v="67"/>
    <x v="185"/>
    <x v="8"/>
    <x v="8"/>
    <x v="1"/>
    <x v="2"/>
    <x v="39"/>
    <x v="296"/>
    <x v="3366"/>
    <x v="0"/>
    <s v="PASEO ARRAIJAN"/>
    <x v="4"/>
  </r>
  <r>
    <x v="67"/>
    <x v="263"/>
    <x v="10"/>
    <x v="10"/>
    <x v="1"/>
    <x v="2"/>
    <x v="39"/>
    <x v="436"/>
    <x v="975"/>
    <x v="0"/>
    <s v="PASEO ARRAIJAN"/>
    <x v="4"/>
  </r>
  <r>
    <x v="67"/>
    <x v="315"/>
    <x v="2"/>
    <x v="2"/>
    <x v="1"/>
    <x v="2"/>
    <x v="39"/>
    <x v="405"/>
    <x v="3343"/>
    <x v="0"/>
    <s v="PASEO ARRAIJAN"/>
    <x v="4"/>
  </r>
  <r>
    <x v="67"/>
    <x v="229"/>
    <x v="6"/>
    <x v="6"/>
    <x v="1"/>
    <x v="2"/>
    <x v="39"/>
    <x v="281"/>
    <x v="782"/>
    <x v="0"/>
    <s v="PASEO ARRAIJAN"/>
    <x v="4"/>
  </r>
  <r>
    <x v="68"/>
    <x v="208"/>
    <x v="8"/>
    <x v="8"/>
    <x v="1"/>
    <x v="2"/>
    <x v="39"/>
    <x v="377"/>
    <x v="3559"/>
    <x v="0"/>
    <s v="PLAZA NUEVO TOCUMEN"/>
    <x v="4"/>
  </r>
  <r>
    <x v="68"/>
    <x v="331"/>
    <x v="9"/>
    <x v="9"/>
    <x v="1"/>
    <x v="2"/>
    <x v="39"/>
    <x v="391"/>
    <x v="3560"/>
    <x v="0"/>
    <s v="PLAZA NUEVO TOCUMEN"/>
    <x v="4"/>
  </r>
  <r>
    <x v="68"/>
    <x v="220"/>
    <x v="11"/>
    <x v="11"/>
    <x v="1"/>
    <x v="2"/>
    <x v="39"/>
    <x v="309"/>
    <x v="3090"/>
    <x v="0"/>
    <s v="PLAZA NUEVO TOCUMEN"/>
    <x v="4"/>
  </r>
  <r>
    <x v="68"/>
    <x v="315"/>
    <x v="2"/>
    <x v="2"/>
    <x v="1"/>
    <x v="2"/>
    <x v="39"/>
    <x v="405"/>
    <x v="764"/>
    <x v="0"/>
    <s v="PLAZA NUEVO TOCUMEN"/>
    <x v="4"/>
  </r>
  <r>
    <x v="68"/>
    <x v="265"/>
    <x v="6"/>
    <x v="6"/>
    <x v="1"/>
    <x v="2"/>
    <x v="39"/>
    <x v="386"/>
    <x v="492"/>
    <x v="0"/>
    <s v="PLAZA NUEVO TOCUMEN"/>
    <x v="4"/>
  </r>
  <r>
    <x v="68"/>
    <x v="335"/>
    <x v="6"/>
    <x v="6"/>
    <x v="1"/>
    <x v="2"/>
    <x v="39"/>
    <x v="408"/>
    <x v="2306"/>
    <x v="0"/>
    <s v="PLAZA NUEVO TOCUMEN"/>
    <x v="4"/>
  </r>
  <r>
    <x v="69"/>
    <x v="323"/>
    <x v="8"/>
    <x v="8"/>
    <x v="1"/>
    <x v="2"/>
    <x v="39"/>
    <x v="367"/>
    <x v="3561"/>
    <x v="0"/>
    <s v="SANTA MARIA"/>
    <x v="4"/>
  </r>
  <r>
    <x v="69"/>
    <x v="255"/>
    <x v="9"/>
    <x v="9"/>
    <x v="1"/>
    <x v="2"/>
    <x v="39"/>
    <x v="293"/>
    <x v="3562"/>
    <x v="0"/>
    <s v="SANTA MARIA"/>
    <x v="4"/>
  </r>
  <r>
    <x v="69"/>
    <x v="220"/>
    <x v="11"/>
    <x v="11"/>
    <x v="1"/>
    <x v="2"/>
    <x v="39"/>
    <x v="309"/>
    <x v="3563"/>
    <x v="0"/>
    <s v="SANTA MARIA"/>
    <x v="4"/>
  </r>
  <r>
    <x v="69"/>
    <x v="315"/>
    <x v="2"/>
    <x v="2"/>
    <x v="1"/>
    <x v="2"/>
    <x v="39"/>
    <x v="405"/>
    <x v="3564"/>
    <x v="0"/>
    <s v="SANTA MARIA"/>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2" cacheId="18"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customListSort="0">
  <location ref="G8:L7484" firstHeaderRow="1" firstDataRow="1" firstDataCol="6" rowPageCount="3" colPageCount="1"/>
  <pivotFields count="12">
    <pivotField axis="axisPage" showAll="0" defaultSubtotal="0">
      <items count="79">
        <item x="0"/>
        <item x="1"/>
        <item x="2"/>
        <item x="3"/>
        <item x="4"/>
        <item x="5"/>
        <item x="6"/>
        <item x="7"/>
        <item x="8"/>
        <item x="9"/>
        <item x="70"/>
        <item x="71"/>
        <item x="10"/>
        <item x="11"/>
        <item x="12"/>
        <item x="13"/>
        <item x="14"/>
        <item x="15"/>
        <item x="16"/>
        <item x="17"/>
        <item x="18"/>
        <item x="19"/>
        <item x="20"/>
        <item x="21"/>
        <item x="72"/>
        <item x="22"/>
        <item x="23"/>
        <item x="24"/>
        <item x="25"/>
        <item x="26"/>
        <item x="27"/>
        <item x="28"/>
        <item x="76"/>
        <item x="73"/>
        <item x="29"/>
        <item x="30"/>
        <item x="31"/>
        <item x="32"/>
        <item x="33"/>
        <item x="34"/>
        <item x="35"/>
        <item x="77"/>
        <item x="36"/>
        <item x="37"/>
        <item x="38"/>
        <item x="39"/>
        <item x="40"/>
        <item x="74"/>
        <item x="75"/>
        <item x="41"/>
        <item x="42"/>
        <item x="43"/>
        <item x="44"/>
        <item x="45"/>
        <item x="46"/>
        <item x="47"/>
        <item x="48"/>
        <item x="49"/>
        <item x="50"/>
        <item x="51"/>
        <item x="52"/>
        <item x="53"/>
        <item x="54"/>
        <item x="55"/>
        <item x="56"/>
        <item x="57"/>
        <item x="58"/>
        <item x="59"/>
        <item x="60"/>
        <item x="61"/>
        <item x="62"/>
        <item x="63"/>
        <item x="64"/>
        <item x="78"/>
        <item x="65"/>
        <item x="66"/>
        <item x="67"/>
        <item x="68"/>
        <item x="69"/>
      </items>
    </pivotField>
    <pivotField axis="axisRow" outline="0" showAll="0" sortType="ascending" defaultSubtotal="0">
      <items count="341">
        <item x="70"/>
        <item x="158"/>
        <item x="170"/>
        <item x="16"/>
        <item x="106"/>
        <item x="64"/>
        <item x="47"/>
        <item x="7"/>
        <item x="85"/>
        <item x="143"/>
        <item x="118"/>
        <item x="24"/>
        <item x="107"/>
        <item x="157"/>
        <item x="112"/>
        <item x="25"/>
        <item x="144"/>
        <item x="84"/>
        <item x="35"/>
        <item x="133"/>
        <item x="2"/>
        <item x="110"/>
        <item x="17"/>
        <item x="129"/>
        <item x="111"/>
        <item x="48"/>
        <item x="86"/>
        <item x="146"/>
        <item x="65"/>
        <item x="167"/>
        <item x="36"/>
        <item x="87"/>
        <item x="9"/>
        <item x="59"/>
        <item x="71"/>
        <item x="149"/>
        <item x="163"/>
        <item x="169"/>
        <item x="102"/>
        <item x="88"/>
        <item x="15"/>
        <item x="113"/>
        <item x="134"/>
        <item x="164"/>
        <item x="147"/>
        <item x="11"/>
        <item x="21"/>
        <item x="96"/>
        <item x="67"/>
        <item x="137"/>
        <item x="37"/>
        <item x="74"/>
        <item x="26"/>
        <item x="23"/>
        <item x="130"/>
        <item x="49"/>
        <item x="19"/>
        <item x="60"/>
        <item x="108"/>
        <item x="10"/>
        <item x="69"/>
        <item x="27"/>
        <item x="135"/>
        <item x="18"/>
        <item x="114"/>
        <item x="43"/>
        <item x="103"/>
        <item x="75"/>
        <item x="61"/>
        <item x="148"/>
        <item x="79"/>
        <item x="56"/>
        <item x="3"/>
        <item x="28"/>
        <item x="99"/>
        <item x="44"/>
        <item x="104"/>
        <item x="131"/>
        <item x="80"/>
        <item x="68"/>
        <item x="140"/>
        <item x="81"/>
        <item x="156"/>
        <item x="132"/>
        <item x="162"/>
        <item x="12"/>
        <item x="50"/>
        <item x="29"/>
        <item x="66"/>
        <item x="89"/>
        <item x="30"/>
        <item x="154"/>
        <item x="165"/>
        <item x="62"/>
        <item x="38"/>
        <item x="126"/>
        <item x="31"/>
        <item x="4"/>
        <item x="78"/>
        <item x="51"/>
        <item x="39"/>
        <item x="90"/>
        <item x="159"/>
        <item x="116"/>
        <item x="57"/>
        <item x="52"/>
        <item x="138"/>
        <item x="119"/>
        <item x="120"/>
        <item x="0"/>
        <item x="91"/>
        <item x="121"/>
        <item x="82"/>
        <item x="100"/>
        <item x="160"/>
        <item x="53"/>
        <item x="45"/>
        <item x="46"/>
        <item x="92"/>
        <item x="117"/>
        <item x="142"/>
        <item x="5"/>
        <item x="136"/>
        <item x="122"/>
        <item x="166"/>
        <item x="93"/>
        <item x="94"/>
        <item x="32"/>
        <item x="76"/>
        <item x="115"/>
        <item x="97"/>
        <item x="145"/>
        <item x="13"/>
        <item x="72"/>
        <item x="125"/>
        <item x="168"/>
        <item x="34"/>
        <item x="77"/>
        <item x="139"/>
        <item x="63"/>
        <item x="141"/>
        <item x="123"/>
        <item x="153"/>
        <item x="6"/>
        <item x="54"/>
        <item x="150"/>
        <item x="20"/>
        <item x="124"/>
        <item x="58"/>
        <item x="83"/>
        <item x="40"/>
        <item x="161"/>
        <item x="95"/>
        <item x="155"/>
        <item x="14"/>
        <item x="151"/>
        <item x="41"/>
        <item x="127"/>
        <item x="22"/>
        <item x="42"/>
        <item x="73"/>
        <item x="8"/>
        <item x="33"/>
        <item x="101"/>
        <item x="109"/>
        <item x="152"/>
        <item x="55"/>
        <item x="98"/>
        <item x="128"/>
        <item x="105"/>
        <item x="1"/>
        <item x="308"/>
        <item x="277"/>
        <item x="327"/>
        <item x="278"/>
        <item x="288"/>
        <item x="258"/>
        <item x="179"/>
        <item x="259"/>
        <item x="225"/>
        <item x="309"/>
        <item x="205"/>
        <item x="252"/>
        <item x="206"/>
        <item x="328"/>
        <item x="209"/>
        <item x="332"/>
        <item x="322"/>
        <item x="253"/>
        <item x="171"/>
        <item x="260"/>
        <item x="237"/>
        <item x="210"/>
        <item x="279"/>
        <item x="251"/>
        <item x="321"/>
        <item x="192"/>
        <item x="247"/>
        <item x="289"/>
        <item x="326"/>
        <item x="254"/>
        <item x="172"/>
        <item x="320"/>
        <item x="318"/>
        <item x="261"/>
        <item x="195"/>
        <item x="323"/>
        <item x="267"/>
        <item x="245"/>
        <item x="207"/>
        <item x="196"/>
        <item x="226"/>
        <item x="208"/>
        <item x="173"/>
        <item x="319"/>
        <item x="185"/>
        <item x="340"/>
        <item x="306"/>
        <item x="301"/>
        <item x="337"/>
        <item x="227"/>
        <item x="292"/>
        <item x="175"/>
        <item x="303"/>
        <item x="194"/>
        <item x="290"/>
        <item x="293"/>
        <item x="238"/>
        <item x="333"/>
        <item x="197"/>
        <item x="242"/>
        <item x="211"/>
        <item x="338"/>
        <item x="262"/>
        <item x="219"/>
        <item x="178"/>
        <item x="331"/>
        <item x="255"/>
        <item x="291"/>
        <item x="230"/>
        <item x="228"/>
        <item x="198"/>
        <item x="286"/>
        <item x="263"/>
        <item x="212"/>
        <item x="310"/>
        <item x="317"/>
        <item x="231"/>
        <item x="239"/>
        <item x="180"/>
        <item x="243"/>
        <item x="268"/>
        <item x="336"/>
        <item x="232"/>
        <item x="186"/>
        <item x="329"/>
        <item x="339"/>
        <item x="248"/>
        <item x="244"/>
        <item x="233"/>
        <item x="176"/>
        <item x="199"/>
        <item x="287"/>
        <item x="189"/>
        <item x="298"/>
        <item x="269"/>
        <item x="200"/>
        <item x="325"/>
        <item x="282"/>
        <item x="187"/>
        <item x="272"/>
        <item x="220"/>
        <item x="177"/>
        <item x="283"/>
        <item x="201"/>
        <item x="213"/>
        <item x="249"/>
        <item x="299"/>
        <item x="193"/>
        <item x="302"/>
        <item x="256"/>
        <item x="202"/>
        <item x="273"/>
        <item x="311"/>
        <item x="330"/>
        <item x="181"/>
        <item x="214"/>
        <item x="274"/>
        <item x="275"/>
        <item x="294"/>
        <item x="234"/>
        <item x="300"/>
        <item x="315"/>
        <item x="215"/>
        <item x="334"/>
        <item x="221"/>
        <item x="284"/>
        <item x="222"/>
        <item x="182"/>
        <item x="295"/>
        <item x="307"/>
        <item x="270"/>
        <item x="216"/>
        <item x="280"/>
        <item x="240"/>
        <item x="257"/>
        <item x="223"/>
        <item x="316"/>
        <item x="276"/>
        <item x="304"/>
        <item x="224"/>
        <item x="183"/>
        <item x="235"/>
        <item x="246"/>
        <item x="312"/>
        <item x="250"/>
        <item x="264"/>
        <item x="281"/>
        <item x="285"/>
        <item x="217"/>
        <item x="265"/>
        <item x="305"/>
        <item x="184"/>
        <item x="314"/>
        <item x="266"/>
        <item x="296"/>
        <item x="203"/>
        <item x="204"/>
        <item x="297"/>
        <item x="236"/>
        <item x="188"/>
        <item x="313"/>
        <item x="218"/>
        <item x="335"/>
        <item x="271"/>
        <item x="174"/>
        <item x="229"/>
        <item x="241"/>
        <item x="190"/>
        <item x="191"/>
        <item x="324"/>
      </items>
      <extLst>
        <ext xmlns:x14="http://schemas.microsoft.com/office/spreadsheetml/2009/9/main" uri="{2946ED86-A175-432a-8AC1-64E0C546D7DE}">
          <x14:pivotField fillDownLabels="1"/>
        </ext>
      </extLst>
    </pivotField>
    <pivotField showAll="0" defaultSubtotal="0"/>
    <pivotField axis="axisPage" showAll="0" defaultSubtotal="0">
      <items count="12">
        <item x="7"/>
        <item x="8"/>
        <item x="9"/>
        <item x="10"/>
        <item x="11"/>
        <item x="2"/>
        <item x="6"/>
        <item x="3"/>
        <item x="4"/>
        <item x="0"/>
        <item x="5"/>
        <item x="1"/>
      </items>
    </pivotField>
    <pivotField axis="axisPage" showAll="0" defaultSubtotal="0">
      <items count="2">
        <item x="0"/>
        <item x="1"/>
      </items>
    </pivotField>
    <pivotField axis="axisRow" outline="0" showAll="0" sortType="descending" defaultSubtotal="0">
      <items count="41">
        <item x="23"/>
        <item x="13"/>
        <item x="9"/>
        <item x="1"/>
        <item x="34"/>
        <item x="28"/>
        <item x="38"/>
        <item x="40"/>
        <item x="19"/>
        <item x="37"/>
        <item x="33"/>
        <item x="21"/>
        <item x="18"/>
        <item x="3"/>
        <item x="36"/>
        <item x="4"/>
        <item x="14"/>
        <item x="27"/>
        <item x="15"/>
        <item x="35"/>
        <item x="12"/>
        <item x="22"/>
        <item x="7"/>
        <item x="24"/>
        <item x="6"/>
        <item x="8"/>
        <item x="16"/>
        <item x="0"/>
        <item x="29"/>
        <item x="26"/>
        <item x="5"/>
        <item x="20"/>
        <item x="32"/>
        <item x="17"/>
        <item x="31"/>
        <item x="30"/>
        <item x="25"/>
        <item x="10"/>
        <item x="11"/>
        <item x="39"/>
        <item x="2"/>
      </items>
      <extLst>
        <ext xmlns:x14="http://schemas.microsoft.com/office/spreadsheetml/2009/9/main" uri="{2946ED86-A175-432a-8AC1-64E0C546D7DE}">
          <x14:pivotField fillDownLabels="1"/>
        </ext>
      </extLst>
    </pivotField>
    <pivotField axis="axisRow" outline="0" showAll="0" sortType="ascending" defaultSubtotal="0">
      <items count="69">
        <item x="35"/>
        <item x="64"/>
        <item x="33"/>
        <item x="1"/>
        <item x="28"/>
        <item x="62"/>
        <item x="36"/>
        <item x="22"/>
        <item x="61"/>
        <item x="30"/>
        <item x="24"/>
        <item x="63"/>
        <item x="60"/>
        <item x="29"/>
        <item x="40"/>
        <item x="31"/>
        <item x="37"/>
        <item x="32"/>
        <item x="39"/>
        <item x="26"/>
        <item x="23"/>
        <item x="34"/>
        <item x="20"/>
        <item x="50"/>
        <item x="10"/>
        <item x="14"/>
        <item x="49"/>
        <item x="42"/>
        <item x="9"/>
        <item x="54"/>
        <item x="7"/>
        <item x="52"/>
        <item x="45"/>
        <item x="47"/>
        <item x="13"/>
        <item x="0"/>
        <item x="12"/>
        <item x="46"/>
        <item x="3"/>
        <item x="8"/>
        <item x="41"/>
        <item x="43"/>
        <item x="11"/>
        <item x="44"/>
        <item x="2"/>
        <item x="53"/>
        <item x="48"/>
        <item x="51"/>
        <item x="6"/>
        <item x="5"/>
        <item x="4"/>
        <item x="56"/>
        <item x="17"/>
        <item x="19"/>
        <item x="55"/>
        <item x="15"/>
        <item x="58"/>
        <item x="16"/>
        <item x="59"/>
        <item x="57"/>
        <item x="18"/>
        <item x="65"/>
        <item x="38"/>
        <item x="66"/>
        <item x="67"/>
        <item x="68"/>
        <item x="27"/>
        <item x="21"/>
        <item x="25"/>
      </items>
      <extLst>
        <ext xmlns:x14="http://schemas.microsoft.com/office/spreadsheetml/2009/9/main" uri="{2946ED86-A175-432a-8AC1-64E0C546D7DE}">
          <x14:pivotField fillDownLabels="1"/>
        </ext>
      </extLst>
    </pivotField>
    <pivotField axis="axisRow" outline="0" showAll="0" sortType="descending" defaultSubtotal="0">
      <items count="457">
        <item x="164"/>
        <item x="198"/>
        <item x="188"/>
        <item x="194"/>
        <item x="208"/>
        <item x="207"/>
        <item x="241"/>
        <item x="187"/>
        <item x="8"/>
        <item x="39"/>
        <item x="167"/>
        <item x="211"/>
        <item x="22"/>
        <item x="85"/>
        <item x="113"/>
        <item x="166"/>
        <item x="112"/>
        <item x="14"/>
        <item x="145"/>
        <item x="97"/>
        <item x="186"/>
        <item x="125"/>
        <item x="215"/>
        <item x="84"/>
        <item x="206"/>
        <item x="45"/>
        <item x="20"/>
        <item x="214"/>
        <item x="246"/>
        <item x="193"/>
        <item x="6"/>
        <item x="157"/>
        <item x="74"/>
        <item x="185"/>
        <item x="111"/>
        <item x="110"/>
        <item x="156"/>
        <item x="184"/>
        <item x="225"/>
        <item x="82"/>
        <item x="38"/>
        <item x="120"/>
        <item x="13"/>
        <item x="124"/>
        <item x="183"/>
        <item x="213"/>
        <item x="182"/>
        <item x="81"/>
        <item x="217"/>
        <item x="181"/>
        <item x="100"/>
        <item x="5"/>
        <item x="119"/>
        <item x="65"/>
        <item x="109"/>
        <item x="155"/>
        <item x="180"/>
        <item x="144"/>
        <item x="179"/>
        <item x="73"/>
        <item x="178"/>
        <item x="80"/>
        <item x="118"/>
        <item x="197"/>
        <item x="0"/>
        <item x="212"/>
        <item x="96"/>
        <item x="107"/>
        <item x="44"/>
        <item x="64"/>
        <item x="177"/>
        <item x="79"/>
        <item x="210"/>
        <item x="34"/>
        <item x="160"/>
        <item x="199"/>
        <item x="4"/>
        <item x="72"/>
        <item x="83"/>
        <item x="106"/>
        <item x="176"/>
        <item x="205"/>
        <item x="143"/>
        <item x="159"/>
        <item x="154"/>
        <item x="78"/>
        <item x="248"/>
        <item x="77"/>
        <item x="247"/>
        <item x="12"/>
        <item x="192"/>
        <item x="95"/>
        <item x="146"/>
        <item x="175"/>
        <item x="117"/>
        <item x="222"/>
        <item x="90"/>
        <item x="163"/>
        <item x="196"/>
        <item x="191"/>
        <item x="116"/>
        <item x="245"/>
        <item x="243"/>
        <item x="3"/>
        <item x="153"/>
        <item x="142"/>
        <item x="174"/>
        <item x="126"/>
        <item x="220"/>
        <item x="173"/>
        <item x="71"/>
        <item x="76"/>
        <item x="219"/>
        <item x="18"/>
        <item x="149"/>
        <item x="43"/>
        <item x="152"/>
        <item x="123"/>
        <item x="10"/>
        <item x="63"/>
        <item x="57"/>
        <item x="62"/>
        <item x="19"/>
        <item x="244"/>
        <item x="221"/>
        <item x="23"/>
        <item x="115"/>
        <item x="151"/>
        <item x="250"/>
        <item x="318"/>
        <item x="277"/>
        <item x="102"/>
        <item x="342"/>
        <item x="276"/>
        <item x="32"/>
        <item x="447"/>
        <item x="165"/>
        <item x="281"/>
        <item x="70"/>
        <item x="21"/>
        <item x="282"/>
        <item x="260"/>
        <item x="91"/>
        <item x="11"/>
        <item x="426"/>
        <item x="132"/>
        <item x="408"/>
        <item x="200"/>
        <item x="451"/>
        <item x="226"/>
        <item x="341"/>
        <item x="89"/>
        <item x="407"/>
        <item x="274"/>
        <item x="216"/>
        <item x="15"/>
        <item x="371"/>
        <item x="242"/>
        <item x="313"/>
        <item x="141"/>
        <item x="317"/>
        <item x="249"/>
        <item x="288"/>
        <item x="195"/>
        <item x="312"/>
        <item x="148"/>
        <item x="370"/>
        <item x="37"/>
        <item x="372"/>
        <item x="256"/>
        <item x="413"/>
        <item x="270"/>
        <item x="255"/>
        <item x="9"/>
        <item x="331"/>
        <item x="189"/>
        <item x="386"/>
        <item x="94"/>
        <item x="323"/>
        <item x="218"/>
        <item x="409"/>
        <item x="190"/>
        <item x="395"/>
        <item x="172"/>
        <item x="311"/>
        <item x="224"/>
        <item x="75"/>
        <item x="394"/>
        <item x="204"/>
        <item x="287"/>
        <item x="150"/>
        <item x="17"/>
        <item x="393"/>
        <item x="171"/>
        <item x="330"/>
        <item x="269"/>
        <item x="140"/>
        <item x="2"/>
        <item x="414"/>
        <item x="254"/>
        <item x="329"/>
        <item x="170"/>
        <item x="385"/>
        <item x="203"/>
        <item x="348"/>
        <item x="162"/>
        <item x="434"/>
        <item x="169"/>
        <item x="410"/>
        <item x="209"/>
        <item x="442"/>
        <item x="147"/>
        <item x="295"/>
        <item x="158"/>
        <item x="332"/>
        <item x="202"/>
        <item x="363"/>
        <item x="69"/>
        <item x="441"/>
        <item x="201"/>
        <item x="310"/>
        <item x="161"/>
        <item x="392"/>
        <item x="268"/>
        <item x="7"/>
        <item x="384"/>
        <item x="68"/>
        <item x="383"/>
        <item x="139"/>
        <item x="347"/>
        <item x="223"/>
        <item x="406"/>
        <item x="93"/>
        <item x="16"/>
        <item x="322"/>
        <item x="252"/>
        <item x="405"/>
        <item x="168"/>
        <item x="316"/>
        <item x="36"/>
        <item x="382"/>
        <item x="307"/>
        <item x="404"/>
        <item x="306"/>
        <item x="362"/>
        <item x="267"/>
        <item x="381"/>
        <item x="440"/>
        <item x="354"/>
        <item x="305"/>
        <item x="294"/>
        <item x="324"/>
        <item x="369"/>
        <item x="279"/>
        <item x="315"/>
        <item x="359"/>
        <item x="361"/>
        <item x="422"/>
        <item x="346"/>
        <item x="263"/>
        <item x="309"/>
        <item x="360"/>
        <item x="328"/>
        <item x="273"/>
        <item x="358"/>
        <item x="421"/>
        <item x="351"/>
        <item x="403"/>
        <item x="314"/>
        <item x="345"/>
        <item x="275"/>
        <item x="298"/>
        <item x="412"/>
        <item x="262"/>
        <item x="344"/>
        <item x="433"/>
        <item x="304"/>
        <item x="427"/>
        <item x="380"/>
        <item x="321"/>
        <item x="272"/>
        <item x="290"/>
        <item x="420"/>
        <item x="339"/>
        <item x="411"/>
        <item x="452"/>
        <item x="266"/>
        <item x="419"/>
        <item x="402"/>
        <item x="401"/>
        <item x="335"/>
        <item x="319"/>
        <item x="436"/>
        <item x="297"/>
        <item x="338"/>
        <item x="283"/>
        <item x="303"/>
        <item x="293"/>
        <item x="391"/>
        <item x="353"/>
        <item x="264"/>
        <item x="308"/>
        <item x="368"/>
        <item x="425"/>
        <item x="286"/>
        <item x="435"/>
        <item x="432"/>
        <item x="400"/>
        <item x="379"/>
        <item x="337"/>
        <item x="302"/>
        <item x="390"/>
        <item x="280"/>
        <item x="327"/>
        <item x="389"/>
        <item x="261"/>
        <item x="352"/>
        <item x="399"/>
        <item x="424"/>
        <item x="336"/>
        <item x="296"/>
        <item x="271"/>
        <item x="350"/>
        <item x="378"/>
        <item x="259"/>
        <item x="377"/>
        <item x="376"/>
        <item x="375"/>
        <item x="374"/>
        <item x="285"/>
        <item x="438"/>
        <item x="367"/>
        <item x="373"/>
        <item x="320"/>
        <item x="388"/>
        <item x="398"/>
        <item x="431"/>
        <item x="258"/>
        <item x="326"/>
        <item x="423"/>
        <item x="301"/>
        <item x="289"/>
        <item x="300"/>
        <item x="278"/>
        <item x="430"/>
        <item x="291"/>
        <item x="449"/>
        <item x="418"/>
        <item x="417"/>
        <item x="437"/>
        <item x="429"/>
        <item x="257"/>
        <item x="292"/>
        <item x="448"/>
        <item x="397"/>
        <item x="428"/>
        <item x="366"/>
        <item x="284"/>
        <item x="396"/>
        <item x="299"/>
        <item x="334"/>
        <item x="416"/>
        <item x="355"/>
        <item x="415"/>
        <item x="265"/>
        <item x="349"/>
        <item x="439"/>
        <item x="450"/>
        <item x="387"/>
        <item x="325"/>
        <item x="333"/>
        <item x="456"/>
        <item x="51"/>
        <item x="59"/>
        <item x="455"/>
        <item x="236"/>
        <item x="229"/>
        <item x="443"/>
        <item x="228"/>
        <item x="227"/>
        <item x="33"/>
        <item x="138"/>
        <item x="364"/>
        <item x="31"/>
        <item x="137"/>
        <item x="136"/>
        <item x="135"/>
        <item x="134"/>
        <item x="133"/>
        <item x="131"/>
        <item x="130"/>
        <item x="129"/>
        <item x="128"/>
        <item x="30"/>
        <item x="127"/>
        <item x="357"/>
        <item x="356"/>
        <item x="29"/>
        <item x="453"/>
        <item x="122"/>
        <item x="251"/>
        <item x="121"/>
        <item x="28"/>
        <item x="114"/>
        <item x="108"/>
        <item x="105"/>
        <item x="343"/>
        <item x="104"/>
        <item x="103"/>
        <item x="340"/>
        <item x="101"/>
        <item x="99"/>
        <item x="27"/>
        <item x="98"/>
        <item x="92"/>
        <item x="88"/>
        <item x="87"/>
        <item x="86"/>
        <item x="67"/>
        <item x="66"/>
        <item x="26"/>
        <item x="61"/>
        <item x="60"/>
        <item x="58"/>
        <item x="55"/>
        <item x="54"/>
        <item x="53"/>
        <item x="52"/>
        <item x="50"/>
        <item x="25"/>
        <item x="240"/>
        <item x="49"/>
        <item x="48"/>
        <item x="47"/>
        <item x="239"/>
        <item x="238"/>
        <item x="237"/>
        <item x="454"/>
        <item x="46"/>
        <item x="445"/>
        <item x="444"/>
        <item x="42"/>
        <item x="41"/>
        <item x="234"/>
        <item x="40"/>
        <item x="233"/>
        <item x="232"/>
        <item x="231"/>
        <item x="230"/>
        <item x="35"/>
        <item x="24"/>
        <item x="56"/>
        <item x="235"/>
        <item x="253"/>
        <item x="365"/>
        <item x="446"/>
        <item x="1"/>
      </items>
      <extLst>
        <ext xmlns:x14="http://schemas.microsoft.com/office/spreadsheetml/2009/9/main" uri="{2946ED86-A175-432a-8AC1-64E0C546D7DE}">
          <x14:pivotField fillDownLabels="1"/>
        </ext>
      </extLst>
    </pivotField>
    <pivotField axis="axisRow" numFmtId="2" outline="0" showAll="0" sortType="descending" defaultSubtotal="0">
      <items count="3565">
        <item x="3245"/>
        <item x="1572"/>
        <item x="3248"/>
        <item x="643"/>
        <item x="2611"/>
        <item x="3246"/>
        <item x="2614"/>
        <item x="2558"/>
        <item x="1569"/>
        <item x="647"/>
        <item x="641"/>
        <item x="648"/>
        <item x="1929"/>
        <item x="626"/>
        <item x="2588"/>
        <item x="635"/>
        <item x="3455"/>
        <item x="2758"/>
        <item x="3247"/>
        <item x="3255"/>
        <item x="3468"/>
        <item x="3444"/>
        <item x="656"/>
        <item x="642"/>
        <item x="627"/>
        <item x="922"/>
        <item x="657"/>
        <item x="2598"/>
        <item x="639"/>
        <item x="1135"/>
        <item x="640"/>
        <item x="2592"/>
        <item x="644"/>
        <item x="634"/>
        <item x="2585"/>
        <item x="2820"/>
        <item x="636"/>
        <item x="1071"/>
        <item x="1958"/>
        <item x="567"/>
        <item x="613"/>
        <item x="646"/>
        <item x="1087"/>
        <item x="2788"/>
        <item x="3459"/>
        <item x="2560"/>
        <item x="1094"/>
        <item x="2789"/>
        <item x="2613"/>
        <item x="2612"/>
        <item x="1112"/>
        <item x="1955"/>
        <item x="902"/>
        <item x="1104"/>
        <item x="645"/>
        <item x="2827"/>
        <item x="2923"/>
        <item x="2916"/>
        <item x="2902"/>
        <item x="965"/>
        <item x="1847"/>
        <item x="2816"/>
        <item x="2819"/>
        <item x="152"/>
        <item x="583"/>
        <item x="2594"/>
        <item x="961"/>
        <item x="1885"/>
        <item x="163"/>
        <item x="2155"/>
        <item x="2157"/>
        <item x="654"/>
        <item x="1573"/>
        <item x="2791"/>
        <item x="2628"/>
        <item x="153"/>
        <item x="2767"/>
        <item x="156"/>
        <item x="154"/>
        <item x="3521"/>
        <item x="791"/>
        <item x="2562"/>
        <item x="2954"/>
        <item x="227"/>
        <item x="2145"/>
        <item x="2770"/>
        <item x="3051"/>
        <item x="2156"/>
        <item x="162"/>
        <item x="2957"/>
        <item x="1196"/>
        <item x="2601"/>
        <item x="969"/>
        <item x="3241"/>
        <item x="155"/>
        <item x="1147"/>
        <item x="3463"/>
        <item x="2626"/>
        <item x="637"/>
        <item x="2971"/>
        <item x="576"/>
        <item x="2493"/>
        <item x="3070"/>
        <item x="2482"/>
        <item x="2154"/>
        <item x="2960"/>
        <item x="1945"/>
        <item x="2803"/>
        <item x="2935"/>
        <item x="149"/>
        <item x="2965"/>
        <item x="2602"/>
        <item x="1965"/>
        <item x="150"/>
        <item x="2591"/>
        <item x="1598"/>
        <item x="1475"/>
        <item x="1877"/>
        <item x="2590"/>
        <item x="2866"/>
        <item x="2867"/>
        <item x="34"/>
        <item x="877"/>
        <item x="201"/>
        <item x="935"/>
        <item x="2109"/>
        <item x="2545"/>
        <item x="923"/>
        <item x="2054"/>
        <item x="2108"/>
        <item x="962"/>
        <item x="2483"/>
        <item x="2810"/>
        <item x="955"/>
        <item x="939"/>
        <item x="2153"/>
        <item x="2618"/>
        <item x="161"/>
        <item x="1047"/>
        <item x="2620"/>
        <item x="780"/>
        <item x="2158"/>
        <item x="157"/>
        <item x="522"/>
        <item x="570"/>
        <item x="618"/>
        <item x="2102"/>
        <item x="101"/>
        <item x="2811"/>
        <item x="2800"/>
        <item x="510"/>
        <item x="3520"/>
        <item x="1392"/>
        <item x="2186"/>
        <item x="931"/>
        <item x="515"/>
        <item x="2595"/>
        <item x="2258"/>
        <item x="2955"/>
        <item x="2809"/>
        <item x="2792"/>
        <item x="2146"/>
        <item x="2107"/>
        <item x="1181"/>
        <item x="953"/>
        <item x="3519"/>
        <item x="1964"/>
        <item x="895"/>
        <item x="2176"/>
        <item x="1936"/>
        <item x="3242"/>
        <item x="3469"/>
        <item x="624"/>
        <item x="2492"/>
        <item x="2589"/>
        <item x="2259"/>
        <item x="1882"/>
        <item x="2491"/>
        <item x="572"/>
        <item x="513"/>
        <item x="2149"/>
        <item x="2052"/>
        <item x="516"/>
        <item x="650"/>
        <item x="2177"/>
        <item x="511"/>
        <item x="2599"/>
        <item x="27"/>
        <item x="928"/>
        <item x="37"/>
        <item x="32"/>
        <item x="2267"/>
        <item x="2617"/>
        <item x="28"/>
        <item x="2802"/>
        <item x="1038"/>
        <item x="2616"/>
        <item x="2103"/>
        <item x="2958"/>
        <item x="1040"/>
        <item x="200"/>
        <item x="2817"/>
        <item x="2061"/>
        <item x="582"/>
        <item x="2063"/>
        <item x="512"/>
        <item x="2976"/>
        <item x="99"/>
        <item x="158"/>
        <item x="2060"/>
        <item x="2147"/>
        <item x="623"/>
        <item x="2994"/>
        <item x="276"/>
        <item x="185"/>
        <item x="517"/>
        <item x="1133"/>
        <item x="2062"/>
        <item x="2586"/>
        <item x="2495"/>
        <item x="631"/>
        <item x="3056"/>
        <item x="2494"/>
        <item x="2486"/>
        <item x="1948"/>
        <item x="186"/>
        <item x="100"/>
        <item x="107"/>
        <item x="1491"/>
        <item x="1039"/>
        <item x="2178"/>
        <item x="2432"/>
        <item x="2228"/>
        <item x="992"/>
        <item x="2600"/>
        <item x="2775"/>
        <item x="2781"/>
        <item x="1036"/>
        <item x="2257"/>
        <item x="38"/>
        <item x="571"/>
        <item x="523"/>
        <item x="2869"/>
        <item x="2557"/>
        <item x="3475"/>
        <item x="521"/>
        <item x="622"/>
        <item x="2110"/>
        <item x="33"/>
        <item x="2104"/>
        <item x="694"/>
        <item x="2151"/>
        <item x="2868"/>
        <item x="1043"/>
        <item x="2100"/>
        <item x="2050"/>
        <item x="3173"/>
        <item x="40"/>
        <item x="2484"/>
        <item x="2097"/>
        <item x="926"/>
        <item x="104"/>
        <item x="2790"/>
        <item x="29"/>
        <item x="2148"/>
        <item x="2099"/>
        <item x="1042"/>
        <item x="160"/>
        <item x="1257"/>
        <item x="2261"/>
        <item x="2210"/>
        <item x="2185"/>
        <item x="1050"/>
        <item x="2208"/>
        <item x="1881"/>
        <item x="2559"/>
        <item x="921"/>
        <item x="35"/>
        <item x="235"/>
        <item x="2225"/>
        <item x="2838"/>
        <item x="1848"/>
        <item x="2187"/>
        <item x="2550"/>
        <item x="2268"/>
        <item x="2058"/>
        <item x="1058"/>
        <item x="30"/>
        <item x="994"/>
        <item x="2723"/>
        <item x="2784"/>
        <item x="2606"/>
        <item x="2490"/>
        <item x="1210"/>
        <item x="519"/>
        <item x="2051"/>
        <item x="2878"/>
        <item x="688"/>
        <item x="277"/>
        <item x="275"/>
        <item x="1068"/>
        <item x="2597"/>
        <item x="520"/>
        <item x="180"/>
        <item x="266"/>
        <item x="2946"/>
        <item x="2053"/>
        <item x="2226"/>
        <item x="2047"/>
        <item x="1056"/>
        <item x="2485"/>
        <item x="31"/>
        <item x="1060"/>
        <item x="991"/>
        <item x="2059"/>
        <item x="94"/>
        <item x="2138"/>
        <item x="2211"/>
        <item x="2981"/>
        <item x="233"/>
        <item x="1888"/>
        <item x="695"/>
        <item x="2219"/>
        <item x="1966"/>
        <item x="2883"/>
        <item x="1261"/>
        <item x="179"/>
        <item x="878"/>
        <item x="1062"/>
        <item x="2057"/>
        <item x="1044"/>
        <item x="2296"/>
        <item x="2554"/>
        <item x="997"/>
        <item x="653"/>
        <item x="691"/>
        <item x="2818"/>
        <item x="995"/>
        <item x="229"/>
        <item x="2970"/>
        <item x="1878"/>
        <item x="2862"/>
        <item x="689"/>
        <item x="3466"/>
        <item x="1188"/>
        <item x="95"/>
        <item x="2106"/>
        <item x="2266"/>
        <item x="2671"/>
        <item x="1886"/>
        <item x="299"/>
        <item x="693"/>
        <item x="1172"/>
        <item x="2953"/>
        <item x="2230"/>
        <item x="103"/>
        <item x="205"/>
        <item x="518"/>
        <item x="686"/>
        <item x="36"/>
        <item x="1875"/>
        <item x="2231"/>
        <item x="3136"/>
        <item x="2725"/>
        <item x="3465"/>
        <item x="263"/>
        <item x="578"/>
        <item x="2184"/>
        <item x="2865"/>
        <item x="594"/>
        <item x="2352"/>
        <item x="2111"/>
        <item x="690"/>
        <item x="105"/>
        <item x="183"/>
        <item x="303"/>
        <item x="2487"/>
        <item x="2672"/>
        <item x="2263"/>
        <item x="96"/>
        <item x="2326"/>
        <item x="2488"/>
        <item x="223"/>
        <item x="1876"/>
        <item x="1425"/>
        <item x="2207"/>
        <item x="1066"/>
        <item x="2864"/>
        <item x="2270"/>
        <item x="998"/>
        <item x="942"/>
        <item x="514"/>
        <item x="599"/>
        <item x="1059"/>
        <item x="97"/>
        <item x="2098"/>
        <item x="2972"/>
        <item x="2660"/>
        <item x="2547"/>
        <item x="265"/>
        <item x="2298"/>
        <item x="298"/>
        <item x="2489"/>
        <item x="2625"/>
        <item x="2615"/>
        <item x="2260"/>
        <item x="2718"/>
        <item x="628"/>
        <item x="1400"/>
        <item x="2882"/>
        <item x="2297"/>
        <item x="2127"/>
        <item x="3517"/>
        <item x="206"/>
        <item x="184"/>
        <item x="2863"/>
        <item x="130"/>
        <item x="2181"/>
        <item x="2150"/>
        <item x="202"/>
        <item x="3143"/>
        <item x="2974"/>
        <item x="2669"/>
        <item x="2561"/>
        <item x="2624"/>
        <item x="2137"/>
        <item x="2546"/>
        <item x="2871"/>
        <item x="2604"/>
        <item x="2665"/>
        <item x="376"/>
        <item x="3073"/>
        <item x="875"/>
        <item x="617"/>
        <item x="2438"/>
        <item x="2962"/>
        <item x="2295"/>
        <item x="2931"/>
        <item x="1163"/>
        <item x="621"/>
        <item x="616"/>
        <item x="159"/>
        <item x="232"/>
        <item x="1000"/>
        <item x="2209"/>
        <item x="2608"/>
        <item x="3462"/>
        <item x="2105"/>
        <item x="687"/>
        <item x="230"/>
        <item x="102"/>
        <item x="1571"/>
        <item x="696"/>
        <item x="1923"/>
        <item x="1201"/>
        <item x="226"/>
        <item x="1397"/>
        <item x="195"/>
        <item x="270"/>
        <item x="39"/>
        <item x="2189"/>
        <item x="1483"/>
        <item x="2080"/>
        <item x="600"/>
        <item x="2134"/>
        <item x="2663"/>
        <item x="2405"/>
        <item x="2056"/>
        <item x="2984"/>
        <item x="293"/>
        <item x="2198"/>
        <item x="2673"/>
        <item x="649"/>
        <item x="2289"/>
        <item x="1404"/>
        <item x="2269"/>
        <item x="2221"/>
        <item x="3067"/>
        <item x="2431"/>
        <item x="2087"/>
        <item x="1925"/>
        <item x="2664"/>
        <item x="1949"/>
        <item x="2084"/>
        <item x="2055"/>
        <item x="199"/>
        <item x="197"/>
        <item x="573"/>
        <item x="302"/>
        <item x="78"/>
        <item x="377"/>
        <item x="269"/>
        <item x="3461"/>
        <item x="204"/>
        <item x="2075"/>
        <item x="2327"/>
        <item x="2290"/>
        <item x="2397"/>
        <item x="3528"/>
        <item x="2204"/>
        <item x="2139"/>
        <item x="1433"/>
        <item x="297"/>
        <item x="138"/>
        <item x="2813"/>
        <item x="2420"/>
        <item x="1963"/>
        <item x="2668"/>
        <item x="2832"/>
        <item x="630"/>
        <item x="2045"/>
        <item x="228"/>
        <item x="274"/>
        <item x="2833"/>
        <item x="2610"/>
        <item x="1064"/>
        <item x="2291"/>
        <item x="2831"/>
        <item x="173"/>
        <item x="2206"/>
        <item x="1871"/>
        <item x="370"/>
        <item x="1273"/>
        <item x="23"/>
        <item x="207"/>
        <item x="566"/>
        <item x="1938"/>
        <item x="2875"/>
        <item x="652"/>
        <item x="2879"/>
        <item x="273"/>
        <item x="2724"/>
        <item x="2152"/>
        <item x="2232"/>
        <item x="132"/>
        <item x="2205"/>
        <item x="683"/>
        <item x="2925"/>
        <item x="1902"/>
        <item x="2140"/>
        <item x="692"/>
        <item x="684"/>
        <item x="3052"/>
        <item x="182"/>
        <item x="264"/>
        <item x="1893"/>
        <item x="383"/>
        <item x="2948"/>
        <item x="372"/>
        <item x="2824"/>
        <item x="295"/>
        <item x="3055"/>
        <item x="625"/>
        <item x="181"/>
        <item x="194"/>
        <item x="480"/>
        <item x="2076"/>
        <item x="2337"/>
        <item x="2200"/>
        <item x="2666"/>
        <item x="685"/>
        <item x="1597"/>
        <item x="2675"/>
        <item x="2776"/>
        <item x="2662"/>
        <item x="306"/>
        <item x="2508"/>
        <item x="1190"/>
        <item x="932"/>
        <item x="2182"/>
        <item x="2175"/>
        <item x="3061"/>
        <item x="672"/>
        <item x="292"/>
        <item x="135"/>
        <item x="1177"/>
        <item x="2271"/>
        <item x="2449"/>
        <item x="2670"/>
        <item x="272"/>
        <item x="3049"/>
        <item x="3486"/>
        <item x="1565"/>
        <item x="2987"/>
        <item x="2443"/>
        <item x="2377"/>
        <item x="2265"/>
        <item x="351"/>
        <item x="1600"/>
        <item x="2222"/>
        <item x="2840"/>
        <item x="1887"/>
        <item x="3048"/>
        <item x="2877"/>
        <item x="1285"/>
        <item x="2450"/>
        <item x="2336"/>
        <item x="1860"/>
        <item x="2667"/>
        <item x="1589"/>
        <item x="231"/>
        <item x="427"/>
        <item x="1666"/>
        <item x="2287"/>
        <item x="371"/>
        <item x="2396"/>
        <item x="2885"/>
        <item x="1270"/>
        <item x="2376"/>
        <item x="141"/>
        <item x="2183"/>
        <item x="196"/>
        <item x="2754"/>
        <item x="2853"/>
        <item x="2782"/>
        <item x="82"/>
        <item x="655"/>
        <item x="294"/>
        <item x="2747"/>
        <item x="378"/>
        <item x="3005"/>
        <item x="2292"/>
        <item x="1862"/>
        <item x="1508"/>
        <item x="1473"/>
        <item x="1516"/>
        <item x="69"/>
        <item x="1716"/>
        <item x="2180"/>
        <item x="2078"/>
        <item x="981"/>
        <item x="1003"/>
        <item x="2262"/>
        <item x="2135"/>
        <item x="3040"/>
        <item x="2979"/>
        <item x="612"/>
        <item x="2794"/>
        <item x="296"/>
        <item x="1174"/>
        <item x="2227"/>
        <item x="2294"/>
        <item x="2648"/>
        <item x="1859"/>
        <item x="802"/>
        <item x="1574"/>
        <item x="1253"/>
        <item x="1956"/>
        <item x="198"/>
        <item x="1946"/>
        <item x="954"/>
        <item x="2083"/>
        <item x="3033"/>
        <item x="1120"/>
        <item x="2737"/>
        <item x="301"/>
        <item x="2713"/>
        <item x="2661"/>
        <item x="68"/>
        <item x="1151"/>
        <item x="2293"/>
        <item x="3277"/>
        <item x="2768"/>
        <item x="1943"/>
        <item x="2086"/>
        <item x="2220"/>
        <item x="2837"/>
        <item x="2133"/>
        <item x="2967"/>
        <item x="106"/>
        <item x="1973"/>
        <item x="3525"/>
        <item x="2553"/>
        <item x="620"/>
        <item x="2842"/>
        <item x="3046"/>
        <item x="561"/>
        <item x="619"/>
        <item x="3527"/>
        <item x="948"/>
        <item x="1476"/>
        <item x="80"/>
        <item x="2046"/>
        <item x="581"/>
        <item x="956"/>
        <item x="1858"/>
        <item x="134"/>
        <item x="3152"/>
        <item x="2188"/>
        <item x="133"/>
        <item x="373"/>
        <item x="803"/>
        <item x="75"/>
        <item x="2229"/>
        <item x="2681"/>
        <item x="3016"/>
        <item x="1405"/>
        <item x="1988"/>
        <item x="203"/>
        <item x="479"/>
        <item x="1974"/>
        <item x="1477"/>
        <item x="2386"/>
        <item x="2359"/>
        <item x="1910"/>
        <item x="1715"/>
        <item x="2385"/>
        <item x="2627"/>
        <item x="477"/>
        <item x="2548"/>
        <item x="178"/>
        <item x="2576"/>
        <item x="950"/>
        <item x="927"/>
        <item x="3165"/>
        <item x="2348"/>
        <item x="1031"/>
        <item x="1506"/>
        <item x="349"/>
        <item x="1248"/>
        <item x="2402"/>
        <item x="432"/>
        <item x="300"/>
        <item x="1184"/>
        <item x="2403"/>
        <item x="431"/>
        <item x="1961"/>
        <item x="1429"/>
        <item x="2355"/>
        <item x="2364"/>
        <item x="3514"/>
        <item x="2407"/>
        <item x="2543"/>
        <item x="433"/>
        <item x="98"/>
        <item x="575"/>
        <item x="2549"/>
        <item x="1464"/>
        <item x="807"/>
        <item x="614"/>
        <item x="1593"/>
        <item x="2201"/>
        <item x="2077"/>
        <item x="2085"/>
        <item x="2448"/>
        <item x="472"/>
        <item x="2728"/>
        <item x="2384"/>
        <item x="1681"/>
        <item x="2622"/>
        <item x="2780"/>
        <item x="2285"/>
        <item x="2446"/>
        <item x="140"/>
        <item x="403"/>
        <item x="938"/>
        <item x="1126"/>
        <item x="369"/>
        <item x="3155"/>
        <item x="2081"/>
        <item x="225"/>
        <item x="474"/>
        <item x="3522"/>
        <item x="3315"/>
        <item x="1389"/>
        <item x="271"/>
        <item x="3191"/>
        <item x="2887"/>
        <item x="2128"/>
        <item x="2378"/>
        <item x="76"/>
        <item x="3037"/>
        <item x="3134"/>
        <item x="2224"/>
        <item x="3509"/>
        <item x="2797"/>
        <item x="1975"/>
        <item x="2901"/>
        <item x="2363"/>
        <item x="234"/>
        <item x="3526"/>
        <item x="2082"/>
        <item x="176"/>
        <item x="2179"/>
        <item x="2451"/>
        <item x="1149"/>
        <item x="944"/>
        <item x="812"/>
        <item x="1686"/>
        <item x="305"/>
        <item x="434"/>
        <item x="1851"/>
        <item x="629"/>
        <item x="1918"/>
        <item x="3458"/>
        <item x="74"/>
        <item x="1905"/>
        <item x="3253"/>
        <item x="72"/>
        <item x="543"/>
        <item x="1275"/>
        <item x="1137"/>
        <item x="1605"/>
        <item x="577"/>
        <item x="428"/>
        <item x="2330"/>
        <item x="476"/>
        <item x="2332"/>
        <item x="2506"/>
        <item x="1971"/>
        <item x="2563"/>
        <item x="70"/>
        <item x="3086"/>
        <item x="2631"/>
        <item x="2991"/>
        <item x="1777"/>
        <item x="1880"/>
        <item x="2504"/>
        <item x="2844"/>
        <item x="674"/>
        <item x="22"/>
        <item x="717"/>
        <item x="2735"/>
        <item x="478"/>
        <item x="2881"/>
        <item x="1515"/>
        <item x="3174"/>
        <item x="2398"/>
        <item x="862"/>
        <item x="2286"/>
        <item x="381"/>
        <item x="1638"/>
        <item x="2808"/>
        <item x="3523"/>
        <item x="2689"/>
        <item x="473"/>
        <item x="2202"/>
        <item x="139"/>
        <item x="3054"/>
        <item x="2821"/>
        <item x="2203"/>
        <item x="2815"/>
        <item x="2404"/>
        <item x="2544"/>
        <item x="2951"/>
        <item x="2356"/>
        <item x="3057"/>
        <item x="2409"/>
        <item x="565"/>
        <item x="1070"/>
        <item x="2199"/>
        <item x="3062"/>
        <item x="1250"/>
        <item x="2131"/>
        <item x="3502"/>
        <item x="3524"/>
        <item x="1199"/>
        <item x="2551"/>
        <item x="1581"/>
        <item x="131"/>
        <item x="2524"/>
        <item x="2338"/>
        <item x="1972"/>
        <item x="355"/>
        <item x="1861"/>
        <item x="470"/>
        <item x="2361"/>
        <item x="821"/>
        <item x="459"/>
        <item x="2366"/>
        <item x="2335"/>
        <item x="2136"/>
        <item x="460"/>
        <item x="3464"/>
        <item x="2552"/>
        <item x="2442"/>
        <item x="407"/>
        <item x="2358"/>
        <item x="2828"/>
        <item x="2388"/>
        <item x="426"/>
        <item x="1699"/>
        <item x="1443"/>
        <item x="2870"/>
        <item x="2353"/>
        <item x="3328"/>
        <item x="846"/>
        <item x="1953"/>
        <item x="551"/>
        <item x="268"/>
        <item x="1438"/>
        <item x="1456"/>
        <item x="1251"/>
        <item x="2441"/>
        <item x="2008"/>
        <item x="2401"/>
        <item x="2736"/>
        <item x="2430"/>
        <item x="924"/>
        <item x="1159"/>
        <item x="2132"/>
        <item x="974"/>
        <item x="1854"/>
        <item x="3360"/>
        <item x="475"/>
        <item x="3285"/>
        <item x="338"/>
        <item x="941"/>
        <item x="375"/>
        <item x="2799"/>
        <item x="2804"/>
        <item x="73"/>
        <item x="819"/>
        <item x="453"/>
        <item x="2647"/>
        <item x="356"/>
        <item x="3019"/>
        <item x="1855"/>
        <item x="1022"/>
        <item x="2022"/>
        <item x="1016"/>
        <item x="2357"/>
        <item x="2288"/>
        <item x="580"/>
        <item x="2530"/>
        <item x="457"/>
        <item x="1442"/>
        <item x="409"/>
        <item x="471"/>
        <item x="2959"/>
        <item x="1160"/>
        <item x="3035"/>
        <item x="2428"/>
        <item x="1440"/>
        <item x="2425"/>
        <item x="3499"/>
        <item x="1049"/>
        <item x="2947"/>
        <item x="382"/>
        <item x="467"/>
        <item x="136"/>
        <item x="461"/>
        <item x="2812"/>
        <item x="2859"/>
        <item x="1025"/>
        <item x="353"/>
        <item x="468"/>
        <item x="1920"/>
        <item x="3267"/>
        <item x="832"/>
        <item x="2779"/>
        <item x="2642"/>
        <item x="423"/>
        <item x="1486"/>
        <item x="2408"/>
        <item x="452"/>
        <item x="892"/>
        <item x="2406"/>
        <item x="822"/>
        <item x="1695"/>
        <item x="2399"/>
        <item x="2383"/>
        <item x="1233"/>
        <item x="2381"/>
        <item x="1041"/>
        <item x="380"/>
        <item x="128"/>
        <item x="3043"/>
        <item x="2362"/>
        <item x="3318"/>
        <item x="3032"/>
        <item x="2440"/>
        <item x="3007"/>
        <item x="1256"/>
        <item x="1146"/>
        <item x="1206"/>
        <item x="1191"/>
        <item x="330"/>
        <item x="1633"/>
        <item x="79"/>
        <item x="2447"/>
        <item x="352"/>
        <item x="469"/>
        <item x="1121"/>
        <item x="1264"/>
        <item x="2354"/>
        <item x="408"/>
        <item x="285"/>
        <item x="863"/>
        <item x="1029"/>
        <item x="2429"/>
        <item x="1749"/>
        <item x="2646"/>
        <item x="1007"/>
        <item x="2924"/>
        <item x="633"/>
        <item x="142"/>
        <item x="1461"/>
        <item x="2445"/>
        <item x="2982"/>
        <item x="1173"/>
        <item x="2318"/>
        <item x="1599"/>
        <item x="379"/>
        <item x="1625"/>
        <item x="1521"/>
        <item x="1623"/>
        <item x="1158"/>
        <item x="1592"/>
        <item x="2825"/>
        <item x="3398"/>
        <item x="2129"/>
        <item x="960"/>
        <item x="1575"/>
        <item x="2192"/>
        <item x="2223"/>
        <item x="1269"/>
        <item x="550"/>
        <item x="2961"/>
        <item x="1701"/>
        <item x="538"/>
        <item x="1649"/>
        <item x="1055"/>
        <item x="958"/>
        <item x="429"/>
        <item x="2997"/>
        <item x="1136"/>
        <item x="357"/>
        <item x="541"/>
        <item x="1732"/>
        <item x="2796"/>
        <item x="1510"/>
        <item x="1138"/>
        <item x="1517"/>
        <item x="2347"/>
        <item x="174"/>
        <item x="2846"/>
        <item x="2738"/>
        <item x="1258"/>
        <item x="430"/>
        <item x="2621"/>
        <item x="2975"/>
        <item x="867"/>
        <item x="711"/>
        <item x="334"/>
        <item x="2778"/>
        <item x="549"/>
        <item x="3326"/>
        <item x="1189"/>
        <item x="3282"/>
        <item x="1271"/>
        <item x="1778"/>
        <item x="544"/>
        <item x="2956"/>
        <item x="3010"/>
        <item x="1622"/>
        <item x="2857"/>
        <item x="1808"/>
        <item x="2740"/>
        <item x="1774"/>
        <item x="1110"/>
        <item x="3442"/>
        <item x="1426"/>
        <item x="2688"/>
        <item x="850"/>
        <item x="929"/>
        <item x="529"/>
        <item x="3473"/>
        <item x="1950"/>
        <item x="2763"/>
        <item x="1679"/>
        <item x="1315"/>
        <item x="2427"/>
        <item x="851"/>
        <item x="866"/>
        <item x="3513"/>
        <item x="2687"/>
        <item x="3361"/>
        <item x="1489"/>
        <item x="3504"/>
        <item x="839"/>
        <item x="2633"/>
        <item x="3013"/>
        <item x="2400"/>
        <item x="3489"/>
        <item x="3064"/>
        <item x="949"/>
        <item x="824"/>
        <item x="726"/>
        <item x="2977"/>
        <item x="1898"/>
        <item x="175"/>
        <item x="844"/>
        <item x="1501"/>
        <item x="1074"/>
        <item x="1096"/>
        <item x="864"/>
        <item x="81"/>
        <item x="1987"/>
        <item x="797"/>
        <item x="2949"/>
        <item x="1791"/>
        <item x="988"/>
        <item x="2966"/>
        <item x="1239"/>
        <item x="143"/>
        <item x="401"/>
        <item x="2321"/>
        <item x="2650"/>
        <item x="1472"/>
        <item x="2641"/>
        <item x="3193"/>
        <item x="1245"/>
        <item x="454"/>
        <item x="1441"/>
        <item x="603"/>
        <item x="2739"/>
        <item x="1420"/>
        <item x="3213"/>
        <item x="1328"/>
        <item x="1214"/>
        <item x="540"/>
        <item x="77"/>
        <item x="2387"/>
        <item x="946"/>
        <item x="1634"/>
        <item x="3295"/>
        <item x="1067"/>
        <item x="484"/>
        <item x="1696"/>
        <item x="943"/>
        <item x="2426"/>
        <item x="840"/>
        <item x="3507"/>
        <item x="1234"/>
        <item x="632"/>
        <item x="2805"/>
        <item x="957"/>
        <item x="2516"/>
        <item x="3025"/>
        <item x="1494"/>
        <item x="984"/>
        <item x="398"/>
        <item x="1998"/>
        <item x="829"/>
        <item x="2331"/>
        <item x="177"/>
        <item x="2577"/>
        <item x="560"/>
        <item x="410"/>
        <item x="3069"/>
        <item x="1523"/>
        <item x="2629"/>
        <item x="2444"/>
        <item x="3534"/>
        <item x="1728"/>
        <item x="868"/>
        <item x="449"/>
        <item x="1584"/>
        <item x="1775"/>
        <item x="2130"/>
        <item x="1349"/>
        <item x="3020"/>
        <item x="557"/>
        <item x="3102"/>
        <item x="1831"/>
        <item x="3029"/>
        <item x="1954"/>
        <item x="1167"/>
        <item x="462"/>
        <item x="1365"/>
        <item x="3172"/>
        <item x="3159"/>
        <item x="2532"/>
        <item x="2029"/>
        <item x="2640"/>
        <item x="1229"/>
        <item x="3119"/>
        <item x="2623"/>
        <item x="968"/>
        <item x="455"/>
        <item x="1226"/>
        <item x="3203"/>
        <item x="3182"/>
        <item x="669"/>
        <item x="2884"/>
        <item x="3079"/>
        <item x="3501"/>
        <item x="2609"/>
        <item x="1962"/>
        <item x="893"/>
        <item x="3018"/>
        <item x="3495"/>
        <item x="2424"/>
        <item x="2014"/>
        <item x="3325"/>
        <item x="2898"/>
        <item x="548"/>
        <item x="1209"/>
        <item x="1731"/>
        <item x="1872"/>
        <item x="1512"/>
        <item x="437"/>
        <item x="836"/>
        <item x="3188"/>
        <item x="507"/>
        <item x="3208"/>
        <item x="1853"/>
        <item x="1411"/>
        <item x="3530"/>
        <item x="671"/>
        <item x="1674"/>
        <item x="1142"/>
        <item x="2313"/>
        <item x="2940"/>
        <item x="1272"/>
        <item x="1656"/>
        <item x="1208"/>
        <item x="1283"/>
        <item x="1652"/>
        <item x="2607"/>
        <item x="411"/>
        <item x="10"/>
        <item x="2578"/>
        <item x="2764"/>
        <item x="2166"/>
        <item x="1086"/>
        <item x="925"/>
        <item x="2534"/>
        <item x="1763"/>
        <item x="3091"/>
        <item x="861"/>
        <item x="2978"/>
        <item x="2382"/>
        <item x="458"/>
        <item x="3443"/>
        <item x="278"/>
        <item x="1688"/>
        <item x="1145"/>
        <item x="2567"/>
        <item x="828"/>
        <item x="3112"/>
        <item x="344"/>
        <item x="3445"/>
        <item x="2249"/>
        <item x="2848"/>
        <item x="1933"/>
        <item x="1205"/>
        <item x="1896"/>
        <item x="3162"/>
        <item x="1680"/>
        <item x="425"/>
        <item x="568"/>
        <item x="3027"/>
        <item x="1650"/>
        <item x="1128"/>
        <item x="3211"/>
        <item x="562"/>
        <item x="1821"/>
        <item x="279"/>
        <item x="2693"/>
        <item x="1951"/>
        <item x="542"/>
        <item x="2300"/>
        <item x="1319"/>
        <item x="2714"/>
        <item x="3281"/>
        <item x="3184"/>
        <item x="3301"/>
        <item x="1691"/>
        <item x="2645"/>
        <item x="3456"/>
        <item x="1192"/>
        <item x="945"/>
        <item x="1889"/>
        <item x="2785"/>
        <item x="2329"/>
        <item x="1636"/>
        <item x="1932"/>
        <item x="3286"/>
        <item x="2533"/>
        <item x="1903"/>
        <item x="886"/>
        <item x="1011"/>
        <item x="2731"/>
        <item x="3137"/>
        <item x="2787"/>
        <item x="890"/>
        <item x="1921"/>
        <item x="3158"/>
        <item x="3108"/>
        <item x="2333"/>
        <item x="26"/>
        <item x="456"/>
        <item x="2049"/>
        <item x="2350"/>
        <item x="3002"/>
        <item x="1231"/>
        <item x="906"/>
        <item x="3202"/>
        <item x="1326"/>
        <item x="1295"/>
        <item x="1028"/>
        <item x="1415"/>
        <item x="2505"/>
        <item x="3269"/>
        <item x="3008"/>
        <item x="3141"/>
        <item x="3480"/>
        <item x="853"/>
        <item x="825"/>
        <item x="1246"/>
        <item x="1931"/>
        <item x="1891"/>
        <item x="2171"/>
        <item x="1579"/>
        <item x="910"/>
        <item x="2525"/>
        <item x="1590"/>
        <item x="1825"/>
        <item x="539"/>
        <item x="983"/>
        <item x="1463"/>
        <item x="1606"/>
        <item x="336"/>
        <item x="422"/>
        <item x="547"/>
        <item x="894"/>
        <item x="2423"/>
        <item x="1727"/>
        <item x="2531"/>
        <item x="2320"/>
        <item x="3252"/>
        <item x="1522"/>
        <item x="2572"/>
        <item x="340"/>
        <item x="2238"/>
        <item x="843"/>
        <item x="1518"/>
        <item x="213"/>
        <item x="2311"/>
        <item x="940"/>
        <item x="3153"/>
        <item x="3446"/>
        <item x="1969"/>
        <item x="1204"/>
        <item x="2733"/>
        <item x="1496"/>
        <item x="1466"/>
        <item x="2502"/>
        <item x="3554"/>
        <item x="1684"/>
        <item x="2277"/>
        <item x="2829"/>
        <item x="2969"/>
        <item x="1169"/>
        <item x="761"/>
        <item x="1812"/>
        <item x="3478"/>
        <item x="3365"/>
        <item x="2643"/>
        <item x="1906"/>
        <item x="606"/>
        <item x="2048"/>
        <item x="3292"/>
        <item x="350"/>
        <item x="1646"/>
        <item x="933"/>
        <item x="569"/>
        <item x="2379"/>
        <item x="1281"/>
        <item x="1401"/>
        <item x="2251"/>
        <item x="2988"/>
        <item x="1241"/>
        <item x="1130"/>
        <item x="2743"/>
        <item x="3483"/>
        <item x="1676"/>
        <item x="823"/>
        <item x="2334"/>
        <item x="400"/>
        <item x="889"/>
        <item x="2889"/>
        <item x="1977"/>
        <item x="1647"/>
        <item x="1430"/>
        <item x="1176"/>
        <item x="406"/>
        <item x="1811"/>
        <item x="1577"/>
        <item x="3101"/>
        <item x="1216"/>
        <item x="818"/>
        <item x="347"/>
        <item x="1348"/>
        <item x="2319"/>
        <item x="2619"/>
        <item x="2328"/>
        <item x="2501"/>
        <item x="2575"/>
        <item x="1819"/>
        <item x="1195"/>
        <item x="2168"/>
        <item x="2317"/>
        <item x="3413"/>
        <item x="1002"/>
        <item x="1224"/>
        <item x="2705"/>
        <item x="3204"/>
        <item x="2762"/>
        <item x="111"/>
        <item x="1223"/>
        <item x="1198"/>
        <item x="2535"/>
        <item x="1824"/>
        <item x="3264"/>
        <item x="564"/>
        <item x="137"/>
        <item x="2783"/>
        <item x="2963"/>
        <item x="1809"/>
        <item x="1396"/>
        <item x="951"/>
        <item x="3163"/>
        <item x="724"/>
        <item x="2372"/>
        <item x="3060"/>
        <item x="1423"/>
        <item x="3080"/>
        <item x="670"/>
        <item x="1970"/>
        <item x="1439"/>
        <item x="1712"/>
        <item x="1309"/>
        <item x="3015"/>
        <item x="596"/>
        <item x="3003"/>
        <item x="579"/>
        <item x="3239"/>
        <item x="3189"/>
        <item x="2507"/>
        <item x="2748"/>
        <item x="1072"/>
        <item x="595"/>
        <item x="1448"/>
        <item x="3294"/>
        <item x="494"/>
        <item x="1503"/>
        <item x="3092"/>
        <item x="3077"/>
        <item x="1935"/>
        <item x="3100"/>
        <item x="1179"/>
        <item x="1833"/>
        <item x="3023"/>
        <item x="758"/>
        <item x="1890"/>
        <item x="2497"/>
        <item x="584"/>
        <item x="2360"/>
        <item x="2760"/>
        <item x="959"/>
        <item x="3327"/>
        <item x="898"/>
        <item x="1307"/>
        <item x="3505"/>
        <item x="1689"/>
        <item x="3209"/>
        <item x="1069"/>
        <item x="509"/>
        <item x="1947"/>
        <item x="827"/>
        <item x="1308"/>
        <item x="2172"/>
        <item x="3511"/>
        <item x="3363"/>
        <item x="1211"/>
        <item x="1487"/>
        <item x="1513"/>
        <item x="3036"/>
        <item x="3014"/>
        <item x="883"/>
        <item x="697"/>
        <item x="2170"/>
        <item x="1870"/>
        <item x="1215"/>
        <item x="1469"/>
        <item x="2636"/>
        <item x="3467"/>
        <item x="148"/>
        <item x="661"/>
        <item x="405"/>
        <item x="2555"/>
        <item x="1267"/>
        <item x="1685"/>
        <item x="1232"/>
        <item x="2726"/>
        <item x="3074"/>
        <item x="546"/>
        <item x="404"/>
        <item x="1342"/>
        <item x="420"/>
        <item x="2861"/>
        <item x="335"/>
        <item x="897"/>
        <item x="2456"/>
        <item x="2367"/>
        <item x="2503"/>
        <item x="811"/>
        <item x="1081"/>
        <item x="2345"/>
        <item x="3348"/>
        <item x="1785"/>
        <item x="2457"/>
        <item x="1976"/>
        <item x="1846"/>
        <item x="1616"/>
        <item x="3287"/>
        <item x="1220"/>
        <item x="3481"/>
        <item x="2686"/>
        <item x="1197"/>
        <item x="665"/>
        <item x="1601"/>
        <item x="1187"/>
        <item x="1021"/>
        <item x="2195"/>
        <item x="2528"/>
        <item x="1726"/>
        <item x="3148"/>
        <item x="1986"/>
        <item x="2542"/>
        <item x="2529"/>
        <item x="2023"/>
        <item x="3529"/>
        <item x="1284"/>
        <item x="1341"/>
        <item x="3175"/>
        <item x="801"/>
        <item x="2515"/>
        <item x="2308"/>
        <item x="1883"/>
        <item x="3166"/>
        <item x="2932"/>
        <item x="1658"/>
        <item x="3423"/>
        <item x="1238"/>
        <item x="3207"/>
        <item x="399"/>
        <item x="1789"/>
        <item x="2761"/>
        <item x="3288"/>
        <item x="3322"/>
        <item x="1663"/>
        <item x="1186"/>
        <item x="283"/>
        <item x="1869"/>
        <item x="2843"/>
        <item x="3335"/>
        <item x="2255"/>
        <item x="3515"/>
        <item x="904"/>
        <item x="1585"/>
        <item x="2527"/>
        <item x="20"/>
        <item x="1926"/>
        <item x="3496"/>
        <item x="3065"/>
        <item x="3081"/>
        <item x="1387"/>
        <item x="2699"/>
        <item x="3310"/>
        <item x="333"/>
        <item x="1045"/>
        <item x="1063"/>
        <item x="3022"/>
        <item x="1596"/>
        <item x="2579"/>
        <item x="1940"/>
        <item x="1985"/>
        <item x="3045"/>
        <item x="1615"/>
        <item x="1164"/>
        <item x="1141"/>
        <item x="3546"/>
        <item x="1310"/>
        <item x="1934"/>
        <item x="1944"/>
        <item x="2310"/>
        <item x="3532"/>
        <item x="281"/>
        <item x="1263"/>
        <item x="3124"/>
        <item x="1268"/>
        <item x="224"/>
        <item x="3425"/>
        <item x="2164"/>
        <item x="1687"/>
        <item x="2644"/>
        <item x="3021"/>
        <item x="3197"/>
        <item x="885"/>
        <item x="1329"/>
        <item x="1350"/>
        <item x="3353"/>
        <item x="1218"/>
        <item x="2968"/>
        <item x="1327"/>
        <item x="604"/>
        <item x="658"/>
        <item x="1254"/>
        <item x="3296"/>
        <item x="1900"/>
        <item x="321"/>
        <item x="3479"/>
        <item x="3493"/>
        <item x="2069"/>
        <item x="1012"/>
        <item x="3154"/>
        <item x="2860"/>
        <item x="982"/>
        <item x="1602"/>
        <item x="2928"/>
        <item x="3284"/>
        <item x="830"/>
        <item x="1668"/>
        <item x="2394"/>
        <item x="2888"/>
        <item x="2421"/>
        <item x="1156"/>
        <item x="345"/>
        <item x="1478"/>
        <item x="2986"/>
        <item x="528"/>
        <item x="3293"/>
        <item x="1161"/>
        <item x="3146"/>
        <item x="3337"/>
        <item x="3334"/>
        <item x="3169"/>
        <item x="2571"/>
        <item x="1155"/>
        <item x="1751"/>
        <item x="2473"/>
        <item x="354"/>
        <item x="3333"/>
        <item x="605"/>
        <item x="1178"/>
        <item x="1225"/>
        <item x="2998"/>
        <item x="2929"/>
        <item x="888"/>
        <item x="3531"/>
        <item x="1968"/>
        <item x="91"/>
        <item x="1984"/>
        <item x="698"/>
        <item x="2005"/>
        <item x="3482"/>
        <item x="2282"/>
        <item x="1659"/>
        <item x="1981"/>
        <item x="884"/>
        <item x="860"/>
        <item x="2950"/>
        <item x="1568"/>
        <item x="2393"/>
        <item x="838"/>
        <item x="2389"/>
        <item x="597"/>
        <item x="2566"/>
        <item x="1713"/>
        <item x="3254"/>
        <item x="2798"/>
        <item x="810"/>
        <item x="1710"/>
        <item x="1171"/>
        <item x="3118"/>
        <item x="3331"/>
        <item x="1576"/>
        <item x="1148"/>
        <item x="1657"/>
        <item x="1222"/>
        <item x="1711"/>
        <item x="1421"/>
        <item x="3424"/>
        <item x="85"/>
        <item x="1725"/>
        <item x="1651"/>
        <item x="2316"/>
        <item x="236"/>
        <item x="1740"/>
        <item x="2892"/>
        <item x="869"/>
        <item x="663"/>
        <item x="1620"/>
        <item x="2126"/>
        <item x="1653"/>
        <item x="2478"/>
        <item x="328"/>
        <item x="848"/>
        <item x="1700"/>
        <item x="2380"/>
        <item x="1213"/>
        <item x="2995"/>
        <item x="1180"/>
        <item x="3216"/>
        <item x="1704"/>
        <item x="1265"/>
        <item x="2538"/>
        <item x="704"/>
        <item x="2985"/>
        <item x="1364"/>
        <item x="1779"/>
        <item x="1753"/>
        <item x="608"/>
        <item x="767"/>
        <item x="255"/>
        <item x="1654"/>
        <item x="2479"/>
        <item x="348"/>
        <item x="1957"/>
        <item x="1611"/>
        <item x="728"/>
        <item x="1502"/>
        <item x="1453"/>
        <item x="3117"/>
        <item x="3330"/>
        <item x="2765"/>
        <item x="1635"/>
        <item x="1534"/>
        <item x="2169"/>
        <item x="2351"/>
        <item x="3342"/>
        <item x="3441"/>
        <item x="2463"/>
        <item x="2952"/>
        <item x="2526"/>
        <item x="2020"/>
        <item x="3329"/>
        <item x="1703"/>
        <item x="239"/>
        <item x="2437"/>
        <item x="1733"/>
        <item x="907"/>
        <item x="2309"/>
        <item x="524"/>
        <item x="1692"/>
        <item x="3256"/>
        <item x="3280"/>
        <item x="487"/>
        <item x="3336"/>
        <item x="1660"/>
        <item x="3190"/>
        <item x="1588"/>
        <item x="1479"/>
        <item x="5"/>
        <item x="2682"/>
        <item x="2096"/>
        <item x="1771"/>
        <item x="1810"/>
        <item x="332"/>
        <item x="25"/>
        <item x="2477"/>
        <item x="1827"/>
        <item x="3105"/>
        <item x="2536"/>
        <item x="2517"/>
        <item x="2605"/>
        <item x="18"/>
        <item x="3078"/>
        <item x="1227"/>
        <item x="1219"/>
        <item x="2163"/>
        <item x="3273"/>
        <item x="887"/>
        <item x="2312"/>
        <item x="1168"/>
        <item x="1235"/>
        <item x="3408"/>
        <item x="3381"/>
        <item x="1837"/>
        <item x="1230"/>
        <item x="1134"/>
        <item x="1879"/>
        <item x="3250"/>
        <item x="3407"/>
        <item x="3512"/>
        <item x="6"/>
        <item x="2071"/>
        <item x="1316"/>
        <item x="3171"/>
        <item x="1266"/>
        <item x="1553"/>
        <item x="1829"/>
        <item x="2656"/>
        <item x="1916"/>
        <item x="2094"/>
        <item x="3389"/>
        <item x="3436"/>
        <item x="2926"/>
        <item x="3011"/>
        <item x="1291"/>
        <item x="1228"/>
        <item x="3185"/>
        <item x="2417"/>
        <item x="248"/>
        <item x="1919"/>
        <item x="109"/>
        <item x="2696"/>
        <item x="1591"/>
        <item x="3320"/>
        <item x="3144"/>
        <item x="952"/>
        <item x="3317"/>
        <item x="1413"/>
        <item x="1698"/>
        <item x="1662"/>
        <item x="3302"/>
        <item x="1909"/>
        <item x="1708"/>
        <item x="2468"/>
        <item x="374"/>
        <item x="2973"/>
        <item x="3270"/>
        <item x="1612"/>
        <item x="337"/>
        <item x="1828"/>
        <item x="1468"/>
        <item x="1979"/>
        <item x="1467"/>
        <item x="3347"/>
        <item x="681"/>
        <item x="3177"/>
        <item x="3518"/>
        <item x="1380"/>
        <item x="574"/>
        <item x="1001"/>
        <item x="1465"/>
        <item x="2759"/>
        <item x="2368"/>
        <item x="2322"/>
        <item x="2455"/>
        <item x="1677"/>
        <item x="2160"/>
        <item x="500"/>
        <item x="2307"/>
        <item x="2250"/>
        <item x="1536"/>
        <item x="2734"/>
        <item x="1604"/>
        <item x="2301"/>
        <item x="3316"/>
        <item x="1362"/>
        <item x="601"/>
        <item x="1402"/>
        <item x="3006"/>
        <item x="1750"/>
        <item x="936"/>
        <item x="3370"/>
        <item x="1570"/>
        <item x="1927"/>
        <item x="2101"/>
        <item x="3338"/>
        <item x="3414"/>
        <item x="2466"/>
        <item x="1244"/>
        <item x="1693"/>
        <item x="3168"/>
        <item x="3178"/>
        <item x="1904"/>
        <item x="727"/>
        <item x="3543"/>
        <item x="1826"/>
        <item x="1061"/>
        <item x="3491"/>
        <item x="1559"/>
        <item x="317"/>
        <item x="481"/>
        <item x="2218"/>
        <item x="2769"/>
        <item x="659"/>
        <item x="3120"/>
        <item x="2415"/>
        <item x="1554"/>
        <item x="3199"/>
        <item x="1193"/>
        <item x="2856"/>
        <item x="3308"/>
        <item x="3283"/>
        <item x="8"/>
        <item x="3224"/>
        <item x="2197"/>
        <item x="729"/>
        <item x="3343"/>
        <item x="2766"/>
        <item x="3009"/>
        <item x="2275"/>
        <item x="3373"/>
        <item x="2500"/>
        <item x="1765"/>
        <item x="3533"/>
        <item x="3053"/>
        <item x="3386"/>
        <item x="90"/>
        <item x="2037"/>
        <item x="444"/>
        <item x="412"/>
        <item x="859"/>
        <item x="1603"/>
        <item x="3268"/>
        <item x="1706"/>
        <item x="3298"/>
        <item x="1030"/>
        <item x="3299"/>
        <item x="2918"/>
        <item x="3553"/>
        <item x="1306"/>
        <item x="1054"/>
        <item x="9"/>
        <item x="2676"/>
        <item x="1736"/>
        <item x="329"/>
        <item x="3497"/>
        <item x="1738"/>
        <item x="1552"/>
        <item x="1437"/>
        <item x="1735"/>
        <item x="1048"/>
        <item x="1252"/>
        <item x="3492"/>
        <item x="3044"/>
        <item x="2124"/>
        <item x="3000"/>
        <item x="1024"/>
        <item x="1372"/>
        <item x="3131"/>
        <item x="1207"/>
        <item x="909"/>
        <item x="1578"/>
        <item x="282"/>
        <item x="450"/>
        <item x="1901"/>
        <item x="2413"/>
        <item x="2732"/>
        <item x="3372"/>
        <item x="667"/>
        <item x="3472"/>
        <item x="1278"/>
        <item x="503"/>
        <item x="2252"/>
        <item x="1340"/>
        <item x="1813"/>
        <item x="722"/>
        <item x="319"/>
        <item x="421"/>
        <item x="2993"/>
        <item x="3156"/>
        <item x="598"/>
        <item x="1556"/>
        <item x="3474"/>
        <item x="1255"/>
        <item x="1459"/>
        <item x="2541"/>
        <item x="2256"/>
        <item x="1200"/>
        <item x="3243"/>
        <item x="499"/>
        <item x="808"/>
        <item x="1928"/>
        <item x="1259"/>
        <item x="1175"/>
        <item x="2036"/>
        <item x="3374"/>
        <item x="1773"/>
        <item x="3094"/>
        <item x="2281"/>
        <item x="3395"/>
        <item x="2989"/>
        <item x="1786"/>
        <item x="3378"/>
        <item x="2074"/>
        <item x="243"/>
        <item x="3058"/>
        <item x="1924"/>
        <item x="3536"/>
        <item x="3332"/>
        <item x="3140"/>
        <item x="391"/>
        <item x="3535"/>
        <item x="3375"/>
        <item x="609"/>
        <item x="125"/>
        <item x="3181"/>
        <item x="1202"/>
        <item x="3289"/>
        <item x="1899"/>
        <item x="3451"/>
        <item x="2439"/>
        <item x="2659"/>
        <item x="2039"/>
        <item x="1769"/>
        <item x="3394"/>
        <item x="1772"/>
        <item x="1655"/>
        <item x="3201"/>
        <item x="3305"/>
        <item x="847"/>
        <item x="590"/>
        <item x="1551"/>
        <item x="1446"/>
        <item x="3192"/>
        <item x="1865"/>
        <item x="3145"/>
        <item x="1960"/>
        <item x="316"/>
        <item x="563"/>
        <item x="2341"/>
        <item x="668"/>
        <item x="788"/>
        <item x="2941"/>
        <item x="3379"/>
        <item x="2658"/>
        <item x="1690"/>
        <item x="1384"/>
        <item x="1664"/>
        <item x="1132"/>
        <item x="342"/>
        <item x="1015"/>
        <item x="1637"/>
        <item x="2944"/>
        <item x="3341"/>
        <item x="2304"/>
        <item x="2418"/>
        <item x="3257"/>
        <item x="3498"/>
        <item x="1980"/>
        <item x="2771"/>
        <item x="1305"/>
        <item x="3346"/>
        <item x="3260"/>
        <item x="3205"/>
        <item x="1288"/>
        <item x="2480"/>
        <item x="930"/>
        <item x="3167"/>
        <item x="792"/>
        <item x="2000"/>
        <item x="1407"/>
        <item x="809"/>
        <item x="3129"/>
        <item x="466"/>
        <item x="3311"/>
        <item x="1005"/>
        <item x="2248"/>
        <item x="3024"/>
        <item x="1767"/>
        <item x="2593"/>
        <item x="1360"/>
        <item x="2340"/>
        <item x="1525"/>
        <item x="1863"/>
        <item x="2019"/>
        <item x="1474"/>
        <item x="1982"/>
        <item x="2499"/>
        <item x="2193"/>
        <item x="267"/>
        <item x="504"/>
        <item x="2044"/>
        <item x="1412"/>
        <item x="3278"/>
        <item x="2999"/>
        <item x="2118"/>
        <item x="17"/>
        <item x="2043"/>
        <item x="2498"/>
        <item x="3403"/>
        <item x="3397"/>
        <item x="731"/>
        <item x="1614"/>
        <item x="1978"/>
        <item x="2325"/>
        <item x="2165"/>
        <item x="1312"/>
        <item x="891"/>
        <item x="1447"/>
        <item x="2079"/>
        <item x="3339"/>
        <item x="3180"/>
        <item x="2264"/>
        <item x="1428"/>
        <item x="3477"/>
        <item x="122"/>
        <item x="3038"/>
        <item x="415"/>
        <item x="3500"/>
        <item x="2677"/>
        <item x="602"/>
        <item x="2744"/>
        <item x="386"/>
        <item x="1558"/>
        <item x="3290"/>
        <item x="2806"/>
        <item x="1320"/>
        <item x="1720"/>
        <item x="2375"/>
        <item x="3340"/>
        <item x="358"/>
        <item x="937"/>
        <item x="440"/>
        <item x="3135"/>
        <item x="3470"/>
        <item x="2215"/>
        <item x="1166"/>
        <item x="1746"/>
        <item x="45"/>
        <item x="2013"/>
        <item x="3484"/>
        <item x="1051"/>
        <item x="3147"/>
        <item x="3309"/>
        <item x="1613"/>
        <item x="83"/>
        <item x="2692"/>
        <item x="1052"/>
        <item x="2496"/>
        <item x="3095"/>
        <item x="2964"/>
        <item x="2481"/>
        <item x="362"/>
        <item x="3214"/>
        <item x="1707"/>
        <item x="1129"/>
        <item x="2795"/>
        <item x="2315"/>
        <item x="1237"/>
        <item x="3447"/>
        <item x="733"/>
        <item x="3087"/>
        <item x="3380"/>
        <item x="2992"/>
        <item x="1922"/>
        <item x="1587"/>
        <item x="2654"/>
        <item x="2996"/>
        <item x="3232"/>
        <item x="3039"/>
        <item x="1856"/>
        <item x="934"/>
        <item x="2302"/>
        <item x="1747"/>
        <item x="3034"/>
        <item x="3093"/>
        <item x="392"/>
        <item x="1983"/>
        <item x="119"/>
        <item x="3"/>
        <item x="261"/>
        <item x="1667"/>
        <item x="2452"/>
        <item x="1363"/>
        <item x="1992"/>
        <item x="1203"/>
        <item x="1914"/>
        <item x="254"/>
        <item x="1917"/>
        <item x="1514"/>
        <item x="3160"/>
        <item x="1378"/>
        <item x="286"/>
        <item x="1249"/>
        <item x="1274"/>
        <item x="3012"/>
        <item x="2373"/>
        <item x="1805"/>
        <item x="947"/>
        <item x="7"/>
        <item x="1884"/>
        <item x="1758"/>
        <item x="3099"/>
        <item x="666"/>
        <item x="1892"/>
        <item x="3324"/>
        <item x="1520"/>
        <item x="1493"/>
        <item x="3251"/>
        <item x="1240"/>
        <item x="1857"/>
        <item x="1626"/>
        <item x="52"/>
        <item x="3262"/>
        <item x="2909"/>
        <item x="89"/>
        <item x="315"/>
        <item x="491"/>
        <item x="2930"/>
        <item x="3236"/>
        <item x="2254"/>
        <item x="2395"/>
        <item x="3215"/>
        <item x="1745"/>
        <item x="651"/>
        <item x="1131"/>
        <item x="57"/>
        <item x="1390"/>
        <item x="1414"/>
        <item x="61"/>
        <item x="1744"/>
        <item x="237"/>
        <item x="129"/>
        <item x="246"/>
        <item x="1260"/>
        <item x="2004"/>
        <item x="2729"/>
        <item x="1761"/>
        <item x="3387"/>
        <item x="2112"/>
        <item x="3319"/>
        <item x="1849"/>
        <item x="2835"/>
        <item x="1444"/>
        <item x="1912"/>
        <item x="2565"/>
        <item x="1838"/>
        <item x="1382"/>
        <item x="367"/>
        <item x="1057"/>
        <item x="323"/>
        <item x="766"/>
        <item x="3059"/>
        <item x="710"/>
        <item x="1170"/>
        <item x="3279"/>
        <item x="1330"/>
        <item x="2474"/>
        <item x="1555"/>
        <item x="1445"/>
        <item x="2711"/>
        <item x="534"/>
        <item x="393"/>
        <item x="1324"/>
        <item x="402"/>
        <item x="3390"/>
        <item x="113"/>
        <item x="2584"/>
        <item x="882"/>
        <item x="1154"/>
        <item x="2652"/>
        <item x="3030"/>
        <item x="2934"/>
        <item x="2476"/>
        <item x="917"/>
        <item x="3291"/>
        <item x="2638"/>
        <item x="1621"/>
        <item x="3210"/>
        <item x="1317"/>
        <item x="3050"/>
        <item x="719"/>
        <item x="2464"/>
        <item x="489"/>
        <item x="441"/>
        <item x="900"/>
        <item x="1561"/>
        <item x="3196"/>
        <item x="1752"/>
        <item x="2568"/>
        <item x="3377"/>
        <item x="50"/>
        <item x="699"/>
        <item x="112"/>
        <item x="901"/>
        <item x="1630"/>
        <item x="1385"/>
        <item x="1671"/>
        <item x="593"/>
        <item x="60"/>
        <item x="419"/>
        <item x="1629"/>
        <item x="2453"/>
        <item x="1608"/>
        <item x="3539"/>
        <item x="3244"/>
        <item x="110"/>
        <item x="2065"/>
        <item x="2167"/>
        <item x="118"/>
        <item x="3401"/>
        <item x="1792"/>
        <item x="1236"/>
        <item x="1550"/>
        <item x="2115"/>
        <item x="2144"/>
        <item x="972"/>
        <item x="216"/>
        <item x="1618"/>
        <item x="1262"/>
        <item x="3402"/>
        <item x="1321"/>
        <item x="1729"/>
        <item x="721"/>
        <item x="2089"/>
        <item x="1790"/>
        <item x="1182"/>
        <item x="1417"/>
        <item x="1755"/>
        <item x="1619"/>
        <item x="1391"/>
        <item x="2095"/>
        <item x="1519"/>
        <item x="2635"/>
        <item x="3017"/>
        <item x="1354"/>
        <item x="1841"/>
        <item x="1314"/>
        <item x="3506"/>
        <item x="2814"/>
        <item x="1631"/>
        <item x="1504"/>
        <item x="3263"/>
        <item x="2980"/>
        <item x="3026"/>
        <item x="1781"/>
        <item x="1814"/>
        <item x="865"/>
        <item x="1852"/>
        <item x="1557"/>
        <item x="3369"/>
        <item x="424"/>
        <item x="397"/>
        <item x="2299"/>
        <item x="1788"/>
        <item x="2706"/>
        <item x="1127"/>
        <item x="1243"/>
        <item x="3142"/>
        <item x="3121"/>
        <item x="3115"/>
        <item x="3400"/>
        <item x="145"/>
        <item x="3488"/>
        <item x="2938"/>
        <item x="1458"/>
        <item x="3001"/>
        <item x="2374"/>
        <item x="1183"/>
        <item x="2512"/>
        <item x="309"/>
        <item x="1993"/>
        <item x="2242"/>
        <item x="448"/>
        <item x="1386"/>
        <item x="1670"/>
        <item x="1628"/>
        <item x="1185"/>
        <item x="505"/>
        <item x="490"/>
        <item x="1709"/>
        <item x="1544"/>
        <item x="1768"/>
        <item x="964"/>
        <item x="3396"/>
        <item x="21"/>
        <item x="3125"/>
        <item x="2092"/>
        <item x="3085"/>
        <item x="2467"/>
        <item x="798"/>
        <item x="3259"/>
        <item x="1424"/>
        <item x="3490"/>
        <item x="3559"/>
        <item x="1541"/>
        <item x="2143"/>
        <item x="1408"/>
        <item x="1939"/>
        <item x="1694"/>
        <item x="1967"/>
        <item x="702"/>
        <item x="87"/>
        <item x="2707"/>
        <item x="1023"/>
        <item x="211"/>
        <item x="3004"/>
        <item x="1221"/>
        <item x="2698"/>
        <item x="1839"/>
        <item x="2142"/>
        <item x="2015"/>
        <item x="2891"/>
        <item x="84"/>
        <item x="3313"/>
        <item x="586"/>
        <item x="1678"/>
        <item x="387"/>
        <item x="831"/>
        <item x="1287"/>
        <item x="508"/>
        <item x="2715"/>
        <item x="3376"/>
        <item x="3563"/>
        <item x="531"/>
        <item x="1374"/>
        <item x="903"/>
        <item x="2093"/>
        <item x="1793"/>
        <item x="662"/>
        <item x="1194"/>
        <item x="1454"/>
        <item x="1338"/>
        <item x="1492"/>
        <item x="3303"/>
        <item x="967"/>
        <item x="418"/>
        <item x="1296"/>
        <item x="2235"/>
        <item x="2537"/>
        <item x="1864"/>
        <item x="3042"/>
        <item x="1818"/>
        <item x="2874"/>
        <item x="3261"/>
        <item x="92"/>
        <item x="2639"/>
        <item x="1717"/>
        <item x="1842"/>
        <item x="2651"/>
        <item x="2436"/>
        <item x="2196"/>
        <item x="3416"/>
        <item x="1610"/>
        <item x="545"/>
        <item x="835"/>
        <item x="3307"/>
        <item x="3485"/>
        <item x="3226"/>
        <item x="3266"/>
        <item x="705"/>
        <item x="1435"/>
        <item x="117"/>
        <item x="1567"/>
        <item x="1388"/>
        <item x="1830"/>
        <item x="193"/>
        <item x="790"/>
        <item x="3537"/>
        <item x="247"/>
        <item x="2475"/>
        <item x="880"/>
        <item x="2349"/>
        <item x="3109"/>
        <item x="388"/>
        <item x="3344"/>
        <item x="1759"/>
        <item x="3183"/>
        <item x="3415"/>
        <item x="536"/>
        <item x="1915"/>
        <item x="1242"/>
        <item x="2339"/>
        <item x="3557"/>
        <item x="1669"/>
        <item x="1990"/>
        <item x="3097"/>
        <item x="3487"/>
        <item x="322"/>
        <item x="1617"/>
        <item x="3221"/>
        <item x="3223"/>
        <item x="1373"/>
        <item x="1542"/>
        <item x="2786"/>
        <item x="220"/>
        <item x="1393"/>
        <item x="1802"/>
        <item x="3417"/>
        <item x="1481"/>
        <item x="3234"/>
        <item x="1627"/>
        <item x="1832"/>
        <item x="3371"/>
        <item x="1705"/>
        <item x="451"/>
        <item x="2414"/>
        <item x="899"/>
        <item x="1776"/>
        <item x="1366"/>
        <item x="3195"/>
        <item x="3161"/>
        <item x="2793"/>
        <item x="3405"/>
        <item x="1093"/>
        <item x="725"/>
        <item x="3164"/>
        <item x="250"/>
        <item x="1850"/>
        <item x="1313"/>
        <item x="3538"/>
        <item x="2630"/>
        <item x="2412"/>
        <item x="58"/>
        <item x="1450"/>
        <item x="2462"/>
        <item x="3233"/>
        <item x="1004"/>
        <item x="147"/>
        <item x="365"/>
        <item x="2026"/>
        <item x="723"/>
        <item x="2422"/>
        <item x="361"/>
        <item x="764"/>
        <item x="3198"/>
        <item x="1449"/>
        <item x="2114"/>
        <item x="16"/>
        <item x="222"/>
        <item x="1125"/>
        <item x="732"/>
        <item x="3561"/>
        <item x="2540"/>
        <item x="3271"/>
        <item x="1403"/>
        <item x="2392"/>
        <item x="3231"/>
        <item x="1718"/>
        <item x="3031"/>
        <item x="1702"/>
        <item x="3186"/>
        <item x="1719"/>
        <item x="3435"/>
        <item x="170"/>
        <item x="1097"/>
        <item x="2032"/>
        <item x="772"/>
        <item x="3222"/>
        <item x="1037"/>
        <item x="2342"/>
        <item x="1804"/>
        <item x="1816"/>
        <item x="1806"/>
        <item x="3265"/>
        <item x="2469"/>
        <item x="2390"/>
        <item x="2031"/>
        <item x="3354"/>
        <item x="2684"/>
        <item x="2632"/>
        <item x="2822"/>
        <item x="1563"/>
        <item x="2841"/>
        <item x="2120"/>
        <item x="3552"/>
        <item x="1280"/>
        <item x="1908"/>
        <item x="2983"/>
        <item x="1217"/>
        <item x="708"/>
        <item x="1427"/>
        <item x="3345"/>
        <item x="2895"/>
        <item x="1076"/>
        <item x="260"/>
        <item x="395"/>
        <item x="1103"/>
        <item x="896"/>
        <item x="3541"/>
        <item x="1535"/>
        <item x="3510"/>
        <item x="2435"/>
        <item x="789"/>
        <item x="1874"/>
        <item x="3418"/>
        <item x="2690"/>
        <item x="124"/>
        <item x="120"/>
        <item x="1409"/>
        <item x="3399"/>
        <item x="1730"/>
        <item x="1897"/>
        <item x="241"/>
        <item x="971"/>
        <item x="165"/>
        <item x="1632"/>
        <item x="465"/>
        <item x="1303"/>
        <item x="3088"/>
        <item x="1549"/>
        <item x="3228"/>
        <item x="2021"/>
        <item x="1817"/>
        <item x="1460"/>
        <item x="1796"/>
        <item x="2035"/>
        <item x="492"/>
        <item x="591"/>
        <item x="1803"/>
        <item x="979"/>
        <item x="168"/>
        <item x="2419"/>
        <item x="3272"/>
        <item x="3358"/>
        <item x="3391"/>
        <item x="1801"/>
        <item x="3560"/>
        <item x="1351"/>
        <item x="592"/>
        <item x="916"/>
        <item x="1416"/>
        <item x="760"/>
        <item x="1672"/>
        <item x="2942"/>
        <item x="587"/>
        <item x="3314"/>
        <item x="1748"/>
        <item x="905"/>
        <item x="1640"/>
        <item x="3349"/>
        <item x="3274"/>
        <item x="2472"/>
        <item x="2730"/>
        <item x="2040"/>
        <item x="1325"/>
        <item x="3041"/>
        <item x="2033"/>
        <item x="1032"/>
        <item x="3426"/>
        <item x="1994"/>
        <item x="1673"/>
        <item x="1507"/>
        <item x="218"/>
        <item x="310"/>
        <item x="1017"/>
        <item x="977"/>
        <item x="714"/>
        <item x="256"/>
        <item x="1471"/>
        <item x="1873"/>
        <item x="3457"/>
        <item x="2159"/>
        <item x="1989"/>
        <item x="1770"/>
        <item x="804"/>
        <item x="288"/>
        <item x="313"/>
        <item x="3300"/>
        <item x="495"/>
        <item x="976"/>
        <item x="1084"/>
        <item x="1530"/>
        <item x="2719"/>
        <item x="217"/>
        <item x="1509"/>
        <item x="660"/>
        <item x="3364"/>
        <item x="1247"/>
        <item x="42"/>
        <item x="346"/>
        <item x="2191"/>
        <item x="498"/>
        <item x="414"/>
        <item x="2016"/>
        <item x="2416"/>
        <item x="1212"/>
        <item x="1566"/>
        <item x="3126"/>
        <item x="1379"/>
        <item x="3406"/>
        <item x="3090"/>
        <item x="3384"/>
        <item x="1462"/>
        <item x="3452"/>
        <item x="2876"/>
        <item x="3540"/>
        <item x="530"/>
        <item x="2649"/>
        <item x="2657"/>
        <item x="166"/>
        <item x="2370"/>
        <item x="1065"/>
        <item x="1528"/>
        <item x="2752"/>
        <item x="360"/>
        <item x="2306"/>
        <item x="3237"/>
        <item x="67"/>
        <item x="1484"/>
        <item x="2064"/>
        <item x="765"/>
        <item x="3551"/>
        <item x="1564"/>
        <item x="3028"/>
        <item x="1683"/>
        <item x="2066"/>
        <item x="527"/>
        <item x="41"/>
        <item x="245"/>
        <item x="3297"/>
        <item x="390"/>
        <item x="2240"/>
        <item x="1370"/>
        <item x="3562"/>
        <item x="2943"/>
        <item x="341"/>
        <item x="14"/>
        <item x="1807"/>
        <item x="2721"/>
        <item x="2434"/>
        <item x="589"/>
        <item x="1995"/>
        <item x="3306"/>
        <item x="3382"/>
        <item x="2697"/>
        <item x="359"/>
        <item x="3312"/>
        <item x="1787"/>
        <item x="3089"/>
        <item x="44"/>
        <item x="445"/>
        <item x="464"/>
        <item x="1361"/>
        <item x="1639"/>
        <item x="2007"/>
        <item x="2720"/>
        <item x="3494"/>
        <item x="2343"/>
        <item x="679"/>
        <item x="1843"/>
        <item x="1937"/>
        <item x="558"/>
        <item x="806"/>
        <item x="2583"/>
        <item x="2034"/>
        <item x="2854"/>
        <item x="1375"/>
        <item x="677"/>
        <item x="413"/>
        <item x="3111"/>
        <item x="1294"/>
        <item x="1991"/>
        <item x="312"/>
        <item x="2369"/>
        <item x="447"/>
        <item x="2253"/>
        <item x="3323"/>
        <item x="331"/>
        <item x="782"/>
        <item x="2125"/>
        <item x="1533"/>
        <item x="1682"/>
        <item x="3454"/>
        <item x="171"/>
        <item x="532"/>
        <item x="3460"/>
        <item x="1959"/>
        <item x="1099"/>
        <item x="1757"/>
        <item x="1368"/>
        <item x="482"/>
        <item x="3438"/>
        <item x="3367"/>
        <item x="2121"/>
        <item x="973"/>
        <item x="3176"/>
        <item x="366"/>
        <item x="1108"/>
        <item x="1436"/>
        <item x="966"/>
        <item x="19"/>
        <item x="1609"/>
        <item x="678"/>
        <item x="2519"/>
        <item x="1798"/>
        <item x="2911"/>
        <item x="287"/>
        <item x="3420"/>
        <item x="320"/>
        <item x="703"/>
        <item x="2634"/>
        <item x="2090"/>
        <item x="389"/>
        <item x="1835"/>
        <item x="2116"/>
        <item x="701"/>
        <item x="2028"/>
        <item x="1482"/>
        <item x="2774"/>
        <item x="2694"/>
        <item x="435"/>
        <item x="1665"/>
        <item x="385"/>
        <item x="1743"/>
        <item x="167"/>
        <item x="1815"/>
        <item x="2305"/>
        <item x="212"/>
        <item x="384"/>
        <item x="442"/>
        <item x="1527"/>
        <item x="327"/>
        <item x="396"/>
        <item x="3433"/>
        <item x="1035"/>
        <item x="2236"/>
        <item x="525"/>
        <item x="1840"/>
        <item x="394"/>
        <item x="1451"/>
        <item x="1844"/>
        <item x="3063"/>
        <item x="2246"/>
        <item x="116"/>
        <item x="3430"/>
        <item x="559"/>
        <item x="2521"/>
        <item x="187"/>
        <item x="2091"/>
        <item x="1311"/>
        <item x="1845"/>
        <item x="1531"/>
        <item x="1139"/>
        <item x="208"/>
        <item x="1352"/>
        <item x="837"/>
        <item x="3412"/>
        <item x="1358"/>
        <item x="3350"/>
        <item x="1675"/>
        <item x="114"/>
        <item x="2695"/>
        <item x="1085"/>
        <item x="2010"/>
        <item x="242"/>
        <item x="975"/>
        <item x="3123"/>
        <item x="1485"/>
        <item x="1107"/>
        <item x="1868"/>
        <item x="1529"/>
        <item x="1353"/>
        <item x="554"/>
        <item x="2030"/>
        <item x="783"/>
        <item x="2509"/>
        <item x="249"/>
        <item x="1090"/>
        <item x="1526"/>
        <item x="1075"/>
        <item x="2603"/>
        <item x="2113"/>
        <item x="2283"/>
        <item x="3066"/>
        <item x="3428"/>
        <item x="485"/>
        <item x="2214"/>
        <item x="1009"/>
        <item x="1157"/>
        <item x="1546"/>
        <item x="1539"/>
        <item x="2410"/>
        <item x="3107"/>
        <item x="325"/>
        <item x="2162"/>
        <item x="2510"/>
        <item x="4"/>
        <item x="290"/>
        <item x="990"/>
        <item x="1323"/>
        <item x="3304"/>
        <item x="1470"/>
        <item x="1080"/>
        <item x="326"/>
        <item x="2936"/>
        <item x="1800"/>
        <item x="730"/>
        <item x="2564"/>
        <item x="2213"/>
        <item x="2234"/>
        <item x="2174"/>
        <item x="463"/>
        <item x="501"/>
        <item x="1595"/>
        <item x="1782"/>
        <item x="1490"/>
        <item x="2826"/>
        <item x="1336"/>
        <item x="3383"/>
        <item x="2836"/>
        <item x="1359"/>
        <item x="712"/>
        <item x="1073"/>
        <item x="3392"/>
        <item x="2460"/>
        <item x="673"/>
        <item x="800"/>
        <item x="1332"/>
        <item x="3113"/>
        <item x="3393"/>
        <item x="1866"/>
        <item x="682"/>
        <item x="502"/>
        <item x="2708"/>
        <item x="537"/>
        <item x="1369"/>
        <item x="240"/>
        <item x="1532"/>
        <item x="3110"/>
        <item x="2391"/>
        <item x="3138"/>
        <item x="680"/>
        <item x="3549"/>
        <item x="2024"/>
        <item x="2324"/>
        <item x="3564"/>
        <item x="1399"/>
        <item x="1543"/>
        <item x="2194"/>
        <item x="2523"/>
        <item x="918"/>
        <item x="1498"/>
        <item x="438"/>
        <item x="3082"/>
        <item x="2933"/>
        <item x="1333"/>
        <item x="51"/>
        <item x="12"/>
        <item x="3542"/>
        <item x="1645"/>
        <item x="816"/>
        <item x="1996"/>
        <item x="2465"/>
        <item x="1586"/>
        <item x="436"/>
        <item x="2908"/>
        <item x="284"/>
        <item x="417"/>
        <item x="1834"/>
        <item x="127"/>
        <item x="3427"/>
        <item x="2123"/>
        <item x="339"/>
        <item x="3410"/>
        <item x="1455"/>
        <item x="1357"/>
        <item x="1019"/>
        <item x="1797"/>
        <item x="169"/>
        <item x="1836"/>
        <item x="1339"/>
        <item x="1540"/>
        <item x="2653"/>
        <item x="2454"/>
        <item x="796"/>
        <item x="1583"/>
        <item x="2570"/>
        <item x="244"/>
        <item x="3229"/>
        <item x="2"/>
        <item x="3150"/>
        <item x="3545"/>
        <item x="88"/>
        <item x="2012"/>
        <item x="291"/>
        <item x="3275"/>
        <item x="3096"/>
        <item x="1122"/>
        <item x="364"/>
        <item x="146"/>
        <item x="1331"/>
        <item x="3366"/>
        <item x="493"/>
        <item x="3114"/>
        <item x="1480"/>
        <item x="15"/>
        <item x="1431"/>
        <item x="2912"/>
        <item x="2751"/>
        <item x="3558"/>
        <item x="11"/>
        <item x="93"/>
        <item x="1383"/>
        <item x="2067"/>
        <item x="2522"/>
        <item x="3544"/>
        <item x="3139"/>
        <item x="2279"/>
        <item x="920"/>
        <item x="2025"/>
        <item x="1538"/>
        <item x="164"/>
        <item x="970"/>
        <item x="2042"/>
        <item x="2003"/>
        <item x="3434"/>
        <item x="3439"/>
        <item x="188"/>
        <item x="3449"/>
        <item x="2700"/>
        <item x="3450"/>
        <item x="238"/>
        <item x="2582"/>
        <item x="1799"/>
        <item x="881"/>
        <item x="1322"/>
        <item x="2006"/>
        <item x="1008"/>
        <item x="1594"/>
        <item x="2371"/>
        <item x="3194"/>
        <item x="833"/>
        <item x="416"/>
        <item x="1737"/>
        <item x="1524"/>
        <item x="1930"/>
        <item x="3368"/>
        <item x="1143"/>
        <item x="1452"/>
        <item x="343"/>
        <item x="1724"/>
        <item x="2011"/>
        <item x="849"/>
        <item x="1760"/>
        <item x="1545"/>
        <item x="1997"/>
        <item x="1115"/>
        <item x="2683"/>
        <item x="2569"/>
        <item x="2847"/>
        <item x="1497"/>
        <item x="3362"/>
        <item x="3225"/>
        <item x="1298"/>
        <item x="2276"/>
        <item x="2772"/>
        <item x="3170"/>
        <item x="3218"/>
        <item x="1277"/>
        <item x="852"/>
        <item x="1105"/>
        <item x="3411"/>
        <item x="2073"/>
        <item x="3076"/>
        <item x="1318"/>
        <item x="3357"/>
        <item x="71"/>
        <item x="2161"/>
        <item x="56"/>
        <item x="1289"/>
        <item x="2712"/>
        <item x="3206"/>
        <item x="2002"/>
        <item x="1395"/>
        <item x="221"/>
        <item x="2823"/>
        <item x="588"/>
        <item x="1144"/>
        <item x="3351"/>
        <item x="280"/>
        <item x="2217"/>
        <item x="675"/>
        <item x="2903"/>
        <item x="1562"/>
        <item x="1335"/>
        <item x="2001"/>
        <item x="253"/>
        <item x="2893"/>
        <item x="2280"/>
        <item x="3132"/>
        <item x="2913"/>
        <item x="219"/>
        <item x="1165"/>
        <item x="1642"/>
        <item x="1907"/>
        <item x="1723"/>
        <item x="2574"/>
        <item x="2284"/>
        <item x="2880"/>
        <item x="1783"/>
        <item x="1999"/>
        <item x="1505"/>
        <item x="2314"/>
        <item x="2899"/>
        <item x="2777"/>
        <item x="1820"/>
        <item x="2897"/>
        <item x="908"/>
        <item x="3437"/>
        <item x="1762"/>
        <item x="1377"/>
        <item x="2247"/>
        <item x="2685"/>
        <item x="2852"/>
        <item x="2344"/>
        <item x="258"/>
        <item x="1091"/>
        <item x="1119"/>
        <item x="911"/>
        <item x="1547"/>
        <item x="1282"/>
        <item x="2117"/>
        <item x="1784"/>
        <item x="1102"/>
        <item x="1500"/>
        <item x="3471"/>
        <item x="1302"/>
        <item x="720"/>
        <item x="3179"/>
        <item x="2886"/>
        <item x="2801"/>
        <item x="2243"/>
        <item x="2216"/>
        <item x="1088"/>
        <item x="3276"/>
        <item x="2511"/>
        <item x="1867"/>
        <item x="3432"/>
        <item x="2212"/>
        <item x="1014"/>
        <item x="1644"/>
        <item x="64"/>
        <item x="3547"/>
        <item x="769"/>
        <item x="1822"/>
        <item x="3431"/>
        <item x="54"/>
        <item x="2433"/>
        <item x="1304"/>
        <item x="3187"/>
        <item x="2890"/>
        <item x="3240"/>
        <item x="2119"/>
        <item x="2470"/>
        <item x="746"/>
        <item x="2580"/>
        <item x="1823"/>
        <item x="443"/>
        <item x="1741"/>
        <item x="3128"/>
        <item x="2939"/>
        <item x="1432"/>
        <item x="858"/>
        <item x="3106"/>
        <item x="1337"/>
        <item x="1343"/>
        <item x="915"/>
        <item x="311"/>
        <item x="314"/>
        <item x="2274"/>
        <item x="2851"/>
        <item x="2691"/>
        <item x="3404"/>
        <item x="55"/>
        <item x="289"/>
        <item x="2514"/>
        <item x="1089"/>
        <item x="2303"/>
        <item x="3555"/>
        <item x="2278"/>
        <item x="1560"/>
        <item x="262"/>
        <item x="2346"/>
        <item x="826"/>
        <item x="259"/>
        <item x="307"/>
        <item x="506"/>
        <item x="1941"/>
        <item x="2905"/>
        <item x="1434"/>
        <item x="3356"/>
        <item x="1292"/>
        <item x="2834"/>
        <item x="3238"/>
        <item x="1153"/>
        <item x="3556"/>
        <item x="1661"/>
        <item x="3359"/>
        <item x="53"/>
        <item x="3075"/>
        <item x="2122"/>
        <item x="1754"/>
        <item x="1780"/>
        <item x="610"/>
        <item x="2038"/>
        <item x="1499"/>
        <item x="2745"/>
        <item x="2678"/>
        <item x="2365"/>
        <item x="716"/>
        <item x="1297"/>
        <item x="1766"/>
        <item x="1276"/>
        <item x="3550"/>
        <item x="1495"/>
        <item x="834"/>
        <item x="713"/>
        <item x="987"/>
        <item x="1301"/>
        <item x="151"/>
        <item x="2722"/>
        <item x="1347"/>
        <item x="1114"/>
        <item x="3212"/>
        <item x="3104"/>
        <item x="1643"/>
        <item x="488"/>
        <item x="368"/>
        <item x="2839"/>
        <item x="759"/>
        <item x="1722"/>
        <item x="1641"/>
        <item x="2411"/>
        <item x="3409"/>
        <item x="3219"/>
        <item x="24"/>
        <item x="47"/>
        <item x="210"/>
        <item x="1376"/>
        <item x="1942"/>
        <item x="993"/>
        <item x="308"/>
        <item x="3098"/>
        <item x="1006"/>
        <item x="1092"/>
        <item x="304"/>
        <item x="318"/>
        <item x="3249"/>
        <item x="0"/>
        <item x="2017"/>
        <item x="700"/>
        <item x="446"/>
        <item x="3421"/>
        <item x="2855"/>
        <item x="3440"/>
        <item x="1078"/>
        <item x="1394"/>
        <item x="121"/>
        <item x="3220"/>
        <item x="815"/>
        <item x="251"/>
        <item x="2753"/>
        <item x="3072"/>
        <item x="2027"/>
        <item x="144"/>
        <item x="3217"/>
        <item x="123"/>
        <item x="752"/>
        <item x="1356"/>
        <item x="1013"/>
        <item x="799"/>
        <item x="706"/>
        <item x="3548"/>
        <item x="556"/>
        <item x="2241"/>
        <item x="1367"/>
        <item x="252"/>
        <item x="1457"/>
        <item x="483"/>
        <item x="841"/>
        <item x="1795"/>
        <item x="1344"/>
        <item x="1418"/>
        <item x="324"/>
        <item x="607"/>
        <item x="1371"/>
        <item x="734"/>
        <item x="1116"/>
        <item x="2233"/>
        <item x="2141"/>
        <item x="533"/>
        <item x="526"/>
        <item x="2850"/>
        <item x="1109"/>
        <item x="785"/>
        <item x="1286"/>
        <item x="2581"/>
        <item x="1756"/>
        <item x="2830"/>
        <item x="439"/>
        <item x="879"/>
        <item x="63"/>
        <item x="2520"/>
        <item x="3149"/>
        <item x="1410"/>
        <item x="2637"/>
        <item x="48"/>
        <item x="2245"/>
        <item x="115"/>
        <item x="1345"/>
        <item x="664"/>
        <item x="1742"/>
        <item x="919"/>
        <item x="3388"/>
        <item x="555"/>
        <item x="2237"/>
        <item x="552"/>
        <item x="86"/>
        <item x="209"/>
        <item x="2072"/>
        <item x="872"/>
        <item x="1794"/>
        <item x="963"/>
        <item x="2927"/>
        <item x="2068"/>
        <item x="3429"/>
        <item x="3227"/>
        <item x="676"/>
        <item x="2539"/>
        <item x="805"/>
        <item x="3103"/>
        <item x="3508"/>
        <item x="1648"/>
        <item x="2458"/>
        <item x="2872"/>
        <item x="535"/>
        <item x="553"/>
        <item x="46"/>
        <item x="1152"/>
        <item x="3258"/>
        <item x="2272"/>
        <item x="13"/>
        <item x="773"/>
        <item x="709"/>
        <item x="1913"/>
        <item x="2655"/>
        <item x="999"/>
        <item x="2041"/>
        <item x="3116"/>
        <item x="3127"/>
        <item x="2323"/>
        <item x="3157"/>
        <item x="1020"/>
        <item x="2990"/>
        <item x="2845"/>
        <item x="2244"/>
        <item x="214"/>
        <item x="2459"/>
        <item x="757"/>
        <item x="2709"/>
        <item x="3068"/>
        <item x="814"/>
        <item x="215"/>
        <item x="1548"/>
        <item x="1911"/>
        <item x="496"/>
        <item x="781"/>
        <item x="1422"/>
        <item x="1118"/>
        <item x="1398"/>
        <item x="2906"/>
        <item x="813"/>
        <item x="3453"/>
        <item x="845"/>
        <item x="1334"/>
        <item x="3071"/>
        <item x="2716"/>
        <item x="2088"/>
        <item x="1123"/>
        <item x="192"/>
        <item x="1580"/>
        <item x="3355"/>
        <item x="715"/>
        <item x="1764"/>
        <item x="3230"/>
        <item x="486"/>
        <item x="1098"/>
        <item x="855"/>
        <item x="1381"/>
        <item x="978"/>
        <item x="1079"/>
        <item x="768"/>
        <item x="3352"/>
        <item x="126"/>
        <item x="1100"/>
        <item x="2273"/>
        <item x="611"/>
        <item x="2896"/>
        <item x="2907"/>
        <item x="873"/>
        <item x="1124"/>
        <item x="1511"/>
        <item x="1082"/>
        <item x="3422"/>
        <item x="2239"/>
        <item x="1077"/>
        <item x="1053"/>
        <item x="763"/>
        <item x="3083"/>
        <item x="3151"/>
        <item x="1095"/>
        <item x="2518"/>
        <item x="996"/>
        <item x="736"/>
        <item x="1624"/>
        <item x="1101"/>
        <item x="2573"/>
        <item x="2858"/>
        <item x="2471"/>
        <item x="2873"/>
        <item x="1106"/>
        <item x="2173"/>
        <item x="3235"/>
        <item x="1300"/>
        <item x="2513"/>
        <item x="2680"/>
        <item x="2717"/>
        <item x="2773"/>
        <item x="497"/>
        <item x="753"/>
        <item x="1046"/>
        <item x="876"/>
        <item x="1010"/>
        <item x="2921"/>
        <item x="2018"/>
        <item x="1117"/>
        <item x="1714"/>
        <item x="1734"/>
        <item x="745"/>
        <item x="1419"/>
        <item x="3133"/>
        <item x="1150"/>
        <item x="770"/>
        <item x="585"/>
        <item x="2741"/>
        <item x="980"/>
        <item x="2937"/>
        <item x="1488"/>
        <item x="2009"/>
        <item x="257"/>
        <item x="2917"/>
        <item x="3503"/>
        <item x="784"/>
        <item x="62"/>
        <item x="108"/>
        <item x="2922"/>
        <item x="1346"/>
        <item x="774"/>
        <item x="1721"/>
        <item x="2701"/>
        <item x="1290"/>
        <item x="363"/>
        <item x="707"/>
        <item x="874"/>
        <item x="914"/>
        <item x="66"/>
        <item x="1739"/>
        <item x="638"/>
        <item x="2914"/>
        <item x="190"/>
        <item x="1537"/>
        <item x="2746"/>
        <item x="2910"/>
        <item x="2703"/>
        <item x="3084"/>
        <item x="2710"/>
        <item x="3122"/>
        <item x="2679"/>
        <item x="786"/>
        <item x="718"/>
        <item x="842"/>
        <item x="3130"/>
        <item x="2556"/>
        <item x="787"/>
        <item x="2755"/>
        <item x="2070"/>
        <item x="1140"/>
        <item x="2702"/>
        <item x="985"/>
        <item x="3419"/>
        <item x="1952"/>
        <item x="779"/>
        <item x="854"/>
        <item x="49"/>
        <item x="2757"/>
        <item x="776"/>
        <item x="870"/>
        <item x="65"/>
        <item x="775"/>
        <item x="2190"/>
        <item x="59"/>
        <item x="913"/>
        <item x="857"/>
        <item x="2674"/>
        <item x="751"/>
        <item x="795"/>
        <item x="43"/>
        <item x="856"/>
        <item x="1406"/>
        <item x="2894"/>
        <item x="1279"/>
        <item x="739"/>
        <item x="1607"/>
        <item x="2900"/>
        <item x="1299"/>
        <item x="1697"/>
        <item x="1027"/>
        <item x="189"/>
        <item x="2461"/>
        <item x="738"/>
        <item x="820"/>
        <item x="749"/>
        <item x="1026"/>
        <item x="1111"/>
        <item x="2904"/>
        <item x="1033"/>
        <item x="3200"/>
        <item x="3476"/>
        <item x="3516"/>
        <item x="735"/>
        <item x="2915"/>
        <item x="1034"/>
        <item x="1355"/>
        <item x="2849"/>
        <item x="777"/>
        <item x="2587"/>
        <item x="172"/>
        <item x="2756"/>
        <item x="771"/>
        <item x="1113"/>
        <item x="2807"/>
        <item x="2920"/>
        <item x="615"/>
        <item x="191"/>
        <item x="2749"/>
        <item x="740"/>
        <item x="2704"/>
        <item x="756"/>
        <item x="747"/>
        <item x="986"/>
        <item x="743"/>
        <item x="1083"/>
        <item x="3448"/>
        <item x="1162"/>
        <item x="2742"/>
        <item x="754"/>
        <item x="2919"/>
        <item x="742"/>
        <item x="3385"/>
        <item x="778"/>
        <item x="2727"/>
        <item x="750"/>
        <item x="762"/>
        <item x="1894"/>
        <item x="737"/>
        <item x="2596"/>
        <item x="748"/>
        <item x="1895"/>
        <item x="755"/>
        <item x="741"/>
        <item x="744"/>
        <item x="1018"/>
        <item x="871"/>
        <item x="794"/>
        <item x="793"/>
        <item x="817"/>
        <item x="2945"/>
        <item x="1293"/>
        <item x="989"/>
        <item x="3047"/>
        <item x="912"/>
        <item x="2750"/>
        <item x="3321"/>
        <item x="1582"/>
        <item x="1"/>
      </items>
    </pivotField>
    <pivotField axis="axisRow" numFmtId="168" outline="0" showAll="0" sortType="descending" defaultSubtotal="0">
      <items count="612">
        <item x="452"/>
        <item x="135"/>
        <item x="288"/>
        <item x="132"/>
        <item x="41"/>
        <item x="269"/>
        <item x="108"/>
        <item x="127"/>
        <item x="136"/>
        <item x="11"/>
        <item x="125"/>
        <item x="295"/>
        <item x="59"/>
        <item x="28"/>
        <item x="605"/>
        <item x="263"/>
        <item x="144"/>
        <item x="50"/>
        <item x="298"/>
        <item x="47"/>
        <item x="607"/>
        <item x="53"/>
        <item x="290"/>
        <item x="67"/>
        <item x="281"/>
        <item x="294"/>
        <item x="550"/>
        <item x="301"/>
        <item x="82"/>
        <item x="287"/>
        <item x="38"/>
        <item x="296"/>
        <item x="25"/>
        <item x="543"/>
        <item x="267"/>
        <item x="560"/>
        <item x="277"/>
        <item x="96"/>
        <item x="451"/>
        <item x="256"/>
        <item x="279"/>
        <item x="606"/>
        <item x="397"/>
        <item x="552"/>
        <item x="297"/>
        <item x="75"/>
        <item x="551"/>
        <item x="88"/>
        <item x="85"/>
        <item x="545"/>
        <item x="337"/>
        <item x="119"/>
        <item x="458"/>
        <item x="393"/>
        <item x="275"/>
        <item x="419"/>
        <item x="406"/>
        <item x="93"/>
        <item x="141"/>
        <item x="60"/>
        <item x="377"/>
        <item x="412"/>
        <item x="544"/>
        <item x="292"/>
        <item x="563"/>
        <item x="134"/>
        <item x="400"/>
        <item x="409"/>
        <item x="556"/>
        <item x="72"/>
        <item x="555"/>
        <item x="402"/>
        <item x="126"/>
        <item x="48"/>
        <item x="535"/>
        <item x="333"/>
        <item x="205"/>
        <item x="587"/>
        <item x="609"/>
        <item x="462"/>
        <item x="130"/>
        <item x="373"/>
        <item x="465"/>
        <item x="548"/>
        <item x="206"/>
        <item x="278"/>
        <item x="541"/>
        <item x="539"/>
        <item x="276"/>
        <item x="10"/>
        <item x="343"/>
        <item x="282"/>
        <item x="273"/>
        <item x="229"/>
        <item x="486"/>
        <item x="260"/>
        <item x="211"/>
        <item x="557"/>
        <item x="327"/>
        <item x="238"/>
        <item x="227"/>
        <item x="196"/>
        <item x="214"/>
        <item x="364"/>
        <item x="348"/>
        <item x="274"/>
        <item x="477"/>
        <item x="128"/>
        <item x="457"/>
        <item x="398"/>
        <item x="497"/>
        <item x="139"/>
        <item x="549"/>
        <item x="192"/>
        <item x="286"/>
        <item x="251"/>
        <item x="357"/>
        <item x="564"/>
        <item x="207"/>
        <item x="283"/>
        <item x="188"/>
        <item x="394"/>
        <item x="559"/>
        <item x="546"/>
        <item x="517"/>
        <item x="479"/>
        <item x="506"/>
        <item x="610"/>
        <item x="107"/>
        <item x="3"/>
        <item x="547"/>
        <item x="230"/>
        <item x="336"/>
        <item x="89"/>
        <item x="411"/>
        <item x="414"/>
        <item x="64"/>
        <item x="159"/>
        <item x="335"/>
        <item x="299"/>
        <item x="396"/>
        <item x="305"/>
        <item x="109"/>
        <item x="368"/>
        <item x="504"/>
        <item x="514"/>
        <item x="418"/>
        <item x="29"/>
        <item x="496"/>
        <item x="58"/>
        <item x="518"/>
        <item x="404"/>
        <item x="356"/>
        <item x="133"/>
        <item x="540"/>
        <item x="460"/>
        <item x="525"/>
        <item x="492"/>
        <item x="554"/>
        <item x="270"/>
        <item x="475"/>
        <item x="501"/>
        <item x="32"/>
        <item x="498"/>
        <item x="483"/>
        <item x="324"/>
        <item x="593"/>
        <item x="219"/>
        <item x="145"/>
        <item x="383"/>
        <item x="484"/>
        <item x="538"/>
        <item x="19"/>
        <item x="285"/>
        <item x="129"/>
        <item x="391"/>
        <item x="512"/>
        <item x="6"/>
        <item x="500"/>
        <item x="568"/>
        <item x="526"/>
        <item x="386"/>
        <item x="217"/>
        <item x="384"/>
        <item x="68"/>
        <item x="571"/>
        <item x="575"/>
        <item x="318"/>
        <item x="399"/>
        <item x="241"/>
        <item x="590"/>
        <item x="325"/>
        <item x="27"/>
        <item x="45"/>
        <item x="488"/>
        <item x="70"/>
        <item x="341"/>
        <item x="489"/>
        <item x="376"/>
        <item x="212"/>
        <item x="240"/>
        <item x="491"/>
        <item x="494"/>
        <item x="565"/>
        <item x="519"/>
        <item x="131"/>
        <item x="542"/>
        <item x="78"/>
        <item x="530"/>
        <item x="231"/>
        <item x="553"/>
        <item x="138"/>
        <item x="247"/>
        <item x="520"/>
        <item x="291"/>
        <item x="86"/>
        <item x="43"/>
        <item x="309"/>
        <item x="507"/>
        <item x="510"/>
        <item x="97"/>
        <item x="30"/>
        <item x="480"/>
        <item x="532"/>
        <item x="566"/>
        <item x="257"/>
        <item x="83"/>
        <item x="209"/>
        <item x="54"/>
        <item x="485"/>
        <item x="65"/>
        <item x="495"/>
        <item x="36"/>
        <item x="210"/>
        <item x="56"/>
        <item x="448"/>
        <item x="533"/>
        <item x="522"/>
        <item x="464"/>
        <item x="148"/>
        <item x="152"/>
        <item x="122"/>
        <item x="528"/>
        <item x="527"/>
        <item x="509"/>
        <item x="361"/>
        <item x="573"/>
        <item x="388"/>
        <item x="529"/>
        <item x="476"/>
        <item x="523"/>
        <item x="531"/>
        <item x="51"/>
        <item x="586"/>
        <item x="118"/>
        <item x="26"/>
        <item x="470"/>
        <item x="124"/>
        <item x="52"/>
        <item x="487"/>
        <item x="471"/>
        <item x="385"/>
        <item x="84"/>
        <item x="378"/>
        <item x="459"/>
        <item x="351"/>
        <item x="239"/>
        <item x="175"/>
        <item x="588"/>
        <item x="177"/>
        <item x="76"/>
        <item x="511"/>
        <item x="405"/>
        <item x="266"/>
        <item x="461"/>
        <item x="424"/>
        <item x="493"/>
        <item x="478"/>
        <item x="103"/>
        <item x="524"/>
        <item x="513"/>
        <item x="142"/>
        <item x="472"/>
        <item x="426"/>
        <item x="453"/>
        <item x="71"/>
        <item x="408"/>
        <item x="149"/>
        <item x="201"/>
        <item x="352"/>
        <item x="502"/>
        <item x="300"/>
        <item x="2"/>
        <item x="595"/>
        <item x="392"/>
        <item x="34"/>
        <item x="191"/>
        <item x="537"/>
        <item x="90"/>
        <item x="503"/>
        <item x="350"/>
        <item x="558"/>
        <item x="268"/>
        <item x="154"/>
        <item x="42"/>
        <item x="157"/>
        <item x="330"/>
        <item x="99"/>
        <item x="455"/>
        <item x="1"/>
        <item x="567"/>
        <item x="456"/>
        <item x="481"/>
        <item x="317"/>
        <item x="482"/>
        <item x="515"/>
        <item x="490"/>
        <item x="574"/>
        <item x="182"/>
        <item x="570"/>
        <item x="417"/>
        <item x="441"/>
        <item x="505"/>
        <item x="316"/>
        <item x="8"/>
        <item x="160"/>
        <item x="213"/>
        <item x="367"/>
        <item x="111"/>
        <item x="322"/>
        <item x="422"/>
        <item x="123"/>
        <item x="332"/>
        <item x="577"/>
        <item x="17"/>
        <item x="12"/>
        <item x="218"/>
        <item x="572"/>
        <item x="581"/>
        <item x="14"/>
        <item x="329"/>
        <item x="280"/>
        <item x="381"/>
        <item x="321"/>
        <item x="197"/>
        <item x="246"/>
        <item x="354"/>
        <item x="91"/>
        <item x="334"/>
        <item x="521"/>
        <item x="415"/>
        <item x="389"/>
        <item x="272"/>
        <item x="449"/>
        <item x="105"/>
        <item x="117"/>
        <item x="387"/>
        <item x="315"/>
        <item x="358"/>
        <item x="499"/>
        <item x="589"/>
        <item x="120"/>
        <item x="73"/>
        <item x="344"/>
        <item x="582"/>
        <item x="44"/>
        <item x="87"/>
        <item x="100"/>
        <item x="310"/>
        <item x="403"/>
        <item x="63"/>
        <item x="194"/>
        <item x="293"/>
        <item x="362"/>
        <item x="468"/>
        <item x="187"/>
        <item x="312"/>
        <item x="106"/>
        <item x="425"/>
        <item x="77"/>
        <item x="284"/>
        <item x="289"/>
        <item x="55"/>
        <item x="31"/>
        <item x="4"/>
        <item x="115"/>
        <item x="158"/>
        <item x="508"/>
        <item x="92"/>
        <item x="439"/>
        <item x="104"/>
        <item x="562"/>
        <item x="401"/>
        <item x="601"/>
        <item x="161"/>
        <item x="338"/>
        <item x="363"/>
        <item x="181"/>
        <item x="366"/>
        <item x="226"/>
        <item x="20"/>
        <item x="600"/>
        <item x="436"/>
        <item x="185"/>
        <item x="24"/>
        <item x="179"/>
        <item x="22"/>
        <item x="39"/>
        <item x="271"/>
        <item x="303"/>
        <item x="369"/>
        <item x="171"/>
        <item x="569"/>
        <item x="49"/>
        <item x="150"/>
        <item x="467"/>
        <item x="380"/>
        <item x="198"/>
        <item x="365"/>
        <item x="416"/>
        <item x="224"/>
        <item x="95"/>
        <item x="561"/>
        <item x="169"/>
        <item x="57"/>
        <item x="308"/>
        <item x="186"/>
        <item x="237"/>
        <item x="163"/>
        <item x="597"/>
        <item x="21"/>
        <item x="584"/>
        <item x="173"/>
        <item x="81"/>
        <item x="184"/>
        <item x="215"/>
        <item x="434"/>
        <item x="79"/>
        <item x="374"/>
        <item x="342"/>
        <item x="208"/>
        <item x="222"/>
        <item x="259"/>
        <item x="469"/>
        <item x="463"/>
        <item x="576"/>
        <item x="430"/>
        <item x="199"/>
        <item x="435"/>
        <item x="193"/>
        <item x="235"/>
        <item x="252"/>
        <item x="249"/>
        <item x="114"/>
        <item x="74"/>
        <item x="313"/>
        <item x="320"/>
        <item x="432"/>
        <item x="258"/>
        <item x="390"/>
        <item x="23"/>
        <item x="69"/>
        <item x="604"/>
        <item x="166"/>
        <item x="353"/>
        <item x="35"/>
        <item x="534"/>
        <item x="431"/>
        <item x="372"/>
        <item x="340"/>
        <item x="40"/>
        <item x="302"/>
        <item x="189"/>
        <item x="596"/>
        <item x="140"/>
        <item x="255"/>
        <item x="440"/>
        <item x="162"/>
        <item x="438"/>
        <item x="304"/>
        <item x="33"/>
        <item x="101"/>
        <item x="245"/>
        <item x="102"/>
        <item x="94"/>
        <item x="583"/>
        <item x="421"/>
        <item x="473"/>
        <item x="174"/>
        <item x="306"/>
        <item x="16"/>
        <item x="37"/>
        <item x="536"/>
        <item x="137"/>
        <item x="339"/>
        <item x="66"/>
        <item x="265"/>
        <item x="447"/>
        <item x="443"/>
        <item x="13"/>
        <item x="429"/>
        <item x="220"/>
        <item x="410"/>
        <item x="233"/>
        <item x="423"/>
        <item x="437"/>
        <item x="223"/>
        <item x="346"/>
        <item x="370"/>
        <item x="155"/>
        <item x="98"/>
        <item x="244"/>
        <item x="110"/>
        <item x="382"/>
        <item x="331"/>
        <item x="360"/>
        <item x="172"/>
        <item x="450"/>
        <item x="375"/>
        <item x="355"/>
        <item x="379"/>
        <item x="328"/>
        <item x="202"/>
        <item x="183"/>
        <item x="445"/>
        <item x="580"/>
        <item x="428"/>
        <item x="243"/>
        <item x="516"/>
        <item x="121"/>
        <item x="466"/>
        <item x="599"/>
        <item x="170"/>
        <item x="407"/>
        <item x="203"/>
        <item x="446"/>
        <item x="578"/>
        <item x="176"/>
        <item x="420"/>
        <item x="113"/>
        <item x="200"/>
        <item x="474"/>
        <item x="7"/>
        <item x="433"/>
        <item x="359"/>
        <item x="248"/>
        <item x="326"/>
        <item x="46"/>
        <item x="9"/>
        <item x="234"/>
        <item x="116"/>
        <item x="591"/>
        <item x="164"/>
        <item x="15"/>
        <item x="345"/>
        <item x="143"/>
        <item x="579"/>
        <item x="147"/>
        <item x="112"/>
        <item x="221"/>
        <item x="62"/>
        <item x="371"/>
        <item x="204"/>
        <item x="261"/>
        <item x="264"/>
        <item x="5"/>
        <item x="236"/>
        <item x="146"/>
        <item x="151"/>
        <item x="228"/>
        <item x="603"/>
        <item x="444"/>
        <item x="311"/>
        <item x="602"/>
        <item x="232"/>
        <item x="18"/>
        <item x="611"/>
        <item x="190"/>
        <item x="80"/>
        <item x="442"/>
        <item x="349"/>
        <item x="253"/>
        <item x="153"/>
        <item x="347"/>
        <item x="319"/>
        <item x="165"/>
        <item x="594"/>
        <item x="156"/>
        <item x="168"/>
        <item x="180"/>
        <item x="413"/>
        <item x="323"/>
        <item x="61"/>
        <item x="427"/>
        <item x="254"/>
        <item x="225"/>
        <item x="598"/>
        <item x="178"/>
        <item x="195"/>
        <item x="216"/>
        <item x="314"/>
        <item x="242"/>
        <item x="395"/>
        <item x="262"/>
        <item x="250"/>
        <item x="167"/>
        <item x="307"/>
        <item x="585"/>
        <item x="592"/>
        <item x="608"/>
        <item x="454"/>
        <item x="0"/>
      </items>
    </pivotField>
    <pivotField showAll="0" defaultSubtotal="0"/>
    <pivotField showAll="0" defaultSubtotal="0"/>
  </pivotFields>
  <rowFields count="6">
    <field x="1"/>
    <field x="5"/>
    <field x="6"/>
    <field x="7"/>
    <field x="8"/>
    <field x="9"/>
  </rowFields>
  <rowItems count="7476">
    <i>
      <x/>
      <x v="3"/>
      <x v="2"/>
      <x v="239"/>
      <x v="3209"/>
      <x v="611"/>
    </i>
    <i r="1">
      <x v="11"/>
      <x v="17"/>
      <x v="239"/>
      <x v="2226"/>
      <x v="611"/>
    </i>
    <i r="1">
      <x v="12"/>
      <x v="67"/>
      <x v="239"/>
      <x v="1218"/>
      <x v="611"/>
    </i>
    <i r="1">
      <x v="13"/>
      <x v="16"/>
      <x v="239"/>
      <x v="582"/>
      <x v="611"/>
    </i>
    <i r="2">
      <x v="68"/>
      <x v="239"/>
      <x v="2086"/>
      <x v="611"/>
    </i>
    <i r="1">
      <x v="16"/>
      <x v="67"/>
      <x v="239"/>
      <x v="3509"/>
      <x v="611"/>
    </i>
    <i r="1">
      <x v="27"/>
      <x v="2"/>
      <x v="239"/>
      <x v="2150"/>
      <x v="611"/>
    </i>
    <i r="4">
      <x v="2969"/>
      <x v="611"/>
    </i>
    <i r="4">
      <x v="3209"/>
      <x v="611"/>
    </i>
    <i r="2">
      <x v="67"/>
      <x v="239"/>
      <x v="644"/>
      <x v="611"/>
    </i>
    <i r="4">
      <x v="867"/>
      <x v="611"/>
    </i>
    <i r="1">
      <x v="29"/>
      <x v="2"/>
      <x v="239"/>
      <x v="1432"/>
      <x v="611"/>
    </i>
    <i r="1">
      <x v="32"/>
      <x v="67"/>
      <x v="239"/>
      <x v="1104"/>
      <x v="611"/>
    </i>
    <i r="1">
      <x v="37"/>
      <x v="67"/>
      <x v="239"/>
      <x v="3393"/>
      <x v="611"/>
    </i>
    <i r="1">
      <x v="38"/>
      <x v="2"/>
      <x v="239"/>
      <x v="3018"/>
      <x v="611"/>
    </i>
    <i r="2">
      <x v="14"/>
      <x v="239"/>
      <x v="3344"/>
      <x v="611"/>
    </i>
    <i r="2">
      <x v="17"/>
      <x v="239"/>
      <x v="2809"/>
      <x v="611"/>
    </i>
    <i r="2">
      <x v="18"/>
      <x v="239"/>
      <x v="1814"/>
      <x v="611"/>
    </i>
    <i r="1">
      <x v="40"/>
      <x v="2"/>
      <x v="239"/>
      <x v="3443"/>
      <x v="611"/>
    </i>
    <i r="2">
      <x v="14"/>
      <x v="239"/>
      <x v="1055"/>
      <x v="611"/>
    </i>
    <i r="2">
      <x v="16"/>
      <x v="239"/>
      <x v="2551"/>
      <x v="611"/>
    </i>
    <i r="2">
      <x v="17"/>
      <x v="239"/>
      <x v="1264"/>
      <x v="611"/>
    </i>
    <i r="4">
      <x v="2904"/>
      <x v="611"/>
    </i>
    <i r="4">
      <x v="3044"/>
      <x v="611"/>
    </i>
    <i r="4">
      <x v="3128"/>
      <x v="611"/>
    </i>
    <i r="4">
      <x v="3145"/>
      <x v="611"/>
    </i>
    <i r="4">
      <x v="3379"/>
      <x v="611"/>
    </i>
    <i r="2">
      <x v="18"/>
      <x v="239"/>
      <x v="1277"/>
      <x v="611"/>
    </i>
    <i r="4">
      <x v="1495"/>
      <x v="611"/>
    </i>
    <i r="4">
      <x v="1598"/>
      <x v="611"/>
    </i>
    <i r="4">
      <x v="1698"/>
      <x v="611"/>
    </i>
    <i r="4">
      <x v="1828"/>
      <x v="611"/>
    </i>
    <i r="4">
      <x v="2333"/>
      <x v="611"/>
    </i>
    <i r="4">
      <x v="2463"/>
      <x v="611"/>
    </i>
    <i r="4">
      <x v="2594"/>
      <x v="611"/>
    </i>
    <i r="4">
      <x v="2753"/>
      <x v="611"/>
    </i>
    <i r="4">
      <x v="2938"/>
      <x v="611"/>
    </i>
    <i r="4">
      <x v="3368"/>
      <x v="611"/>
    </i>
    <i r="4">
      <x v="3432"/>
      <x v="611"/>
    </i>
    <i r="2">
      <x v="19"/>
      <x v="239"/>
      <x v="2326"/>
      <x v="611"/>
    </i>
    <i r="2">
      <x v="22"/>
      <x v="418"/>
      <x v="2896"/>
      <x v="611"/>
    </i>
    <i r="3">
      <x v="432"/>
      <x v="3514"/>
      <x v="611"/>
    </i>
    <i r="2">
      <x v="67"/>
      <x v="239"/>
      <x v="1539"/>
      <x v="611"/>
    </i>
    <i r="4">
      <x v="2513"/>
      <x v="611"/>
    </i>
    <i r="4">
      <x v="2748"/>
      <x v="611"/>
    </i>
    <i r="4">
      <x v="3123"/>
      <x v="611"/>
    </i>
    <i>
      <x v="1"/>
      <x v="3"/>
      <x v="2"/>
      <x v="237"/>
      <x v="3443"/>
      <x v="611"/>
    </i>
    <i r="1">
      <x v="16"/>
      <x v="68"/>
      <x v="237"/>
      <x v="37"/>
      <x v="611"/>
    </i>
    <i r="1">
      <x v="18"/>
      <x v="68"/>
      <x v="237"/>
      <x v="756"/>
      <x v="611"/>
    </i>
    <i r="1">
      <x v="24"/>
      <x v="68"/>
      <x v="237"/>
      <x v="1227"/>
      <x v="611"/>
    </i>
    <i r="1">
      <x v="27"/>
      <x v="2"/>
      <x v="237"/>
      <x v="3443"/>
      <x v="611"/>
    </i>
    <i r="1">
      <x v="34"/>
      <x v="67"/>
      <x v="237"/>
      <x v="1486"/>
      <x v="611"/>
    </i>
    <i r="1">
      <x v="37"/>
      <x v="67"/>
      <x v="237"/>
      <x v="3393"/>
      <x v="611"/>
    </i>
    <i r="1">
      <x v="38"/>
      <x v="67"/>
      <x v="237"/>
      <x v="3511"/>
      <x v="611"/>
    </i>
    <i>
      <x v="2"/>
      <x v="40"/>
      <x v="14"/>
      <x v="235"/>
      <x v="3142"/>
      <x v="611"/>
    </i>
    <i r="2">
      <x v="17"/>
      <x v="235"/>
      <x v="1621"/>
      <x v="611"/>
    </i>
    <i>
      <x v="3"/>
      <x v="12"/>
      <x v="14"/>
      <x v="232"/>
      <x v="1654"/>
      <x v="611"/>
    </i>
    <i r="1">
      <x v="16"/>
      <x v="67"/>
      <x v="232"/>
      <x v="1443"/>
      <x v="611"/>
    </i>
    <i r="1">
      <x v="23"/>
      <x v="67"/>
      <x v="232"/>
      <x v="3560"/>
      <x v="611"/>
    </i>
    <i r="1">
      <x v="27"/>
      <x v="2"/>
      <x v="232"/>
      <x v="1486"/>
      <x v="611"/>
    </i>
    <i r="4">
      <x v="2305"/>
      <x v="611"/>
    </i>
    <i r="4">
      <x v="2486"/>
      <x v="611"/>
    </i>
    <i r="4">
      <x v="2690"/>
      <x v="611"/>
    </i>
    <i r="4">
      <x v="3209"/>
      <x v="611"/>
    </i>
    <i r="4">
      <x v="3443"/>
      <x v="611"/>
    </i>
    <i r="2">
      <x v="57"/>
      <x v="233"/>
      <x v="1490"/>
      <x v="611"/>
    </i>
    <i r="2">
      <x v="67"/>
      <x v="232"/>
      <x v="1472"/>
      <x v="611"/>
    </i>
    <i r="1">
      <x v="32"/>
      <x v="67"/>
      <x v="232"/>
      <x v="2188"/>
      <x v="611"/>
    </i>
    <i r="1">
      <x v="40"/>
      <x v="22"/>
      <x v="415"/>
      <x v="3555"/>
      <x v="611"/>
    </i>
    <i>
      <x v="4"/>
      <x v="2"/>
      <x v="2"/>
      <x v="230"/>
      <x v="2665"/>
      <x v="611"/>
    </i>
    <i r="1">
      <x v="3"/>
      <x v="2"/>
      <x v="230"/>
      <x v="3443"/>
      <x v="611"/>
    </i>
    <i r="1">
      <x v="20"/>
      <x v="14"/>
      <x v="230"/>
      <x v="2047"/>
      <x v="611"/>
    </i>
    <i r="1">
      <x v="27"/>
      <x v="2"/>
      <x v="230"/>
      <x v="2150"/>
      <x v="611"/>
    </i>
    <i r="4">
      <x v="2305"/>
      <x v="611"/>
    </i>
    <i r="4">
      <x v="2969"/>
      <x v="611"/>
    </i>
    <i r="4">
      <x v="3209"/>
      <x v="611"/>
    </i>
    <i r="4">
      <x v="3443"/>
      <x v="611"/>
    </i>
    <i r="1">
      <x v="32"/>
      <x v="67"/>
      <x v="230"/>
      <x v="1374"/>
      <x v="611"/>
    </i>
    <i r="1">
      <x v="40"/>
      <x v="14"/>
      <x v="230"/>
      <x v="2297"/>
      <x v="611"/>
    </i>
    <i r="2">
      <x v="22"/>
      <x v="425"/>
      <x v="3527"/>
      <x v="611"/>
    </i>
    <i r="2">
      <x v="67"/>
      <x v="230"/>
      <x v="2748"/>
      <x v="611"/>
    </i>
    <i>
      <x v="5"/>
      <x v="8"/>
      <x v="68"/>
      <x v="228"/>
      <x v="327"/>
      <x v="611"/>
    </i>
    <i r="1">
      <x v="12"/>
      <x v="68"/>
      <x v="228"/>
      <x v="1536"/>
      <x v="611"/>
    </i>
    <i r="1">
      <x v="13"/>
      <x v="67"/>
      <x v="228"/>
      <x v="2086"/>
      <x v="611"/>
    </i>
    <i r="1">
      <x v="22"/>
      <x v="19"/>
      <x v="228"/>
      <x v="66"/>
      <x v="611"/>
    </i>
    <i r="1">
      <x v="24"/>
      <x v="68"/>
      <x v="228"/>
      <x v="260"/>
      <x v="611"/>
    </i>
    <i r="1">
      <x v="37"/>
      <x v="68"/>
      <x v="228"/>
      <x v="993"/>
      <x v="611"/>
    </i>
    <i r="1">
      <x v="40"/>
      <x v="17"/>
      <x v="228"/>
      <x v="1395"/>
      <x v="611"/>
    </i>
    <i r="4">
      <x v="2085"/>
      <x v="611"/>
    </i>
    <i r="4">
      <x v="2682"/>
      <x v="611"/>
    </i>
    <i r="4">
      <x v="2869"/>
      <x v="611"/>
    </i>
    <i r="4">
      <x v="2925"/>
      <x v="611"/>
    </i>
    <i r="4">
      <x v="2972"/>
      <x v="611"/>
    </i>
    <i r="4">
      <x v="3040"/>
      <x v="611"/>
    </i>
    <i r="2">
      <x v="18"/>
      <x v="228"/>
      <x v="1211"/>
      <x v="611"/>
    </i>
    <i r="4">
      <x v="1702"/>
      <x v="611"/>
    </i>
    <i r="4">
      <x v="1928"/>
      <x v="611"/>
    </i>
    <i r="4">
      <x v="2291"/>
      <x v="611"/>
    </i>
    <i r="4">
      <x v="2407"/>
      <x v="611"/>
    </i>
    <i r="4">
      <x v="2426"/>
      <x v="611"/>
    </i>
    <i r="4">
      <x v="2617"/>
      <x v="611"/>
    </i>
    <i r="4">
      <x v="2770"/>
      <x v="611"/>
    </i>
    <i r="4">
      <x v="3073"/>
      <x v="611"/>
    </i>
    <i r="4">
      <x v="3387"/>
      <x v="611"/>
    </i>
    <i r="2">
      <x v="22"/>
      <x v="383"/>
      <x v="3409"/>
      <x v="611"/>
    </i>
    <i r="3">
      <x v="435"/>
      <x v="3518"/>
      <x v="611"/>
    </i>
    <i>
      <x v="6"/>
      <x v="16"/>
      <x v="67"/>
      <x v="226"/>
      <x v="2892"/>
      <x v="611"/>
    </i>
    <i r="1">
      <x v="20"/>
      <x v="67"/>
      <x v="226"/>
      <x v="1574"/>
      <x v="611"/>
    </i>
    <i r="1">
      <x v="27"/>
      <x v="2"/>
      <x v="226"/>
      <x v="2305"/>
      <x v="611"/>
    </i>
    <i r="4">
      <x v="2690"/>
      <x v="611"/>
    </i>
    <i r="4">
      <x v="3209"/>
      <x v="611"/>
    </i>
    <i r="4">
      <x v="3443"/>
      <x v="611"/>
    </i>
    <i r="1">
      <x v="32"/>
      <x v="67"/>
      <x v="226"/>
      <x v="2460"/>
      <x v="611"/>
    </i>
    <i r="1">
      <x v="37"/>
      <x v="2"/>
      <x v="226"/>
      <x v="2222"/>
      <x v="611"/>
    </i>
    <i r="2">
      <x v="14"/>
      <x v="226"/>
      <x v="3074"/>
      <x v="611"/>
    </i>
    <i r="2">
      <x v="67"/>
      <x v="226"/>
      <x v="3007"/>
      <x v="611"/>
    </i>
    <i r="1">
      <x v="38"/>
      <x v="2"/>
      <x v="226"/>
      <x v="3026"/>
      <x v="611"/>
    </i>
    <i r="2">
      <x v="14"/>
      <x v="226"/>
      <x v="2223"/>
      <x v="611"/>
    </i>
    <i r="1">
      <x v="40"/>
      <x v="14"/>
      <x v="226"/>
      <x v="2063"/>
      <x v="611"/>
    </i>
    <i r="2">
      <x v="22"/>
      <x v="401"/>
      <x v="3482"/>
      <x v="611"/>
    </i>
    <i r="3">
      <x v="402"/>
      <x v="3418"/>
      <x v="611"/>
    </i>
    <i r="3">
      <x v="415"/>
      <x v="3546"/>
      <x v="611"/>
    </i>
    <i r="2">
      <x v="67"/>
      <x v="226"/>
      <x v="3123"/>
      <x v="611"/>
    </i>
    <i>
      <x v="7"/>
      <x v="3"/>
      <x v="30"/>
      <x v="224"/>
      <x v="1747"/>
      <x v="611"/>
    </i>
    <i r="4">
      <x v="1872"/>
      <x v="611"/>
    </i>
    <i r="4">
      <x v="1879"/>
      <x v="611"/>
    </i>
    <i r="4">
      <x v="1908"/>
      <x v="611"/>
    </i>
    <i r="4">
      <x v="2094"/>
      <x v="611"/>
    </i>
    <i r="4">
      <x v="2229"/>
      <x v="611"/>
    </i>
    <i r="4">
      <x v="2381"/>
      <x v="611"/>
    </i>
    <i r="4">
      <x v="2697"/>
      <x v="611"/>
    </i>
    <i r="4">
      <x v="2790"/>
      <x v="611"/>
    </i>
    <i r="4">
      <x v="2798"/>
      <x v="611"/>
    </i>
    <i r="4">
      <x v="2881"/>
      <x v="611"/>
    </i>
    <i r="4">
      <x v="3048"/>
      <x v="611"/>
    </i>
    <i r="4">
      <x v="3061"/>
      <x v="611"/>
    </i>
    <i r="4">
      <x v="3165"/>
      <x v="611"/>
    </i>
    <i r="1">
      <x v="15"/>
      <x v="30"/>
      <x v="224"/>
      <x v="1148"/>
      <x v="611"/>
    </i>
    <i r="1">
      <x v="16"/>
      <x v="30"/>
      <x v="224"/>
      <x v="33"/>
      <x v="611"/>
    </i>
    <i r="1">
      <x v="18"/>
      <x v="30"/>
      <x v="224"/>
      <x v="472"/>
      <x v="611"/>
    </i>
    <i r="1">
      <x v="22"/>
      <x v="30"/>
      <x v="224"/>
      <x v="1459"/>
      <x v="611"/>
    </i>
    <i r="1">
      <x v="24"/>
      <x v="30"/>
      <x v="224"/>
      <x v="1837"/>
      <x v="611"/>
    </i>
    <i r="1">
      <x v="27"/>
      <x v="30"/>
      <x v="224"/>
      <x v="109"/>
      <x v="611"/>
    </i>
    <i r="4">
      <x v="150"/>
      <x v="611"/>
    </i>
    <i r="4">
      <x v="187"/>
      <x v="611"/>
    </i>
    <i r="4">
      <x v="315"/>
      <x v="611"/>
    </i>
    <i r="4">
      <x v="365"/>
      <x v="611"/>
    </i>
    <i r="4">
      <x v="382"/>
      <x v="611"/>
    </i>
    <i r="4">
      <x v="416"/>
      <x v="611"/>
    </i>
    <i r="4">
      <x v="518"/>
      <x v="611"/>
    </i>
    <i r="4">
      <x v="536"/>
      <x v="611"/>
    </i>
    <i r="4">
      <x v="554"/>
      <x v="611"/>
    </i>
    <i r="4">
      <x v="573"/>
      <x v="611"/>
    </i>
    <i r="4">
      <x v="658"/>
      <x v="611"/>
    </i>
    <i r="4">
      <x v="757"/>
      <x v="611"/>
    </i>
    <i r="4">
      <x v="939"/>
      <x v="611"/>
    </i>
    <i r="4">
      <x v="1020"/>
      <x v="611"/>
    </i>
    <i r="4">
      <x v="1142"/>
      <x v="611"/>
    </i>
    <i r="4">
      <x v="1157"/>
      <x v="611"/>
    </i>
    <i r="4">
      <x v="1242"/>
      <x v="611"/>
    </i>
    <i r="4">
      <x v="1491"/>
      <x v="611"/>
    </i>
    <i r="4">
      <x v="1502"/>
      <x v="611"/>
    </i>
    <i r="1">
      <x v="38"/>
      <x v="30"/>
      <x v="224"/>
      <x v="40"/>
      <x v="611"/>
    </i>
    <i r="1">
      <x v="40"/>
      <x v="30"/>
      <x v="224"/>
      <x v="1905"/>
      <x v="611"/>
    </i>
    <i r="4">
      <x v="1950"/>
      <x v="611"/>
    </i>
    <i r="4">
      <x v="1989"/>
      <x v="611"/>
    </i>
    <i r="4">
      <x v="2178"/>
      <x v="611"/>
    </i>
    <i r="4">
      <x v="2296"/>
      <x v="611"/>
    </i>
    <i r="4">
      <x v="2415"/>
      <x v="611"/>
    </i>
    <i r="4">
      <x v="2586"/>
      <x v="611"/>
    </i>
    <i r="4">
      <x v="2655"/>
      <x v="611"/>
    </i>
    <i r="4">
      <x v="2969"/>
      <x v="611"/>
    </i>
    <i r="4">
      <x v="3066"/>
      <x v="611"/>
    </i>
    <i>
      <x v="8"/>
      <x v="2"/>
      <x v="2"/>
      <x v="221"/>
      <x v="2610"/>
      <x v="611"/>
    </i>
    <i r="2">
      <x v="17"/>
      <x v="221"/>
      <x v="1303"/>
      <x v="611"/>
    </i>
    <i r="1">
      <x v="3"/>
      <x v="2"/>
      <x v="221"/>
      <x v="2690"/>
      <x v="611"/>
    </i>
    <i r="4">
      <x v="3443"/>
      <x v="611"/>
    </i>
    <i r="1">
      <x v="15"/>
      <x v="2"/>
      <x v="221"/>
      <x v="3239"/>
      <x v="611"/>
    </i>
    <i r="2">
      <x v="67"/>
      <x v="221"/>
      <x v="3142"/>
      <x v="611"/>
    </i>
    <i r="1">
      <x v="16"/>
      <x v="2"/>
      <x v="221"/>
      <x v="3393"/>
      <x v="611"/>
    </i>
    <i r="2">
      <x v="62"/>
      <x v="221"/>
      <x v="3008"/>
      <x v="611"/>
    </i>
    <i r="2">
      <x v="67"/>
      <x v="221"/>
      <x v="1094"/>
      <x v="611"/>
    </i>
    <i r="1">
      <x v="22"/>
      <x v="14"/>
      <x v="221"/>
      <x v="1200"/>
      <x v="611"/>
    </i>
    <i r="2">
      <x v="19"/>
      <x v="221"/>
      <x v="130"/>
      <x v="611"/>
    </i>
    <i r="1">
      <x v="27"/>
      <x v="2"/>
      <x v="221"/>
      <x v="2027"/>
      <x v="611"/>
    </i>
    <i r="4">
      <x v="2690"/>
      <x v="611"/>
    </i>
    <i r="1">
      <x v="29"/>
      <x v="14"/>
      <x v="221"/>
      <x v="1423"/>
      <x v="611"/>
    </i>
    <i r="1">
      <x v="32"/>
      <x v="17"/>
      <x v="221"/>
      <x v="2311"/>
      <x v="611"/>
    </i>
    <i r="2">
      <x v="67"/>
      <x v="221"/>
      <x v="2336"/>
      <x v="611"/>
    </i>
    <i r="1">
      <x v="33"/>
      <x v="67"/>
      <x v="221"/>
      <x v="2285"/>
      <x v="611"/>
    </i>
    <i r="1">
      <x v="35"/>
      <x v="16"/>
      <x v="221"/>
      <x v="1622"/>
      <x v="611"/>
    </i>
    <i r="1">
      <x v="37"/>
      <x v="67"/>
      <x v="221"/>
      <x v="3393"/>
      <x v="611"/>
    </i>
    <i r="1">
      <x v="38"/>
      <x v="62"/>
      <x v="221"/>
      <x v="1755"/>
      <x v="611"/>
    </i>
    <i r="2">
      <x v="67"/>
      <x v="221"/>
      <x v="2804"/>
      <x v="611"/>
    </i>
    <i r="1">
      <x v="40"/>
      <x v="14"/>
      <x v="221"/>
      <x v="1745"/>
      <x v="611"/>
    </i>
    <i r="4">
      <x v="2833"/>
      <x v="611"/>
    </i>
    <i r="2">
      <x v="17"/>
      <x v="221"/>
      <x v="2059"/>
      <x v="611"/>
    </i>
    <i r="2">
      <x v="18"/>
      <x v="221"/>
      <x v="1761"/>
      <x v="611"/>
    </i>
    <i r="4">
      <x v="2048"/>
      <x v="611"/>
    </i>
    <i r="4">
      <x v="2190"/>
      <x v="611"/>
    </i>
    <i r="4">
      <x v="3428"/>
      <x v="611"/>
    </i>
    <i r="2">
      <x v="22"/>
      <x v="433"/>
      <x v="3535"/>
      <x v="611"/>
    </i>
    <i r="3">
      <x v="436"/>
      <x v="3518"/>
      <x v="611"/>
    </i>
    <i>
      <x v="9"/>
      <x v="37"/>
      <x v="67"/>
      <x v="219"/>
      <x v="3039"/>
      <x v="611"/>
    </i>
    <i r="1">
      <x v="40"/>
      <x v="22"/>
      <x v="401"/>
      <x v="3535"/>
      <x v="611"/>
    </i>
    <i r="3">
      <x v="448"/>
      <x v="3190"/>
      <x v="611"/>
    </i>
    <i>
      <x v="10"/>
      <x v="3"/>
      <x v="2"/>
      <x v="217"/>
      <x v="3443"/>
      <x v="611"/>
    </i>
    <i r="1">
      <x v="4"/>
      <x v="14"/>
      <x v="217"/>
      <x v="2379"/>
      <x v="611"/>
    </i>
    <i r="1">
      <x v="16"/>
      <x v="67"/>
      <x v="217"/>
      <x v="2849"/>
      <x v="611"/>
    </i>
    <i r="1">
      <x v="20"/>
      <x v="2"/>
      <x v="217"/>
      <x v="2638"/>
      <x v="611"/>
    </i>
    <i r="1">
      <x v="22"/>
      <x v="67"/>
      <x v="217"/>
      <x v="3302"/>
      <x v="611"/>
    </i>
    <i r="1">
      <x v="24"/>
      <x v="2"/>
      <x v="217"/>
      <x v="764"/>
      <x v="611"/>
    </i>
    <i r="1">
      <x v="27"/>
      <x v="2"/>
      <x v="217"/>
      <x v="2027"/>
      <x v="611"/>
    </i>
    <i r="4">
      <x v="2486"/>
      <x v="611"/>
    </i>
    <i r="4">
      <x v="3209"/>
      <x v="611"/>
    </i>
    <i r="4">
      <x v="3443"/>
      <x v="611"/>
    </i>
    <i r="2">
      <x v="67"/>
      <x v="217"/>
      <x v="738"/>
      <x v="611"/>
    </i>
    <i r="4">
      <x v="958"/>
      <x v="611"/>
    </i>
    <i r="1">
      <x v="37"/>
      <x v="67"/>
      <x v="217"/>
      <x v="2857"/>
      <x v="611"/>
    </i>
    <i r="1">
      <x v="40"/>
      <x v="67"/>
      <x v="217"/>
      <x v="644"/>
      <x v="611"/>
    </i>
    <i>
      <x v="11"/>
      <x v="3"/>
      <x v="2"/>
      <x v="215"/>
      <x v="3209"/>
      <x v="611"/>
    </i>
    <i r="1">
      <x v="5"/>
      <x v="67"/>
      <x v="215"/>
      <x v="2822"/>
      <x v="611"/>
    </i>
    <i r="1">
      <x v="16"/>
      <x v="67"/>
      <x v="215"/>
      <x v="2563"/>
      <x v="611"/>
    </i>
    <i r="1">
      <x v="18"/>
      <x v="67"/>
      <x v="215"/>
      <x v="2335"/>
      <x v="611"/>
    </i>
    <i r="1">
      <x v="27"/>
      <x v="2"/>
      <x v="215"/>
      <x v="3209"/>
      <x v="611"/>
    </i>
    <i r="1">
      <x v="32"/>
      <x v="62"/>
      <x v="215"/>
      <x v="1622"/>
      <x v="611"/>
    </i>
    <i r="1">
      <x v="33"/>
      <x v="67"/>
      <x v="215"/>
      <x v="1413"/>
      <x v="611"/>
    </i>
    <i r="1">
      <x v="37"/>
      <x v="67"/>
      <x v="215"/>
      <x v="3509"/>
      <x v="611"/>
    </i>
    <i r="1">
      <x v="40"/>
      <x v="22"/>
      <x v="401"/>
      <x v="3514"/>
      <x v="611"/>
    </i>
    <i r="3">
      <x v="424"/>
      <x v="2020"/>
      <x v="611"/>
    </i>
    <i r="3">
      <x v="450"/>
      <x v="3509"/>
      <x v="611"/>
    </i>
    <i>
      <x v="12"/>
      <x v="2"/>
      <x v="16"/>
      <x v="213"/>
      <x v="1316"/>
      <x v="611"/>
    </i>
    <i r="2">
      <x v="18"/>
      <x v="213"/>
      <x v="1457"/>
      <x v="611"/>
    </i>
    <i r="1">
      <x v="3"/>
      <x v="2"/>
      <x v="213"/>
      <x v="3209"/>
      <x v="611"/>
    </i>
    <i r="4">
      <x v="3443"/>
      <x v="611"/>
    </i>
    <i r="1">
      <x v="15"/>
      <x v="2"/>
      <x v="213"/>
      <x v="3393"/>
      <x v="611"/>
    </i>
    <i r="2">
      <x v="67"/>
      <x v="213"/>
      <x v="3341"/>
      <x v="611"/>
    </i>
    <i r="1">
      <x v="16"/>
      <x v="67"/>
      <x v="213"/>
      <x v="3385"/>
      <x v="611"/>
    </i>
    <i r="1">
      <x v="23"/>
      <x v="67"/>
      <x v="213"/>
      <x v="3509"/>
      <x v="611"/>
    </i>
    <i r="1">
      <x v="25"/>
      <x v="67"/>
      <x v="213"/>
      <x v="3369"/>
      <x v="611"/>
    </i>
    <i r="1">
      <x v="27"/>
      <x v="2"/>
      <x v="213"/>
      <x v="2690"/>
      <x v="611"/>
    </i>
    <i r="4">
      <x v="3443"/>
      <x v="611"/>
    </i>
    <i r="1">
      <x v="33"/>
      <x v="14"/>
      <x v="213"/>
      <x v="3098"/>
      <x v="611"/>
    </i>
    <i r="1">
      <x v="34"/>
      <x v="67"/>
      <x v="213"/>
      <x v="1392"/>
      <x v="611"/>
    </i>
    <i r="1">
      <x v="35"/>
      <x v="16"/>
      <x v="213"/>
      <x v="1910"/>
      <x v="611"/>
    </i>
    <i r="1">
      <x v="40"/>
      <x v="14"/>
      <x v="213"/>
      <x v="3312"/>
      <x v="611"/>
    </i>
    <i r="2">
      <x v="17"/>
      <x v="213"/>
      <x v="1486"/>
      <x v="611"/>
    </i>
    <i r="4">
      <x v="1791"/>
      <x v="611"/>
    </i>
    <i r="2">
      <x v="18"/>
      <x v="213"/>
      <x v="1019"/>
      <x v="611"/>
    </i>
    <i r="4">
      <x v="2008"/>
      <x v="611"/>
    </i>
    <i r="4">
      <x v="2717"/>
      <x v="611"/>
    </i>
    <i r="4">
      <x v="2723"/>
      <x v="611"/>
    </i>
    <i r="4">
      <x v="2783"/>
      <x v="611"/>
    </i>
    <i r="4">
      <x v="2906"/>
      <x v="611"/>
    </i>
    <i r="4">
      <x v="2913"/>
      <x v="611"/>
    </i>
    <i r="2">
      <x v="22"/>
      <x v="381"/>
      <x v="3550"/>
      <x v="611"/>
    </i>
    <i r="3">
      <x v="385"/>
      <x v="3546"/>
      <x v="611"/>
    </i>
    <i r="3">
      <x v="388"/>
      <x v="3546"/>
      <x v="611"/>
    </i>
    <i r="3">
      <x v="424"/>
      <x v="2572"/>
      <x v="611"/>
    </i>
    <i r="3">
      <x v="425"/>
      <x v="3527"/>
      <x v="611"/>
    </i>
    <i r="3">
      <x v="435"/>
      <x v="2587"/>
      <x v="611"/>
    </i>
    <i>
      <x v="13"/>
      <x/>
      <x v="19"/>
      <x v="211"/>
      <x v="1482"/>
      <x v="611"/>
    </i>
    <i r="1">
      <x v="1"/>
      <x v="19"/>
      <x v="211"/>
      <x v="309"/>
      <x v="611"/>
    </i>
    <i r="1">
      <x v="2"/>
      <x v="19"/>
      <x v="211"/>
      <x v="313"/>
      <x v="611"/>
    </i>
    <i r="1">
      <x v="8"/>
      <x v="2"/>
      <x v="211"/>
      <x v="2736"/>
      <x v="611"/>
    </i>
    <i r="1">
      <x v="9"/>
      <x v="14"/>
      <x v="211"/>
      <x v="166"/>
      <x v="611"/>
    </i>
    <i r="1">
      <x v="16"/>
      <x v="67"/>
      <x v="211"/>
      <x v="3235"/>
      <x v="611"/>
    </i>
    <i r="1">
      <x v="25"/>
      <x v="14"/>
      <x v="211"/>
      <x v="2179"/>
      <x v="611"/>
    </i>
    <i r="1">
      <x v="28"/>
      <x v="19"/>
      <x v="211"/>
      <x v="1681"/>
      <x v="611"/>
    </i>
    <i r="1">
      <x v="38"/>
      <x v="19"/>
      <x v="211"/>
      <x v="237"/>
      <x v="611"/>
    </i>
    <i r="1">
      <x v="40"/>
      <x v="22"/>
      <x v="448"/>
      <x v="3033"/>
      <x v="611"/>
    </i>
    <i>
      <x v="14"/>
      <x v="2"/>
      <x v="2"/>
      <x v="209"/>
      <x v="2306"/>
      <x v="611"/>
    </i>
    <i r="1">
      <x v="3"/>
      <x v="2"/>
      <x v="209"/>
      <x v="3209"/>
      <x v="611"/>
    </i>
    <i r="4">
      <x v="3443"/>
      <x v="611"/>
    </i>
    <i r="1">
      <x v="20"/>
      <x v="19"/>
      <x v="209"/>
      <x v="3564"/>
      <x v="91"/>
    </i>
    <i r="1">
      <x v="27"/>
      <x v="2"/>
      <x v="209"/>
      <x v="1909"/>
      <x v="611"/>
    </i>
    <i r="4">
      <x v="2969"/>
      <x v="611"/>
    </i>
    <i r="4">
      <x v="3443"/>
      <x v="611"/>
    </i>
    <i r="2">
      <x v="20"/>
      <x v="451"/>
      <x v="3564"/>
      <x v="598"/>
    </i>
    <i r="1">
      <x v="28"/>
      <x v="2"/>
      <x v="209"/>
      <x v="1478"/>
      <x v="611"/>
    </i>
    <i r="2">
      <x v="67"/>
      <x v="209"/>
      <x v="785"/>
      <x v="611"/>
    </i>
    <i r="1">
      <x v="40"/>
      <x v="14"/>
      <x v="209"/>
      <x v="2057"/>
      <x v="611"/>
    </i>
    <i r="2">
      <x v="22"/>
      <x v="387"/>
      <x v="3411"/>
      <x v="611"/>
    </i>
    <i>
      <x v="15"/>
      <x v="2"/>
      <x v="14"/>
      <x v="207"/>
      <x v="1516"/>
      <x v="611"/>
    </i>
    <i r="1">
      <x v="5"/>
      <x v="62"/>
      <x v="207"/>
      <x v="561"/>
      <x v="611"/>
    </i>
    <i r="1">
      <x v="12"/>
      <x v="67"/>
      <x v="207"/>
      <x v="2486"/>
      <x v="611"/>
    </i>
    <i r="1">
      <x v="13"/>
      <x v="18"/>
      <x v="207"/>
      <x v="872"/>
      <x v="611"/>
    </i>
    <i r="1">
      <x v="22"/>
      <x v="14"/>
      <x v="207"/>
      <x v="2639"/>
      <x v="611"/>
    </i>
    <i r="1">
      <x v="23"/>
      <x v="14"/>
      <x v="207"/>
      <x v="1423"/>
      <x v="611"/>
    </i>
    <i r="1">
      <x v="24"/>
      <x v="67"/>
      <x v="207"/>
      <x v="2969"/>
      <x v="611"/>
    </i>
    <i r="1">
      <x v="27"/>
      <x v="2"/>
      <x v="207"/>
      <x v="3443"/>
      <x v="611"/>
    </i>
    <i r="1">
      <x v="40"/>
      <x v="17"/>
      <x v="207"/>
      <x v="1814"/>
      <x v="611"/>
    </i>
    <i r="2">
      <x v="22"/>
      <x v="403"/>
      <x v="3039"/>
      <x v="611"/>
    </i>
    <i r="3">
      <x v="441"/>
      <x v="3546"/>
      <x v="611"/>
    </i>
    <i r="3">
      <x v="450"/>
      <x v="3393"/>
      <x v="611"/>
    </i>
    <i>
      <x v="16"/>
      <x v="2"/>
      <x v="2"/>
      <x v="205"/>
      <x v="3262"/>
      <x v="611"/>
    </i>
    <i r="2">
      <x v="14"/>
      <x v="205"/>
      <x v="2930"/>
      <x v="611"/>
    </i>
    <i r="2">
      <x v="18"/>
      <x v="205"/>
      <x v="1313"/>
      <x v="611"/>
    </i>
    <i r="1">
      <x v="3"/>
      <x v="2"/>
      <x v="205"/>
      <x v="3209"/>
      <x v="611"/>
    </i>
    <i r="1">
      <x v="11"/>
      <x v="17"/>
      <x v="205"/>
      <x v="2982"/>
      <x v="611"/>
    </i>
    <i r="1">
      <x v="13"/>
      <x v="17"/>
      <x v="205"/>
      <x v="1570"/>
      <x v="611"/>
    </i>
    <i r="1">
      <x v="15"/>
      <x v="14"/>
      <x v="205"/>
      <x v="2327"/>
      <x v="611"/>
    </i>
    <i r="2">
      <x v="67"/>
      <x v="205"/>
      <x v="3444"/>
      <x v="611"/>
    </i>
    <i r="1">
      <x v="16"/>
      <x v="14"/>
      <x v="205"/>
      <x v="2730"/>
      <x v="611"/>
    </i>
    <i r="2">
      <x v="17"/>
      <x v="205"/>
      <x v="2524"/>
      <x v="611"/>
    </i>
    <i r="2">
      <x v="62"/>
      <x v="205"/>
      <x v="2930"/>
      <x v="611"/>
    </i>
    <i r="1">
      <x v="27"/>
      <x v="2"/>
      <x v="205"/>
      <x v="1909"/>
      <x v="611"/>
    </i>
    <i r="4">
      <x v="2150"/>
      <x v="611"/>
    </i>
    <i r="4">
      <x v="2305"/>
      <x v="611"/>
    </i>
    <i r="4">
      <x v="2486"/>
      <x v="611"/>
    </i>
    <i r="4">
      <x v="2690"/>
      <x v="611"/>
    </i>
    <i r="4">
      <x v="2969"/>
      <x v="611"/>
    </i>
    <i r="4">
      <x v="3209"/>
      <x v="611"/>
    </i>
    <i r="4">
      <x v="3443"/>
      <x v="611"/>
    </i>
    <i r="1">
      <x v="33"/>
      <x v="17"/>
      <x v="205"/>
      <x v="717"/>
      <x v="611"/>
    </i>
    <i r="2">
      <x v="18"/>
      <x v="205"/>
      <x v="2756"/>
      <x v="611"/>
    </i>
    <i r="2">
      <x v="19"/>
      <x v="205"/>
      <x v="856"/>
      <x v="611"/>
    </i>
    <i r="1">
      <x v="37"/>
      <x v="14"/>
      <x v="205"/>
      <x v="2556"/>
      <x v="611"/>
    </i>
    <i r="2">
      <x v="67"/>
      <x v="205"/>
      <x v="3412"/>
      <x v="611"/>
    </i>
    <i r="1">
      <x v="40"/>
      <x v="2"/>
      <x v="205"/>
      <x v="2951"/>
      <x v="611"/>
    </i>
    <i r="4">
      <x v="3443"/>
      <x v="611"/>
    </i>
    <i r="2">
      <x v="17"/>
      <x v="205"/>
      <x v="1465"/>
      <x v="611"/>
    </i>
    <i r="4">
      <x v="2607"/>
      <x v="611"/>
    </i>
    <i r="2">
      <x v="18"/>
      <x v="205"/>
      <x v="978"/>
      <x v="611"/>
    </i>
    <i r="4">
      <x v="1550"/>
      <x v="611"/>
    </i>
    <i r="4">
      <x v="1715"/>
      <x v="611"/>
    </i>
    <i r="4">
      <x v="1719"/>
      <x v="611"/>
    </i>
    <i r="4">
      <x v="2350"/>
      <x v="611"/>
    </i>
    <i r="4">
      <x v="2432"/>
      <x v="611"/>
    </i>
    <i r="4">
      <x v="2807"/>
      <x v="611"/>
    </i>
    <i r="4">
      <x v="3142"/>
      <x v="611"/>
    </i>
    <i r="2">
      <x v="22"/>
      <x v="399"/>
      <x v="3142"/>
      <x v="611"/>
    </i>
    <i>
      <x v="17"/>
      <x v="3"/>
      <x v="2"/>
      <x v="203"/>
      <x v="3209"/>
      <x v="611"/>
    </i>
    <i r="4">
      <x v="3443"/>
      <x v="611"/>
    </i>
    <i r="1">
      <x v="26"/>
      <x v="2"/>
      <x v="203"/>
      <x v="3030"/>
      <x v="611"/>
    </i>
    <i r="2">
      <x v="62"/>
      <x v="203"/>
      <x v="1524"/>
      <x v="611"/>
    </i>
    <i r="1">
      <x v="27"/>
      <x v="2"/>
      <x v="203"/>
      <x v="1621"/>
      <x v="611"/>
    </i>
    <i r="4">
      <x v="2690"/>
      <x v="611"/>
    </i>
    <i r="4">
      <x v="3209"/>
      <x v="611"/>
    </i>
    <i r="4">
      <x v="3443"/>
      <x v="611"/>
    </i>
    <i r="1">
      <x v="28"/>
      <x v="67"/>
      <x v="203"/>
      <x v="3097"/>
      <x v="611"/>
    </i>
    <i r="1">
      <x v="32"/>
      <x v="67"/>
      <x v="203"/>
      <x v="1867"/>
      <x v="611"/>
    </i>
    <i r="1">
      <x v="34"/>
      <x v="67"/>
      <x v="203"/>
      <x v="2558"/>
      <x v="611"/>
    </i>
    <i r="1">
      <x v="37"/>
      <x v="67"/>
      <x v="203"/>
      <x v="3039"/>
      <x v="611"/>
    </i>
    <i r="1">
      <x v="40"/>
      <x v="2"/>
      <x v="203"/>
      <x v="3239"/>
      <x v="611"/>
    </i>
    <i r="4">
      <x v="3478"/>
      <x v="611"/>
    </i>
    <i r="2">
      <x v="22"/>
      <x v="403"/>
      <x v="3039"/>
      <x v="611"/>
    </i>
    <i r="3">
      <x v="438"/>
      <x v="3437"/>
      <x v="611"/>
    </i>
    <i>
      <x v="18"/>
      <x v="2"/>
      <x v="14"/>
      <x v="201"/>
      <x v="1859"/>
      <x v="611"/>
    </i>
    <i r="1">
      <x v="12"/>
      <x v="67"/>
      <x v="201"/>
      <x v="594"/>
      <x v="611"/>
    </i>
    <i r="1">
      <x v="16"/>
      <x v="67"/>
      <x v="201"/>
      <x v="3326"/>
      <x v="611"/>
    </i>
    <i r="1">
      <x v="18"/>
      <x v="67"/>
      <x v="201"/>
      <x v="3443"/>
      <x v="611"/>
    </i>
    <i r="1">
      <x v="24"/>
      <x v="67"/>
      <x v="201"/>
      <x v="713"/>
      <x v="611"/>
    </i>
    <i r="1">
      <x v="27"/>
      <x v="2"/>
      <x v="201"/>
      <x v="3443"/>
      <x v="611"/>
    </i>
    <i r="1">
      <x v="32"/>
      <x v="67"/>
      <x v="201"/>
      <x v="1112"/>
      <x v="611"/>
    </i>
    <i r="1">
      <x v="35"/>
      <x v="67"/>
      <x v="201"/>
      <x v="1000"/>
      <x v="611"/>
    </i>
    <i r="1">
      <x v="37"/>
      <x v="67"/>
      <x v="201"/>
      <x v="1283"/>
      <x v="611"/>
    </i>
    <i r="1">
      <x v="40"/>
      <x v="22"/>
      <x v="393"/>
      <x v="3484"/>
      <x v="611"/>
    </i>
    <i r="3">
      <x v="420"/>
      <x v="3530"/>
      <x v="611"/>
    </i>
    <i r="3">
      <x v="443"/>
      <x v="3528"/>
      <x v="611"/>
    </i>
    <i>
      <x v="19"/>
      <x v="35"/>
      <x v="17"/>
      <x v="199"/>
      <x v="3185"/>
      <x v="611"/>
    </i>
    <i r="1">
      <x v="40"/>
      <x v="18"/>
      <x v="199"/>
      <x v="2024"/>
      <x v="611"/>
    </i>
    <i r="4">
      <x v="2160"/>
      <x v="611"/>
    </i>
    <i r="4">
      <x v="2829"/>
      <x v="611"/>
    </i>
    <i r="4">
      <x v="2969"/>
      <x v="611"/>
    </i>
    <i r="2">
      <x v="22"/>
      <x v="411"/>
      <x v="3274"/>
      <x v="611"/>
    </i>
    <i>
      <x v="20"/>
      <x v="3"/>
      <x v="2"/>
      <x v="196"/>
      <x v="3443"/>
      <x v="611"/>
    </i>
    <i r="2">
      <x v="44"/>
      <x v="197"/>
      <x v="2109"/>
      <x v="611"/>
    </i>
    <i r="4">
      <x v="2232"/>
      <x v="611"/>
    </i>
    <i r="4">
      <x v="2658"/>
      <x v="611"/>
    </i>
    <i r="4">
      <x v="2798"/>
      <x v="611"/>
    </i>
    <i r="4">
      <x v="2806"/>
      <x v="611"/>
    </i>
    <i r="4">
      <x v="2823"/>
      <x v="611"/>
    </i>
    <i r="4">
      <x v="2934"/>
      <x v="611"/>
    </i>
    <i r="4">
      <x v="2959"/>
      <x v="611"/>
    </i>
    <i r="4">
      <x v="3221"/>
      <x v="611"/>
    </i>
    <i r="4">
      <x v="3266"/>
      <x v="611"/>
    </i>
    <i r="4">
      <x v="3296"/>
      <x v="611"/>
    </i>
    <i r="4">
      <x v="3307"/>
      <x v="611"/>
    </i>
    <i r="4">
      <x v="3434"/>
      <x v="611"/>
    </i>
    <i r="1">
      <x v="15"/>
      <x v="44"/>
      <x v="197"/>
      <x v="676"/>
      <x v="611"/>
    </i>
    <i r="1">
      <x v="16"/>
      <x v="44"/>
      <x v="197"/>
      <x v="15"/>
      <x v="611"/>
    </i>
    <i r="1">
      <x v="18"/>
      <x v="44"/>
      <x v="197"/>
      <x v="183"/>
      <x v="611"/>
    </i>
    <i r="1">
      <x v="22"/>
      <x v="44"/>
      <x v="197"/>
      <x v="3423"/>
      <x v="611"/>
    </i>
    <i r="1">
      <x v="24"/>
      <x v="44"/>
      <x v="197"/>
      <x v="735"/>
      <x v="611"/>
    </i>
    <i r="1">
      <x v="27"/>
      <x v="2"/>
      <x v="196"/>
      <x v="3209"/>
      <x v="611"/>
    </i>
    <i r="2">
      <x v="44"/>
      <x v="197"/>
      <x v="113"/>
      <x v="611"/>
    </i>
    <i r="4">
      <x v="185"/>
      <x v="611"/>
    </i>
    <i r="4">
      <x v="193"/>
      <x v="611"/>
    </i>
    <i r="4">
      <x v="345"/>
      <x v="611"/>
    </i>
    <i r="4">
      <x v="457"/>
      <x v="611"/>
    </i>
    <i r="4">
      <x v="469"/>
      <x v="611"/>
    </i>
    <i r="4">
      <x v="521"/>
      <x v="611"/>
    </i>
    <i r="4">
      <x v="541"/>
      <x v="611"/>
    </i>
    <i r="4">
      <x v="544"/>
      <x v="611"/>
    </i>
    <i r="4">
      <x v="626"/>
      <x v="611"/>
    </i>
    <i r="4">
      <x v="859"/>
      <x v="611"/>
    </i>
    <i r="4">
      <x v="946"/>
      <x v="611"/>
    </i>
    <i r="4">
      <x v="1035"/>
      <x v="611"/>
    </i>
    <i r="4">
      <x v="1320"/>
      <x v="611"/>
    </i>
    <i r="4">
      <x v="1549"/>
      <x v="611"/>
    </i>
    <i r="4">
      <x v="1595"/>
      <x v="611"/>
    </i>
    <i r="4">
      <x v="1631"/>
      <x v="611"/>
    </i>
    <i r="4">
      <x v="1700"/>
      <x v="611"/>
    </i>
    <i r="4">
      <x v="1942"/>
      <x v="611"/>
    </i>
    <i r="4">
      <x v="1956"/>
      <x v="611"/>
    </i>
    <i r="4">
      <x v="2408"/>
      <x v="611"/>
    </i>
    <i r="4">
      <x v="3048"/>
      <x v="611"/>
    </i>
    <i r="1">
      <x v="31"/>
      <x v="19"/>
      <x v="196"/>
      <x v="3280"/>
      <x v="611"/>
    </i>
    <i r="1">
      <x v="36"/>
      <x v="67"/>
      <x v="196"/>
      <x v="1462"/>
      <x v="611"/>
    </i>
    <i r="1">
      <x v="38"/>
      <x v="44"/>
      <x v="197"/>
      <x v="739"/>
      <x v="611"/>
    </i>
    <i r="1">
      <x v="40"/>
      <x v="22"/>
      <x v="386"/>
      <x v="3550"/>
      <x v="611"/>
    </i>
    <i r="3">
      <x v="424"/>
      <x v="3134"/>
      <x v="611"/>
    </i>
    <i r="2">
      <x v="44"/>
      <x v="197"/>
      <x v="1565"/>
      <x v="611"/>
    </i>
    <i r="4">
      <x v="1907"/>
      <x v="611"/>
    </i>
    <i>
      <x v="21"/>
      <x v="1"/>
      <x v="67"/>
      <x v="193"/>
      <x v="2228"/>
      <x v="611"/>
    </i>
    <i r="1">
      <x v="3"/>
      <x v="2"/>
      <x v="193"/>
      <x v="3443"/>
      <x v="611"/>
    </i>
    <i r="1">
      <x v="12"/>
      <x v="67"/>
      <x v="193"/>
      <x v="3275"/>
      <x v="611"/>
    </i>
    <i r="2">
      <x v="68"/>
      <x v="193"/>
      <x v="1745"/>
      <x v="611"/>
    </i>
    <i r="1">
      <x v="20"/>
      <x v="14"/>
      <x v="193"/>
      <x v="1862"/>
      <x v="611"/>
    </i>
    <i r="1">
      <x v="24"/>
      <x v="68"/>
      <x v="193"/>
      <x v="188"/>
      <x v="611"/>
    </i>
    <i r="1">
      <x v="27"/>
      <x v="2"/>
      <x v="193"/>
      <x v="2690"/>
      <x v="611"/>
    </i>
    <i r="4">
      <x v="2969"/>
      <x v="611"/>
    </i>
    <i r="4">
      <x v="3443"/>
      <x v="611"/>
    </i>
    <i r="1">
      <x v="28"/>
      <x v="67"/>
      <x v="193"/>
      <x v="1127"/>
      <x v="611"/>
    </i>
    <i r="1">
      <x v="32"/>
      <x v="67"/>
      <x v="193"/>
      <x v="1311"/>
      <x v="611"/>
    </i>
    <i r="1">
      <x v="35"/>
      <x v="68"/>
      <x v="193"/>
      <x v="639"/>
      <x v="611"/>
    </i>
    <i r="1">
      <x v="37"/>
      <x v="67"/>
      <x v="193"/>
      <x v="1618"/>
      <x v="611"/>
    </i>
    <i r="1">
      <x v="40"/>
      <x v="22"/>
      <x v="399"/>
      <x v="3142"/>
      <x v="611"/>
    </i>
    <i r="3">
      <x v="424"/>
      <x v="3418"/>
      <x v="611"/>
    </i>
    <i>
      <x v="22"/>
      <x v="13"/>
      <x v="67"/>
      <x v="190"/>
      <x v="3393"/>
      <x v="611"/>
    </i>
    <i r="2">
      <x v="68"/>
      <x v="190"/>
      <x v="1675"/>
      <x v="611"/>
    </i>
    <i r="1">
      <x v="20"/>
      <x v="14"/>
      <x v="190"/>
      <x v="1970"/>
      <x v="611"/>
    </i>
    <i r="1">
      <x v="27"/>
      <x v="2"/>
      <x v="190"/>
      <x v="1486"/>
      <x v="611"/>
    </i>
    <i r="4">
      <x v="2690"/>
      <x v="611"/>
    </i>
    <i r="2">
      <x v="57"/>
      <x v="191"/>
      <x v="3199"/>
      <x v="611"/>
    </i>
    <i r="1">
      <x v="32"/>
      <x v="2"/>
      <x v="190"/>
      <x v="940"/>
      <x v="611"/>
    </i>
    <i r="1">
      <x v="38"/>
      <x v="57"/>
      <x v="191"/>
      <x v="3522"/>
      <x v="611"/>
    </i>
    <i r="1">
      <x v="40"/>
      <x v="22"/>
      <x v="403"/>
      <x v="3039"/>
      <x v="611"/>
    </i>
    <i r="3">
      <x v="414"/>
      <x v="3163"/>
      <x v="611"/>
    </i>
    <i>
      <x v="23"/>
      <x v="3"/>
      <x v="2"/>
      <x v="188"/>
      <x v="3443"/>
      <x v="611"/>
    </i>
    <i r="1">
      <x v="5"/>
      <x v="14"/>
      <x v="188"/>
      <x v="2748"/>
      <x v="611"/>
    </i>
    <i r="1">
      <x v="16"/>
      <x v="67"/>
      <x v="188"/>
      <x v="3370"/>
      <x v="611"/>
    </i>
    <i r="1">
      <x v="20"/>
      <x v="14"/>
      <x v="188"/>
      <x v="1939"/>
      <x v="611"/>
    </i>
    <i r="2">
      <x v="67"/>
      <x v="188"/>
      <x v="3410"/>
      <x v="611"/>
    </i>
    <i r="1">
      <x v="22"/>
      <x v="14"/>
      <x v="188"/>
      <x v="2573"/>
      <x v="611"/>
    </i>
    <i r="1">
      <x v="27"/>
      <x v="2"/>
      <x v="188"/>
      <x v="2690"/>
      <x v="611"/>
    </i>
    <i r="4">
      <x v="2969"/>
      <x v="611"/>
    </i>
    <i r="4">
      <x v="3209"/>
      <x v="611"/>
    </i>
    <i r="4">
      <x v="3443"/>
      <x v="611"/>
    </i>
    <i r="1">
      <x v="28"/>
      <x v="67"/>
      <x v="188"/>
      <x v="3421"/>
      <x v="611"/>
    </i>
    <i r="1">
      <x v="34"/>
      <x v="67"/>
      <x v="188"/>
      <x v="1606"/>
      <x v="611"/>
    </i>
    <i r="1">
      <x v="37"/>
      <x v="67"/>
      <x v="188"/>
      <x v="3393"/>
      <x v="611"/>
    </i>
    <i r="1">
      <x v="40"/>
      <x v="14"/>
      <x v="188"/>
      <x v="1384"/>
      <x v="611"/>
    </i>
    <i r="2">
      <x v="22"/>
      <x v="416"/>
      <x v="3491"/>
      <x v="611"/>
    </i>
    <i r="3">
      <x v="436"/>
      <x v="3518"/>
      <x v="611"/>
    </i>
    <i r="2">
      <x v="62"/>
      <x v="188"/>
      <x v="1885"/>
      <x v="611"/>
    </i>
    <i>
      <x v="24"/>
      <x v="3"/>
      <x v="67"/>
      <x v="186"/>
      <x v="1074"/>
      <x v="611"/>
    </i>
    <i r="4">
      <x v="1080"/>
      <x v="611"/>
    </i>
    <i r="1">
      <x v="12"/>
      <x v="2"/>
      <x v="186"/>
      <x v="3393"/>
      <x v="611"/>
    </i>
    <i r="2">
      <x v="67"/>
      <x v="186"/>
      <x v="3393"/>
      <x v="611"/>
    </i>
    <i r="1">
      <x v="15"/>
      <x v="14"/>
      <x v="186"/>
      <x v="1207"/>
      <x v="611"/>
    </i>
    <i r="2">
      <x v="67"/>
      <x v="186"/>
      <x v="3146"/>
      <x v="611"/>
    </i>
    <i r="1">
      <x v="20"/>
      <x v="67"/>
      <x v="186"/>
      <x v="138"/>
      <x v="611"/>
    </i>
    <i r="1">
      <x v="27"/>
      <x v="2"/>
      <x v="186"/>
      <x v="2305"/>
      <x v="611"/>
    </i>
    <i r="4">
      <x v="3209"/>
      <x v="611"/>
    </i>
    <i r="4">
      <x v="3443"/>
      <x v="611"/>
    </i>
    <i r="2">
      <x v="67"/>
      <x v="186"/>
      <x v="691"/>
      <x v="611"/>
    </i>
    <i r="4">
      <x v="2513"/>
      <x v="611"/>
    </i>
    <i r="1">
      <x v="32"/>
      <x v="67"/>
      <x v="186"/>
      <x v="2657"/>
      <x v="611"/>
    </i>
    <i r="1">
      <x v="34"/>
      <x v="67"/>
      <x v="186"/>
      <x v="1773"/>
      <x v="611"/>
    </i>
    <i r="1">
      <x v="38"/>
      <x v="2"/>
      <x v="186"/>
      <x v="1726"/>
      <x v="611"/>
    </i>
    <i r="1">
      <x v="40"/>
      <x v="14"/>
      <x v="186"/>
      <x v="3013"/>
      <x v="611"/>
    </i>
    <i r="4">
      <x v="3039"/>
      <x v="611"/>
    </i>
    <i r="2">
      <x v="22"/>
      <x v="389"/>
      <x v="3518"/>
      <x v="611"/>
    </i>
    <i r="3">
      <x v="401"/>
      <x v="3527"/>
      <x v="611"/>
    </i>
    <i r="3">
      <x v="424"/>
      <x v="3546"/>
      <x v="611"/>
    </i>
    <i r="3">
      <x v="430"/>
      <x v="3539"/>
      <x v="611"/>
    </i>
    <i>
      <x v="25"/>
      <x v="40"/>
      <x v="22"/>
      <x v="402"/>
      <x v="3550"/>
      <x v="611"/>
    </i>
    <i r="3">
      <x v="421"/>
      <x v="3463"/>
      <x v="611"/>
    </i>
    <i>
      <x v="26"/>
      <x v="24"/>
      <x v="17"/>
      <x v="185"/>
      <x v="2206"/>
      <x v="611"/>
    </i>
    <i r="2">
      <x v="62"/>
      <x v="185"/>
      <x v="1666"/>
      <x v="611"/>
    </i>
    <i r="1">
      <x v="27"/>
      <x v="2"/>
      <x v="185"/>
      <x v="3209"/>
      <x v="611"/>
    </i>
    <i r="1">
      <x v="32"/>
      <x v="67"/>
      <x v="185"/>
      <x v="719"/>
      <x v="611"/>
    </i>
    <i r="1">
      <x v="35"/>
      <x v="17"/>
      <x v="185"/>
      <x v="3104"/>
      <x v="611"/>
    </i>
    <i r="1">
      <x v="38"/>
      <x v="17"/>
      <x v="185"/>
      <x v="2410"/>
      <x v="611"/>
    </i>
    <i r="2">
      <x v="18"/>
      <x v="185"/>
      <x v="3324"/>
      <x v="611"/>
    </i>
    <i r="1">
      <x v="40"/>
      <x v="17"/>
      <x v="185"/>
      <x v="1621"/>
      <x v="611"/>
    </i>
    <i r="4">
      <x v="3261"/>
      <x v="611"/>
    </i>
    <i r="2">
      <x v="18"/>
      <x v="185"/>
      <x v="1199"/>
      <x v="611"/>
    </i>
    <i r="4">
      <x v="1723"/>
      <x v="611"/>
    </i>
    <i r="4">
      <x v="2082"/>
      <x v="611"/>
    </i>
    <i r="4">
      <x v="2214"/>
      <x v="611"/>
    </i>
    <i r="4">
      <x v="2301"/>
      <x v="611"/>
    </i>
    <i r="4">
      <x v="2361"/>
      <x v="611"/>
    </i>
    <i r="4">
      <x v="2569"/>
      <x v="611"/>
    </i>
    <i r="4">
      <x v="2605"/>
      <x v="611"/>
    </i>
    <i r="4">
      <x v="2663"/>
      <x v="611"/>
    </i>
    <i r="4">
      <x v="2668"/>
      <x v="611"/>
    </i>
    <i r="4">
      <x v="2972"/>
      <x v="611"/>
    </i>
    <i r="2">
      <x v="22"/>
      <x v="424"/>
      <x v="3134"/>
      <x v="611"/>
    </i>
    <i r="3">
      <x v="433"/>
      <x v="3528"/>
      <x v="611"/>
    </i>
    <i>
      <x v="27"/>
      <x v="3"/>
      <x v="2"/>
      <x v="183"/>
      <x v="3209"/>
      <x v="611"/>
    </i>
    <i r="1">
      <x v="12"/>
      <x v="14"/>
      <x v="183"/>
      <x v="1344"/>
      <x v="611"/>
    </i>
    <i r="1">
      <x v="16"/>
      <x v="68"/>
      <x v="183"/>
      <x v="37"/>
      <x v="611"/>
    </i>
    <i r="1">
      <x v="18"/>
      <x v="68"/>
      <x v="183"/>
      <x v="756"/>
      <x v="611"/>
    </i>
    <i r="1">
      <x v="22"/>
      <x v="67"/>
      <x v="183"/>
      <x v="2362"/>
      <x v="611"/>
    </i>
    <i r="1">
      <x v="24"/>
      <x v="68"/>
      <x v="183"/>
      <x v="1227"/>
      <x v="611"/>
    </i>
    <i r="1">
      <x v="27"/>
      <x v="2"/>
      <x v="183"/>
      <x v="2150"/>
      <x v="611"/>
    </i>
    <i r="4">
      <x v="2690"/>
      <x v="611"/>
    </i>
    <i r="4">
      <x v="2969"/>
      <x v="611"/>
    </i>
    <i r="4">
      <x v="3209"/>
      <x v="611"/>
    </i>
    <i r="4">
      <x v="3443"/>
      <x v="611"/>
    </i>
    <i r="1">
      <x v="28"/>
      <x v="67"/>
      <x v="183"/>
      <x v="3421"/>
      <x v="611"/>
    </i>
    <i r="1">
      <x v="29"/>
      <x v="67"/>
      <x v="183"/>
      <x v="1838"/>
      <x v="611"/>
    </i>
    <i r="1">
      <x v="34"/>
      <x v="67"/>
      <x v="183"/>
      <x v="1519"/>
      <x v="611"/>
    </i>
    <i r="1">
      <x v="37"/>
      <x v="2"/>
      <x v="183"/>
      <x v="2238"/>
      <x v="611"/>
    </i>
    <i r="2">
      <x v="67"/>
      <x v="183"/>
      <x v="3249"/>
      <x v="611"/>
    </i>
    <i r="1">
      <x v="40"/>
      <x v="22"/>
      <x v="392"/>
      <x v="3475"/>
      <x v="611"/>
    </i>
    <i r="3">
      <x v="435"/>
      <x v="3123"/>
      <x v="611"/>
    </i>
    <i>
      <x v="28"/>
      <x v="12"/>
      <x v="14"/>
      <x v="181"/>
      <x v="1431"/>
      <x v="611"/>
    </i>
    <i r="2">
      <x v="18"/>
      <x v="181"/>
      <x v="3564"/>
      <x v="391"/>
    </i>
    <i r="1">
      <x v="20"/>
      <x v="67"/>
      <x v="181"/>
      <x v="1929"/>
      <x v="611"/>
    </i>
    <i r="1">
      <x v="22"/>
      <x v="19"/>
      <x v="181"/>
      <x v="59"/>
      <x v="611"/>
    </i>
    <i r="1">
      <x v="27"/>
      <x v="2"/>
      <x v="181"/>
      <x v="2150"/>
      <x v="611"/>
    </i>
    <i r="4">
      <x v="2969"/>
      <x v="611"/>
    </i>
    <i r="4">
      <x v="3209"/>
      <x v="611"/>
    </i>
    <i r="4">
      <x v="3443"/>
      <x v="611"/>
    </i>
    <i r="1">
      <x v="29"/>
      <x v="67"/>
      <x v="181"/>
      <x v="1406"/>
      <x v="611"/>
    </i>
    <i r="1">
      <x v="38"/>
      <x v="67"/>
      <x v="181"/>
      <x v="2538"/>
      <x v="611"/>
    </i>
    <i r="1">
      <x v="40"/>
      <x v="2"/>
      <x v="181"/>
      <x v="2970"/>
      <x v="611"/>
    </i>
    <i r="2">
      <x v="14"/>
      <x v="181"/>
      <x v="3438"/>
      <x v="611"/>
    </i>
    <i r="2">
      <x v="17"/>
      <x v="181"/>
      <x v="2722"/>
      <x v="611"/>
    </i>
    <i r="4">
      <x v="2819"/>
      <x v="611"/>
    </i>
    <i r="4">
      <x v="2905"/>
      <x v="611"/>
    </i>
    <i r="4">
      <x v="3410"/>
      <x v="611"/>
    </i>
    <i r="2">
      <x v="18"/>
      <x v="181"/>
      <x v="2106"/>
      <x v="611"/>
    </i>
    <i r="4">
      <x v="2793"/>
      <x v="611"/>
    </i>
    <i r="2">
      <x v="22"/>
      <x v="383"/>
      <x v="3535"/>
      <x v="611"/>
    </i>
    <i r="3">
      <x v="416"/>
      <x v="3239"/>
      <x v="611"/>
    </i>
    <i r="3">
      <x v="430"/>
      <x v="3539"/>
      <x v="611"/>
    </i>
    <i>
      <x v="29"/>
      <x v="14"/>
      <x v="14"/>
      <x v="179"/>
      <x v="2930"/>
      <x v="611"/>
    </i>
    <i r="1">
      <x v="17"/>
      <x v="2"/>
      <x v="179"/>
      <x v="461"/>
      <x v="611"/>
    </i>
    <i r="1">
      <x v="28"/>
      <x v="68"/>
      <x v="179"/>
      <x v="659"/>
      <x v="611"/>
    </i>
    <i r="1">
      <x v="35"/>
      <x v="68"/>
      <x v="179"/>
      <x v="1972"/>
      <x v="611"/>
    </i>
    <i r="1">
      <x v="40"/>
      <x v="22"/>
      <x v="436"/>
      <x v="3518"/>
      <x v="611"/>
    </i>
    <i>
      <x v="30"/>
      <x v="3"/>
      <x v="2"/>
      <x v="177"/>
      <x v="3443"/>
      <x v="611"/>
    </i>
    <i r="1">
      <x v="5"/>
      <x v="2"/>
      <x v="177"/>
      <x v="2688"/>
      <x v="611"/>
    </i>
    <i r="1">
      <x v="12"/>
      <x v="68"/>
      <x v="177"/>
      <x v="2398"/>
      <x v="611"/>
    </i>
    <i r="1">
      <x v="13"/>
      <x v="67"/>
      <x v="177"/>
      <x v="1190"/>
      <x v="611"/>
    </i>
    <i r="2">
      <x v="68"/>
      <x v="177"/>
      <x v="956"/>
      <x v="611"/>
    </i>
    <i r="1">
      <x v="21"/>
      <x v="14"/>
      <x v="177"/>
      <x v="2220"/>
      <x v="611"/>
    </i>
    <i r="1">
      <x v="24"/>
      <x v="67"/>
      <x v="177"/>
      <x v="2045"/>
      <x v="611"/>
    </i>
    <i r="2">
      <x v="68"/>
      <x v="177"/>
      <x v="1065"/>
      <x v="611"/>
    </i>
    <i r="1">
      <x v="27"/>
      <x v="2"/>
      <x v="177"/>
      <x v="1814"/>
      <x v="611"/>
    </i>
    <i r="4">
      <x v="2305"/>
      <x v="611"/>
    </i>
    <i r="4">
      <x v="2969"/>
      <x v="611"/>
    </i>
    <i r="4">
      <x v="3209"/>
      <x v="611"/>
    </i>
    <i r="4">
      <x v="3443"/>
      <x v="611"/>
    </i>
    <i r="2">
      <x v="67"/>
      <x v="177"/>
      <x v="1240"/>
      <x v="611"/>
    </i>
    <i r="1">
      <x v="28"/>
      <x v="2"/>
      <x v="177"/>
      <x v="3427"/>
      <x v="611"/>
    </i>
    <i r="2">
      <x v="67"/>
      <x v="177"/>
      <x v="3318"/>
      <x v="611"/>
    </i>
    <i r="1">
      <x v="32"/>
      <x v="67"/>
      <x v="177"/>
      <x v="2172"/>
      <x v="611"/>
    </i>
    <i r="1">
      <x v="37"/>
      <x v="67"/>
      <x v="177"/>
      <x v="3119"/>
      <x v="611"/>
    </i>
    <i r="1">
      <x v="40"/>
      <x v="2"/>
      <x v="177"/>
      <x v="3443"/>
      <x v="611"/>
    </i>
    <i r="2">
      <x v="14"/>
      <x v="177"/>
      <x v="2308"/>
      <x v="611"/>
    </i>
    <i r="4">
      <x v="3181"/>
      <x v="611"/>
    </i>
    <i r="2">
      <x v="22"/>
      <x v="388"/>
      <x v="3460"/>
      <x v="611"/>
    </i>
    <i r="3">
      <x v="391"/>
      <x v="3418"/>
      <x v="611"/>
    </i>
    <i r="3">
      <x v="402"/>
      <x v="3544"/>
      <x v="611"/>
    </i>
    <i r="3">
      <x v="420"/>
      <x v="3550"/>
      <x v="611"/>
    </i>
    <i r="3">
      <x v="436"/>
      <x v="3518"/>
      <x v="611"/>
    </i>
    <i r="3">
      <x v="448"/>
      <x v="3494"/>
      <x v="611"/>
    </i>
    <i>
      <x v="31"/>
      <x v="2"/>
      <x v="2"/>
      <x v="175"/>
      <x v="3419"/>
      <x v="611"/>
    </i>
    <i r="2">
      <x v="14"/>
      <x v="175"/>
      <x v="2183"/>
      <x v="611"/>
    </i>
    <i r="1">
      <x v="3"/>
      <x v="2"/>
      <x v="175"/>
      <x v="2969"/>
      <x v="611"/>
    </i>
    <i r="4">
      <x v="3209"/>
      <x v="611"/>
    </i>
    <i r="1">
      <x v="16"/>
      <x v="67"/>
      <x v="175"/>
      <x v="2872"/>
      <x v="611"/>
    </i>
    <i r="1">
      <x v="18"/>
      <x v="19"/>
      <x v="175"/>
      <x v="1462"/>
      <x v="611"/>
    </i>
    <i r="1">
      <x v="20"/>
      <x v="67"/>
      <x v="175"/>
      <x v="2766"/>
      <x v="611"/>
    </i>
    <i r="1">
      <x v="22"/>
      <x v="67"/>
      <x v="175"/>
      <x v="3270"/>
      <x v="611"/>
    </i>
    <i r="1">
      <x v="27"/>
      <x v="2"/>
      <x v="175"/>
      <x v="1909"/>
      <x v="611"/>
    </i>
    <i r="4">
      <x v="2969"/>
      <x v="611"/>
    </i>
    <i r="4">
      <x v="3209"/>
      <x v="611"/>
    </i>
    <i r="4">
      <x v="3443"/>
      <x v="611"/>
    </i>
    <i r="1">
      <x v="28"/>
      <x v="67"/>
      <x v="175"/>
      <x v="3174"/>
      <x v="611"/>
    </i>
    <i r="1">
      <x v="34"/>
      <x v="67"/>
      <x v="175"/>
      <x v="2386"/>
      <x v="611"/>
    </i>
    <i r="1">
      <x v="35"/>
      <x v="67"/>
      <x v="175"/>
      <x v="1387"/>
      <x v="611"/>
    </i>
    <i r="1">
      <x v="36"/>
      <x v="19"/>
      <x v="175"/>
      <x v="3564"/>
      <x v="408"/>
    </i>
    <i r="1">
      <x v="40"/>
      <x v="14"/>
      <x v="175"/>
      <x v="3416"/>
      <x v="611"/>
    </i>
    <i r="2">
      <x v="22"/>
      <x v="391"/>
      <x v="3544"/>
      <x v="611"/>
    </i>
    <i r="3">
      <x v="433"/>
      <x v="3537"/>
      <x v="611"/>
    </i>
    <i>
      <x v="32"/>
      <x v="3"/>
      <x v="28"/>
      <x v="173"/>
      <x v="1043"/>
      <x v="611"/>
    </i>
    <i r="4">
      <x v="1202"/>
      <x v="611"/>
    </i>
    <i r="4">
      <x v="1236"/>
      <x v="611"/>
    </i>
    <i r="4">
      <x v="1483"/>
      <x v="611"/>
    </i>
    <i r="4">
      <x v="1809"/>
      <x v="611"/>
    </i>
    <i r="4">
      <x v="2349"/>
      <x v="611"/>
    </i>
    <i r="4">
      <x v="2705"/>
      <x v="611"/>
    </i>
    <i r="4">
      <x v="2731"/>
      <x v="611"/>
    </i>
    <i r="4">
      <x v="2760"/>
      <x v="611"/>
    </i>
    <i r="4">
      <x v="2936"/>
      <x v="611"/>
    </i>
    <i r="4">
      <x v="3271"/>
      <x v="611"/>
    </i>
    <i r="4">
      <x v="3459"/>
      <x v="611"/>
    </i>
    <i r="1">
      <x v="15"/>
      <x v="28"/>
      <x v="173"/>
      <x v="1257"/>
      <x v="611"/>
    </i>
    <i r="1">
      <x v="16"/>
      <x v="28"/>
      <x v="173"/>
      <x v="36"/>
      <x v="611"/>
    </i>
    <i r="2">
      <x v="62"/>
      <x v="172"/>
      <x v="1875"/>
      <x v="611"/>
    </i>
    <i r="1">
      <x v="18"/>
      <x v="28"/>
      <x v="173"/>
      <x v="2203"/>
      <x v="611"/>
    </i>
    <i r="1">
      <x v="22"/>
      <x v="28"/>
      <x v="173"/>
      <x v="2394"/>
      <x v="611"/>
    </i>
    <i r="1">
      <x v="27"/>
      <x v="28"/>
      <x v="173"/>
      <x v="63"/>
      <x v="611"/>
    </i>
    <i r="4">
      <x v="205"/>
      <x v="611"/>
    </i>
    <i r="4">
      <x v="263"/>
      <x v="611"/>
    </i>
    <i r="4">
      <x v="379"/>
      <x v="611"/>
    </i>
    <i r="4">
      <x v="399"/>
      <x v="611"/>
    </i>
    <i r="4">
      <x v="534"/>
      <x v="611"/>
    </i>
    <i r="4">
      <x v="560"/>
      <x v="611"/>
    </i>
    <i r="4">
      <x v="604"/>
      <x v="611"/>
    </i>
    <i r="4">
      <x v="611"/>
      <x v="611"/>
    </i>
    <i r="4">
      <x v="617"/>
      <x v="611"/>
    </i>
    <i r="4">
      <x v="811"/>
      <x v="611"/>
    </i>
    <i r="4">
      <x v="982"/>
      <x v="611"/>
    </i>
    <i r="4">
      <x v="1091"/>
      <x v="611"/>
    </i>
    <i r="4">
      <x v="1121"/>
      <x v="611"/>
    </i>
    <i r="4">
      <x v="1325"/>
      <x v="611"/>
    </i>
    <i r="4">
      <x v="1381"/>
      <x v="611"/>
    </i>
    <i r="4">
      <x v="1695"/>
      <x v="611"/>
    </i>
    <i r="4">
      <x v="1894"/>
      <x v="611"/>
    </i>
    <i r="4">
      <x v="1923"/>
      <x v="611"/>
    </i>
    <i r="4">
      <x v="2484"/>
      <x v="611"/>
    </i>
    <i r="4">
      <x v="2659"/>
      <x v="611"/>
    </i>
    <i r="4">
      <x v="2962"/>
      <x v="611"/>
    </i>
    <i r="4">
      <x v="2980"/>
      <x v="611"/>
    </i>
    <i r="4">
      <x v="3189"/>
      <x v="611"/>
    </i>
    <i r="4">
      <x v="3316"/>
      <x v="611"/>
    </i>
    <i r="1">
      <x v="38"/>
      <x v="28"/>
      <x v="173"/>
      <x v="440"/>
      <x v="611"/>
    </i>
    <i r="1">
      <x v="40"/>
      <x v="22"/>
      <x v="389"/>
      <x v="2930"/>
      <x v="611"/>
    </i>
    <i r="3">
      <x v="414"/>
      <x v="3497"/>
      <x v="611"/>
    </i>
    <i r="3">
      <x v="441"/>
      <x v="3422"/>
      <x v="611"/>
    </i>
    <i r="2">
      <x v="28"/>
      <x v="173"/>
      <x v="2155"/>
      <x v="611"/>
    </i>
    <i r="4">
      <x v="2166"/>
      <x v="611"/>
    </i>
    <i r="4">
      <x v="3362"/>
      <x v="611"/>
    </i>
    <i>
      <x v="33"/>
      <x v="12"/>
      <x v="14"/>
      <x v="169"/>
      <x v="809"/>
      <x v="611"/>
    </i>
    <i r="1">
      <x v="40"/>
      <x v="22"/>
      <x v="389"/>
      <x v="3422"/>
      <x v="611"/>
    </i>
    <i r="3">
      <x v="393"/>
      <x v="3544"/>
      <x v="611"/>
    </i>
    <i r="3">
      <x v="408"/>
      <x v="3550"/>
      <x v="611"/>
    </i>
    <i>
      <x v="34"/>
      <x v="2"/>
      <x v="17"/>
      <x v="167"/>
      <x v="1117"/>
      <x v="611"/>
    </i>
    <i r="1">
      <x v="3"/>
      <x v="2"/>
      <x v="167"/>
      <x v="2969"/>
      <x v="611"/>
    </i>
    <i r="4">
      <x v="3443"/>
      <x v="611"/>
    </i>
    <i r="1">
      <x v="5"/>
      <x v="14"/>
      <x v="167"/>
      <x v="2748"/>
      <x v="611"/>
    </i>
    <i r="1">
      <x v="13"/>
      <x v="16"/>
      <x v="167"/>
      <x v="2666"/>
      <x v="611"/>
    </i>
    <i r="1">
      <x v="16"/>
      <x v="67"/>
      <x v="167"/>
      <x v="1510"/>
      <x v="611"/>
    </i>
    <i r="1">
      <x v="27"/>
      <x v="2"/>
      <x v="167"/>
      <x v="1909"/>
      <x v="611"/>
    </i>
    <i r="4">
      <x v="3209"/>
      <x v="611"/>
    </i>
    <i r="4">
      <x v="3443"/>
      <x v="611"/>
    </i>
    <i r="1">
      <x v="28"/>
      <x v="2"/>
      <x v="167"/>
      <x v="1078"/>
      <x v="611"/>
    </i>
    <i r="2">
      <x v="67"/>
      <x v="167"/>
      <x v="2248"/>
      <x v="611"/>
    </i>
    <i r="1">
      <x v="33"/>
      <x v="17"/>
      <x v="167"/>
      <x v="2631"/>
      <x v="611"/>
    </i>
    <i r="2">
      <x v="18"/>
      <x v="167"/>
      <x v="2771"/>
      <x v="611"/>
    </i>
    <i r="2">
      <x v="19"/>
      <x v="167"/>
      <x v="454"/>
      <x v="611"/>
    </i>
    <i r="2">
      <x v="67"/>
      <x v="167"/>
      <x v="1966"/>
      <x v="611"/>
    </i>
    <i r="1">
      <x v="37"/>
      <x v="67"/>
      <x v="167"/>
      <x v="3239"/>
      <x v="611"/>
    </i>
    <i r="1">
      <x v="38"/>
      <x v="67"/>
      <x v="167"/>
      <x v="3249"/>
      <x v="611"/>
    </i>
    <i r="1">
      <x v="40"/>
      <x v="14"/>
      <x v="167"/>
      <x v="2748"/>
      <x v="611"/>
    </i>
    <i r="4">
      <x v="2947"/>
      <x v="611"/>
    </i>
    <i r="2">
      <x v="16"/>
      <x v="167"/>
      <x v="2930"/>
      <x v="611"/>
    </i>
    <i r="2">
      <x v="17"/>
      <x v="167"/>
      <x v="2848"/>
      <x v="611"/>
    </i>
    <i r="4">
      <x v="3261"/>
      <x v="611"/>
    </i>
    <i r="2">
      <x v="18"/>
      <x v="167"/>
      <x v="705"/>
      <x v="611"/>
    </i>
    <i r="4">
      <x v="1070"/>
      <x v="611"/>
    </i>
    <i r="4">
      <x v="1159"/>
      <x v="611"/>
    </i>
    <i r="4">
      <x v="1170"/>
      <x v="611"/>
    </i>
    <i r="4">
      <x v="1269"/>
      <x v="611"/>
    </i>
    <i r="4">
      <x v="1821"/>
      <x v="611"/>
    </i>
    <i r="4">
      <x v="1830"/>
      <x v="611"/>
    </i>
    <i r="4">
      <x v="2005"/>
      <x v="611"/>
    </i>
    <i r="4">
      <x v="2354"/>
      <x v="611"/>
    </i>
    <i r="4">
      <x v="2642"/>
      <x v="611"/>
    </i>
    <i r="4">
      <x v="3064"/>
      <x v="611"/>
    </i>
    <i r="4">
      <x v="3260"/>
      <x v="611"/>
    </i>
    <i r="2">
      <x v="22"/>
      <x v="416"/>
      <x v="3239"/>
      <x v="611"/>
    </i>
    <i r="3">
      <x v="446"/>
      <x v="3537"/>
      <x v="611"/>
    </i>
    <i r="2">
      <x v="67"/>
      <x v="167"/>
      <x v="691"/>
      <x v="611"/>
    </i>
    <i r="4">
      <x v="949"/>
      <x v="611"/>
    </i>
    <i r="4">
      <x v="988"/>
      <x v="611"/>
    </i>
    <i r="4">
      <x v="2690"/>
      <x v="611"/>
    </i>
    <i>
      <x v="35"/>
      <x/>
      <x v="19"/>
      <x v="165"/>
      <x v="1663"/>
      <x v="611"/>
    </i>
    <i r="1">
      <x v="1"/>
      <x v="19"/>
      <x v="165"/>
      <x v="286"/>
      <x v="611"/>
    </i>
    <i r="1">
      <x v="2"/>
      <x v="19"/>
      <x v="165"/>
      <x v="233"/>
      <x v="611"/>
    </i>
    <i r="1">
      <x v="13"/>
      <x v="67"/>
      <x v="165"/>
      <x v="2748"/>
      <x v="611"/>
    </i>
    <i r="1">
      <x v="18"/>
      <x v="67"/>
      <x v="165"/>
      <x v="1255"/>
      <x v="611"/>
    </i>
    <i r="1">
      <x v="28"/>
      <x v="19"/>
      <x v="165"/>
      <x v="1642"/>
      <x v="611"/>
    </i>
    <i r="1">
      <x v="37"/>
      <x v="19"/>
      <x v="165"/>
      <x v="2029"/>
      <x v="611"/>
    </i>
    <i r="2">
      <x v="67"/>
      <x v="165"/>
      <x v="3393"/>
      <x v="611"/>
    </i>
    <i r="1">
      <x v="38"/>
      <x v="19"/>
      <x v="165"/>
      <x v="195"/>
      <x v="611"/>
    </i>
    <i r="1">
      <x v="40"/>
      <x v="22"/>
      <x v="389"/>
      <x v="3518"/>
      <x v="611"/>
    </i>
    <i>
      <x v="36"/>
      <x v="3"/>
      <x v="2"/>
      <x v="163"/>
      <x v="3443"/>
      <x v="611"/>
    </i>
    <i r="1">
      <x v="16"/>
      <x v="2"/>
      <x v="163"/>
      <x v="3098"/>
      <x v="611"/>
    </i>
    <i r="2">
      <x v="67"/>
      <x v="163"/>
      <x v="3382"/>
      <x v="611"/>
    </i>
    <i r="1">
      <x v="20"/>
      <x v="67"/>
      <x v="163"/>
      <x v="2969"/>
      <x v="611"/>
    </i>
    <i r="1">
      <x v="25"/>
      <x v="67"/>
      <x v="163"/>
      <x v="2599"/>
      <x v="611"/>
    </i>
    <i r="1">
      <x v="27"/>
      <x v="2"/>
      <x v="163"/>
      <x v="3209"/>
      <x v="611"/>
    </i>
    <i r="4">
      <x v="3443"/>
      <x v="611"/>
    </i>
    <i r="1">
      <x v="34"/>
      <x v="67"/>
      <x v="163"/>
      <x v="1683"/>
      <x v="611"/>
    </i>
    <i r="1">
      <x v="37"/>
      <x v="67"/>
      <x v="163"/>
      <x v="3546"/>
      <x v="611"/>
    </i>
    <i>
      <x v="37"/>
      <x v="2"/>
      <x v="14"/>
      <x v="161"/>
      <x v="3443"/>
      <x v="611"/>
    </i>
    <i r="1">
      <x v="3"/>
      <x v="2"/>
      <x v="161"/>
      <x v="3443"/>
      <x v="611"/>
    </i>
    <i r="1">
      <x v="16"/>
      <x v="14"/>
      <x v="161"/>
      <x v="3013"/>
      <x v="611"/>
    </i>
    <i r="1">
      <x v="20"/>
      <x v="62"/>
      <x v="161"/>
      <x v="599"/>
      <x v="611"/>
    </i>
    <i r="1">
      <x v="25"/>
      <x v="62"/>
      <x v="161"/>
      <x v="1158"/>
      <x v="611"/>
    </i>
    <i r="1">
      <x v="27"/>
      <x v="2"/>
      <x v="161"/>
      <x v="2150"/>
      <x v="611"/>
    </i>
    <i r="4">
      <x v="3209"/>
      <x v="611"/>
    </i>
    <i r="4">
      <x v="3443"/>
      <x v="611"/>
    </i>
    <i r="1">
      <x v="37"/>
      <x v="2"/>
      <x v="161"/>
      <x v="2011"/>
      <x v="611"/>
    </i>
    <i r="2">
      <x v="14"/>
      <x v="161"/>
      <x v="2900"/>
      <x v="611"/>
    </i>
    <i r="1">
      <x v="40"/>
      <x v="2"/>
      <x v="161"/>
      <x v="3443"/>
      <x v="611"/>
    </i>
    <i r="2">
      <x v="14"/>
      <x v="161"/>
      <x v="1745"/>
      <x v="611"/>
    </i>
    <i r="2">
      <x v="17"/>
      <x v="161"/>
      <x v="1486"/>
      <x v="611"/>
    </i>
    <i r="2">
      <x v="21"/>
      <x v="400"/>
      <x v="3512"/>
      <x v="611"/>
    </i>
    <i>
      <x v="38"/>
      <x v="3"/>
      <x v="2"/>
      <x v="159"/>
      <x v="3443"/>
      <x v="611"/>
    </i>
    <i r="1">
      <x v="16"/>
      <x v="67"/>
      <x v="159"/>
      <x v="3531"/>
      <x v="611"/>
    </i>
    <i r="1">
      <x v="20"/>
      <x v="19"/>
      <x v="159"/>
      <x v="272"/>
      <x v="611"/>
    </i>
    <i r="2">
      <x v="67"/>
      <x v="159"/>
      <x v="936"/>
      <x v="611"/>
    </i>
    <i r="1">
      <x v="27"/>
      <x v="2"/>
      <x v="159"/>
      <x v="2027"/>
      <x v="611"/>
    </i>
    <i r="4">
      <x v="3443"/>
      <x v="611"/>
    </i>
    <i r="1">
      <x v="31"/>
      <x v="19"/>
      <x v="159"/>
      <x v="2450"/>
      <x v="611"/>
    </i>
    <i r="1">
      <x v="32"/>
      <x v="17"/>
      <x v="159"/>
      <x v="2185"/>
      <x v="611"/>
    </i>
    <i r="1">
      <x v="33"/>
      <x v="16"/>
      <x v="159"/>
      <x v="1851"/>
      <x v="611"/>
    </i>
    <i r="1">
      <x v="40"/>
      <x v="2"/>
      <x v="159"/>
      <x v="3209"/>
      <x v="611"/>
    </i>
    <i r="4">
      <x v="3443"/>
      <x v="611"/>
    </i>
    <i r="2">
      <x v="17"/>
      <x v="159"/>
      <x v="1621"/>
      <x v="611"/>
    </i>
    <i r="4">
      <x v="2897"/>
      <x v="611"/>
    </i>
    <i r="4">
      <x v="3289"/>
      <x v="611"/>
    </i>
    <i r="2">
      <x v="18"/>
      <x v="159"/>
      <x v="2307"/>
      <x v="611"/>
    </i>
    <i r="4">
      <x v="2409"/>
      <x v="611"/>
    </i>
    <i r="4">
      <x v="2480"/>
      <x v="611"/>
    </i>
    <i r="4">
      <x v="2529"/>
      <x v="611"/>
    </i>
    <i r="4">
      <x v="2795"/>
      <x v="611"/>
    </i>
    <i r="4">
      <x v="2822"/>
      <x v="611"/>
    </i>
    <i r="2">
      <x v="22"/>
      <x v="392"/>
      <x v="3546"/>
      <x v="611"/>
    </i>
    <i r="3">
      <x v="421"/>
      <x v="3527"/>
      <x v="611"/>
    </i>
    <i r="3">
      <x v="427"/>
      <x v="3528"/>
      <x v="611"/>
    </i>
    <i>
      <x v="39"/>
      <x v="27"/>
      <x v="2"/>
      <x v="157"/>
      <x v="2969"/>
      <x v="611"/>
    </i>
    <i r="4">
      <x v="3443"/>
      <x v="611"/>
    </i>
    <i r="1">
      <x v="40"/>
      <x v="14"/>
      <x v="157"/>
      <x v="3142"/>
      <x v="611"/>
    </i>
    <i r="2">
      <x v="22"/>
      <x v="378"/>
      <x v="3171"/>
      <x v="611"/>
    </i>
    <i r="3">
      <x v="390"/>
      <x v="3550"/>
      <x v="611"/>
    </i>
    <i r="3">
      <x v="411"/>
      <x v="3011"/>
      <x v="611"/>
    </i>
    <i r="3">
      <x v="432"/>
      <x v="3548"/>
      <x v="611"/>
    </i>
    <i r="3">
      <x v="433"/>
      <x v="3550"/>
      <x v="611"/>
    </i>
    <i>
      <x v="40"/>
      <x v="2"/>
      <x v="2"/>
      <x v="154"/>
      <x v="1685"/>
      <x v="611"/>
    </i>
    <i r="1">
      <x v="3"/>
      <x v="2"/>
      <x v="154"/>
      <x v="2150"/>
      <x v="611"/>
    </i>
    <i r="1">
      <x v="5"/>
      <x v="67"/>
      <x v="154"/>
      <x v="2577"/>
      <x v="611"/>
    </i>
    <i r="1">
      <x v="27"/>
      <x v="2"/>
      <x v="154"/>
      <x v="1909"/>
      <x v="611"/>
    </i>
    <i r="2">
      <x v="55"/>
      <x v="155"/>
      <x v="3046"/>
      <x v="611"/>
    </i>
    <i r="1">
      <x v="28"/>
      <x v="2"/>
      <x v="154"/>
      <x v="2885"/>
      <x v="611"/>
    </i>
    <i r="1">
      <x v="34"/>
      <x v="67"/>
      <x v="154"/>
      <x v="1412"/>
      <x v="611"/>
    </i>
    <i r="1">
      <x v="40"/>
      <x v="22"/>
      <x v="413"/>
      <x v="3509"/>
      <x v="611"/>
    </i>
    <i r="3">
      <x v="420"/>
      <x v="3544"/>
      <x v="611"/>
    </i>
    <i>
      <x v="41"/>
      <x v="2"/>
      <x v="2"/>
      <x v="151"/>
      <x v="3347"/>
      <x v="611"/>
    </i>
    <i r="1">
      <x v="3"/>
      <x v="2"/>
      <x v="151"/>
      <x v="3443"/>
      <x v="611"/>
    </i>
    <i r="1">
      <x v="13"/>
      <x v="17"/>
      <x v="151"/>
      <x v="3564"/>
      <x v="603"/>
    </i>
    <i r="2">
      <x v="67"/>
      <x v="151"/>
      <x v="1327"/>
      <x v="611"/>
    </i>
    <i r="1">
      <x v="16"/>
      <x v="67"/>
      <x v="151"/>
      <x v="2650"/>
      <x v="611"/>
    </i>
    <i r="1">
      <x v="27"/>
      <x/>
      <x v="151"/>
      <x v="3443"/>
      <x v="611"/>
    </i>
    <i r="2">
      <x v="2"/>
      <x v="151"/>
      <x v="2969"/>
      <x v="611"/>
    </i>
    <i r="4">
      <x v="3209"/>
      <x v="611"/>
    </i>
    <i r="4">
      <x v="3443"/>
      <x v="611"/>
    </i>
    <i r="1">
      <x v="29"/>
      <x v="14"/>
      <x v="151"/>
      <x v="796"/>
      <x v="611"/>
    </i>
    <i r="1">
      <x v="37"/>
      <x v="67"/>
      <x v="151"/>
      <x v="2748"/>
      <x v="611"/>
    </i>
    <i r="1">
      <x v="38"/>
      <x v="67"/>
      <x v="151"/>
      <x v="3509"/>
      <x v="611"/>
    </i>
    <i r="1">
      <x v="40"/>
      <x v="22"/>
      <x v="391"/>
      <x v="3550"/>
      <x v="611"/>
    </i>
    <i r="3">
      <x v="421"/>
      <x v="3527"/>
      <x v="611"/>
    </i>
    <i r="3">
      <x v="422"/>
      <x v="3554"/>
      <x v="611"/>
    </i>
    <i r="3">
      <x v="430"/>
      <x v="3460"/>
      <x v="611"/>
    </i>
    <i r="2">
      <x v="67"/>
      <x v="151"/>
      <x v="1393"/>
      <x v="611"/>
    </i>
    <i>
      <x v="42"/>
      <x v="2"/>
      <x v="2"/>
      <x v="149"/>
      <x v="1428"/>
      <x v="611"/>
    </i>
    <i r="1">
      <x v="3"/>
      <x v="2"/>
      <x v="149"/>
      <x v="3443"/>
      <x v="611"/>
    </i>
    <i r="1">
      <x v="4"/>
      <x v="67"/>
      <x v="149"/>
      <x v="3192"/>
      <x v="611"/>
    </i>
    <i r="1">
      <x v="27"/>
      <x v="2"/>
      <x v="149"/>
      <x v="2486"/>
      <x v="611"/>
    </i>
    <i r="4">
      <x v="2690"/>
      <x v="611"/>
    </i>
    <i r="4">
      <x v="3209"/>
      <x v="611"/>
    </i>
    <i r="4">
      <x v="3443"/>
      <x v="611"/>
    </i>
    <i r="1">
      <x v="38"/>
      <x v="2"/>
      <x v="149"/>
      <x v="2944"/>
      <x v="611"/>
    </i>
    <i r="2">
      <x v="14"/>
      <x v="149"/>
      <x v="2165"/>
      <x v="611"/>
    </i>
    <i r="1">
      <x v="40"/>
      <x v="14"/>
      <x v="149"/>
      <x v="1231"/>
      <x v="611"/>
    </i>
    <i r="2">
      <x v="22"/>
      <x v="411"/>
      <x v="3195"/>
      <x v="611"/>
    </i>
    <i>
      <x v="43"/>
      <x v="12"/>
      <x v="68"/>
      <x v="147"/>
      <x v="2043"/>
      <x v="611"/>
    </i>
    <i r="1">
      <x v="16"/>
      <x v="67"/>
      <x v="147"/>
      <x v="2832"/>
      <x v="611"/>
    </i>
    <i r="1">
      <x v="27"/>
      <x v="2"/>
      <x v="147"/>
      <x v="2690"/>
      <x v="611"/>
    </i>
    <i r="4">
      <x v="2969"/>
      <x v="611"/>
    </i>
    <i r="4">
      <x v="3443"/>
      <x v="611"/>
    </i>
    <i r="1">
      <x v="28"/>
      <x v="67"/>
      <x v="147"/>
      <x v="1630"/>
      <x v="611"/>
    </i>
    <i r="1">
      <x v="29"/>
      <x v="67"/>
      <x v="147"/>
      <x v="631"/>
      <x v="611"/>
    </i>
    <i r="1">
      <x v="35"/>
      <x v="67"/>
      <x v="147"/>
      <x v="1648"/>
      <x v="611"/>
    </i>
    <i r="2">
      <x v="68"/>
      <x v="147"/>
      <x v="575"/>
      <x v="611"/>
    </i>
    <i r="1">
      <x v="40"/>
      <x v="2"/>
      <x v="147"/>
      <x v="3443"/>
      <x v="611"/>
    </i>
    <i r="2">
      <x v="67"/>
      <x v="147"/>
      <x v="1356"/>
      <x v="611"/>
    </i>
    <i>
      <x v="44"/>
      <x v="2"/>
      <x v="2"/>
      <x v="145"/>
      <x v="2371"/>
      <x v="611"/>
    </i>
    <i r="1">
      <x v="4"/>
      <x v="67"/>
      <x v="145"/>
      <x v="3038"/>
      <x v="611"/>
    </i>
    <i r="1">
      <x v="20"/>
      <x v="2"/>
      <x v="145"/>
      <x v="1109"/>
      <x v="611"/>
    </i>
    <i r="1">
      <x v="24"/>
      <x v="14"/>
      <x v="145"/>
      <x v="2702"/>
      <x v="611"/>
    </i>
    <i r="1">
      <x v="27"/>
      <x v="2"/>
      <x v="145"/>
      <x v="3209"/>
      <x v="611"/>
    </i>
    <i r="4">
      <x v="3443"/>
      <x v="611"/>
    </i>
    <i r="2">
      <x v="67"/>
      <x v="145"/>
      <x v="3443"/>
      <x v="611"/>
    </i>
    <i r="1">
      <x v="32"/>
      <x v="67"/>
      <x v="145"/>
      <x v="852"/>
      <x v="611"/>
    </i>
    <i r="1">
      <x v="40"/>
      <x v="18"/>
      <x v="145"/>
      <x v="1319"/>
      <x v="611"/>
    </i>
    <i r="4">
      <x v="3363"/>
      <x v="611"/>
    </i>
    <i r="2">
      <x v="22"/>
      <x v="381"/>
      <x v="3550"/>
      <x v="611"/>
    </i>
    <i r="3">
      <x v="390"/>
      <x v="3550"/>
      <x v="611"/>
    </i>
    <i r="3">
      <x v="448"/>
      <x v="3371"/>
      <x v="611"/>
    </i>
    <i>
      <x v="45"/>
      <x v="3"/>
      <x v="42"/>
      <x v="143"/>
      <x v="1259"/>
      <x v="611"/>
    </i>
    <i r="4">
      <x v="1657"/>
      <x v="611"/>
    </i>
    <i r="4">
      <x v="2028"/>
      <x v="611"/>
    </i>
    <i r="4">
      <x v="2285"/>
      <x v="611"/>
    </i>
    <i r="4">
      <x v="2633"/>
      <x v="611"/>
    </i>
    <i r="4">
      <x v="2738"/>
      <x v="611"/>
    </i>
    <i r="4">
      <x v="2846"/>
      <x v="611"/>
    </i>
    <i r="4">
      <x v="2891"/>
      <x v="611"/>
    </i>
    <i r="4">
      <x v="2922"/>
      <x v="611"/>
    </i>
    <i r="4">
      <x v="3153"/>
      <x v="611"/>
    </i>
    <i r="4">
      <x v="3244"/>
      <x v="611"/>
    </i>
    <i r="4">
      <x v="3258"/>
      <x v="611"/>
    </i>
    <i r="4">
      <x v="3281"/>
      <x v="611"/>
    </i>
    <i r="4">
      <x v="3486"/>
      <x v="611"/>
    </i>
    <i r="2">
      <x v="67"/>
      <x v="142"/>
      <x v="432"/>
      <x v="611"/>
    </i>
    <i r="4">
      <x v="1080"/>
      <x v="611"/>
    </i>
    <i r="4">
      <x v="1310"/>
      <x v="611"/>
    </i>
    <i r="1">
      <x v="12"/>
      <x v="42"/>
      <x v="143"/>
      <x v="1610"/>
      <x v="611"/>
    </i>
    <i r="1">
      <x v="16"/>
      <x v="42"/>
      <x v="143"/>
      <x v="98"/>
      <x v="611"/>
    </i>
    <i r="1">
      <x v="24"/>
      <x v="2"/>
      <x v="142"/>
      <x v="2690"/>
      <x v="611"/>
    </i>
    <i r="1">
      <x v="25"/>
      <x v="14"/>
      <x v="142"/>
      <x v="67"/>
      <x v="611"/>
    </i>
    <i r="1">
      <x v="27"/>
      <x v="2"/>
      <x v="142"/>
      <x v="1909"/>
      <x v="611"/>
    </i>
    <i r="4">
      <x v="2969"/>
      <x v="611"/>
    </i>
    <i r="4">
      <x v="3209"/>
      <x v="611"/>
    </i>
    <i r="2">
      <x v="42"/>
      <x v="143"/>
      <x v="75"/>
      <x v="611"/>
    </i>
    <i r="4">
      <x v="179"/>
      <x v="611"/>
    </i>
    <i r="4">
      <x v="287"/>
      <x v="611"/>
    </i>
    <i r="4">
      <x v="304"/>
      <x v="611"/>
    </i>
    <i r="4">
      <x v="358"/>
      <x v="611"/>
    </i>
    <i r="4">
      <x v="394"/>
      <x v="611"/>
    </i>
    <i r="4">
      <x v="486"/>
      <x v="611"/>
    </i>
    <i r="4">
      <x v="548"/>
      <x v="611"/>
    </i>
    <i r="4">
      <x v="550"/>
      <x v="611"/>
    </i>
    <i r="4">
      <x v="689"/>
      <x v="611"/>
    </i>
    <i r="4">
      <x v="760"/>
      <x v="611"/>
    </i>
    <i r="4">
      <x v="782"/>
      <x v="611"/>
    </i>
    <i r="4">
      <x v="798"/>
      <x v="611"/>
    </i>
    <i r="4">
      <x v="865"/>
      <x v="611"/>
    </i>
    <i r="4">
      <x v="952"/>
      <x v="611"/>
    </i>
    <i r="4">
      <x v="955"/>
      <x v="611"/>
    </i>
    <i r="4">
      <x v="977"/>
      <x v="611"/>
    </i>
    <i r="4">
      <x v="1028"/>
      <x v="611"/>
    </i>
    <i r="4">
      <x v="1106"/>
      <x v="611"/>
    </i>
    <i r="4">
      <x v="1163"/>
      <x v="611"/>
    </i>
    <i r="4">
      <x v="1394"/>
      <x v="611"/>
    </i>
    <i r="4">
      <x v="2288"/>
      <x v="611"/>
    </i>
    <i r="4">
      <x v="2510"/>
      <x v="611"/>
    </i>
    <i r="4">
      <x v="2517"/>
      <x v="611"/>
    </i>
    <i r="4">
      <x v="2778"/>
      <x v="611"/>
    </i>
    <i r="4">
      <x v="3246"/>
      <x v="611"/>
    </i>
    <i r="4">
      <x v="3256"/>
      <x v="611"/>
    </i>
    <i r="4">
      <x v="3290"/>
      <x v="611"/>
    </i>
    <i r="2">
      <x v="67"/>
      <x v="142"/>
      <x v="912"/>
      <x v="611"/>
    </i>
    <i r="1">
      <x v="35"/>
      <x v="67"/>
      <x v="142"/>
      <x v="1453"/>
      <x v="611"/>
    </i>
    <i r="1">
      <x v="38"/>
      <x v="42"/>
      <x v="143"/>
      <x v="433"/>
      <x v="611"/>
    </i>
    <i r="1">
      <x v="40"/>
      <x v="22"/>
      <x v="390"/>
      <x v="3544"/>
      <x v="611"/>
    </i>
    <i r="3">
      <x v="414"/>
      <x v="3163"/>
      <x v="611"/>
    </i>
    <i r="3">
      <x v="436"/>
      <x v="3106"/>
      <x v="611"/>
    </i>
    <i r="2">
      <x v="42"/>
      <x v="143"/>
      <x v="1718"/>
      <x v="611"/>
    </i>
    <i r="4">
      <x v="2069"/>
      <x v="611"/>
    </i>
    <i r="4">
      <x v="2211"/>
      <x v="611"/>
    </i>
    <i r="4">
      <x v="2364"/>
      <x v="611"/>
    </i>
    <i r="4">
      <x v="2520"/>
      <x v="611"/>
    </i>
    <i r="4">
      <x v="2901"/>
      <x v="611"/>
    </i>
    <i r="4">
      <x v="3237"/>
      <x v="611"/>
    </i>
    <i r="2">
      <x v="67"/>
      <x v="142"/>
      <x v="691"/>
      <x v="611"/>
    </i>
    <i>
      <x v="46"/>
      <x v="2"/>
      <x v="17"/>
      <x v="138"/>
      <x v="384"/>
      <x v="611"/>
    </i>
    <i r="2">
      <x v="18"/>
      <x v="138"/>
      <x v="545"/>
      <x v="611"/>
    </i>
    <i r="1">
      <x v="3"/>
      <x v="2"/>
      <x v="138"/>
      <x v="3443"/>
      <x v="611"/>
    </i>
    <i r="1">
      <x v="27"/>
      <x v="2"/>
      <x v="138"/>
      <x v="2690"/>
      <x v="611"/>
    </i>
    <i r="4">
      <x v="2969"/>
      <x v="611"/>
    </i>
    <i r="4">
      <x v="3443"/>
      <x v="611"/>
    </i>
    <i r="2">
      <x v="6"/>
      <x v="453"/>
      <x v="2690"/>
      <x v="611"/>
    </i>
    <i r="2">
      <x v="55"/>
      <x v="139"/>
      <x v="2330"/>
      <x v="611"/>
    </i>
    <i r="1">
      <x v="28"/>
      <x v="67"/>
      <x v="138"/>
      <x v="2858"/>
      <x v="611"/>
    </i>
    <i r="1">
      <x v="29"/>
      <x v="67"/>
      <x v="138"/>
      <x v="2506"/>
      <x v="611"/>
    </i>
    <i r="1">
      <x v="32"/>
      <x v="16"/>
      <x v="138"/>
      <x v="802"/>
      <x v="611"/>
    </i>
    <i r="2">
      <x v="17"/>
      <x v="138"/>
      <x v="1005"/>
      <x v="611"/>
    </i>
    <i r="1">
      <x v="33"/>
      <x v="17"/>
      <x v="138"/>
      <x v="623"/>
      <x v="611"/>
    </i>
    <i r="1">
      <x v="38"/>
      <x v="17"/>
      <x v="138"/>
      <x v="891"/>
      <x v="611"/>
    </i>
    <i r="1">
      <x v="40"/>
      <x v="16"/>
      <x v="138"/>
      <x v="2930"/>
      <x v="611"/>
    </i>
    <i r="2">
      <x v="17"/>
      <x v="138"/>
      <x v="1803"/>
      <x v="611"/>
    </i>
    <i r="2">
      <x v="18"/>
      <x v="138"/>
      <x v="1701"/>
      <x v="611"/>
    </i>
    <i r="4">
      <x v="3065"/>
      <x v="611"/>
    </i>
    <i r="4">
      <x v="3085"/>
      <x v="611"/>
    </i>
    <i r="4">
      <x v="3301"/>
      <x v="611"/>
    </i>
    <i r="2">
      <x v="22"/>
      <x v="402"/>
      <x v="3134"/>
      <x v="611"/>
    </i>
    <i r="3">
      <x v="416"/>
      <x v="3491"/>
      <x v="611"/>
    </i>
    <i r="3">
      <x v="418"/>
      <x v="2896"/>
      <x v="611"/>
    </i>
    <i r="2">
      <x v="67"/>
      <x v="138"/>
      <x v="2644"/>
      <x v="611"/>
    </i>
    <i>
      <x v="47"/>
      <x v="1"/>
      <x v="16"/>
      <x v="136"/>
      <x v="740"/>
      <x v="611"/>
    </i>
    <i r="1">
      <x v="2"/>
      <x v="2"/>
      <x v="136"/>
      <x v="1062"/>
      <x v="611"/>
    </i>
    <i r="2">
      <x v="14"/>
      <x v="136"/>
      <x v="3543"/>
      <x v="611"/>
    </i>
    <i r="2">
      <x v="62"/>
      <x v="136"/>
      <x v="2933"/>
      <x v="611"/>
    </i>
    <i r="2">
      <x v="67"/>
      <x v="136"/>
      <x v="3220"/>
      <x v="611"/>
    </i>
    <i r="1">
      <x v="3"/>
      <x v="2"/>
      <x v="136"/>
      <x v="3443"/>
      <x v="611"/>
    </i>
    <i r="1">
      <x v="13"/>
      <x v="2"/>
      <x v="136"/>
      <x v="2164"/>
      <x v="611"/>
    </i>
    <i r="1">
      <x v="16"/>
      <x v="67"/>
      <x v="136"/>
      <x v="1226"/>
      <x v="611"/>
    </i>
    <i r="1">
      <x v="22"/>
      <x v="16"/>
      <x v="136"/>
      <x v="3564"/>
      <x v="284"/>
    </i>
    <i r="1">
      <x v="24"/>
      <x v="14"/>
      <x v="136"/>
      <x v="2062"/>
      <x v="611"/>
    </i>
    <i r="1">
      <x v="27"/>
      <x v="2"/>
      <x v="136"/>
      <x v="2969"/>
      <x v="611"/>
    </i>
    <i r="4">
      <x v="3209"/>
      <x v="611"/>
    </i>
    <i r="4">
      <x v="3443"/>
      <x v="611"/>
    </i>
    <i r="1">
      <x v="30"/>
      <x v="67"/>
      <x v="136"/>
      <x v="276"/>
      <x v="611"/>
    </i>
    <i r="1">
      <x v="35"/>
      <x v="67"/>
      <x v="136"/>
      <x v="1706"/>
      <x v="611"/>
    </i>
    <i r="1">
      <x v="40"/>
      <x v="22"/>
      <x v="390"/>
      <x v="3550"/>
      <x v="611"/>
    </i>
    <i r="3">
      <x v="414"/>
      <x v="3537"/>
      <x v="611"/>
    </i>
    <i r="3">
      <x v="430"/>
      <x v="3550"/>
      <x v="611"/>
    </i>
    <i r="3">
      <x v="431"/>
      <x v="3471"/>
      <x v="611"/>
    </i>
    <i r="3">
      <x v="432"/>
      <x v="3539"/>
      <x v="611"/>
    </i>
    <i>
      <x v="48"/>
      <x v="3"/>
      <x v="2"/>
      <x v="134"/>
      <x v="3443"/>
      <x v="611"/>
    </i>
    <i r="1">
      <x v="27"/>
      <x v="2"/>
      <x v="134"/>
      <x v="3209"/>
      <x v="611"/>
    </i>
    <i r="4">
      <x v="3443"/>
      <x v="611"/>
    </i>
    <i r="1">
      <x v="37"/>
      <x v="67"/>
      <x v="134"/>
      <x v="3509"/>
      <x v="611"/>
    </i>
    <i r="1">
      <x v="40"/>
      <x v="22"/>
      <x v="433"/>
      <x v="3418"/>
      <x v="611"/>
    </i>
    <i r="2">
      <x v="67"/>
      <x v="134"/>
      <x v="1456"/>
      <x v="611"/>
    </i>
    <i>
      <x v="49"/>
      <x v="3"/>
      <x v="2"/>
      <x v="131"/>
      <x v="2969"/>
      <x v="611"/>
    </i>
    <i r="1">
      <x v="12"/>
      <x v="67"/>
      <x v="131"/>
      <x v="3393"/>
      <x v="611"/>
    </i>
    <i r="1">
      <x v="16"/>
      <x v="67"/>
      <x v="131"/>
      <x v="2969"/>
      <x v="611"/>
    </i>
    <i r="1">
      <x v="18"/>
      <x v="67"/>
      <x v="131"/>
      <x v="2134"/>
      <x v="611"/>
    </i>
    <i r="1">
      <x v="20"/>
      <x v="14"/>
      <x v="131"/>
      <x v="2748"/>
      <x v="611"/>
    </i>
    <i r="2">
      <x v="19"/>
      <x v="131"/>
      <x v="3564"/>
      <x v="119"/>
    </i>
    <i r="1">
      <x v="22"/>
      <x v="19"/>
      <x v="131"/>
      <x v="3564"/>
      <x v="92"/>
    </i>
    <i r="2">
      <x v="67"/>
      <x v="131"/>
      <x v="2769"/>
      <x v="611"/>
    </i>
    <i r="1">
      <x v="27"/>
      <x v="2"/>
      <x v="131"/>
      <x v="2150"/>
      <x v="611"/>
    </i>
    <i r="4">
      <x v="2969"/>
      <x v="611"/>
    </i>
    <i r="4">
      <x v="3209"/>
      <x v="611"/>
    </i>
    <i r="1">
      <x v="32"/>
      <x v="67"/>
      <x v="131"/>
      <x v="1519"/>
      <x v="611"/>
    </i>
    <i r="1">
      <x v="33"/>
      <x v="67"/>
      <x v="131"/>
      <x v="1995"/>
      <x v="611"/>
    </i>
    <i r="1">
      <x v="40"/>
      <x v="67"/>
      <x v="131"/>
      <x v="2930"/>
      <x v="611"/>
    </i>
    <i>
      <x v="50"/>
      <x v="40"/>
      <x v="2"/>
      <x v="128"/>
      <x v="3443"/>
      <x v="611"/>
    </i>
    <i r="2">
      <x v="22"/>
      <x v="389"/>
      <x v="3546"/>
      <x v="611"/>
    </i>
    <i r="3">
      <x v="411"/>
      <x v="3309"/>
      <x v="611"/>
    </i>
    <i r="3">
      <x v="420"/>
      <x v="3418"/>
      <x v="611"/>
    </i>
    <i>
      <x v="51"/>
      <x v="13"/>
      <x v="68"/>
      <x v="127"/>
      <x v="167"/>
      <x v="611"/>
    </i>
    <i r="1">
      <x v="16"/>
      <x v="2"/>
      <x v="127"/>
      <x v="3509"/>
      <x v="611"/>
    </i>
    <i r="1">
      <x v="32"/>
      <x v="67"/>
      <x v="127"/>
      <x v="892"/>
      <x v="611"/>
    </i>
    <i r="1">
      <x v="40"/>
      <x v="17"/>
      <x v="127"/>
      <x v="1539"/>
      <x v="611"/>
    </i>
    <i r="2">
      <x v="22"/>
      <x v="391"/>
      <x v="80"/>
      <x v="611"/>
    </i>
    <i r="3">
      <x v="401"/>
      <x v="3527"/>
      <x v="611"/>
    </i>
    <i r="3">
      <x v="418"/>
      <x v="2896"/>
      <x v="611"/>
    </i>
    <i r="3">
      <x v="436"/>
      <x v="3518"/>
      <x v="611"/>
    </i>
    <i r="3">
      <x v="444"/>
      <x v="3544"/>
      <x v="611"/>
    </i>
    <i>
      <x v="52"/>
      <x v="13"/>
      <x v="67"/>
      <x v="126"/>
      <x v="2567"/>
      <x v="611"/>
    </i>
    <i r="1">
      <x v="15"/>
      <x v="2"/>
      <x v="126"/>
      <x v="3509"/>
      <x v="611"/>
    </i>
    <i r="2">
      <x v="67"/>
      <x v="126"/>
      <x v="3491"/>
      <x v="611"/>
    </i>
    <i r="1">
      <x v="16"/>
      <x v="2"/>
      <x v="126"/>
      <x v="3393"/>
      <x v="611"/>
    </i>
    <i r="2">
      <x v="68"/>
      <x v="126"/>
      <x v="42"/>
      <x v="611"/>
    </i>
    <i r="1">
      <x v="18"/>
      <x v="19"/>
      <x v="126"/>
      <x v="3564"/>
      <x v="381"/>
    </i>
    <i r="2">
      <x v="68"/>
      <x v="126"/>
      <x v="756"/>
      <x v="611"/>
    </i>
    <i r="1">
      <x v="22"/>
      <x v="67"/>
      <x v="126"/>
      <x v="2414"/>
      <x v="611"/>
    </i>
    <i r="1">
      <x v="24"/>
      <x v="68"/>
      <x v="126"/>
      <x v="1227"/>
      <x v="611"/>
    </i>
    <i r="1">
      <x v="27"/>
      <x v="2"/>
      <x v="126"/>
      <x v="2150"/>
      <x v="611"/>
    </i>
    <i r="4">
      <x v="2969"/>
      <x v="611"/>
    </i>
    <i r="4">
      <x v="3209"/>
      <x v="611"/>
    </i>
    <i r="4">
      <x v="3443"/>
      <x v="611"/>
    </i>
    <i r="1">
      <x v="28"/>
      <x v="67"/>
      <x v="126"/>
      <x v="2930"/>
      <x v="611"/>
    </i>
    <i r="1">
      <x v="31"/>
      <x v="2"/>
      <x v="126"/>
      <x v="3218"/>
      <x v="611"/>
    </i>
    <i r="1">
      <x v="32"/>
      <x v="67"/>
      <x v="126"/>
      <x v="1930"/>
      <x v="611"/>
    </i>
    <i r="1">
      <x v="40"/>
      <x v="22"/>
      <x v="380"/>
      <x v="3209"/>
      <x v="611"/>
    </i>
    <i r="3">
      <x v="418"/>
      <x v="3309"/>
      <x v="611"/>
    </i>
    <i r="3">
      <x v="430"/>
      <x v="3528"/>
      <x v="611"/>
    </i>
    <i r="3">
      <x v="450"/>
      <x v="3544"/>
      <x v="611"/>
    </i>
    <i r="2">
      <x v="67"/>
      <x v="126"/>
      <x v="787"/>
      <x v="611"/>
    </i>
    <i>
      <x v="53"/>
      <x v="2"/>
      <x v="17"/>
      <x v="124"/>
      <x v="2560"/>
      <x v="611"/>
    </i>
    <i r="2">
      <x v="18"/>
      <x v="124"/>
      <x v="3547"/>
      <x v="611"/>
    </i>
    <i r="1">
      <x v="3"/>
      <x v="2"/>
      <x v="124"/>
      <x v="2969"/>
      <x v="611"/>
    </i>
    <i r="4">
      <x v="3443"/>
      <x v="611"/>
    </i>
    <i r="1">
      <x v="16"/>
      <x v="16"/>
      <x v="124"/>
      <x v="2883"/>
      <x v="611"/>
    </i>
    <i r="2">
      <x v="17"/>
      <x v="124"/>
      <x v="2974"/>
      <x v="611"/>
    </i>
    <i r="2">
      <x v="52"/>
      <x v="125"/>
      <x v="3447"/>
      <x v="611"/>
    </i>
    <i r="1">
      <x v="22"/>
      <x v="17"/>
      <x v="124"/>
      <x v="474"/>
      <x v="611"/>
    </i>
    <i r="1">
      <x v="24"/>
      <x v="2"/>
      <x v="124"/>
      <x v="152"/>
      <x v="611"/>
    </i>
    <i r="2">
      <x v="17"/>
      <x v="124"/>
      <x v="2309"/>
      <x v="611"/>
    </i>
    <i r="2">
      <x v="18"/>
      <x v="124"/>
      <x v="2419"/>
      <x v="611"/>
    </i>
    <i r="1">
      <x v="27"/>
      <x v="2"/>
      <x v="124"/>
      <x v="1814"/>
      <x v="611"/>
    </i>
    <i r="4">
      <x v="1909"/>
      <x v="611"/>
    </i>
    <i r="4">
      <x v="2690"/>
      <x v="611"/>
    </i>
    <i r="4">
      <x v="3443"/>
      <x v="611"/>
    </i>
    <i r="1">
      <x v="32"/>
      <x v="17"/>
      <x v="124"/>
      <x v="3081"/>
      <x v="611"/>
    </i>
    <i r="1">
      <x v="33"/>
      <x v="17"/>
      <x v="124"/>
      <x v="2654"/>
      <x v="611"/>
    </i>
    <i r="2">
      <x v="19"/>
      <x v="124"/>
      <x v="3098"/>
      <x v="611"/>
    </i>
    <i r="1">
      <x v="40"/>
      <x v="16"/>
      <x v="124"/>
      <x v="3492"/>
      <x v="611"/>
    </i>
    <i r="2">
      <x v="17"/>
      <x v="124"/>
      <x v="2840"/>
      <x v="611"/>
    </i>
    <i r="2">
      <x v="18"/>
      <x v="124"/>
      <x v="1675"/>
      <x v="611"/>
    </i>
    <i r="4">
      <x v="1741"/>
      <x v="611"/>
    </i>
    <i r="4">
      <x v="1795"/>
      <x v="611"/>
    </i>
    <i r="4">
      <x v="2369"/>
      <x v="611"/>
    </i>
    <i r="4">
      <x v="2464"/>
      <x v="611"/>
    </i>
    <i r="2">
      <x v="22"/>
      <x v="390"/>
      <x v="3550"/>
      <x v="611"/>
    </i>
    <i r="3">
      <x v="403"/>
      <x v="3039"/>
      <x v="611"/>
    </i>
    <i>
      <x v="54"/>
      <x v="40"/>
      <x v="22"/>
      <x v="403"/>
      <x v="3039"/>
      <x v="611"/>
    </i>
    <i r="3">
      <x v="411"/>
      <x v="2434"/>
      <x v="611"/>
    </i>
    <i r="3">
      <x v="416"/>
      <x v="2930"/>
      <x v="611"/>
    </i>
    <i>
      <x v="55"/>
      <x v="3"/>
      <x v="2"/>
      <x v="123"/>
      <x v="3443"/>
      <x v="611"/>
    </i>
    <i r="1">
      <x v="22"/>
      <x v="14"/>
      <x v="123"/>
      <x v="360"/>
      <x v="611"/>
    </i>
    <i r="1">
      <x v="27"/>
      <x v="2"/>
      <x v="123"/>
      <x v="2305"/>
      <x v="611"/>
    </i>
    <i r="4">
      <x v="2690"/>
      <x v="611"/>
    </i>
    <i r="4">
      <x v="2969"/>
      <x v="611"/>
    </i>
    <i r="4">
      <x v="3209"/>
      <x v="611"/>
    </i>
    <i r="4">
      <x v="3443"/>
      <x v="611"/>
    </i>
    <i r="1">
      <x v="40"/>
      <x v="22"/>
      <x v="399"/>
      <x v="3142"/>
      <x v="611"/>
    </i>
    <i r="3">
      <x v="401"/>
      <x v="3535"/>
      <x v="611"/>
    </i>
    <i r="3">
      <x v="402"/>
      <x v="3418"/>
      <x v="611"/>
    </i>
    <i r="3">
      <x v="417"/>
      <x v="3550"/>
      <x v="611"/>
    </i>
    <i r="3">
      <x v="435"/>
      <x v="3309"/>
      <x v="611"/>
    </i>
    <i>
      <x v="56"/>
      <x v="3"/>
      <x v="2"/>
      <x v="121"/>
      <x v="3443"/>
      <x v="611"/>
    </i>
    <i r="1">
      <x v="16"/>
      <x v="67"/>
      <x v="121"/>
      <x v="3113"/>
      <x v="611"/>
    </i>
    <i r="1">
      <x v="22"/>
      <x v="67"/>
      <x v="121"/>
      <x v="1179"/>
      <x v="611"/>
    </i>
    <i r="1">
      <x v="24"/>
      <x v="67"/>
      <x v="121"/>
      <x v="2930"/>
      <x v="611"/>
    </i>
    <i r="1">
      <x v="25"/>
      <x v="67"/>
      <x v="121"/>
      <x v="3359"/>
      <x v="611"/>
    </i>
    <i r="1">
      <x v="27"/>
      <x v="2"/>
      <x v="121"/>
      <x v="2150"/>
      <x v="611"/>
    </i>
    <i r="4">
      <x v="2690"/>
      <x v="611"/>
    </i>
    <i r="4">
      <x v="2969"/>
      <x v="611"/>
    </i>
    <i r="4">
      <x v="3209"/>
      <x v="611"/>
    </i>
    <i r="4">
      <x v="3443"/>
      <x v="611"/>
    </i>
    <i r="2">
      <x v="52"/>
      <x v="122"/>
      <x v="2068"/>
      <x v="611"/>
    </i>
    <i r="1">
      <x v="38"/>
      <x v="2"/>
      <x v="121"/>
      <x v="3257"/>
      <x v="611"/>
    </i>
    <i r="1">
      <x v="40"/>
      <x v="22"/>
      <x v="399"/>
      <x v="1909"/>
      <x v="611"/>
    </i>
    <i r="3">
      <x v="402"/>
      <x v="3418"/>
      <x v="611"/>
    </i>
    <i r="3">
      <x v="417"/>
      <x v="3351"/>
      <x v="611"/>
    </i>
    <i r="3">
      <x v="420"/>
      <x v="3418"/>
      <x v="611"/>
    </i>
    <i r="2">
      <x v="67"/>
      <x v="121"/>
      <x v="2954"/>
      <x v="611"/>
    </i>
    <i>
      <x v="57"/>
      <x v="12"/>
      <x v="2"/>
      <x v="120"/>
      <x v="3423"/>
      <x v="611"/>
    </i>
    <i r="2">
      <x v="67"/>
      <x v="120"/>
      <x v="2748"/>
      <x v="611"/>
    </i>
    <i r="1">
      <x v="16"/>
      <x v="67"/>
      <x v="120"/>
      <x v="3156"/>
      <x v="611"/>
    </i>
    <i r="1">
      <x v="18"/>
      <x v="67"/>
      <x v="120"/>
      <x v="1375"/>
      <x v="611"/>
    </i>
    <i r="1">
      <x v="20"/>
      <x v="14"/>
      <x v="120"/>
      <x v="12"/>
      <x v="611"/>
    </i>
    <i r="1">
      <x v="27"/>
      <x v="2"/>
      <x v="120"/>
      <x v="3443"/>
      <x v="611"/>
    </i>
    <i r="2">
      <x v="67"/>
      <x v="120"/>
      <x v="1240"/>
      <x v="611"/>
    </i>
    <i r="1">
      <x v="28"/>
      <x v="67"/>
      <x v="120"/>
      <x v="1007"/>
      <x v="611"/>
    </i>
    <i r="1">
      <x v="32"/>
      <x v="67"/>
      <x v="120"/>
      <x v="1293"/>
      <x v="611"/>
    </i>
    <i r="1">
      <x v="33"/>
      <x v="67"/>
      <x v="120"/>
      <x v="1995"/>
      <x v="611"/>
    </i>
    <i r="1">
      <x v="34"/>
      <x v="67"/>
      <x v="120"/>
      <x v="1407"/>
      <x v="611"/>
    </i>
    <i r="1">
      <x v="40"/>
      <x v="14"/>
      <x v="120"/>
      <x v="2629"/>
      <x v="611"/>
    </i>
    <i r="2">
      <x v="22"/>
      <x v="383"/>
      <x v="3548"/>
      <x v="611"/>
    </i>
    <i r="3">
      <x v="388"/>
      <x v="3460"/>
      <x v="611"/>
    </i>
    <i r="3">
      <x v="393"/>
      <x v="3247"/>
      <x v="611"/>
    </i>
    <i r="3">
      <x v="410"/>
      <x v="3409"/>
      <x v="611"/>
    </i>
    <i r="3">
      <x v="422"/>
      <x v="3539"/>
      <x v="611"/>
    </i>
    <i r="3">
      <x v="441"/>
      <x v="3518"/>
      <x v="611"/>
    </i>
    <i r="2">
      <x v="67"/>
      <x v="120"/>
      <x v="2446"/>
      <x v="611"/>
    </i>
    <i>
      <x v="58"/>
      <x v="3"/>
      <x v="2"/>
      <x v="119"/>
      <x v="3209"/>
      <x v="611"/>
    </i>
    <i r="4">
      <x v="3443"/>
      <x v="611"/>
    </i>
    <i r="1">
      <x v="11"/>
      <x v="17"/>
      <x v="119"/>
      <x v="2025"/>
      <x v="611"/>
    </i>
    <i r="1">
      <x v="15"/>
      <x v="2"/>
      <x v="119"/>
      <x v="3393"/>
      <x v="611"/>
    </i>
    <i r="2">
      <x v="67"/>
      <x v="119"/>
      <x v="3341"/>
      <x v="611"/>
    </i>
    <i r="1">
      <x v="16"/>
      <x v="2"/>
      <x v="119"/>
      <x v="3098"/>
      <x v="611"/>
    </i>
    <i r="2">
      <x v="18"/>
      <x v="119"/>
      <x v="526"/>
      <x v="611"/>
    </i>
    <i r="2">
      <x v="67"/>
      <x v="119"/>
      <x v="3393"/>
      <x v="611"/>
    </i>
    <i r="1">
      <x v="22"/>
      <x v="19"/>
      <x v="119"/>
      <x v="92"/>
      <x v="611"/>
    </i>
    <i r="1">
      <x v="24"/>
      <x v="68"/>
      <x v="119"/>
      <x v="154"/>
      <x v="611"/>
    </i>
    <i r="1">
      <x v="27"/>
      <x v="2"/>
      <x v="119"/>
      <x v="1486"/>
      <x v="611"/>
    </i>
    <i r="4">
      <x v="1814"/>
      <x v="611"/>
    </i>
    <i r="4">
      <x v="1909"/>
      <x v="611"/>
    </i>
    <i r="4">
      <x v="2305"/>
      <x v="611"/>
    </i>
    <i r="4">
      <x v="3209"/>
      <x v="611"/>
    </i>
    <i r="2">
      <x v="67"/>
      <x v="119"/>
      <x v="1379"/>
      <x v="611"/>
    </i>
    <i r="1">
      <x v="28"/>
      <x v="68"/>
      <x v="119"/>
      <x v="899"/>
      <x v="611"/>
    </i>
    <i r="1">
      <x v="32"/>
      <x v="67"/>
      <x v="119"/>
      <x v="1611"/>
      <x v="611"/>
    </i>
    <i r="2">
      <x v="68"/>
      <x v="119"/>
      <x v="646"/>
      <x v="611"/>
    </i>
    <i r="1">
      <x v="35"/>
      <x v="17"/>
      <x v="119"/>
      <x v="1093"/>
      <x v="611"/>
    </i>
    <i r="2">
      <x v="68"/>
      <x v="119"/>
      <x v="163"/>
      <x v="611"/>
    </i>
    <i r="1">
      <x v="36"/>
      <x v="68"/>
      <x v="119"/>
      <x v="1012"/>
      <x v="611"/>
    </i>
    <i r="1">
      <x v="37"/>
      <x v="67"/>
      <x v="119"/>
      <x v="3393"/>
      <x v="611"/>
    </i>
    <i r="2">
      <x v="68"/>
      <x v="119"/>
      <x v="1065"/>
      <x v="611"/>
    </i>
    <i r="1">
      <x v="40"/>
      <x v="14"/>
      <x v="119"/>
      <x v="3277"/>
      <x v="611"/>
    </i>
    <i r="2">
      <x v="17"/>
      <x v="119"/>
      <x v="2374"/>
      <x v="611"/>
    </i>
    <i r="4">
      <x v="2827"/>
      <x v="611"/>
    </i>
    <i r="4">
      <x v="3436"/>
      <x v="611"/>
    </i>
    <i r="2">
      <x v="18"/>
      <x v="119"/>
      <x v="1216"/>
      <x v="611"/>
    </i>
    <i r="4">
      <x v="1554"/>
      <x v="611"/>
    </i>
    <i r="4">
      <x v="1826"/>
      <x v="611"/>
    </i>
    <i r="4">
      <x v="2359"/>
      <x v="611"/>
    </i>
    <i r="4">
      <x v="2476"/>
      <x v="611"/>
    </i>
    <i r="4">
      <x v="2665"/>
      <x v="611"/>
    </i>
    <i r="4">
      <x v="2791"/>
      <x v="611"/>
    </i>
    <i r="4">
      <x v="2949"/>
      <x v="611"/>
    </i>
    <i r="2">
      <x v="22"/>
      <x v="389"/>
      <x v="3422"/>
      <x v="611"/>
    </i>
    <i r="3">
      <x v="413"/>
      <x v="3518"/>
      <x v="611"/>
    </i>
    <i r="3">
      <x v="425"/>
      <x v="3458"/>
      <x v="611"/>
    </i>
    <i r="3">
      <x v="448"/>
      <x v="3341"/>
      <x v="611"/>
    </i>
    <i r="2">
      <x v="62"/>
      <x v="119"/>
      <x v="3371"/>
      <x v="611"/>
    </i>
    <i r="2">
      <x v="68"/>
      <x v="119"/>
      <x v="1099"/>
      <x v="611"/>
    </i>
    <i>
      <x v="59"/>
      <x v="1"/>
      <x v="67"/>
      <x v="117"/>
      <x v="3387"/>
      <x v="611"/>
    </i>
    <i r="1">
      <x v="2"/>
      <x v="24"/>
      <x v="118"/>
      <x v="392"/>
      <x v="611"/>
    </i>
    <i r="1">
      <x v="3"/>
      <x v="24"/>
      <x v="118"/>
      <x v="1128"/>
      <x v="611"/>
    </i>
    <i r="4">
      <x v="1411"/>
      <x v="611"/>
    </i>
    <i r="4">
      <x v="1691"/>
      <x v="611"/>
    </i>
    <i r="4">
      <x v="1724"/>
      <x v="611"/>
    </i>
    <i r="4">
      <x v="2124"/>
      <x v="611"/>
    </i>
    <i r="4">
      <x v="2205"/>
      <x v="611"/>
    </i>
    <i r="4">
      <x v="2271"/>
      <x v="611"/>
    </i>
    <i r="4">
      <x v="2352"/>
      <x v="611"/>
    </i>
    <i r="4">
      <x v="2496"/>
      <x v="611"/>
    </i>
    <i r="4">
      <x v="2662"/>
      <x v="611"/>
    </i>
    <i r="4">
      <x v="2696"/>
      <x v="611"/>
    </i>
    <i r="4">
      <x v="2721"/>
      <x v="611"/>
    </i>
    <i r="4">
      <x v="2737"/>
      <x v="611"/>
    </i>
    <i r="4">
      <x v="2792"/>
      <x v="611"/>
    </i>
    <i r="4">
      <x v="2817"/>
      <x v="611"/>
    </i>
    <i r="4">
      <x v="3019"/>
      <x v="611"/>
    </i>
    <i r="4">
      <x v="3147"/>
      <x v="611"/>
    </i>
    <i r="4">
      <x v="3298"/>
      <x v="611"/>
    </i>
    <i r="4">
      <x v="3316"/>
      <x v="611"/>
    </i>
    <i r="1">
      <x v="5"/>
      <x v="67"/>
      <x v="117"/>
      <x v="3466"/>
      <x v="611"/>
    </i>
    <i r="1">
      <x v="13"/>
      <x v="68"/>
      <x v="117"/>
      <x v="1505"/>
      <x v="611"/>
    </i>
    <i r="1">
      <x v="15"/>
      <x v="24"/>
      <x v="118"/>
      <x v="2017"/>
      <x v="611"/>
    </i>
    <i r="1">
      <x v="16"/>
      <x v="24"/>
      <x v="118"/>
      <x v="28"/>
      <x v="611"/>
    </i>
    <i r="2">
      <x v="67"/>
      <x v="117"/>
      <x v="3228"/>
      <x v="611"/>
    </i>
    <i r="1">
      <x v="18"/>
      <x v="24"/>
      <x v="118"/>
      <x v="528"/>
      <x v="611"/>
    </i>
    <i r="1">
      <x v="22"/>
      <x v="24"/>
      <x v="118"/>
      <x v="2614"/>
      <x v="611"/>
    </i>
    <i r="1">
      <x v="24"/>
      <x v="24"/>
      <x v="118"/>
      <x v="100"/>
      <x v="611"/>
    </i>
    <i r="1">
      <x v="27"/>
      <x v="2"/>
      <x v="117"/>
      <x v="2969"/>
      <x v="611"/>
    </i>
    <i r="2">
      <x v="24"/>
      <x v="118"/>
      <x v="78"/>
      <x v="611"/>
    </i>
    <i r="4">
      <x v="311"/>
      <x v="611"/>
    </i>
    <i r="4">
      <x v="391"/>
      <x v="611"/>
    </i>
    <i r="4">
      <x v="448"/>
      <x v="611"/>
    </i>
    <i r="4">
      <x v="455"/>
      <x v="611"/>
    </i>
    <i r="4">
      <x v="638"/>
      <x v="611"/>
    </i>
    <i r="4">
      <x v="648"/>
      <x v="611"/>
    </i>
    <i r="4">
      <x v="686"/>
      <x v="611"/>
    </i>
    <i r="4">
      <x v="690"/>
      <x v="611"/>
    </i>
    <i r="4">
      <x v="734"/>
      <x v="611"/>
    </i>
    <i r="4">
      <x v="889"/>
      <x v="611"/>
    </i>
    <i r="4">
      <x v="911"/>
      <x v="611"/>
    </i>
    <i r="4">
      <x v="913"/>
      <x v="611"/>
    </i>
    <i r="4">
      <x v="928"/>
      <x v="611"/>
    </i>
    <i r="4">
      <x v="1146"/>
      <x v="611"/>
    </i>
    <i r="4">
      <x v="1251"/>
      <x v="611"/>
    </i>
    <i r="4">
      <x v="1262"/>
      <x v="611"/>
    </i>
    <i r="4">
      <x v="1523"/>
      <x v="611"/>
    </i>
    <i r="4">
      <x v="1721"/>
      <x v="611"/>
    </i>
    <i r="4">
      <x v="2243"/>
      <x v="611"/>
    </i>
    <i r="4">
      <x v="2262"/>
      <x v="611"/>
    </i>
    <i r="4">
      <x v="2448"/>
      <x v="611"/>
    </i>
    <i r="4">
      <x v="2559"/>
      <x v="611"/>
    </i>
    <i r="4">
      <x v="2744"/>
      <x v="611"/>
    </i>
    <i r="4">
      <x v="2747"/>
      <x v="611"/>
    </i>
    <i r="4">
      <x v="2766"/>
      <x v="611"/>
    </i>
    <i r="4">
      <x v="2927"/>
      <x v="611"/>
    </i>
    <i r="4">
      <x v="3270"/>
      <x v="611"/>
    </i>
    <i r="4">
      <x v="3373"/>
      <x v="611"/>
    </i>
    <i r="1">
      <x v="34"/>
      <x v="67"/>
      <x v="117"/>
      <x v="1649"/>
      <x v="611"/>
    </i>
    <i r="1">
      <x v="38"/>
      <x v="24"/>
      <x v="118"/>
      <x v="145"/>
      <x v="611"/>
    </i>
    <i r="1">
      <x v="40"/>
      <x v="2"/>
      <x v="117"/>
      <x v="2750"/>
      <x v="611"/>
    </i>
    <i r="4">
      <x v="3443"/>
      <x v="611"/>
    </i>
    <i r="2">
      <x v="22"/>
      <x v="402"/>
      <x v="3550"/>
      <x v="611"/>
    </i>
    <i r="2">
      <x v="24"/>
      <x v="118"/>
      <x v="1655"/>
      <x v="611"/>
    </i>
    <i r="4">
      <x v="1955"/>
      <x v="611"/>
    </i>
    <i r="4">
      <x v="2052"/>
      <x v="611"/>
    </i>
    <i r="4">
      <x v="2241"/>
      <x v="611"/>
    </i>
    <i r="4">
      <x v="2357"/>
      <x v="611"/>
    </i>
    <i r="4">
      <x v="2403"/>
      <x v="611"/>
    </i>
    <i r="4">
      <x v="2653"/>
      <x v="611"/>
    </i>
    <i r="2">
      <x v="67"/>
      <x v="117"/>
      <x v="1664"/>
      <x v="611"/>
    </i>
    <i r="4">
      <x v="1939"/>
      <x v="611"/>
    </i>
    <i>
      <x v="60"/>
      <x v="13"/>
      <x v="67"/>
      <x v="116"/>
      <x v="2969"/>
      <x v="611"/>
    </i>
    <i r="1">
      <x v="18"/>
      <x v="67"/>
      <x v="116"/>
      <x v="2204"/>
      <x v="611"/>
    </i>
    <i r="1">
      <x v="29"/>
      <x v="67"/>
      <x v="116"/>
      <x v="2054"/>
      <x v="611"/>
    </i>
    <i r="1">
      <x v="40"/>
      <x v="22"/>
      <x v="449"/>
      <x v="3387"/>
      <x v="611"/>
    </i>
    <i>
      <x v="61"/>
      <x v="2"/>
      <x v="2"/>
      <x v="115"/>
      <x v="2092"/>
      <x v="611"/>
    </i>
    <i r="1">
      <x v="3"/>
      <x v="2"/>
      <x v="115"/>
      <x v="3443"/>
      <x v="611"/>
    </i>
    <i r="1">
      <x v="18"/>
      <x v="67"/>
      <x v="115"/>
      <x v="2027"/>
      <x v="611"/>
    </i>
    <i r="1">
      <x v="27"/>
      <x v="2"/>
      <x v="115"/>
      <x v="2690"/>
      <x v="611"/>
    </i>
    <i r="4">
      <x v="3209"/>
      <x v="611"/>
    </i>
    <i r="4">
      <x v="3443"/>
      <x v="611"/>
    </i>
    <i r="1">
      <x v="28"/>
      <x v="2"/>
      <x v="115"/>
      <x v="228"/>
      <x v="611"/>
    </i>
    <i r="2">
      <x v="67"/>
      <x v="115"/>
      <x v="930"/>
      <x v="611"/>
    </i>
    <i r="1">
      <x v="29"/>
      <x v="67"/>
      <x v="115"/>
      <x v="3019"/>
      <x v="611"/>
    </i>
    <i r="1">
      <x v="34"/>
      <x v="67"/>
      <x v="115"/>
      <x v="1181"/>
      <x v="611"/>
    </i>
    <i r="1">
      <x v="40"/>
      <x v="22"/>
      <x v="385"/>
      <x v="122"/>
      <x v="611"/>
    </i>
    <i r="3">
      <x v="415"/>
      <x v="3548"/>
      <x v="611"/>
    </i>
    <i r="3">
      <x v="450"/>
      <x v="3499"/>
      <x v="611"/>
    </i>
    <i r="2">
      <x v="67"/>
      <x v="115"/>
      <x v="2536"/>
      <x v="611"/>
    </i>
    <i>
      <x v="62"/>
      <x/>
      <x v="19"/>
      <x v="114"/>
      <x v="1602"/>
      <x v="611"/>
    </i>
    <i r="1">
      <x v="1"/>
      <x v="19"/>
      <x v="114"/>
      <x v="393"/>
      <x v="611"/>
    </i>
    <i r="1">
      <x v="2"/>
      <x v="17"/>
      <x v="114"/>
      <x v="727"/>
      <x v="611"/>
    </i>
    <i r="2">
      <x v="18"/>
      <x v="114"/>
      <x v="1248"/>
      <x v="611"/>
    </i>
    <i r="2">
      <x v="19"/>
      <x v="114"/>
      <x v="288"/>
      <x v="611"/>
    </i>
    <i r="1">
      <x v="11"/>
      <x v="17"/>
      <x v="114"/>
      <x v="1630"/>
      <x v="611"/>
    </i>
    <i r="1">
      <x v="18"/>
      <x v="68"/>
      <x v="114"/>
      <x v="216"/>
      <x v="611"/>
    </i>
    <i r="1">
      <x v="24"/>
      <x v="62"/>
      <x v="114"/>
      <x v="8"/>
      <x v="611"/>
    </i>
    <i r="1">
      <x v="27"/>
      <x v="2"/>
      <x v="114"/>
      <x v="2690"/>
      <x v="611"/>
    </i>
    <i r="4">
      <x v="2969"/>
      <x v="611"/>
    </i>
    <i r="4">
      <x v="3209"/>
      <x v="611"/>
    </i>
    <i r="4">
      <x v="3443"/>
      <x v="611"/>
    </i>
    <i r="1">
      <x v="28"/>
      <x v="19"/>
      <x v="114"/>
      <x v="1636"/>
      <x v="611"/>
    </i>
    <i r="1">
      <x v="29"/>
      <x v="2"/>
      <x v="114"/>
      <x v="1218"/>
      <x v="611"/>
    </i>
    <i r="2">
      <x v="67"/>
      <x v="114"/>
      <x v="3223"/>
      <x v="611"/>
    </i>
    <i r="1">
      <x v="32"/>
      <x v="67"/>
      <x v="114"/>
      <x v="2247"/>
      <x v="611"/>
    </i>
    <i r="1">
      <x v="37"/>
      <x v="19"/>
      <x v="114"/>
      <x v="920"/>
      <x v="611"/>
    </i>
    <i r="1">
      <x v="38"/>
      <x v="19"/>
      <x v="114"/>
      <x v="229"/>
      <x v="611"/>
    </i>
    <i r="1">
      <x v="40"/>
      <x v="17"/>
      <x v="114"/>
      <x v="2242"/>
      <x v="611"/>
    </i>
    <i r="4">
      <x v="2415"/>
      <x v="611"/>
    </i>
    <i r="4">
      <x v="2488"/>
      <x v="611"/>
    </i>
    <i r="4">
      <x v="2750"/>
      <x v="611"/>
    </i>
    <i r="2">
      <x v="18"/>
      <x v="114"/>
      <x v="1378"/>
      <x v="611"/>
    </i>
    <i r="4">
      <x v="1748"/>
      <x v="611"/>
    </i>
    <i r="4">
      <x v="1912"/>
      <x v="611"/>
    </i>
    <i r="4">
      <x v="2002"/>
      <x v="611"/>
    </i>
    <i r="4">
      <x v="2037"/>
      <x v="611"/>
    </i>
    <i r="4">
      <x v="2118"/>
      <x v="611"/>
    </i>
    <i r="4">
      <x v="2123"/>
      <x v="611"/>
    </i>
    <i r="4">
      <x v="2930"/>
      <x v="611"/>
    </i>
    <i r="4">
      <x v="3052"/>
      <x v="611"/>
    </i>
    <i r="4">
      <x v="3210"/>
      <x v="611"/>
    </i>
    <i r="4">
      <x v="3261"/>
      <x v="611"/>
    </i>
    <i r="2">
      <x v="22"/>
      <x v="388"/>
      <x v="3546"/>
      <x v="611"/>
    </i>
    <i r="3">
      <x v="411"/>
      <x v="3537"/>
      <x v="611"/>
    </i>
    <i r="2">
      <x v="67"/>
      <x v="114"/>
      <x v="3410"/>
      <x v="611"/>
    </i>
    <i>
      <x v="63"/>
      <x v="3"/>
      <x v="52"/>
      <x v="113"/>
      <x v="3217"/>
      <x v="611"/>
    </i>
    <i r="1">
      <x v="16"/>
      <x v="14"/>
      <x v="112"/>
      <x v="2486"/>
      <x v="611"/>
    </i>
    <i r="1">
      <x v="27"/>
      <x v="2"/>
      <x v="112"/>
      <x v="3209"/>
      <x v="611"/>
    </i>
    <i r="2">
      <x v="52"/>
      <x v="113"/>
      <x v="1823"/>
      <x v="611"/>
    </i>
    <i r="1">
      <x v="28"/>
      <x v="2"/>
      <x v="112"/>
      <x v="2412"/>
      <x v="611"/>
    </i>
    <i r="2">
      <x v="67"/>
      <x v="112"/>
      <x v="3533"/>
      <x v="611"/>
    </i>
    <i r="1">
      <x v="38"/>
      <x v="2"/>
      <x v="112"/>
      <x v="2344"/>
      <x v="611"/>
    </i>
    <i r="2">
      <x v="14"/>
      <x v="112"/>
      <x v="1577"/>
      <x v="611"/>
    </i>
    <i r="1">
      <x v="40"/>
      <x v="22"/>
      <x v="408"/>
      <x v="3460"/>
      <x v="611"/>
    </i>
    <i r="3">
      <x v="425"/>
      <x v="3527"/>
      <x v="611"/>
    </i>
    <i>
      <x v="64"/>
      <x v="3"/>
      <x v="2"/>
      <x v="111"/>
      <x v="3443"/>
      <x v="611"/>
    </i>
    <i r="2">
      <x v="67"/>
      <x v="111"/>
      <x v="691"/>
      <x v="611"/>
    </i>
    <i r="4">
      <x v="1042"/>
      <x v="611"/>
    </i>
    <i r="4">
      <x v="1080"/>
      <x v="611"/>
    </i>
    <i r="4">
      <x v="1310"/>
      <x v="611"/>
    </i>
    <i r="1">
      <x v="16"/>
      <x v="67"/>
      <x v="111"/>
      <x v="3509"/>
      <x v="611"/>
    </i>
    <i r="1">
      <x v="17"/>
      <x v="2"/>
      <x v="111"/>
      <x v="801"/>
      <x v="611"/>
    </i>
    <i r="1">
      <x v="27"/>
      <x v="2"/>
      <x v="111"/>
      <x v="2027"/>
      <x v="611"/>
    </i>
    <i r="4">
      <x v="3443"/>
      <x v="611"/>
    </i>
    <i r="2">
      <x v="67"/>
      <x v="111"/>
      <x v="738"/>
      <x v="611"/>
    </i>
    <i r="1">
      <x v="32"/>
      <x v="14"/>
      <x v="111"/>
      <x v="1189"/>
      <x v="611"/>
    </i>
    <i r="2">
      <x v="67"/>
      <x v="111"/>
      <x v="1962"/>
      <x v="611"/>
    </i>
    <i r="1">
      <x v="40"/>
      <x v="2"/>
      <x v="111"/>
      <x v="3443"/>
      <x v="611"/>
    </i>
    <i r="2">
      <x v="14"/>
      <x v="111"/>
      <x v="2315"/>
      <x v="611"/>
    </i>
    <i r="2">
      <x v="17"/>
      <x v="111"/>
      <x v="1486"/>
      <x v="611"/>
    </i>
    <i r="2">
      <x v="22"/>
      <x v="422"/>
      <x v="3553"/>
      <x v="611"/>
    </i>
    <i r="3">
      <x v="445"/>
      <x v="3518"/>
      <x v="611"/>
    </i>
    <i>
      <x v="65"/>
      <x v="3"/>
      <x v="2"/>
      <x v="110"/>
      <x v="3443"/>
      <x v="611"/>
    </i>
    <i r="1">
      <x v="13"/>
      <x v="68"/>
      <x v="110"/>
      <x v="1464"/>
      <x v="611"/>
    </i>
    <i r="1">
      <x v="16"/>
      <x v="67"/>
      <x v="110"/>
      <x v="2832"/>
      <x v="611"/>
    </i>
    <i r="1">
      <x v="24"/>
      <x v="19"/>
      <x v="110"/>
      <x v="568"/>
      <x v="611"/>
    </i>
    <i r="1">
      <x v="27"/>
      <x v="2"/>
      <x v="110"/>
      <x v="1814"/>
      <x v="611"/>
    </i>
    <i r="4">
      <x v="2305"/>
      <x v="611"/>
    </i>
    <i r="4">
      <x v="2969"/>
      <x v="611"/>
    </i>
    <i r="4">
      <x v="3209"/>
      <x v="611"/>
    </i>
    <i r="4">
      <x v="3443"/>
      <x v="611"/>
    </i>
    <i r="1">
      <x v="34"/>
      <x v="67"/>
      <x v="110"/>
      <x v="2347"/>
      <x v="611"/>
    </i>
    <i r="1">
      <x v="40"/>
      <x v="14"/>
      <x v="110"/>
      <x v="2748"/>
      <x v="611"/>
    </i>
    <i r="2">
      <x v="17"/>
      <x v="110"/>
      <x v="2300"/>
      <x v="611"/>
    </i>
    <i r="4">
      <x v="2651"/>
      <x v="611"/>
    </i>
    <i r="4">
      <x v="2841"/>
      <x v="611"/>
    </i>
    <i r="4">
      <x v="3255"/>
      <x v="611"/>
    </i>
    <i r="4">
      <x v="3275"/>
      <x v="611"/>
    </i>
    <i r="2">
      <x v="18"/>
      <x v="110"/>
      <x v="1658"/>
      <x v="611"/>
    </i>
    <i r="4">
      <x v="2276"/>
      <x v="611"/>
    </i>
    <i r="4">
      <x v="2758"/>
      <x v="611"/>
    </i>
    <i r="2">
      <x v="19"/>
      <x v="110"/>
      <x v="1309"/>
      <x v="611"/>
    </i>
    <i r="2">
      <x v="22"/>
      <x v="392"/>
      <x v="3544"/>
      <x v="611"/>
    </i>
    <i r="3">
      <x v="412"/>
      <x v="3544"/>
      <x v="611"/>
    </i>
    <i r="2">
      <x v="67"/>
      <x v="110"/>
      <x v="2896"/>
      <x v="611"/>
    </i>
    <i r="4">
      <x v="3341"/>
      <x v="611"/>
    </i>
    <i>
      <x v="66"/>
      <x v="24"/>
      <x v="67"/>
      <x v="109"/>
      <x v="2536"/>
      <x v="611"/>
    </i>
    <i r="1">
      <x v="40"/>
      <x v="22"/>
      <x v="426"/>
      <x v="2844"/>
      <x v="611"/>
    </i>
    <i>
      <x v="67"/>
      <x v="3"/>
      <x v="2"/>
      <x v="108"/>
      <x v="2969"/>
      <x v="611"/>
    </i>
    <i r="1">
      <x v="5"/>
      <x v="62"/>
      <x v="108"/>
      <x v="2305"/>
      <x v="611"/>
    </i>
    <i r="1">
      <x v="27"/>
      <x v="2"/>
      <x v="108"/>
      <x v="1486"/>
      <x v="611"/>
    </i>
    <i r="4">
      <x v="2305"/>
      <x v="611"/>
    </i>
    <i r="4">
      <x v="2486"/>
      <x v="611"/>
    </i>
    <i r="4">
      <x v="2690"/>
      <x v="611"/>
    </i>
    <i r="4">
      <x v="3209"/>
      <x v="611"/>
    </i>
    <i r="1">
      <x v="35"/>
      <x v="67"/>
      <x v="108"/>
      <x v="2305"/>
      <x v="611"/>
    </i>
    <i r="1">
      <x v="40"/>
      <x v="14"/>
      <x v="108"/>
      <x v="1006"/>
      <x v="611"/>
    </i>
    <i r="2">
      <x v="22"/>
      <x v="411"/>
      <x v="3274"/>
      <x v="611"/>
    </i>
    <i r="3">
      <x v="422"/>
      <x v="3485"/>
      <x v="611"/>
    </i>
    <i r="3">
      <x v="428"/>
      <x v="140"/>
      <x v="611"/>
    </i>
    <i r="3">
      <x v="444"/>
      <x v="3371"/>
      <x v="611"/>
    </i>
    <i>
      <x v="68"/>
      <x v="3"/>
      <x v="2"/>
      <x v="107"/>
      <x v="3443"/>
      <x v="611"/>
    </i>
    <i r="1">
      <x v="16"/>
      <x v="2"/>
      <x v="107"/>
      <x v="3098"/>
      <x v="611"/>
    </i>
    <i r="2">
      <x v="67"/>
      <x v="107"/>
      <x v="2847"/>
      <x v="611"/>
    </i>
    <i r="1">
      <x v="27"/>
      <x v="2"/>
      <x v="107"/>
      <x v="2486"/>
      <x v="611"/>
    </i>
    <i r="4">
      <x v="2969"/>
      <x v="611"/>
    </i>
    <i r="4">
      <x v="3443"/>
      <x v="611"/>
    </i>
    <i r="1">
      <x v="40"/>
      <x v="22"/>
      <x v="393"/>
      <x v="3484"/>
      <x v="611"/>
    </i>
    <i r="3">
      <x v="423"/>
      <x v="80"/>
      <x v="611"/>
    </i>
    <i r="3">
      <x v="431"/>
      <x v="3499"/>
      <x v="611"/>
    </i>
    <i r="3">
      <x v="447"/>
      <x v="140"/>
      <x v="611"/>
    </i>
    <i r="2">
      <x v="67"/>
      <x v="107"/>
      <x v="2513"/>
      <x v="611"/>
    </i>
    <i>
      <x v="69"/>
      <x v="3"/>
      <x v="2"/>
      <x v="106"/>
      <x v="3443"/>
      <x v="611"/>
    </i>
    <i r="1">
      <x v="16"/>
      <x v="67"/>
      <x v="106"/>
      <x v="3096"/>
      <x v="611"/>
    </i>
    <i r="1">
      <x v="24"/>
      <x v="67"/>
      <x v="106"/>
      <x v="1367"/>
      <x v="611"/>
    </i>
    <i r="1">
      <x v="27"/>
      <x v="2"/>
      <x v="106"/>
      <x v="1701"/>
      <x v="611"/>
    </i>
    <i r="4">
      <x v="1909"/>
      <x v="611"/>
    </i>
    <i r="4">
      <x v="2305"/>
      <x v="611"/>
    </i>
    <i r="4">
      <x v="2486"/>
      <x v="611"/>
    </i>
    <i r="4">
      <x v="2969"/>
      <x v="611"/>
    </i>
    <i r="4">
      <x v="3209"/>
      <x v="611"/>
    </i>
    <i r="4">
      <x v="3443"/>
      <x v="611"/>
    </i>
    <i r="1">
      <x v="28"/>
      <x v="68"/>
      <x v="106"/>
      <x v="684"/>
      <x v="611"/>
    </i>
    <i r="1">
      <x v="33"/>
      <x v="67"/>
      <x v="106"/>
      <x v="1430"/>
      <x v="611"/>
    </i>
    <i r="2">
      <x v="68"/>
      <x v="106"/>
      <x v="1745"/>
      <x v="611"/>
    </i>
    <i r="1">
      <x v="35"/>
      <x v="68"/>
      <x v="106"/>
      <x v="684"/>
      <x v="611"/>
    </i>
    <i r="1">
      <x v="37"/>
      <x v="67"/>
      <x v="106"/>
      <x v="3393"/>
      <x v="611"/>
    </i>
    <i r="2">
      <x v="68"/>
      <x v="106"/>
      <x v="1745"/>
      <x v="611"/>
    </i>
    <i r="1">
      <x v="40"/>
      <x v="22"/>
      <x v="390"/>
      <x v="3300"/>
      <x v="611"/>
    </i>
    <i r="3">
      <x v="430"/>
      <x v="3528"/>
      <x v="611"/>
    </i>
    <i>
      <x v="70"/>
      <x v="1"/>
      <x v="67"/>
      <x v="105"/>
      <x v="1935"/>
      <x v="611"/>
    </i>
    <i r="1">
      <x v="2"/>
      <x v="2"/>
      <x v="105"/>
      <x v="1386"/>
      <x v="611"/>
    </i>
    <i r="2">
      <x v="16"/>
      <x v="105"/>
      <x v="983"/>
      <x v="611"/>
    </i>
    <i r="1">
      <x v="3"/>
      <x v="2"/>
      <x v="105"/>
      <x v="3443"/>
      <x v="611"/>
    </i>
    <i r="1">
      <x v="4"/>
      <x v="62"/>
      <x v="105"/>
      <x v="1814"/>
      <x v="611"/>
    </i>
    <i r="1">
      <x v="12"/>
      <x v="67"/>
      <x v="105"/>
      <x v="3049"/>
      <x v="611"/>
    </i>
    <i r="1">
      <x v="16"/>
      <x v="16"/>
      <x v="105"/>
      <x v="2930"/>
      <x v="611"/>
    </i>
    <i r="1">
      <x v="20"/>
      <x v="62"/>
      <x v="105"/>
      <x v="1318"/>
      <x v="611"/>
    </i>
    <i r="1">
      <x v="24"/>
      <x v="18"/>
      <x v="105"/>
      <x v="1755"/>
      <x v="611"/>
    </i>
    <i r="2">
      <x v="67"/>
      <x v="105"/>
      <x v="2150"/>
      <x v="611"/>
    </i>
    <i r="1">
      <x v="25"/>
      <x v="67"/>
      <x v="105"/>
      <x v="3425"/>
      <x v="611"/>
    </i>
    <i r="1">
      <x v="27"/>
      <x v="2"/>
      <x v="105"/>
      <x v="2305"/>
      <x v="611"/>
    </i>
    <i r="4">
      <x v="3209"/>
      <x v="611"/>
    </i>
    <i r="4">
      <x v="3443"/>
      <x v="611"/>
    </i>
    <i r="1">
      <x v="31"/>
      <x v="19"/>
      <x v="105"/>
      <x v="3280"/>
      <x v="611"/>
    </i>
    <i r="1">
      <x v="33"/>
      <x v="67"/>
      <x v="105"/>
      <x v="2164"/>
      <x v="611"/>
    </i>
    <i r="1">
      <x v="37"/>
      <x v="14"/>
      <x v="105"/>
      <x v="1820"/>
      <x v="611"/>
    </i>
    <i r="1">
      <x v="38"/>
      <x v="2"/>
      <x v="105"/>
      <x v="1963"/>
      <x v="611"/>
    </i>
    <i r="1">
      <x v="40"/>
      <x v="2"/>
      <x v="105"/>
      <x v="3209"/>
      <x v="611"/>
    </i>
    <i r="2">
      <x v="17"/>
      <x v="105"/>
      <x v="1473"/>
      <x v="611"/>
    </i>
    <i r="4">
      <x v="2039"/>
      <x v="611"/>
    </i>
    <i r="4">
      <x v="2472"/>
      <x v="611"/>
    </i>
    <i r="4">
      <x v="2702"/>
      <x v="611"/>
    </i>
    <i r="4">
      <x v="2945"/>
      <x v="611"/>
    </i>
    <i r="4">
      <x v="3261"/>
      <x v="611"/>
    </i>
    <i r="2">
      <x v="18"/>
      <x v="105"/>
      <x v="978"/>
      <x v="611"/>
    </i>
    <i r="4">
      <x v="1366"/>
      <x v="611"/>
    </i>
    <i r="4">
      <x v="1714"/>
      <x v="611"/>
    </i>
    <i r="4">
      <x v="2030"/>
      <x v="611"/>
    </i>
    <i r="4">
      <x v="2326"/>
      <x v="611"/>
    </i>
    <i r="4">
      <x v="2598"/>
      <x v="611"/>
    </i>
    <i r="4">
      <x v="2751"/>
      <x v="611"/>
    </i>
    <i r="4">
      <x v="3211"/>
      <x v="611"/>
    </i>
    <i r="4">
      <x v="3563"/>
      <x v="611"/>
    </i>
    <i r="4">
      <x v="3564"/>
      <x v="610"/>
    </i>
    <i r="2">
      <x v="22"/>
      <x v="385"/>
      <x v="3484"/>
      <x v="611"/>
    </i>
    <i r="3">
      <x v="441"/>
      <x v="3518"/>
      <x v="611"/>
    </i>
    <i r="3">
      <x v="443"/>
      <x v="3550"/>
      <x v="611"/>
    </i>
    <i>
      <x v="71"/>
      <x v="3"/>
      <x v="2"/>
      <x v="104"/>
      <x v="3443"/>
      <x v="611"/>
    </i>
    <i r="1">
      <x v="13"/>
      <x v="68"/>
      <x v="104"/>
      <x v="2486"/>
      <x v="611"/>
    </i>
    <i r="1">
      <x v="16"/>
      <x v="67"/>
      <x v="104"/>
      <x v="3224"/>
      <x v="611"/>
    </i>
    <i r="1">
      <x v="27"/>
      <x v="2"/>
      <x v="104"/>
      <x v="1486"/>
      <x v="611"/>
    </i>
    <i r="4">
      <x v="2027"/>
      <x v="611"/>
    </i>
    <i r="4">
      <x v="2690"/>
      <x v="611"/>
    </i>
    <i r="4">
      <x v="2969"/>
      <x v="611"/>
    </i>
    <i r="4">
      <x v="3209"/>
      <x v="611"/>
    </i>
    <i r="4">
      <x v="3443"/>
      <x v="611"/>
    </i>
    <i r="1">
      <x v="32"/>
      <x v="67"/>
      <x v="104"/>
      <x v="973"/>
      <x v="611"/>
    </i>
    <i r="1">
      <x v="37"/>
      <x v="67"/>
      <x v="104"/>
      <x v="2634"/>
      <x v="611"/>
    </i>
    <i r="1">
      <x v="40"/>
      <x v="4"/>
      <x v="373"/>
      <x v="3564"/>
      <x v="115"/>
    </i>
    <i r="2">
      <x v="7"/>
      <x v="372"/>
      <x v="3564"/>
      <x v="120"/>
    </i>
    <i r="2">
      <x v="10"/>
      <x v="373"/>
      <x v="3564"/>
      <x v="101"/>
    </i>
    <i r="2">
      <x v="13"/>
      <x v="372"/>
      <x v="3564"/>
      <x v="120"/>
    </i>
    <i r="2">
      <x v="14"/>
      <x v="104"/>
      <x v="2774"/>
      <x v="611"/>
    </i>
    <i r="2">
      <x v="22"/>
      <x v="397"/>
      <x v="3134"/>
      <x v="611"/>
    </i>
    <i r="2">
      <x v="66"/>
      <x v="373"/>
      <x v="3564"/>
      <x v="101"/>
    </i>
    <i r="2">
      <x v="67"/>
      <x v="104"/>
      <x v="1137"/>
      <x v="611"/>
    </i>
    <i r="4">
      <x v="3341"/>
      <x v="611"/>
    </i>
    <i>
      <x v="72"/>
      <x v="2"/>
      <x v="38"/>
      <x v="103"/>
      <x v="463"/>
      <x v="611"/>
    </i>
    <i r="1">
      <x v="3"/>
      <x v="38"/>
      <x v="103"/>
      <x v="1846"/>
      <x v="611"/>
    </i>
    <i r="4">
      <x v="2158"/>
      <x v="611"/>
    </i>
    <i r="4">
      <x v="2210"/>
      <x v="611"/>
    </i>
    <i r="4">
      <x v="2272"/>
      <x v="611"/>
    </i>
    <i r="4">
      <x v="2392"/>
      <x v="611"/>
    </i>
    <i r="4">
      <x v="2719"/>
      <x v="611"/>
    </i>
    <i r="4">
      <x v="2772"/>
      <x v="611"/>
    </i>
    <i r="4">
      <x v="2815"/>
      <x v="611"/>
    </i>
    <i r="4">
      <x v="2936"/>
      <x v="611"/>
    </i>
    <i r="4">
      <x v="3230"/>
      <x v="611"/>
    </i>
    <i r="4">
      <x v="3279"/>
      <x v="611"/>
    </i>
    <i r="1">
      <x v="15"/>
      <x v="38"/>
      <x v="103"/>
      <x v="1417"/>
      <x v="611"/>
    </i>
    <i r="1">
      <x v="16"/>
      <x v="38"/>
      <x v="103"/>
      <x v="30"/>
      <x v="611"/>
    </i>
    <i r="1">
      <x v="22"/>
      <x v="38"/>
      <x v="103"/>
      <x v="3056"/>
      <x v="611"/>
    </i>
    <i r="1">
      <x v="27"/>
      <x v="38"/>
      <x v="103"/>
      <x v="83"/>
      <x v="611"/>
    </i>
    <i r="4">
      <x v="94"/>
      <x v="611"/>
    </i>
    <i r="4">
      <x v="155"/>
      <x v="611"/>
    </i>
    <i r="4">
      <x v="190"/>
      <x v="611"/>
    </i>
    <i r="4">
      <x v="207"/>
      <x v="611"/>
    </i>
    <i r="4">
      <x v="297"/>
      <x v="611"/>
    </i>
    <i r="4">
      <x v="485"/>
      <x v="611"/>
    </i>
    <i r="4">
      <x v="491"/>
      <x v="611"/>
    </i>
    <i r="4">
      <x v="502"/>
      <x v="611"/>
    </i>
    <i r="4">
      <x v="574"/>
      <x v="611"/>
    </i>
    <i r="4">
      <x v="710"/>
      <x v="611"/>
    </i>
    <i r="4">
      <x v="718"/>
      <x v="611"/>
    </i>
    <i r="4">
      <x v="745"/>
      <x v="611"/>
    </i>
    <i r="4">
      <x v="754"/>
      <x v="611"/>
    </i>
    <i r="4">
      <x v="795"/>
      <x v="611"/>
    </i>
    <i r="4">
      <x v="799"/>
      <x v="611"/>
    </i>
    <i r="4">
      <x v="880"/>
      <x v="611"/>
    </i>
    <i r="4">
      <x v="908"/>
      <x v="611"/>
    </i>
    <i r="4">
      <x v="1113"/>
      <x v="611"/>
    </i>
    <i r="4">
      <x v="1425"/>
      <x v="611"/>
    </i>
    <i r="4">
      <x v="1762"/>
      <x v="611"/>
    </i>
    <i r="4">
      <x v="1807"/>
      <x v="611"/>
    </i>
    <i r="4">
      <x v="2075"/>
      <x v="611"/>
    </i>
    <i r="4">
      <x v="2182"/>
      <x v="611"/>
    </i>
    <i r="4">
      <x v="2227"/>
      <x v="611"/>
    </i>
    <i r="4">
      <x v="2240"/>
      <x v="611"/>
    </i>
    <i r="4">
      <x v="2352"/>
      <x v="611"/>
    </i>
    <i r="4">
      <x v="2358"/>
      <x v="611"/>
    </i>
    <i r="4">
      <x v="2926"/>
      <x v="611"/>
    </i>
    <i r="4">
      <x v="2939"/>
      <x v="611"/>
    </i>
    <i r="4">
      <x v="3321"/>
      <x v="611"/>
    </i>
    <i r="4">
      <x v="3323"/>
      <x v="611"/>
    </i>
    <i r="4">
      <x v="3408"/>
      <x v="611"/>
    </i>
    <i r="4">
      <x v="3480"/>
      <x v="611"/>
    </i>
    <i r="1">
      <x v="37"/>
      <x v="38"/>
      <x v="103"/>
      <x v="3264"/>
      <x v="611"/>
    </i>
    <i r="1">
      <x v="38"/>
      <x v="38"/>
      <x v="103"/>
      <x v="677"/>
      <x v="611"/>
    </i>
    <i r="1">
      <x v="40"/>
      <x v="17"/>
      <x v="102"/>
      <x v="1539"/>
      <x v="611"/>
    </i>
    <i r="2">
      <x v="22"/>
      <x v="385"/>
      <x v="3250"/>
      <x v="611"/>
    </i>
    <i r="3">
      <x v="411"/>
      <x v="3274"/>
      <x v="611"/>
    </i>
    <i r="2">
      <x v="38"/>
      <x v="103"/>
      <x v="1891"/>
      <x v="611"/>
    </i>
    <i r="4">
      <x v="2270"/>
      <x v="611"/>
    </i>
    <i r="4">
      <x v="2632"/>
      <x v="611"/>
    </i>
    <i r="4">
      <x v="2808"/>
      <x v="611"/>
    </i>
    <i>
      <x v="73"/>
      <x v="3"/>
      <x v="2"/>
      <x v="101"/>
      <x v="3443"/>
      <x v="611"/>
    </i>
    <i r="1">
      <x v="27"/>
      <x v="2"/>
      <x v="101"/>
      <x v="3209"/>
      <x v="611"/>
    </i>
    <i r="4">
      <x v="3443"/>
      <x v="611"/>
    </i>
    <i r="2">
      <x v="20"/>
      <x v="452"/>
      <x v="3564"/>
      <x v="600"/>
    </i>
    <i r="1">
      <x v="38"/>
      <x v="2"/>
      <x v="101"/>
      <x v="2593"/>
      <x v="611"/>
    </i>
    <i r="2">
      <x v="14"/>
      <x v="101"/>
      <x v="2459"/>
      <x v="611"/>
    </i>
    <i r="1">
      <x v="40"/>
      <x v="14"/>
      <x v="101"/>
      <x v="3182"/>
      <x v="611"/>
    </i>
    <i r="2">
      <x v="22"/>
      <x v="390"/>
      <x v="3544"/>
      <x v="611"/>
    </i>
    <i r="3">
      <x v="414"/>
      <x v="3163"/>
      <x v="611"/>
    </i>
    <i r="3">
      <x v="450"/>
      <x v="3544"/>
      <x v="611"/>
    </i>
    <i>
      <x v="74"/>
      <x v="3"/>
      <x v="2"/>
      <x v="100"/>
      <x v="3443"/>
      <x v="611"/>
    </i>
    <i r="1">
      <x v="16"/>
      <x v="67"/>
      <x v="100"/>
      <x v="2493"/>
      <x v="611"/>
    </i>
    <i r="1">
      <x v="27"/>
      <x v="2"/>
      <x v="100"/>
      <x v="2690"/>
      <x v="611"/>
    </i>
    <i r="4">
      <x v="3209"/>
      <x v="611"/>
    </i>
    <i r="4">
      <x v="3443"/>
      <x v="611"/>
    </i>
    <i r="1">
      <x v="32"/>
      <x v="2"/>
      <x v="100"/>
      <x v="1333"/>
      <x v="611"/>
    </i>
    <i r="2">
      <x v="67"/>
      <x v="100"/>
      <x v="268"/>
      <x v="611"/>
    </i>
    <i r="1">
      <x v="38"/>
      <x v="2"/>
      <x v="100"/>
      <x v="1963"/>
      <x v="611"/>
    </i>
    <i r="1">
      <x v="40"/>
      <x v="19"/>
      <x v="100"/>
      <x v="3564"/>
      <x v="569"/>
    </i>
    <i r="2">
      <x v="22"/>
      <x v="391"/>
      <x v="3552"/>
      <x v="611"/>
    </i>
    <i r="3">
      <x v="392"/>
      <x v="3550"/>
      <x v="611"/>
    </i>
    <i r="3">
      <x v="416"/>
      <x v="3239"/>
      <x v="611"/>
    </i>
    <i r="3">
      <x v="428"/>
      <x v="3346"/>
      <x v="611"/>
    </i>
    <i>
      <x v="75"/>
      <x v="3"/>
      <x v="2"/>
      <x v="99"/>
      <x v="3443"/>
      <x v="611"/>
    </i>
    <i r="1">
      <x v="5"/>
      <x v="67"/>
      <x v="99"/>
      <x v="2906"/>
      <x v="611"/>
    </i>
    <i r="1">
      <x v="22"/>
      <x v="67"/>
      <x v="99"/>
      <x v="2992"/>
      <x v="611"/>
    </i>
    <i r="1">
      <x v="24"/>
      <x v="14"/>
      <x v="99"/>
      <x v="2567"/>
      <x v="611"/>
    </i>
    <i r="1">
      <x v="27"/>
      <x v="2"/>
      <x v="99"/>
      <x v="3443"/>
      <x v="611"/>
    </i>
    <i r="2">
      <x v="9"/>
      <x v="375"/>
      <x v="3475"/>
      <x v="611"/>
    </i>
    <i r="2">
      <x v="15"/>
      <x v="375"/>
      <x v="3475"/>
      <x v="611"/>
    </i>
    <i r="1">
      <x v="28"/>
      <x v="2"/>
      <x v="99"/>
      <x v="3411"/>
      <x v="611"/>
    </i>
    <i r="1">
      <x v="40"/>
      <x v="14"/>
      <x v="99"/>
      <x v="1129"/>
      <x v="611"/>
    </i>
    <i r="2">
      <x v="18"/>
      <x v="99"/>
      <x v="2202"/>
      <x v="611"/>
    </i>
    <i r="2">
      <x v="22"/>
      <x v="391"/>
      <x v="3552"/>
      <x v="611"/>
    </i>
    <i r="3">
      <x v="412"/>
      <x v="3550"/>
      <x v="611"/>
    </i>
    <i r="3">
      <x v="419"/>
      <x v="3409"/>
      <x v="611"/>
    </i>
    <i>
      <x v="76"/>
      <x v="2"/>
      <x v="2"/>
      <x v="98"/>
      <x v="2976"/>
      <x v="611"/>
    </i>
    <i r="1">
      <x v="4"/>
      <x v="67"/>
      <x v="98"/>
      <x v="1949"/>
      <x v="611"/>
    </i>
    <i r="1">
      <x v="25"/>
      <x v="67"/>
      <x v="98"/>
      <x v="3393"/>
      <x v="611"/>
    </i>
    <i r="1">
      <x v="40"/>
      <x v="22"/>
      <x v="426"/>
      <x v="3432"/>
      <x v="611"/>
    </i>
    <i>
      <x v="77"/>
      <x v="2"/>
      <x v="2"/>
      <x v="97"/>
      <x v="3141"/>
      <x v="611"/>
    </i>
    <i r="1">
      <x v="3"/>
      <x v="2"/>
      <x v="97"/>
      <x v="3443"/>
      <x v="611"/>
    </i>
    <i r="1">
      <x v="15"/>
      <x v="14"/>
      <x v="97"/>
      <x v="902"/>
      <x v="611"/>
    </i>
    <i r="2">
      <x v="67"/>
      <x v="97"/>
      <x v="2609"/>
      <x v="611"/>
    </i>
    <i r="1">
      <x v="27"/>
      <x v="2"/>
      <x v="97"/>
      <x v="3209"/>
      <x v="611"/>
    </i>
    <i r="1">
      <x v="34"/>
      <x v="67"/>
      <x v="97"/>
      <x v="1772"/>
      <x v="611"/>
    </i>
    <i r="1">
      <x v="40"/>
      <x v="22"/>
      <x v="389"/>
      <x v="3422"/>
      <x v="611"/>
    </i>
    <i r="3">
      <x v="410"/>
      <x v="3250"/>
      <x v="611"/>
    </i>
    <i r="3">
      <x v="414"/>
      <x v="3550"/>
      <x v="611"/>
    </i>
    <i r="3">
      <x v="436"/>
      <x v="3518"/>
      <x v="611"/>
    </i>
    <i>
      <x v="78"/>
      <x v="13"/>
      <x v="67"/>
      <x v="96"/>
      <x v="2264"/>
      <x v="611"/>
    </i>
    <i r="1">
      <x v="24"/>
      <x v="68"/>
      <x v="96"/>
      <x v="124"/>
      <x v="611"/>
    </i>
    <i r="1">
      <x v="28"/>
      <x v="68"/>
      <x v="96"/>
      <x v="438"/>
      <x v="611"/>
    </i>
    <i r="1">
      <x v="40"/>
      <x v="17"/>
      <x v="96"/>
      <x v="1539"/>
      <x v="611"/>
    </i>
    <i r="2">
      <x v="22"/>
      <x v="441"/>
      <x v="3422"/>
      <x v="611"/>
    </i>
    <i r="2">
      <x v="67"/>
      <x v="96"/>
      <x v="912"/>
      <x v="611"/>
    </i>
    <i r="4">
      <x v="1096"/>
      <x v="611"/>
    </i>
    <i r="4">
      <x v="1203"/>
      <x v="611"/>
    </i>
    <i r="4">
      <x v="1231"/>
      <x v="611"/>
    </i>
    <i>
      <x v="79"/>
      <x v="3"/>
      <x v="2"/>
      <x v="95"/>
      <x v="3443"/>
      <x v="611"/>
    </i>
    <i r="1">
      <x v="11"/>
      <x v="17"/>
      <x v="95"/>
      <x v="2275"/>
      <x v="611"/>
    </i>
    <i r="1">
      <x v="24"/>
      <x v="18"/>
      <x v="95"/>
      <x v="2013"/>
      <x v="611"/>
    </i>
    <i r="1">
      <x v="27"/>
      <x v="2"/>
      <x v="95"/>
      <x v="2969"/>
      <x v="611"/>
    </i>
    <i r="4">
      <x v="3443"/>
      <x v="611"/>
    </i>
    <i r="1">
      <x v="32"/>
      <x v="19"/>
      <x v="95"/>
      <x v="1971"/>
      <x v="611"/>
    </i>
    <i r="2">
      <x v="67"/>
      <x v="95"/>
      <x v="1038"/>
      <x v="611"/>
    </i>
    <i r="1">
      <x v="33"/>
      <x v="19"/>
      <x v="95"/>
      <x v="1345"/>
      <x v="611"/>
    </i>
    <i r="1">
      <x v="34"/>
      <x v="67"/>
      <x v="95"/>
      <x v="1804"/>
      <x v="611"/>
    </i>
    <i r="1">
      <x v="35"/>
      <x v="17"/>
      <x v="95"/>
      <x v="1725"/>
      <x v="611"/>
    </i>
    <i r="1">
      <x v="38"/>
      <x v="17"/>
      <x v="95"/>
      <x v="997"/>
      <x v="611"/>
    </i>
    <i r="1">
      <x v="40"/>
      <x v="17"/>
      <x v="95"/>
      <x v="1854"/>
      <x v="611"/>
    </i>
    <i r="4">
      <x v="3059"/>
      <x v="611"/>
    </i>
    <i r="4">
      <x v="3450"/>
      <x v="611"/>
    </i>
    <i r="2">
      <x v="18"/>
      <x v="95"/>
      <x v="1389"/>
      <x v="611"/>
    </i>
    <i r="4">
      <x v="1782"/>
      <x v="611"/>
    </i>
    <i r="4">
      <x v="1922"/>
      <x v="611"/>
    </i>
    <i r="4">
      <x v="2086"/>
      <x v="611"/>
    </i>
    <i r="4">
      <x v="2355"/>
      <x v="611"/>
    </i>
    <i r="4">
      <x v="2427"/>
      <x v="611"/>
    </i>
    <i r="4">
      <x v="2527"/>
      <x v="611"/>
    </i>
    <i r="4">
      <x v="2779"/>
      <x v="611"/>
    </i>
    <i r="4">
      <x v="2817"/>
      <x v="611"/>
    </i>
    <i r="4">
      <x v="2892"/>
      <x v="611"/>
    </i>
    <i r="4">
      <x v="3446"/>
      <x v="611"/>
    </i>
    <i r="2">
      <x v="22"/>
      <x v="380"/>
      <x v="2611"/>
      <x v="611"/>
    </i>
    <i r="3">
      <x v="445"/>
      <x v="2930"/>
      <x v="611"/>
    </i>
    <i>
      <x v="80"/>
      <x v="13"/>
      <x v="67"/>
      <x v="94"/>
      <x v="2273"/>
      <x v="611"/>
    </i>
    <i r="2">
      <x v="68"/>
      <x v="94"/>
      <x v="52"/>
      <x v="611"/>
    </i>
    <i r="1">
      <x v="16"/>
      <x v="68"/>
      <x v="94"/>
      <x v="46"/>
      <x v="611"/>
    </i>
    <i r="1">
      <x v="18"/>
      <x v="68"/>
      <x v="94"/>
      <x v="756"/>
      <x v="611"/>
    </i>
    <i r="1">
      <x v="24"/>
      <x v="68"/>
      <x v="94"/>
      <x v="1227"/>
      <x v="611"/>
    </i>
    <i r="1">
      <x v="40"/>
      <x v="67"/>
      <x v="94"/>
      <x v="787"/>
      <x v="611"/>
    </i>
    <i>
      <x v="81"/>
      <x v="3"/>
      <x v="2"/>
      <x v="93"/>
      <x v="3209"/>
      <x v="611"/>
    </i>
    <i r="1">
      <x v="4"/>
      <x v="67"/>
      <x v="93"/>
      <x v="3490"/>
      <x v="611"/>
    </i>
    <i r="1">
      <x v="16"/>
      <x v="2"/>
      <x v="93"/>
      <x v="3393"/>
      <x v="611"/>
    </i>
    <i r="2">
      <x v="14"/>
      <x v="93"/>
      <x v="3039"/>
      <x v="611"/>
    </i>
    <i r="2">
      <x v="67"/>
      <x v="93"/>
      <x v="3390"/>
      <x v="611"/>
    </i>
    <i r="1">
      <x v="24"/>
      <x v="67"/>
      <x v="93"/>
      <x v="2285"/>
      <x v="611"/>
    </i>
    <i r="1">
      <x v="27"/>
      <x v="2"/>
      <x v="93"/>
      <x v="2027"/>
      <x v="611"/>
    </i>
    <i r="4">
      <x v="2150"/>
      <x v="611"/>
    </i>
    <i r="4">
      <x v="2305"/>
      <x v="611"/>
    </i>
    <i r="4">
      <x v="2486"/>
      <x v="611"/>
    </i>
    <i r="4">
      <x v="2690"/>
      <x v="611"/>
    </i>
    <i r="4">
      <x v="2969"/>
      <x v="611"/>
    </i>
    <i r="4">
      <x v="3209"/>
      <x v="611"/>
    </i>
    <i r="4">
      <x v="3443"/>
      <x v="611"/>
    </i>
    <i r="1">
      <x v="32"/>
      <x v="67"/>
      <x v="93"/>
      <x v="2567"/>
      <x v="611"/>
    </i>
    <i r="1">
      <x v="33"/>
      <x v="67"/>
      <x v="93"/>
      <x v="3098"/>
      <x v="611"/>
    </i>
    <i r="1">
      <x v="34"/>
      <x v="67"/>
      <x v="93"/>
      <x v="1176"/>
      <x v="611"/>
    </i>
    <i r="1">
      <x v="35"/>
      <x v="67"/>
      <x v="93"/>
      <x v="2347"/>
      <x v="611"/>
    </i>
    <i r="1">
      <x v="40"/>
      <x v="14"/>
      <x v="93"/>
      <x v="2442"/>
      <x v="611"/>
    </i>
    <i r="2">
      <x v="22"/>
      <x v="441"/>
      <x v="3546"/>
      <x v="611"/>
    </i>
    <i>
      <x v="82"/>
      <x v="2"/>
      <x v="17"/>
      <x v="92"/>
      <x v="501"/>
      <x v="611"/>
    </i>
    <i r="2">
      <x v="18"/>
      <x v="92"/>
      <x v="3434"/>
      <x v="611"/>
    </i>
    <i r="1">
      <x v="10"/>
      <x v="17"/>
      <x v="92"/>
      <x v="1151"/>
      <x v="611"/>
    </i>
    <i r="1">
      <x v="11"/>
      <x v="67"/>
      <x v="92"/>
      <x v="2247"/>
      <x v="611"/>
    </i>
    <i r="1">
      <x v="12"/>
      <x v="14"/>
      <x v="92"/>
      <x v="862"/>
      <x v="611"/>
    </i>
    <i r="1">
      <x v="13"/>
      <x v="19"/>
      <x v="92"/>
      <x v="3564"/>
      <x v="563"/>
    </i>
    <i r="2">
      <x v="67"/>
      <x v="92"/>
      <x v="1969"/>
      <x v="611"/>
    </i>
    <i r="1">
      <x v="16"/>
      <x v="14"/>
      <x v="92"/>
      <x v="1367"/>
      <x v="611"/>
    </i>
    <i r="1">
      <x v="20"/>
      <x v="67"/>
      <x v="92"/>
      <x v="2120"/>
      <x v="611"/>
    </i>
    <i r="1">
      <x v="24"/>
      <x v="18"/>
      <x v="92"/>
      <x v="2906"/>
      <x v="611"/>
    </i>
    <i r="1">
      <x v="25"/>
      <x v="2"/>
      <x v="92"/>
      <x v="2049"/>
      <x v="611"/>
    </i>
    <i r="1">
      <x v="27"/>
      <x v="2"/>
      <x v="92"/>
      <x v="1701"/>
      <x v="611"/>
    </i>
    <i r="4">
      <x v="2027"/>
      <x v="611"/>
    </i>
    <i r="4">
      <x v="2486"/>
      <x v="611"/>
    </i>
    <i r="4">
      <x v="2690"/>
      <x v="611"/>
    </i>
    <i r="4">
      <x v="2969"/>
      <x v="611"/>
    </i>
    <i r="1">
      <x v="37"/>
      <x v="67"/>
      <x v="92"/>
      <x v="3551"/>
      <x v="611"/>
    </i>
    <i r="1">
      <x v="40"/>
      <x v="18"/>
      <x v="92"/>
      <x v="1688"/>
      <x v="611"/>
    </i>
    <i r="4">
      <x v="1874"/>
      <x v="611"/>
    </i>
    <i r="4">
      <x v="2291"/>
      <x v="611"/>
    </i>
    <i r="4">
      <x v="2643"/>
      <x v="611"/>
    </i>
    <i>
      <x v="83"/>
      <x v="9"/>
      <x v="14"/>
      <x v="91"/>
      <x v="112"/>
      <x v="611"/>
    </i>
    <i r="1">
      <x v="13"/>
      <x v="67"/>
      <x v="91"/>
      <x v="3209"/>
      <x v="611"/>
    </i>
    <i r="1">
      <x v="16"/>
      <x v="2"/>
      <x v="91"/>
      <x v="3509"/>
      <x v="611"/>
    </i>
    <i r="2">
      <x v="67"/>
      <x v="91"/>
      <x v="1095"/>
      <x v="611"/>
    </i>
    <i r="1">
      <x v="24"/>
      <x v="67"/>
      <x v="91"/>
      <x v="1859"/>
      <x v="611"/>
    </i>
    <i r="1">
      <x v="27"/>
      <x v="2"/>
      <x v="91"/>
      <x v="2150"/>
      <x v="611"/>
    </i>
    <i r="4">
      <x v="2305"/>
      <x v="611"/>
    </i>
    <i r="4">
      <x v="2690"/>
      <x v="611"/>
    </i>
    <i r="4">
      <x v="2969"/>
      <x v="611"/>
    </i>
    <i r="4">
      <x v="3209"/>
      <x v="611"/>
    </i>
    <i r="4">
      <x v="3443"/>
      <x v="611"/>
    </i>
    <i r="2">
      <x v="67"/>
      <x v="91"/>
      <x v="1144"/>
      <x v="611"/>
    </i>
    <i r="1">
      <x v="28"/>
      <x v="2"/>
      <x v="91"/>
      <x v="2186"/>
      <x v="611"/>
    </i>
    <i r="1">
      <x v="35"/>
      <x v="68"/>
      <x v="91"/>
      <x v="684"/>
      <x v="611"/>
    </i>
    <i r="1">
      <x v="37"/>
      <x v="14"/>
      <x v="91"/>
      <x v="2900"/>
      <x v="611"/>
    </i>
    <i r="2">
      <x v="67"/>
      <x v="91"/>
      <x v="2946"/>
      <x v="611"/>
    </i>
    <i r="1">
      <x v="38"/>
      <x v="14"/>
      <x v="91"/>
      <x v="2176"/>
      <x v="611"/>
    </i>
    <i r="1">
      <x v="40"/>
      <x v="2"/>
      <x v="91"/>
      <x v="3443"/>
      <x v="611"/>
    </i>
    <i r="2">
      <x v="14"/>
      <x v="91"/>
      <x v="2487"/>
      <x v="611"/>
    </i>
    <i r="2">
      <x v="22"/>
      <x v="401"/>
      <x v="3535"/>
      <x v="611"/>
    </i>
    <i r="3">
      <x v="445"/>
      <x v="3518"/>
      <x v="611"/>
    </i>
    <i>
      <x v="84"/>
      <x v="5"/>
      <x v="14"/>
      <x v="90"/>
      <x v="2769"/>
      <x v="611"/>
    </i>
    <i r="1">
      <x v="16"/>
      <x v="2"/>
      <x v="90"/>
      <x v="3239"/>
      <x v="611"/>
    </i>
    <i r="2">
      <x v="14"/>
      <x v="90"/>
      <x v="2017"/>
      <x v="611"/>
    </i>
    <i r="2">
      <x v="67"/>
      <x v="90"/>
      <x v="2534"/>
      <x v="611"/>
    </i>
    <i r="1">
      <x v="22"/>
      <x v="67"/>
      <x v="90"/>
      <x v="2583"/>
      <x v="611"/>
    </i>
    <i r="1">
      <x v="27"/>
      <x v="2"/>
      <x v="90"/>
      <x v="3209"/>
      <x v="611"/>
    </i>
    <i r="4">
      <x v="3443"/>
      <x v="611"/>
    </i>
    <i r="1">
      <x v="33"/>
      <x v="67"/>
      <x v="90"/>
      <x v="1247"/>
      <x v="611"/>
    </i>
    <i r="1">
      <x v="38"/>
      <x v="2"/>
      <x v="90"/>
      <x v="2672"/>
      <x v="611"/>
    </i>
    <i r="2">
      <x v="14"/>
      <x v="90"/>
      <x v="1797"/>
      <x v="611"/>
    </i>
    <i r="1">
      <x v="40"/>
      <x v="14"/>
      <x v="90"/>
      <x v="2326"/>
      <x v="611"/>
    </i>
    <i>
      <x v="85"/>
      <x v="1"/>
      <x v="36"/>
      <x v="89"/>
      <x v="509"/>
      <x v="611"/>
    </i>
    <i r="1">
      <x v="2"/>
      <x v="36"/>
      <x v="89"/>
      <x v="1855"/>
      <x v="611"/>
    </i>
    <i r="1">
      <x v="3"/>
      <x v="36"/>
      <x v="89"/>
      <x v="1687"/>
      <x v="611"/>
    </i>
    <i r="4">
      <x v="2101"/>
      <x v="611"/>
    </i>
    <i r="4">
      <x v="2111"/>
      <x v="611"/>
    </i>
    <i r="4">
      <x v="2117"/>
      <x v="611"/>
    </i>
    <i r="4">
      <x v="2384"/>
      <x v="611"/>
    </i>
    <i r="4">
      <x v="2715"/>
      <x v="611"/>
    </i>
    <i r="4">
      <x v="2742"/>
      <x v="611"/>
    </i>
    <i r="4">
      <x v="2785"/>
      <x v="611"/>
    </i>
    <i r="4">
      <x v="2855"/>
      <x v="611"/>
    </i>
    <i r="4">
      <x v="2882"/>
      <x v="611"/>
    </i>
    <i r="4">
      <x v="2991"/>
      <x v="611"/>
    </i>
    <i r="4">
      <x v="2997"/>
      <x v="611"/>
    </i>
    <i r="4">
      <x v="3121"/>
      <x v="611"/>
    </i>
    <i r="4">
      <x v="3263"/>
      <x v="611"/>
    </i>
    <i r="1">
      <x v="12"/>
      <x v="36"/>
      <x v="89"/>
      <x v="1882"/>
      <x v="611"/>
    </i>
    <i r="1">
      <x v="15"/>
      <x v="36"/>
      <x v="89"/>
      <x v="848"/>
      <x v="611"/>
    </i>
    <i r="1">
      <x v="16"/>
      <x v="36"/>
      <x v="89"/>
      <x v="10"/>
      <x v="611"/>
    </i>
    <i r="1">
      <x v="18"/>
      <x v="36"/>
      <x v="89"/>
      <x v="334"/>
      <x v="611"/>
    </i>
    <i r="1">
      <x v="20"/>
      <x v="36"/>
      <x v="89"/>
      <x v="407"/>
      <x v="611"/>
    </i>
    <i r="1">
      <x v="22"/>
      <x v="36"/>
      <x v="89"/>
      <x v="2710"/>
      <x v="611"/>
    </i>
    <i r="1">
      <x v="24"/>
      <x v="36"/>
      <x v="89"/>
      <x v="803"/>
      <x v="611"/>
    </i>
    <i r="1">
      <x v="27"/>
      <x v="2"/>
      <x v="88"/>
      <x v="2690"/>
      <x v="611"/>
    </i>
    <i r="4">
      <x v="3443"/>
      <x v="611"/>
    </i>
    <i r="2">
      <x v="36"/>
      <x v="89"/>
      <x v="77"/>
      <x v="611"/>
    </i>
    <i r="4">
      <x v="182"/>
      <x v="611"/>
    </i>
    <i r="4">
      <x v="200"/>
      <x v="611"/>
    </i>
    <i r="4">
      <x v="226"/>
      <x v="611"/>
    </i>
    <i r="4">
      <x v="248"/>
      <x v="611"/>
    </i>
    <i r="4">
      <x v="326"/>
      <x v="611"/>
    </i>
    <i r="4">
      <x v="342"/>
      <x v="611"/>
    </i>
    <i r="4">
      <x v="401"/>
      <x v="611"/>
    </i>
    <i r="4">
      <x v="430"/>
      <x v="611"/>
    </i>
    <i r="4">
      <x v="458"/>
      <x v="611"/>
    </i>
    <i r="4">
      <x v="511"/>
      <x v="611"/>
    </i>
    <i r="4">
      <x v="601"/>
      <x v="611"/>
    </i>
    <i r="4">
      <x v="692"/>
      <x v="611"/>
    </i>
    <i r="4">
      <x v="835"/>
      <x v="611"/>
    </i>
    <i r="4">
      <x v="940"/>
      <x v="611"/>
    </i>
    <i r="4">
      <x v="1052"/>
      <x v="611"/>
    </i>
    <i r="4">
      <x v="1180"/>
      <x v="611"/>
    </i>
    <i r="4">
      <x v="1365"/>
      <x v="611"/>
    </i>
    <i r="4">
      <x v="1500"/>
      <x v="611"/>
    </i>
    <i r="4">
      <x v="1573"/>
      <x v="611"/>
    </i>
    <i r="4">
      <x v="1947"/>
      <x v="611"/>
    </i>
    <i r="4">
      <x v="2157"/>
      <x v="611"/>
    </i>
    <i r="4">
      <x v="2196"/>
      <x v="611"/>
    </i>
    <i r="4">
      <x v="2600"/>
      <x v="611"/>
    </i>
    <i r="4">
      <x v="2648"/>
      <x v="611"/>
    </i>
    <i r="4">
      <x v="2876"/>
      <x v="611"/>
    </i>
    <i r="4">
      <x v="3107"/>
      <x v="611"/>
    </i>
    <i r="1">
      <x v="37"/>
      <x v="36"/>
      <x v="89"/>
      <x v="1716"/>
      <x v="611"/>
    </i>
    <i r="1">
      <x v="38"/>
      <x v="36"/>
      <x v="89"/>
      <x v="673"/>
      <x v="611"/>
    </i>
    <i r="1">
      <x v="40"/>
      <x v="22"/>
      <x v="397"/>
      <x v="3546"/>
      <x v="611"/>
    </i>
    <i r="2">
      <x v="36"/>
      <x v="89"/>
      <x v="820"/>
      <x v="611"/>
    </i>
    <i r="4">
      <x v="2565"/>
      <x v="611"/>
    </i>
    <i r="4">
      <x v="2637"/>
      <x v="611"/>
    </i>
    <i r="4">
      <x v="2867"/>
      <x v="611"/>
    </i>
    <i r="4">
      <x v="3071"/>
      <x v="611"/>
    </i>
    <i r="4">
      <x v="3166"/>
      <x v="611"/>
    </i>
    <i>
      <x v="86"/>
      <x v="2"/>
      <x v="17"/>
      <x v="87"/>
      <x v="3169"/>
      <x v="611"/>
    </i>
    <i r="1">
      <x v="13"/>
      <x v="67"/>
      <x v="87"/>
      <x v="2405"/>
      <x v="611"/>
    </i>
    <i r="1">
      <x v="16"/>
      <x v="2"/>
      <x v="87"/>
      <x v="2969"/>
      <x v="611"/>
    </i>
    <i r="2">
      <x v="16"/>
      <x v="87"/>
      <x v="2264"/>
      <x v="611"/>
    </i>
    <i r="2">
      <x v="67"/>
      <x v="87"/>
      <x v="3523"/>
      <x v="611"/>
    </i>
    <i r="1">
      <x v="20"/>
      <x v="14"/>
      <x v="87"/>
      <x v="2617"/>
      <x v="611"/>
    </i>
    <i r="1">
      <x v="22"/>
      <x v="16"/>
      <x v="87"/>
      <x v="858"/>
      <x v="611"/>
    </i>
    <i r="2">
      <x v="17"/>
      <x v="87"/>
      <x v="2970"/>
      <x v="611"/>
    </i>
    <i r="2">
      <x v="67"/>
      <x v="87"/>
      <x v="2295"/>
      <x v="611"/>
    </i>
    <i r="1">
      <x v="24"/>
      <x v="67"/>
      <x v="87"/>
      <x v="3393"/>
      <x v="611"/>
    </i>
    <i r="1">
      <x v="25"/>
      <x v="68"/>
      <x v="87"/>
      <x v="1012"/>
      <x v="611"/>
    </i>
    <i r="1">
      <x v="27"/>
      <x v="2"/>
      <x v="87"/>
      <x v="2969"/>
      <x v="611"/>
    </i>
    <i r="4">
      <x v="3209"/>
      <x v="611"/>
    </i>
    <i r="2">
      <x v="67"/>
      <x v="87"/>
      <x v="1356"/>
      <x v="611"/>
    </i>
    <i r="1">
      <x v="33"/>
      <x v="2"/>
      <x v="87"/>
      <x v="3381"/>
      <x v="611"/>
    </i>
    <i r="2">
      <x v="17"/>
      <x v="87"/>
      <x v="1031"/>
      <x v="611"/>
    </i>
    <i r="2">
      <x v="19"/>
      <x v="87"/>
      <x v="975"/>
      <x v="611"/>
    </i>
    <i r="1">
      <x v="35"/>
      <x v="17"/>
      <x v="87"/>
      <x v="1486"/>
      <x v="611"/>
    </i>
    <i r="2">
      <x v="68"/>
      <x v="87"/>
      <x v="723"/>
      <x v="611"/>
    </i>
    <i r="1">
      <x v="37"/>
      <x v="67"/>
      <x v="87"/>
      <x v="3332"/>
      <x v="611"/>
    </i>
    <i r="1">
      <x v="40"/>
      <x v="16"/>
      <x v="87"/>
      <x v="2265"/>
      <x v="611"/>
    </i>
    <i r="2">
      <x v="17"/>
      <x v="87"/>
      <x v="1161"/>
      <x v="611"/>
    </i>
    <i r="4">
      <x v="2917"/>
      <x v="611"/>
    </i>
    <i r="4">
      <x v="3144"/>
      <x v="611"/>
    </i>
    <i r="2">
      <x v="18"/>
      <x v="87"/>
      <x v="1021"/>
      <x v="611"/>
    </i>
    <i r="4">
      <x v="1098"/>
      <x v="611"/>
    </i>
    <i r="4">
      <x v="1194"/>
      <x v="611"/>
    </i>
    <i r="4">
      <x v="1258"/>
      <x v="611"/>
    </i>
    <i r="4">
      <x v="1662"/>
      <x v="611"/>
    </i>
    <i r="4">
      <x v="1682"/>
      <x v="611"/>
    </i>
    <i r="4">
      <x v="1868"/>
      <x v="611"/>
    </i>
    <i r="4">
      <x v="2180"/>
      <x v="611"/>
    </i>
    <i r="4">
      <x v="2225"/>
      <x v="611"/>
    </i>
    <i r="4">
      <x v="2513"/>
      <x v="611"/>
    </i>
    <i r="4">
      <x v="2760"/>
      <x v="611"/>
    </i>
    <i r="4">
      <x v="3013"/>
      <x v="611"/>
    </i>
    <i r="4">
      <x v="3075"/>
      <x v="611"/>
    </i>
    <i r="4">
      <x v="3495"/>
      <x v="611"/>
    </i>
    <i r="2">
      <x v="22"/>
      <x v="402"/>
      <x v="3550"/>
      <x v="611"/>
    </i>
    <i r="3">
      <x v="408"/>
      <x v="3460"/>
      <x v="611"/>
    </i>
    <i>
      <x v="87"/>
      <x v="3"/>
      <x v="2"/>
      <x v="86"/>
      <x v="3443"/>
      <x v="611"/>
    </i>
    <i r="1">
      <x v="27"/>
      <x v="2"/>
      <x v="86"/>
      <x v="2486"/>
      <x v="611"/>
    </i>
    <i r="4">
      <x v="3443"/>
      <x v="611"/>
    </i>
    <i r="1">
      <x v="37"/>
      <x v="2"/>
      <x v="86"/>
      <x v="2087"/>
      <x v="611"/>
    </i>
    <i r="2">
      <x v="14"/>
      <x v="86"/>
      <x v="2900"/>
      <x v="611"/>
    </i>
    <i r="1">
      <x v="40"/>
      <x v="22"/>
      <x v="383"/>
      <x v="3527"/>
      <x v="611"/>
    </i>
    <i r="3">
      <x v="416"/>
      <x v="2930"/>
      <x v="611"/>
    </i>
    <i r="3">
      <x v="450"/>
      <x v="3491"/>
      <x v="611"/>
    </i>
    <i>
      <x v="88"/>
      <x v="1"/>
      <x v="14"/>
      <x v="85"/>
      <x v="1587"/>
      <x v="611"/>
    </i>
    <i r="1">
      <x v="3"/>
      <x v="67"/>
      <x v="85"/>
      <x v="1132"/>
      <x v="611"/>
    </i>
    <i r="4">
      <x v="1156"/>
      <x v="611"/>
    </i>
    <i r="1">
      <x v="27"/>
      <x v="67"/>
      <x v="85"/>
      <x v="958"/>
      <x v="611"/>
    </i>
    <i r="4">
      <x v="1356"/>
      <x v="611"/>
    </i>
    <i r="1">
      <x v="40"/>
      <x v="22"/>
      <x v="383"/>
      <x v="3527"/>
      <x v="611"/>
    </i>
    <i>
      <x v="89"/>
      <x v="3"/>
      <x v="2"/>
      <x v="84"/>
      <x v="3209"/>
      <x v="611"/>
    </i>
    <i r="4">
      <x v="3443"/>
      <x v="611"/>
    </i>
    <i r="1">
      <x v="12"/>
      <x v="67"/>
      <x v="84"/>
      <x v="3393"/>
      <x v="611"/>
    </i>
    <i r="1">
      <x v="13"/>
      <x v="19"/>
      <x v="84"/>
      <x v="3564"/>
      <x v="534"/>
    </i>
    <i r="2">
      <x v="68"/>
      <x v="84"/>
      <x v="1562"/>
      <x v="611"/>
    </i>
    <i r="1">
      <x v="15"/>
      <x v="16"/>
      <x v="84"/>
      <x v="2442"/>
      <x v="611"/>
    </i>
    <i r="1">
      <x v="16"/>
      <x v="16"/>
      <x v="84"/>
      <x v="1577"/>
      <x v="611"/>
    </i>
    <i r="2">
      <x v="67"/>
      <x v="84"/>
      <x v="3366"/>
      <x v="611"/>
    </i>
    <i r="1">
      <x v="22"/>
      <x v="67"/>
      <x v="84"/>
      <x v="2764"/>
      <x v="611"/>
    </i>
    <i r="1">
      <x v="24"/>
      <x v="62"/>
      <x v="84"/>
      <x v="1861"/>
      <x v="611"/>
    </i>
    <i r="1">
      <x v="27"/>
      <x v="2"/>
      <x v="84"/>
      <x v="2690"/>
      <x v="611"/>
    </i>
    <i r="4">
      <x v="3443"/>
      <x v="611"/>
    </i>
    <i r="1">
      <x v="29"/>
      <x v="17"/>
      <x v="84"/>
      <x v="933"/>
      <x v="611"/>
    </i>
    <i r="2">
      <x v="18"/>
      <x v="84"/>
      <x v="1361"/>
      <x v="611"/>
    </i>
    <i r="1">
      <x v="33"/>
      <x v="17"/>
      <x v="84"/>
      <x v="1201"/>
      <x v="611"/>
    </i>
    <i r="2">
      <x v="19"/>
      <x v="84"/>
      <x v="2486"/>
      <x v="611"/>
    </i>
    <i r="1">
      <x v="35"/>
      <x v="67"/>
      <x v="84"/>
      <x v="2356"/>
      <x v="611"/>
    </i>
    <i r="1">
      <x v="40"/>
      <x v="18"/>
      <x v="84"/>
      <x v="2304"/>
      <x v="611"/>
    </i>
    <i r="4">
      <x v="3205"/>
      <x v="611"/>
    </i>
    <i r="2">
      <x v="22"/>
      <x v="428"/>
      <x v="3544"/>
      <x v="611"/>
    </i>
    <i r="3">
      <x v="433"/>
      <x v="3546"/>
      <x v="611"/>
    </i>
    <i r="3">
      <x v="445"/>
      <x v="3403"/>
      <x v="611"/>
    </i>
    <i>
      <x v="90"/>
      <x v="3"/>
      <x v="2"/>
      <x v="83"/>
      <x v="3443"/>
      <x v="611"/>
    </i>
    <i r="1">
      <x v="16"/>
      <x v="67"/>
      <x v="83"/>
      <x v="2757"/>
      <x v="611"/>
    </i>
    <i r="1">
      <x v="23"/>
      <x v="2"/>
      <x v="83"/>
      <x v="3341"/>
      <x v="611"/>
    </i>
    <i r="2">
      <x v="67"/>
      <x v="83"/>
      <x v="3393"/>
      <x v="611"/>
    </i>
    <i r="1">
      <x v="24"/>
      <x v="2"/>
      <x v="83"/>
      <x v="2475"/>
      <x v="611"/>
    </i>
    <i r="1">
      <x v="27"/>
      <x v="2"/>
      <x v="83"/>
      <x v="2150"/>
      <x v="611"/>
    </i>
    <i r="4">
      <x v="2690"/>
      <x v="611"/>
    </i>
    <i r="4">
      <x v="2969"/>
      <x v="611"/>
    </i>
    <i r="4">
      <x v="3443"/>
      <x v="611"/>
    </i>
    <i r="1">
      <x v="34"/>
      <x v="67"/>
      <x v="83"/>
      <x v="1783"/>
      <x v="611"/>
    </i>
    <i r="1">
      <x v="35"/>
      <x v="67"/>
      <x v="83"/>
      <x v="1555"/>
      <x v="611"/>
    </i>
    <i r="1">
      <x v="37"/>
      <x v="67"/>
      <x v="83"/>
      <x v="1526"/>
      <x v="611"/>
    </i>
    <i r="1">
      <x v="40"/>
      <x v="14"/>
      <x v="83"/>
      <x v="1696"/>
      <x v="611"/>
    </i>
    <i r="2">
      <x v="17"/>
      <x v="83"/>
      <x v="1621"/>
      <x v="611"/>
    </i>
    <i r="2">
      <x v="22"/>
      <x v="397"/>
      <x v="3501"/>
      <x v="611"/>
    </i>
    <i r="3">
      <x v="431"/>
      <x v="3499"/>
      <x v="611"/>
    </i>
    <i r="3">
      <x v="438"/>
      <x v="3437"/>
      <x v="611"/>
    </i>
    <i r="3">
      <x v="450"/>
      <x v="3525"/>
      <x v="611"/>
    </i>
    <i>
      <x v="91"/>
      <x/>
      <x v="19"/>
      <x v="82"/>
      <x v="1282"/>
      <x v="611"/>
    </i>
    <i r="1">
      <x v="1"/>
      <x v="19"/>
      <x v="82"/>
      <x v="312"/>
      <x v="611"/>
    </i>
    <i r="1">
      <x v="2"/>
      <x v="2"/>
      <x v="82"/>
      <x v="2440"/>
      <x v="611"/>
    </i>
    <i r="2">
      <x v="14"/>
      <x v="82"/>
      <x v="2581"/>
      <x v="611"/>
    </i>
    <i r="2">
      <x v="19"/>
      <x v="82"/>
      <x v="337"/>
      <x v="611"/>
    </i>
    <i r="1">
      <x v="27"/>
      <x v="2"/>
      <x v="82"/>
      <x v="2305"/>
      <x v="611"/>
    </i>
    <i r="4">
      <x v="2690"/>
      <x v="611"/>
    </i>
    <i r="4">
      <x v="3209"/>
      <x v="611"/>
    </i>
    <i r="4">
      <x v="3443"/>
      <x v="611"/>
    </i>
    <i r="1">
      <x v="28"/>
      <x v="2"/>
      <x v="82"/>
      <x v="1140"/>
      <x v="611"/>
    </i>
    <i r="2">
      <x v="19"/>
      <x v="82"/>
      <x v="1583"/>
      <x v="611"/>
    </i>
    <i r="1">
      <x v="31"/>
      <x v="19"/>
      <x v="82"/>
      <x v="3004"/>
      <x v="611"/>
    </i>
    <i r="1">
      <x v="37"/>
      <x v="19"/>
      <x v="82"/>
      <x v="918"/>
      <x v="611"/>
    </i>
    <i r="1">
      <x v="38"/>
      <x v="19"/>
      <x v="82"/>
      <x v="199"/>
      <x v="611"/>
    </i>
    <i r="1">
      <x v="40"/>
      <x v="18"/>
      <x v="82"/>
      <x v="1689"/>
      <x v="611"/>
    </i>
    <i r="4">
      <x v="1760"/>
      <x v="611"/>
    </i>
    <i r="4">
      <x v="2614"/>
      <x v="611"/>
    </i>
    <i r="4">
      <x v="2711"/>
      <x v="611"/>
    </i>
    <i r="4">
      <x v="2748"/>
      <x v="611"/>
    </i>
    <i r="4">
      <x v="3124"/>
      <x v="611"/>
    </i>
    <i>
      <x v="92"/>
      <x v="3"/>
      <x v="2"/>
      <x v="81"/>
      <x v="2690"/>
      <x v="611"/>
    </i>
    <i r="1">
      <x v="25"/>
      <x v="14"/>
      <x v="81"/>
      <x v="349"/>
      <x v="611"/>
    </i>
    <i r="1">
      <x v="27"/>
      <x v="2"/>
      <x v="81"/>
      <x v="2150"/>
      <x v="611"/>
    </i>
    <i r="4">
      <x v="2305"/>
      <x v="611"/>
    </i>
    <i r="4">
      <x v="2690"/>
      <x v="611"/>
    </i>
    <i r="4">
      <x v="2969"/>
      <x v="611"/>
    </i>
    <i r="1">
      <x v="37"/>
      <x v="67"/>
      <x v="81"/>
      <x v="2946"/>
      <x v="611"/>
    </i>
    <i>
      <x v="93"/>
      <x v="2"/>
      <x v="62"/>
      <x v="80"/>
      <x v="2405"/>
      <x v="611"/>
    </i>
    <i r="1">
      <x v="3"/>
      <x v="2"/>
      <x v="80"/>
      <x v="3443"/>
      <x v="611"/>
    </i>
    <i r="1">
      <x v="10"/>
      <x v="67"/>
      <x v="80"/>
      <x v="2173"/>
      <x v="611"/>
    </i>
    <i r="1">
      <x v="16"/>
      <x v="16"/>
      <x v="80"/>
      <x v="1875"/>
      <x v="611"/>
    </i>
    <i r="1">
      <x v="20"/>
      <x v="62"/>
      <x v="80"/>
      <x v="1811"/>
      <x v="611"/>
    </i>
    <i r="1">
      <x v="24"/>
      <x v="67"/>
      <x v="80"/>
      <x v="1859"/>
      <x v="611"/>
    </i>
    <i r="1">
      <x v="27"/>
      <x v="2"/>
      <x v="80"/>
      <x v="2969"/>
      <x v="611"/>
    </i>
    <i r="4">
      <x v="3209"/>
      <x v="611"/>
    </i>
    <i r="4">
      <x v="3443"/>
      <x v="611"/>
    </i>
    <i r="1">
      <x v="28"/>
      <x v="67"/>
      <x v="80"/>
      <x v="3098"/>
      <x v="611"/>
    </i>
    <i r="1">
      <x v="31"/>
      <x v="2"/>
      <x v="80"/>
      <x v="3090"/>
      <x v="611"/>
    </i>
    <i r="1">
      <x v="40"/>
      <x v="18"/>
      <x v="80"/>
      <x v="2541"/>
      <x v="611"/>
    </i>
    <i r="4">
      <x v="2930"/>
      <x v="611"/>
    </i>
    <i r="4">
      <x v="2989"/>
      <x v="611"/>
    </i>
    <i r="4">
      <x v="3260"/>
      <x v="611"/>
    </i>
    <i r="2">
      <x v="22"/>
      <x v="393"/>
      <x v="3537"/>
      <x v="611"/>
    </i>
    <i>
      <x v="94"/>
      <x v="13"/>
      <x v="68"/>
      <x v="79"/>
      <x v="2617"/>
      <x v="611"/>
    </i>
    <i r="1">
      <x v="16"/>
      <x v="2"/>
      <x v="79"/>
      <x v="2930"/>
      <x v="611"/>
    </i>
    <i r="1">
      <x v="25"/>
      <x v="67"/>
      <x v="79"/>
      <x v="630"/>
      <x v="611"/>
    </i>
    <i r="1">
      <x v="27"/>
      <x v="2"/>
      <x v="79"/>
      <x v="2690"/>
      <x v="611"/>
    </i>
    <i r="4">
      <x v="3209"/>
      <x v="611"/>
    </i>
    <i r="4">
      <x v="3443"/>
      <x v="611"/>
    </i>
    <i r="1">
      <x v="40"/>
      <x v="22"/>
      <x v="378"/>
      <x v="3537"/>
      <x v="611"/>
    </i>
    <i r="3">
      <x v="414"/>
      <x v="3163"/>
      <x v="611"/>
    </i>
    <i r="3">
      <x v="420"/>
      <x v="3537"/>
      <x v="611"/>
    </i>
    <i r="3">
      <x v="421"/>
      <x v="3523"/>
      <x v="611"/>
    </i>
    <i r="2">
      <x v="67"/>
      <x v="79"/>
      <x v="1337"/>
      <x v="611"/>
    </i>
    <i>
      <x v="95"/>
      <x v="3"/>
      <x v="67"/>
      <x v="78"/>
      <x v="1356"/>
      <x v="611"/>
    </i>
    <i r="1">
      <x v="16"/>
      <x v="14"/>
      <x v="78"/>
      <x v="2377"/>
      <x v="611"/>
    </i>
    <i r="2">
      <x v="67"/>
      <x v="78"/>
      <x v="3374"/>
      <x v="611"/>
    </i>
    <i r="1">
      <x v="32"/>
      <x v="67"/>
      <x v="78"/>
      <x v="2213"/>
      <x v="611"/>
    </i>
    <i r="1">
      <x v="40"/>
      <x v="22"/>
      <x v="413"/>
      <x v="3491"/>
      <x v="611"/>
    </i>
    <i>
      <x v="96"/>
      <x v="2"/>
      <x v="18"/>
      <x v="77"/>
      <x v="1090"/>
      <x v="611"/>
    </i>
    <i r="1">
      <x v="3"/>
      <x v="2"/>
      <x v="77"/>
      <x v="3443"/>
      <x v="611"/>
    </i>
    <i r="1">
      <x v="16"/>
      <x v="67"/>
      <x v="77"/>
      <x v="3395"/>
      <x v="611"/>
    </i>
    <i r="1">
      <x v="24"/>
      <x v="2"/>
      <x v="77"/>
      <x v="3053"/>
      <x v="611"/>
    </i>
    <i r="2">
      <x v="17"/>
      <x v="77"/>
      <x v="3236"/>
      <x v="611"/>
    </i>
    <i r="1">
      <x v="27"/>
      <x v="2"/>
      <x v="77"/>
      <x v="2969"/>
      <x v="611"/>
    </i>
    <i r="4">
      <x v="3209"/>
      <x v="611"/>
    </i>
    <i r="4">
      <x v="3443"/>
      <x v="611"/>
    </i>
    <i r="1">
      <x v="31"/>
      <x v="19"/>
      <x v="77"/>
      <x v="3346"/>
      <x v="611"/>
    </i>
    <i r="1">
      <x v="40"/>
      <x v="2"/>
      <x v="77"/>
      <x v="3443"/>
      <x v="611"/>
    </i>
    <i r="2">
      <x v="17"/>
      <x v="77"/>
      <x v="3265"/>
      <x v="611"/>
    </i>
    <i r="2">
      <x v="18"/>
      <x v="77"/>
      <x v="1237"/>
      <x v="611"/>
    </i>
    <i r="4">
      <x v="3020"/>
      <x v="611"/>
    </i>
    <i r="2">
      <x v="19"/>
      <x v="77"/>
      <x v="3564"/>
      <x v="566"/>
    </i>
    <i r="2">
      <x v="22"/>
      <x v="378"/>
      <x v="3537"/>
      <x v="611"/>
    </i>
    <i r="3">
      <x v="413"/>
      <x v="3530"/>
      <x v="611"/>
    </i>
    <i r="3">
      <x v="420"/>
      <x v="3537"/>
      <x v="611"/>
    </i>
    <i r="3">
      <x v="436"/>
      <x v="3379"/>
      <x v="611"/>
    </i>
    <i r="3">
      <x v="441"/>
      <x v="3546"/>
      <x v="611"/>
    </i>
    <i r="3">
      <x v="450"/>
      <x v="3544"/>
      <x v="611"/>
    </i>
    <i r="2">
      <x v="67"/>
      <x v="77"/>
      <x v="2644"/>
      <x v="611"/>
    </i>
    <i>
      <x v="97"/>
      <x v="2"/>
      <x v="50"/>
      <x v="76"/>
      <x v="2099"/>
      <x v="611"/>
    </i>
    <i r="2">
      <x v="67"/>
      <x v="75"/>
      <x v="3392"/>
      <x v="611"/>
    </i>
    <i r="1">
      <x v="3"/>
      <x v="2"/>
      <x v="75"/>
      <x v="3443"/>
      <x v="611"/>
    </i>
    <i r="2">
      <x v="50"/>
      <x v="76"/>
      <x v="1634"/>
      <x v="611"/>
    </i>
    <i r="4">
      <x v="2263"/>
      <x v="611"/>
    </i>
    <i r="4">
      <x v="2380"/>
      <x v="611"/>
    </i>
    <i r="4">
      <x v="2646"/>
      <x v="611"/>
    </i>
    <i r="4">
      <x v="2684"/>
      <x v="611"/>
    </i>
    <i r="4">
      <x v="2792"/>
      <x v="611"/>
    </i>
    <i r="4">
      <x v="2797"/>
      <x v="611"/>
    </i>
    <i r="4">
      <x v="2842"/>
      <x v="611"/>
    </i>
    <i r="4">
      <x v="2863"/>
      <x v="611"/>
    </i>
    <i r="4">
      <x v="2866"/>
      <x v="611"/>
    </i>
    <i r="4">
      <x v="2902"/>
      <x v="611"/>
    </i>
    <i r="4">
      <x v="3001"/>
      <x v="611"/>
    </i>
    <i r="4">
      <x v="3297"/>
      <x v="611"/>
    </i>
    <i r="4">
      <x v="3317"/>
      <x v="611"/>
    </i>
    <i r="4">
      <x v="3497"/>
      <x v="611"/>
    </i>
    <i r="1">
      <x v="13"/>
      <x v="2"/>
      <x v="75"/>
      <x v="3239"/>
      <x v="611"/>
    </i>
    <i r="1">
      <x v="15"/>
      <x v="50"/>
      <x v="76"/>
      <x v="525"/>
      <x v="611"/>
    </i>
    <i r="1">
      <x v="16"/>
      <x v="50"/>
      <x v="76"/>
      <x v="23"/>
      <x v="611"/>
    </i>
    <i r="1">
      <x v="18"/>
      <x v="50"/>
      <x v="76"/>
      <x v="71"/>
      <x v="611"/>
    </i>
    <i r="1">
      <x v="20"/>
      <x v="2"/>
      <x v="75"/>
      <x v="624"/>
      <x v="611"/>
    </i>
    <i r="2">
      <x v="14"/>
      <x v="75"/>
      <x v="2896"/>
      <x v="611"/>
    </i>
    <i r="2">
      <x v="50"/>
      <x v="76"/>
      <x v="792"/>
      <x v="611"/>
    </i>
    <i r="2">
      <x v="62"/>
      <x v="75"/>
      <x v="1008"/>
      <x v="611"/>
    </i>
    <i r="1">
      <x v="22"/>
      <x v="50"/>
      <x v="76"/>
      <x v="2009"/>
      <x v="611"/>
    </i>
    <i r="1">
      <x v="24"/>
      <x v="50"/>
      <x v="76"/>
      <x v="366"/>
      <x v="611"/>
    </i>
    <i r="1">
      <x v="25"/>
      <x v="62"/>
      <x v="75"/>
      <x v="1563"/>
      <x v="611"/>
    </i>
    <i r="1">
      <x v="27"/>
      <x v="2"/>
      <x v="75"/>
      <x v="3443"/>
      <x v="611"/>
    </i>
    <i r="2">
      <x v="50"/>
      <x v="76"/>
      <x v="121"/>
      <x v="611"/>
    </i>
    <i r="4">
      <x v="123"/>
      <x v="611"/>
    </i>
    <i r="4">
      <x v="142"/>
      <x v="611"/>
    </i>
    <i r="4">
      <x v="147"/>
      <x v="611"/>
    </i>
    <i r="4">
      <x v="215"/>
      <x v="611"/>
    </i>
    <i r="4">
      <x v="303"/>
      <x v="611"/>
    </i>
    <i r="4">
      <x v="338"/>
      <x v="611"/>
    </i>
    <i r="4">
      <x v="350"/>
      <x v="611"/>
    </i>
    <i r="4">
      <x v="372"/>
      <x v="611"/>
    </i>
    <i r="4">
      <x v="490"/>
      <x v="611"/>
    </i>
    <i r="4">
      <x v="587"/>
      <x v="611"/>
    </i>
    <i r="4">
      <x v="761"/>
      <x v="611"/>
    </i>
    <i r="4">
      <x v="765"/>
      <x v="611"/>
    </i>
    <i r="4">
      <x v="770"/>
      <x v="611"/>
    </i>
    <i r="4">
      <x v="804"/>
      <x v="611"/>
    </i>
    <i r="4">
      <x v="1044"/>
      <x v="611"/>
    </i>
    <i r="4">
      <x v="1293"/>
      <x v="611"/>
    </i>
    <i r="4">
      <x v="1418"/>
      <x v="611"/>
    </i>
    <i r="4">
      <x v="1492"/>
      <x v="611"/>
    </i>
    <i r="4">
      <x v="1770"/>
      <x v="611"/>
    </i>
    <i r="4">
      <x v="2019"/>
      <x v="611"/>
    </i>
    <i r="4">
      <x v="2260"/>
      <x v="611"/>
    </i>
    <i r="4">
      <x v="2433"/>
      <x v="611"/>
    </i>
    <i r="4">
      <x v="2494"/>
      <x v="611"/>
    </i>
    <i r="4">
      <x v="2577"/>
      <x v="611"/>
    </i>
    <i r="4">
      <x v="2596"/>
      <x v="611"/>
    </i>
    <i r="4">
      <x v="2706"/>
      <x v="611"/>
    </i>
    <i r="4">
      <x v="2813"/>
      <x v="611"/>
    </i>
    <i r="4">
      <x v="2957"/>
      <x v="611"/>
    </i>
    <i r="4">
      <x v="2972"/>
      <x v="611"/>
    </i>
    <i r="4">
      <x v="3178"/>
      <x v="611"/>
    </i>
    <i r="4">
      <x v="3196"/>
      <x v="611"/>
    </i>
    <i r="4">
      <x v="3251"/>
      <x v="611"/>
    </i>
    <i r="1">
      <x v="37"/>
      <x v="50"/>
      <x v="76"/>
      <x v="1992"/>
      <x v="611"/>
    </i>
    <i r="1">
      <x v="38"/>
      <x v="50"/>
      <x v="76"/>
      <x v="439"/>
      <x v="611"/>
    </i>
    <i r="1">
      <x v="40"/>
      <x v="22"/>
      <x v="390"/>
      <x v="3550"/>
      <x v="611"/>
    </i>
    <i r="3">
      <x v="393"/>
      <x v="3546"/>
      <x v="611"/>
    </i>
    <i r="3">
      <x v="433"/>
      <x v="3546"/>
      <x v="611"/>
    </i>
    <i r="3">
      <x v="443"/>
      <x v="3371"/>
      <x v="611"/>
    </i>
    <i r="2">
      <x v="50"/>
      <x v="76"/>
      <x v="1205"/>
      <x v="611"/>
    </i>
    <i r="4">
      <x v="2661"/>
      <x v="611"/>
    </i>
    <i r="4">
      <x v="3516"/>
      <x v="611"/>
    </i>
    <i>
      <x v="98"/>
      <x v="5"/>
      <x v="16"/>
      <x v="74"/>
      <x v="3564"/>
      <x v="238"/>
    </i>
    <i r="1">
      <x v="9"/>
      <x v="14"/>
      <x v="74"/>
      <x v="323"/>
      <x v="611"/>
    </i>
    <i r="1">
      <x v="16"/>
      <x v="14"/>
      <x v="74"/>
      <x v="1579"/>
      <x v="611"/>
    </i>
    <i r="2">
      <x v="67"/>
      <x v="74"/>
      <x v="3393"/>
      <x v="611"/>
    </i>
    <i r="1">
      <x v="23"/>
      <x v="67"/>
      <x v="74"/>
      <x v="3554"/>
      <x v="611"/>
    </i>
    <i r="1">
      <x v="27"/>
      <x v="2"/>
      <x v="74"/>
      <x v="2969"/>
      <x v="611"/>
    </i>
    <i r="4">
      <x v="3443"/>
      <x v="611"/>
    </i>
    <i r="1">
      <x v="32"/>
      <x v="67"/>
      <x v="74"/>
      <x v="325"/>
      <x v="611"/>
    </i>
    <i r="1">
      <x v="40"/>
      <x v="22"/>
      <x v="425"/>
      <x v="3535"/>
      <x v="611"/>
    </i>
    <i r="3">
      <x v="430"/>
      <x v="3528"/>
      <x v="611"/>
    </i>
    <i r="3">
      <x v="442"/>
      <x v="3544"/>
      <x v="611"/>
    </i>
    <i r="2">
      <x v="67"/>
      <x v="74"/>
      <x v="2748"/>
      <x v="611"/>
    </i>
    <i>
      <x v="99"/>
      <x v="3"/>
      <x v="2"/>
      <x v="73"/>
      <x v="3443"/>
      <x v="611"/>
    </i>
    <i r="1">
      <x v="5"/>
      <x v="67"/>
      <x v="73"/>
      <x v="1584"/>
      <x v="611"/>
    </i>
    <i r="1">
      <x v="12"/>
      <x v="67"/>
      <x v="73"/>
      <x v="3239"/>
      <x v="611"/>
    </i>
    <i r="1">
      <x v="13"/>
      <x v="68"/>
      <x v="73"/>
      <x v="2008"/>
      <x v="611"/>
    </i>
    <i r="1">
      <x v="15"/>
      <x v="67"/>
      <x v="73"/>
      <x v="2253"/>
      <x v="611"/>
    </i>
    <i r="1">
      <x v="16"/>
      <x v="14"/>
      <x v="73"/>
      <x v="3167"/>
      <x v="611"/>
    </i>
    <i r="2">
      <x v="67"/>
      <x v="73"/>
      <x v="3103"/>
      <x v="611"/>
    </i>
    <i r="1">
      <x v="24"/>
      <x v="2"/>
      <x v="73"/>
      <x v="1422"/>
      <x v="611"/>
    </i>
    <i r="1">
      <x v="25"/>
      <x v="67"/>
      <x v="73"/>
      <x v="1621"/>
      <x v="611"/>
    </i>
    <i r="1">
      <x v="27"/>
      <x v="2"/>
      <x v="73"/>
      <x v="2969"/>
      <x v="611"/>
    </i>
    <i r="1">
      <x v="40"/>
      <x v="14"/>
      <x v="73"/>
      <x v="2931"/>
      <x v="611"/>
    </i>
    <i r="2">
      <x v="22"/>
      <x v="390"/>
      <x v="3550"/>
      <x v="611"/>
    </i>
    <i r="3">
      <x v="402"/>
      <x v="3528"/>
      <x v="611"/>
    </i>
    <i r="3">
      <x v="418"/>
      <x v="3471"/>
      <x v="611"/>
    </i>
    <i r="3">
      <x v="443"/>
      <x v="3475"/>
      <x v="611"/>
    </i>
    <i r="2">
      <x v="67"/>
      <x v="73"/>
      <x v="1356"/>
      <x v="611"/>
    </i>
    <i>
      <x v="100"/>
      <x v="5"/>
      <x v="19"/>
      <x v="72"/>
      <x v="1212"/>
      <x v="611"/>
    </i>
    <i r="1">
      <x v="20"/>
      <x v="19"/>
      <x v="72"/>
      <x v="3564"/>
      <x v="380"/>
    </i>
    <i r="1">
      <x v="22"/>
      <x v="16"/>
      <x v="72"/>
      <x v="3563"/>
      <x v="611"/>
    </i>
    <i r="4">
      <x v="3564"/>
      <x v="610"/>
    </i>
    <i r="1">
      <x v="30"/>
      <x v="16"/>
      <x v="72"/>
      <x v="1885"/>
      <x v="611"/>
    </i>
    <i r="1">
      <x v="40"/>
      <x v="16"/>
      <x v="72"/>
      <x v="3564"/>
      <x v="448"/>
    </i>
    <i r="2">
      <x v="22"/>
      <x v="380"/>
      <x v="3542"/>
      <x v="611"/>
    </i>
    <i r="3">
      <x v="399"/>
      <x v="3525"/>
      <x v="611"/>
    </i>
    <i r="3">
      <x v="420"/>
      <x v="3544"/>
      <x v="611"/>
    </i>
    <i>
      <x v="101"/>
      <x v="2"/>
      <x v="2"/>
      <x v="71"/>
      <x v="2768"/>
      <x v="611"/>
    </i>
    <i r="1">
      <x v="3"/>
      <x v="2"/>
      <x v="71"/>
      <x v="3443"/>
      <x v="611"/>
    </i>
    <i r="2">
      <x v="67"/>
      <x v="71"/>
      <x v="1694"/>
      <x v="611"/>
    </i>
    <i r="1">
      <x v="4"/>
      <x v="16"/>
      <x v="71"/>
      <x v="3564"/>
      <x v="260"/>
    </i>
    <i r="1">
      <x v="5"/>
      <x v="67"/>
      <x v="71"/>
      <x v="3017"/>
      <x v="611"/>
    </i>
    <i r="1">
      <x v="12"/>
      <x v="67"/>
      <x v="71"/>
      <x v="3440"/>
      <x v="611"/>
    </i>
    <i r="1">
      <x v="16"/>
      <x v="2"/>
      <x v="71"/>
      <x v="3509"/>
      <x v="611"/>
    </i>
    <i r="2">
      <x v="14"/>
      <x v="71"/>
      <x v="2949"/>
      <x v="611"/>
    </i>
    <i r="2">
      <x v="67"/>
      <x v="71"/>
      <x v="2566"/>
      <x v="611"/>
    </i>
    <i r="1">
      <x v="24"/>
      <x v="2"/>
      <x v="71"/>
      <x v="2969"/>
      <x v="611"/>
    </i>
    <i r="2">
      <x v="67"/>
      <x v="71"/>
      <x v="2110"/>
      <x v="611"/>
    </i>
    <i r="1">
      <x v="27"/>
      <x v="2"/>
      <x v="71"/>
      <x v="3209"/>
      <x v="611"/>
    </i>
    <i r="4">
      <x v="3443"/>
      <x v="611"/>
    </i>
    <i r="2">
      <x v="67"/>
      <x v="71"/>
      <x v="1969"/>
      <x v="611"/>
    </i>
    <i r="1">
      <x v="32"/>
      <x v="67"/>
      <x v="71"/>
      <x v="2298"/>
      <x v="611"/>
    </i>
    <i r="1">
      <x v="33"/>
      <x v="67"/>
      <x v="71"/>
      <x v="1938"/>
      <x v="611"/>
    </i>
    <i r="1">
      <x v="37"/>
      <x v="67"/>
      <x v="71"/>
      <x v="2383"/>
      <x v="611"/>
    </i>
    <i r="1">
      <x v="40"/>
      <x v="14"/>
      <x v="71"/>
      <x v="2256"/>
      <x v="611"/>
    </i>
    <i r="4">
      <x v="2487"/>
      <x v="611"/>
    </i>
    <i r="4">
      <x v="3003"/>
      <x v="611"/>
    </i>
    <i r="2">
      <x v="17"/>
      <x v="71"/>
      <x v="1539"/>
      <x v="611"/>
    </i>
    <i r="2">
      <x v="22"/>
      <x v="394"/>
      <x v="3476"/>
      <x v="611"/>
    </i>
    <i r="3">
      <x v="433"/>
      <x v="3537"/>
      <x v="611"/>
    </i>
    <i r="3">
      <x v="436"/>
      <x v="3518"/>
      <x v="611"/>
    </i>
    <i r="2">
      <x v="67"/>
      <x v="71"/>
      <x v="787"/>
      <x v="611"/>
    </i>
    <i r="4">
      <x v="828"/>
      <x v="611"/>
    </i>
    <i r="4">
      <x v="901"/>
      <x v="611"/>
    </i>
    <i>
      <x v="102"/>
      <x v="3"/>
      <x v="2"/>
      <x v="70"/>
      <x v="2486"/>
      <x v="611"/>
    </i>
    <i r="4">
      <x v="3209"/>
      <x v="611"/>
    </i>
    <i r="1">
      <x v="4"/>
      <x v="67"/>
      <x v="70"/>
      <x v="2555"/>
      <x v="611"/>
    </i>
    <i r="1">
      <x v="5"/>
      <x v="17"/>
      <x v="70"/>
      <x v="3564"/>
      <x v="533"/>
    </i>
    <i r="2">
      <x v="18"/>
      <x v="70"/>
      <x v="2688"/>
      <x v="611"/>
    </i>
    <i r="1">
      <x v="16"/>
      <x v="16"/>
      <x v="70"/>
      <x v="1577"/>
      <x v="611"/>
    </i>
    <i r="2">
      <x v="68"/>
      <x v="70"/>
      <x v="53"/>
      <x v="611"/>
    </i>
    <i r="1">
      <x v="18"/>
      <x v="62"/>
      <x v="70"/>
      <x v="1875"/>
      <x v="611"/>
    </i>
    <i r="2">
      <x v="68"/>
      <x v="70"/>
      <x v="756"/>
      <x v="611"/>
    </i>
    <i r="1">
      <x v="20"/>
      <x v="2"/>
      <x v="70"/>
      <x v="2064"/>
      <x v="611"/>
    </i>
    <i r="1">
      <x v="22"/>
      <x v="17"/>
      <x v="70"/>
      <x v="696"/>
      <x v="611"/>
    </i>
    <i r="2">
      <x v="18"/>
      <x v="70"/>
      <x v="383"/>
      <x v="611"/>
    </i>
    <i r="2">
      <x v="19"/>
      <x v="70"/>
      <x v="901"/>
      <x v="611"/>
    </i>
    <i r="1">
      <x v="24"/>
      <x v="17"/>
      <x v="70"/>
      <x v="2086"/>
      <x v="611"/>
    </i>
    <i r="4">
      <x v="3564"/>
      <x v="294"/>
    </i>
    <i r="2">
      <x v="18"/>
      <x v="70"/>
      <x v="2900"/>
      <x v="611"/>
    </i>
    <i r="2">
      <x v="68"/>
      <x v="70"/>
      <x v="1227"/>
      <x v="611"/>
    </i>
    <i r="1">
      <x v="27"/>
      <x v="2"/>
      <x v="70"/>
      <x v="2690"/>
      <x v="611"/>
    </i>
    <i r="4">
      <x v="2969"/>
      <x v="611"/>
    </i>
    <i r="4">
      <x v="3209"/>
      <x v="611"/>
    </i>
    <i r="4">
      <x v="3443"/>
      <x v="611"/>
    </i>
    <i r="1">
      <x v="32"/>
      <x v="67"/>
      <x v="70"/>
      <x v="1592"/>
      <x v="611"/>
    </i>
    <i r="1">
      <x v="33"/>
      <x v="19"/>
      <x v="70"/>
      <x v="1217"/>
      <x v="611"/>
    </i>
    <i r="2">
      <x v="67"/>
      <x v="70"/>
      <x v="3004"/>
      <x v="611"/>
    </i>
    <i r="1">
      <x v="35"/>
      <x v="68"/>
      <x v="70"/>
      <x v="1525"/>
      <x v="611"/>
    </i>
    <i r="1">
      <x v="37"/>
      <x v="67"/>
      <x v="70"/>
      <x v="2946"/>
      <x v="611"/>
    </i>
    <i r="1">
      <x v="40"/>
      <x v="2"/>
      <x v="70"/>
      <x v="3443"/>
      <x v="611"/>
    </i>
    <i r="2">
      <x v="17"/>
      <x v="70"/>
      <x v="2624"/>
      <x v="611"/>
    </i>
    <i r="4">
      <x v="2887"/>
      <x v="611"/>
    </i>
    <i r="4">
      <x v="3201"/>
      <x v="611"/>
    </i>
    <i r="2">
      <x v="18"/>
      <x v="70"/>
      <x v="1545"/>
      <x v="611"/>
    </i>
    <i r="4">
      <x v="1739"/>
      <x v="611"/>
    </i>
    <i r="4">
      <x v="1939"/>
      <x v="611"/>
    </i>
    <i r="4">
      <x v="2280"/>
      <x v="611"/>
    </i>
    <i r="4">
      <x v="2540"/>
      <x v="611"/>
    </i>
    <i r="4">
      <x v="2729"/>
      <x v="611"/>
    </i>
    <i r="4">
      <x v="3006"/>
      <x v="611"/>
    </i>
    <i r="2">
      <x v="22"/>
      <x v="378"/>
      <x v="3544"/>
      <x v="611"/>
    </i>
    <i>
      <x v="103"/>
      <x v="3"/>
      <x v="2"/>
      <x v="69"/>
      <x v="3443"/>
      <x v="611"/>
    </i>
    <i r="1">
      <x v="12"/>
      <x v="14"/>
      <x v="69"/>
      <x v="670"/>
      <x v="611"/>
    </i>
    <i r="1">
      <x v="13"/>
      <x v="67"/>
      <x v="69"/>
      <x v="2969"/>
      <x v="611"/>
    </i>
    <i r="1">
      <x v="18"/>
      <x v="67"/>
      <x v="69"/>
      <x v="1784"/>
      <x v="611"/>
    </i>
    <i r="1">
      <x v="24"/>
      <x v="67"/>
      <x v="69"/>
      <x v="755"/>
      <x v="611"/>
    </i>
    <i r="1">
      <x v="27"/>
      <x v="2"/>
      <x v="69"/>
      <x v="1814"/>
      <x v="611"/>
    </i>
    <i r="4">
      <x v="2969"/>
      <x v="611"/>
    </i>
    <i r="4">
      <x v="3209"/>
      <x v="611"/>
    </i>
    <i r="4">
      <x v="3443"/>
      <x v="611"/>
    </i>
    <i r="1">
      <x v="30"/>
      <x v="14"/>
      <x v="69"/>
      <x v="864"/>
      <x v="611"/>
    </i>
    <i r="1">
      <x v="37"/>
      <x v="67"/>
      <x v="69"/>
      <x v="3393"/>
      <x v="611"/>
    </i>
    <i r="1">
      <x v="40"/>
      <x v="2"/>
      <x v="69"/>
      <x v="3443"/>
      <x v="611"/>
    </i>
    <i r="2">
      <x v="67"/>
      <x v="69"/>
      <x v="2369"/>
      <x v="611"/>
    </i>
    <i>
      <x v="104"/>
      <x v="2"/>
      <x v="67"/>
      <x v="68"/>
      <x v="3484"/>
      <x v="611"/>
    </i>
    <i r="1">
      <x v="3"/>
      <x v="2"/>
      <x v="68"/>
      <x v="3443"/>
      <x v="611"/>
    </i>
    <i r="1">
      <x v="4"/>
      <x v="18"/>
      <x v="68"/>
      <x v="2209"/>
      <x v="611"/>
    </i>
    <i r="1">
      <x v="13"/>
      <x v="68"/>
      <x v="68"/>
      <x v="2486"/>
      <x v="611"/>
    </i>
    <i r="1">
      <x v="16"/>
      <x v="14"/>
      <x v="68"/>
      <x v="3219"/>
      <x v="611"/>
    </i>
    <i r="1">
      <x v="24"/>
      <x v="68"/>
      <x v="68"/>
      <x v="134"/>
      <x v="611"/>
    </i>
    <i r="1">
      <x v="25"/>
      <x v="67"/>
      <x v="68"/>
      <x v="1321"/>
      <x v="611"/>
    </i>
    <i r="1">
      <x v="27"/>
      <x v="2"/>
      <x v="68"/>
      <x v="2150"/>
      <x v="611"/>
    </i>
    <i r="4">
      <x v="2305"/>
      <x v="611"/>
    </i>
    <i r="4">
      <x v="2969"/>
      <x v="611"/>
    </i>
    <i r="4">
      <x v="3209"/>
      <x v="611"/>
    </i>
    <i r="4">
      <x v="3443"/>
      <x v="611"/>
    </i>
    <i r="2">
      <x v="67"/>
      <x v="68"/>
      <x v="1625"/>
      <x v="611"/>
    </i>
    <i r="4">
      <x v="1668"/>
      <x v="611"/>
    </i>
    <i r="1">
      <x v="35"/>
      <x v="67"/>
      <x v="68"/>
      <x v="2305"/>
      <x v="611"/>
    </i>
    <i r="2">
      <x v="68"/>
      <x v="68"/>
      <x v="344"/>
      <x v="611"/>
    </i>
    <i r="1">
      <x v="40"/>
      <x v="18"/>
      <x v="68"/>
      <x v="815"/>
      <x v="611"/>
    </i>
    <i r="4">
      <x v="2455"/>
      <x v="611"/>
    </i>
    <i r="4">
      <x v="2509"/>
      <x v="611"/>
    </i>
    <i r="4">
      <x v="2617"/>
      <x v="611"/>
    </i>
    <i r="2">
      <x v="22"/>
      <x v="397"/>
      <x v="3541"/>
      <x v="611"/>
    </i>
    <i r="3">
      <x v="436"/>
      <x v="3518"/>
      <x v="611"/>
    </i>
    <i r="2">
      <x v="67"/>
      <x v="68"/>
      <x v="2536"/>
      <x v="611"/>
    </i>
    <i r="4">
      <x v="3123"/>
      <x v="611"/>
    </i>
    <i>
      <x v="105"/>
      <x v="2"/>
      <x v="2"/>
      <x v="67"/>
      <x v="1927"/>
      <x v="611"/>
    </i>
    <i r="1">
      <x v="3"/>
      <x v="2"/>
      <x v="67"/>
      <x v="3443"/>
      <x v="611"/>
    </i>
    <i r="1">
      <x v="5"/>
      <x v="67"/>
      <x v="67"/>
      <x v="3057"/>
      <x v="611"/>
    </i>
    <i r="1">
      <x v="13"/>
      <x v="67"/>
      <x v="67"/>
      <x v="1298"/>
      <x v="611"/>
    </i>
    <i r="1">
      <x v="16"/>
      <x v="67"/>
      <x v="67"/>
      <x v="3040"/>
      <x v="611"/>
    </i>
    <i r="1">
      <x v="20"/>
      <x v="14"/>
      <x v="67"/>
      <x v="3015"/>
      <x v="611"/>
    </i>
    <i r="1">
      <x v="24"/>
      <x v="67"/>
      <x v="67"/>
      <x v="907"/>
      <x v="611"/>
    </i>
    <i r="2">
      <x v="68"/>
      <x v="67"/>
      <x v="1341"/>
      <x v="611"/>
    </i>
    <i r="1">
      <x v="25"/>
      <x v="67"/>
      <x v="67"/>
      <x v="1141"/>
      <x v="611"/>
    </i>
    <i r="1">
      <x v="27"/>
      <x v="2"/>
      <x v="67"/>
      <x v="3209"/>
      <x v="611"/>
    </i>
    <i r="4">
      <x v="3443"/>
      <x v="611"/>
    </i>
    <i r="1">
      <x v="29"/>
      <x v="2"/>
      <x v="67"/>
      <x v="1114"/>
      <x v="611"/>
    </i>
    <i r="1">
      <x v="34"/>
      <x v="67"/>
      <x v="67"/>
      <x v="1297"/>
      <x v="611"/>
    </i>
    <i r="1">
      <x v="40"/>
      <x v="2"/>
      <x v="67"/>
      <x v="3443"/>
      <x v="611"/>
    </i>
    <i r="2">
      <x v="14"/>
      <x v="67"/>
      <x v="2817"/>
      <x v="611"/>
    </i>
    <i r="2">
      <x v="22"/>
      <x v="402"/>
      <x v="3134"/>
      <x v="611"/>
    </i>
    <i r="3">
      <x v="445"/>
      <x v="3518"/>
      <x v="611"/>
    </i>
    <i r="2">
      <x v="68"/>
      <x v="67"/>
      <x v="1092"/>
      <x v="611"/>
    </i>
    <i>
      <x v="106"/>
      <x v="40"/>
      <x v="22"/>
      <x v="404"/>
      <x v="3353"/>
      <x v="611"/>
    </i>
    <i>
      <x v="107"/>
      <x/>
      <x v="67"/>
      <x v="66"/>
      <x v="1776"/>
      <x v="611"/>
    </i>
    <i r="1">
      <x v="3"/>
      <x v="2"/>
      <x v="66"/>
      <x v="2969"/>
      <x v="611"/>
    </i>
    <i r="4">
      <x v="3443"/>
      <x v="611"/>
    </i>
    <i r="2">
      <x v="67"/>
      <x v="66"/>
      <x v="3472"/>
      <x v="611"/>
    </i>
    <i r="1">
      <x v="16"/>
      <x v="67"/>
      <x v="66"/>
      <x v="3400"/>
      <x v="611"/>
    </i>
    <i r="1">
      <x v="27"/>
      <x v="2"/>
      <x v="66"/>
      <x v="2027"/>
      <x v="611"/>
    </i>
    <i r="4">
      <x v="2305"/>
      <x v="611"/>
    </i>
    <i r="4">
      <x v="3209"/>
      <x v="611"/>
    </i>
    <i r="4">
      <x v="3443"/>
      <x v="611"/>
    </i>
    <i r="2">
      <x v="67"/>
      <x v="66"/>
      <x v="2397"/>
      <x v="611"/>
    </i>
    <i r="1">
      <x v="34"/>
      <x v="67"/>
      <x v="66"/>
      <x v="1496"/>
      <x v="611"/>
    </i>
    <i r="1">
      <x v="37"/>
      <x v="67"/>
      <x v="66"/>
      <x v="3393"/>
      <x v="611"/>
    </i>
    <i r="1">
      <x v="40"/>
      <x v="2"/>
      <x v="66"/>
      <x v="2235"/>
      <x v="611"/>
    </i>
    <i r="2">
      <x v="22"/>
      <x v="381"/>
      <x v="3550"/>
      <x v="611"/>
    </i>
    <i r="3">
      <x v="389"/>
      <x v="3422"/>
      <x v="611"/>
    </i>
    <i r="3">
      <x v="401"/>
      <x v="3535"/>
      <x v="611"/>
    </i>
    <i r="3">
      <x v="418"/>
      <x v="3422"/>
      <x v="611"/>
    </i>
    <i>
      <x v="108"/>
      <x v="3"/>
      <x v="2"/>
      <x v="65"/>
      <x v="3443"/>
      <x v="611"/>
    </i>
    <i r="1">
      <x v="16"/>
      <x v="67"/>
      <x v="65"/>
      <x v="3098"/>
      <x v="611"/>
    </i>
    <i r="1">
      <x v="27"/>
      <x v="2"/>
      <x v="65"/>
      <x v="2150"/>
      <x v="611"/>
    </i>
    <i r="4">
      <x v="3443"/>
      <x v="611"/>
    </i>
    <i r="1">
      <x v="32"/>
      <x v="67"/>
      <x v="65"/>
      <x v="984"/>
      <x v="611"/>
    </i>
    <i r="1">
      <x v="40"/>
      <x v="22"/>
      <x v="376"/>
      <x v="3341"/>
      <x v="611"/>
    </i>
    <i r="3">
      <x v="410"/>
      <x v="3259"/>
      <x v="611"/>
    </i>
    <i r="3">
      <x v="416"/>
      <x v="3491"/>
      <x v="611"/>
    </i>
    <i r="3">
      <x v="418"/>
      <x v="3422"/>
      <x v="611"/>
    </i>
    <i r="3">
      <x v="435"/>
      <x v="3128"/>
      <x v="611"/>
    </i>
    <i r="3">
      <x v="445"/>
      <x v="3403"/>
      <x v="611"/>
    </i>
    <i>
      <x v="109"/>
      <x v="1"/>
      <x v="35"/>
      <x v="64"/>
      <x v="220"/>
      <x v="611"/>
    </i>
    <i r="1">
      <x v="2"/>
      <x v="18"/>
      <x v="63"/>
      <x v="1997"/>
      <x v="611"/>
    </i>
    <i r="2">
      <x v="35"/>
      <x v="64"/>
      <x v="1115"/>
      <x v="611"/>
    </i>
    <i r="1">
      <x v="3"/>
      <x v="2"/>
      <x v="63"/>
      <x v="3443"/>
      <x v="611"/>
    </i>
    <i r="2">
      <x v="35"/>
      <x v="64"/>
      <x v="1742"/>
      <x v="611"/>
    </i>
    <i r="4">
      <x v="2381"/>
      <x v="611"/>
    </i>
    <i r="4">
      <x v="2396"/>
      <x v="611"/>
    </i>
    <i r="4">
      <x v="2502"/>
      <x v="611"/>
    </i>
    <i r="4">
      <x v="2799"/>
      <x v="611"/>
    </i>
    <i r="4">
      <x v="2846"/>
      <x v="611"/>
    </i>
    <i r="4">
      <x v="2866"/>
      <x v="611"/>
    </i>
    <i r="4">
      <x v="2873"/>
      <x v="611"/>
    </i>
    <i r="4">
      <x v="2936"/>
      <x v="611"/>
    </i>
    <i r="4">
      <x v="2959"/>
      <x v="611"/>
    </i>
    <i r="4">
      <x v="3148"/>
      <x v="611"/>
    </i>
    <i r="4">
      <x v="3240"/>
      <x v="611"/>
    </i>
    <i r="4">
      <x v="3365"/>
      <x v="611"/>
    </i>
    <i r="4">
      <x v="3449"/>
      <x v="611"/>
    </i>
    <i r="4">
      <x v="3477"/>
      <x v="611"/>
    </i>
    <i r="1">
      <x v="15"/>
      <x v="35"/>
      <x v="64"/>
      <x v="39"/>
      <x v="611"/>
    </i>
    <i r="1">
      <x v="16"/>
      <x v="35"/>
      <x v="64"/>
      <x v="3"/>
      <x v="611"/>
    </i>
    <i r="1">
      <x v="22"/>
      <x v="35"/>
      <x v="64"/>
      <x v="2597"/>
      <x v="611"/>
    </i>
    <i r="1">
      <x v="24"/>
      <x v="14"/>
      <x v="63"/>
      <x v="3116"/>
      <x v="611"/>
    </i>
    <i r="1">
      <x v="25"/>
      <x v="14"/>
      <x v="63"/>
      <x v="591"/>
      <x v="611"/>
    </i>
    <i r="2">
      <x v="67"/>
      <x v="63"/>
      <x v="3468"/>
      <x v="611"/>
    </i>
    <i r="1">
      <x v="27"/>
      <x v="2"/>
      <x v="63"/>
      <x v="2690"/>
      <x v="611"/>
    </i>
    <i r="4">
      <x v="3209"/>
      <x v="611"/>
    </i>
    <i r="2">
      <x v="35"/>
      <x v="64"/>
      <x v="208"/>
      <x v="611"/>
    </i>
    <i r="4">
      <x v="277"/>
      <x v="611"/>
    </i>
    <i r="4">
      <x v="335"/>
      <x v="611"/>
    </i>
    <i r="4">
      <x v="357"/>
      <x v="611"/>
    </i>
    <i r="4">
      <x v="419"/>
      <x v="611"/>
    </i>
    <i r="4">
      <x v="449"/>
      <x v="611"/>
    </i>
    <i r="4">
      <x v="450"/>
      <x v="611"/>
    </i>
    <i r="4">
      <x v="503"/>
      <x v="611"/>
    </i>
    <i r="4">
      <x v="553"/>
      <x v="611"/>
    </i>
    <i r="4">
      <x v="579"/>
      <x v="611"/>
    </i>
    <i r="4">
      <x v="619"/>
      <x v="611"/>
    </i>
    <i r="4">
      <x v="722"/>
      <x v="611"/>
    </i>
    <i r="4">
      <x v="904"/>
      <x v="611"/>
    </i>
    <i r="4">
      <x v="925"/>
      <x v="611"/>
    </i>
    <i r="4">
      <x v="981"/>
      <x v="611"/>
    </i>
    <i r="4">
      <x v="1024"/>
      <x v="611"/>
    </i>
    <i r="4">
      <x v="1122"/>
      <x v="611"/>
    </i>
    <i r="4">
      <x v="1184"/>
      <x v="611"/>
    </i>
    <i r="4">
      <x v="1388"/>
      <x v="611"/>
    </i>
    <i r="4">
      <x v="1499"/>
      <x v="611"/>
    </i>
    <i r="4">
      <x v="1504"/>
      <x v="611"/>
    </i>
    <i r="4">
      <x v="1614"/>
      <x v="611"/>
    </i>
    <i r="4">
      <x v="2080"/>
      <x v="611"/>
    </i>
    <i r="4">
      <x v="2278"/>
      <x v="611"/>
    </i>
    <i r="4">
      <x v="2302"/>
      <x v="611"/>
    </i>
    <i r="4">
      <x v="2458"/>
      <x v="611"/>
    </i>
    <i r="4">
      <x v="2698"/>
      <x v="611"/>
    </i>
    <i r="4">
      <x v="2927"/>
      <x v="611"/>
    </i>
    <i r="4">
      <x v="2948"/>
      <x v="611"/>
    </i>
    <i r="4">
      <x v="2968"/>
      <x v="611"/>
    </i>
    <i r="4">
      <x v="2975"/>
      <x v="611"/>
    </i>
    <i r="4">
      <x v="3228"/>
      <x v="611"/>
    </i>
    <i r="4">
      <x v="3237"/>
      <x v="611"/>
    </i>
    <i r="4">
      <x v="3442"/>
      <x v="611"/>
    </i>
    <i r="1">
      <x v="28"/>
      <x v="67"/>
      <x v="63"/>
      <x v="3072"/>
      <x v="611"/>
    </i>
    <i r="1">
      <x v="33"/>
      <x v="17"/>
      <x v="63"/>
      <x v="1479"/>
      <x v="611"/>
    </i>
    <i r="2">
      <x v="19"/>
      <x v="63"/>
      <x v="828"/>
      <x v="611"/>
    </i>
    <i r="1">
      <x v="38"/>
      <x v="35"/>
      <x v="64"/>
      <x v="246"/>
      <x v="611"/>
    </i>
    <i r="1">
      <x v="40"/>
      <x v="14"/>
      <x v="63"/>
      <x v="1032"/>
      <x v="611"/>
    </i>
    <i r="2">
      <x v="17"/>
      <x v="63"/>
      <x v="2819"/>
      <x v="611"/>
    </i>
    <i r="4">
      <x v="2890"/>
      <x v="611"/>
    </i>
    <i r="2">
      <x v="18"/>
      <x v="63"/>
      <x v="1630"/>
      <x v="611"/>
    </i>
    <i r="4">
      <x v="1676"/>
      <x v="611"/>
    </i>
    <i r="4">
      <x v="1980"/>
      <x v="611"/>
    </i>
    <i r="4">
      <x v="2081"/>
      <x v="611"/>
    </i>
    <i r="4">
      <x v="2274"/>
      <x v="611"/>
    </i>
    <i r="4">
      <x v="2810"/>
      <x v="611"/>
    </i>
    <i r="4">
      <x v="3021"/>
      <x v="611"/>
    </i>
    <i r="4">
      <x v="3025"/>
      <x v="611"/>
    </i>
    <i r="2">
      <x v="22"/>
      <x v="426"/>
      <x v="3549"/>
      <x v="611"/>
    </i>
    <i r="3">
      <x v="433"/>
      <x v="3544"/>
      <x v="611"/>
    </i>
    <i r="2">
      <x v="35"/>
      <x v="64"/>
      <x v="523"/>
      <x v="611"/>
    </i>
    <i r="4">
      <x v="2474"/>
      <x v="611"/>
    </i>
    <i r="4">
      <x v="3429"/>
      <x v="611"/>
    </i>
    <i>
      <x v="110"/>
      <x v="3"/>
      <x v="2"/>
      <x v="62"/>
      <x v="3443"/>
      <x v="611"/>
    </i>
    <i r="1">
      <x v="13"/>
      <x v="67"/>
      <x v="62"/>
      <x v="3087"/>
      <x v="611"/>
    </i>
    <i r="2">
      <x v="68"/>
      <x v="62"/>
      <x v="1745"/>
      <x v="611"/>
    </i>
    <i r="1">
      <x v="20"/>
      <x v="14"/>
      <x v="62"/>
      <x v="1312"/>
      <x v="611"/>
    </i>
    <i r="1">
      <x v="24"/>
      <x v="67"/>
      <x v="62"/>
      <x v="390"/>
      <x v="611"/>
    </i>
    <i r="1">
      <x v="25"/>
      <x v="67"/>
      <x v="62"/>
      <x v="3482"/>
      <x v="611"/>
    </i>
    <i r="1">
      <x v="27"/>
      <x v="2"/>
      <x v="62"/>
      <x v="2969"/>
      <x v="611"/>
    </i>
    <i r="1">
      <x v="40"/>
      <x v="22"/>
      <x v="378"/>
      <x v="3528"/>
      <x v="611"/>
    </i>
    <i r="3">
      <x v="399"/>
      <x v="3509"/>
      <x v="611"/>
    </i>
    <i r="3">
      <x v="433"/>
      <x v="3528"/>
      <x v="611"/>
    </i>
    <i r="3">
      <x v="434"/>
      <x v="3259"/>
      <x v="611"/>
    </i>
    <i r="2">
      <x v="67"/>
      <x v="62"/>
      <x v="901"/>
      <x v="611"/>
    </i>
    <i r="4">
      <x v="1337"/>
      <x v="611"/>
    </i>
    <i>
      <x v="111"/>
      <x v="3"/>
      <x v="2"/>
      <x v="61"/>
      <x v="3443"/>
      <x v="611"/>
    </i>
    <i r="1">
      <x v="5"/>
      <x v="14"/>
      <x v="61"/>
      <x v="2666"/>
      <x v="611"/>
    </i>
    <i r="2">
      <x v="67"/>
      <x v="61"/>
      <x v="2906"/>
      <x v="611"/>
    </i>
    <i r="1">
      <x v="16"/>
      <x v="2"/>
      <x v="61"/>
      <x v="3393"/>
      <x v="611"/>
    </i>
    <i r="1">
      <x v="25"/>
      <x v="67"/>
      <x v="61"/>
      <x v="1141"/>
      <x v="611"/>
    </i>
    <i r="1">
      <x v="27"/>
      <x v="2"/>
      <x v="61"/>
      <x v="2969"/>
      <x v="611"/>
    </i>
    <i r="4">
      <x v="3209"/>
      <x v="611"/>
    </i>
    <i r="4">
      <x v="3443"/>
      <x v="611"/>
    </i>
    <i r="2">
      <x v="67"/>
      <x v="61"/>
      <x v="2050"/>
      <x v="611"/>
    </i>
    <i r="4">
      <x v="3123"/>
      <x v="611"/>
    </i>
    <i r="1">
      <x v="37"/>
      <x v="67"/>
      <x v="61"/>
      <x v="3393"/>
      <x v="611"/>
    </i>
    <i r="1">
      <x v="40"/>
      <x v="14"/>
      <x v="61"/>
      <x v="1745"/>
      <x v="611"/>
    </i>
    <i r="4">
      <x v="2969"/>
      <x v="611"/>
    </i>
    <i r="2">
      <x v="22"/>
      <x v="378"/>
      <x v="3550"/>
      <x v="611"/>
    </i>
    <i r="3">
      <x v="418"/>
      <x v="2896"/>
      <x v="611"/>
    </i>
    <i>
      <x v="112"/>
      <x v="24"/>
      <x v="67"/>
      <x v="60"/>
      <x v="2536"/>
      <x v="611"/>
    </i>
    <i r="1">
      <x v="40"/>
      <x v="22"/>
      <x v="392"/>
      <x v="3550"/>
      <x v="611"/>
    </i>
    <i r="3">
      <x v="441"/>
      <x v="3322"/>
      <x v="611"/>
    </i>
    <i>
      <x v="113"/>
      <x v="3"/>
      <x v="2"/>
      <x v="59"/>
      <x v="3443"/>
      <x v="611"/>
    </i>
    <i r="1">
      <x v="24"/>
      <x v="67"/>
      <x v="59"/>
      <x v="1130"/>
      <x v="611"/>
    </i>
    <i r="1">
      <x v="25"/>
      <x v="2"/>
      <x v="59"/>
      <x v="2376"/>
      <x v="611"/>
    </i>
    <i r="1">
      <x v="27"/>
      <x v="2"/>
      <x v="59"/>
      <x v="2486"/>
      <x v="611"/>
    </i>
    <i r="4">
      <x v="2690"/>
      <x v="611"/>
    </i>
    <i r="4">
      <x v="3209"/>
      <x v="611"/>
    </i>
    <i r="1">
      <x v="32"/>
      <x v="67"/>
      <x v="59"/>
      <x v="1709"/>
      <x v="611"/>
    </i>
    <i r="1">
      <x v="35"/>
      <x v="67"/>
      <x v="59"/>
      <x v="1048"/>
      <x v="611"/>
    </i>
    <i r="1">
      <x v="37"/>
      <x v="67"/>
      <x v="59"/>
      <x v="1935"/>
      <x v="611"/>
    </i>
    <i r="1">
      <x v="40"/>
      <x v="2"/>
      <x v="59"/>
      <x v="3443"/>
      <x v="611"/>
    </i>
    <i r="2">
      <x v="22"/>
      <x v="401"/>
      <x v="3535"/>
      <x v="611"/>
    </i>
    <i r="3">
      <x v="417"/>
      <x v="3537"/>
      <x v="611"/>
    </i>
    <i r="3">
      <x v="428"/>
      <x v="3499"/>
      <x v="611"/>
    </i>
    <i r="3">
      <x v="436"/>
      <x v="3379"/>
      <x v="611"/>
    </i>
    <i r="2">
      <x v="67"/>
      <x v="59"/>
      <x v="1023"/>
      <x v="611"/>
    </i>
    <i r="4">
      <x v="2732"/>
      <x v="611"/>
    </i>
    <i>
      <x v="114"/>
      <x v="24"/>
      <x v="17"/>
      <x v="58"/>
      <x v="3098"/>
      <x v="611"/>
    </i>
    <i r="2">
      <x v="18"/>
      <x v="58"/>
      <x v="3098"/>
      <x v="611"/>
    </i>
    <i r="2">
      <x v="67"/>
      <x v="58"/>
      <x v="2434"/>
      <x v="611"/>
    </i>
    <i r="1">
      <x v="29"/>
      <x v="17"/>
      <x v="58"/>
      <x v="926"/>
      <x v="611"/>
    </i>
    <i r="1">
      <x v="38"/>
      <x v="17"/>
      <x v="58"/>
      <x v="1322"/>
      <x v="611"/>
    </i>
    <i r="1">
      <x v="40"/>
      <x v="16"/>
      <x v="58"/>
      <x v="3343"/>
      <x v="611"/>
    </i>
    <i r="2">
      <x v="17"/>
      <x v="58"/>
      <x v="1300"/>
      <x v="611"/>
    </i>
    <i r="4">
      <x v="1486"/>
      <x v="611"/>
    </i>
    <i r="4">
      <x v="1604"/>
      <x v="611"/>
    </i>
    <i r="4">
      <x v="1918"/>
      <x v="611"/>
    </i>
    <i r="4">
      <x v="1936"/>
      <x v="611"/>
    </i>
    <i r="4">
      <x v="2061"/>
      <x v="611"/>
    </i>
    <i r="4">
      <x v="2162"/>
      <x v="611"/>
    </i>
    <i r="4">
      <x v="2314"/>
      <x v="611"/>
    </i>
    <i r="4">
      <x v="2498"/>
      <x v="611"/>
    </i>
    <i r="4">
      <x v="2970"/>
      <x v="611"/>
    </i>
    <i r="4">
      <x v="2975"/>
      <x v="611"/>
    </i>
    <i r="4">
      <x v="2990"/>
      <x v="611"/>
    </i>
    <i r="4">
      <x v="3005"/>
      <x v="611"/>
    </i>
    <i r="4">
      <x v="3323"/>
      <x v="611"/>
    </i>
    <i r="4">
      <x v="3354"/>
      <x v="611"/>
    </i>
    <i r="2">
      <x v="18"/>
      <x v="58"/>
      <x v="1315"/>
      <x v="611"/>
    </i>
    <i r="4">
      <x v="1357"/>
      <x v="611"/>
    </i>
    <i r="4">
      <x v="1387"/>
      <x v="611"/>
    </i>
    <i r="4">
      <x v="1844"/>
      <x v="611"/>
    </i>
    <i r="4">
      <x v="2004"/>
      <x v="611"/>
    </i>
    <i r="4">
      <x v="2065"/>
      <x v="611"/>
    </i>
    <i r="4">
      <x v="2176"/>
      <x v="611"/>
    </i>
    <i r="4">
      <x v="2247"/>
      <x v="611"/>
    </i>
    <i r="4">
      <x v="2264"/>
      <x v="611"/>
    </i>
    <i r="4">
      <x v="2279"/>
      <x v="611"/>
    </i>
    <i r="4">
      <x v="2612"/>
      <x v="611"/>
    </i>
    <i r="4">
      <x v="2741"/>
      <x v="611"/>
    </i>
    <i r="4">
      <x v="2917"/>
      <x v="611"/>
    </i>
    <i r="4">
      <x v="3394"/>
      <x v="611"/>
    </i>
    <i r="2">
      <x v="19"/>
      <x v="58"/>
      <x v="2740"/>
      <x v="611"/>
    </i>
    <i>
      <x v="115"/>
      <x/>
      <x v="19"/>
      <x v="57"/>
      <x v="1652"/>
      <x v="611"/>
    </i>
    <i r="1">
      <x v="1"/>
      <x v="19"/>
      <x v="57"/>
      <x v="328"/>
      <x v="611"/>
    </i>
    <i r="2">
      <x v="67"/>
      <x v="57"/>
      <x v="1875"/>
      <x v="611"/>
    </i>
    <i r="1">
      <x v="2"/>
      <x v="2"/>
      <x v="57"/>
      <x v="2665"/>
      <x v="611"/>
    </i>
    <i r="2">
      <x v="19"/>
      <x v="57"/>
      <x v="333"/>
      <x v="611"/>
    </i>
    <i r="1">
      <x v="3"/>
      <x v="2"/>
      <x v="57"/>
      <x v="3443"/>
      <x v="611"/>
    </i>
    <i r="1">
      <x v="5"/>
      <x v="14"/>
      <x v="57"/>
      <x v="3470"/>
      <x v="611"/>
    </i>
    <i r="1">
      <x v="16"/>
      <x v="67"/>
      <x v="57"/>
      <x v="2838"/>
      <x v="611"/>
    </i>
    <i r="1">
      <x v="22"/>
      <x v="14"/>
      <x v="57"/>
      <x v="117"/>
      <x v="611"/>
    </i>
    <i r="1">
      <x v="24"/>
      <x v="67"/>
      <x v="57"/>
      <x v="2285"/>
      <x v="611"/>
    </i>
    <i r="1">
      <x v="25"/>
      <x v="67"/>
      <x v="57"/>
      <x v="3529"/>
      <x v="611"/>
    </i>
    <i r="1">
      <x v="27"/>
      <x v="2"/>
      <x v="57"/>
      <x v="2150"/>
      <x v="611"/>
    </i>
    <i r="4">
      <x v="2486"/>
      <x v="611"/>
    </i>
    <i r="4">
      <x v="2690"/>
      <x v="611"/>
    </i>
    <i r="4">
      <x v="2969"/>
      <x v="611"/>
    </i>
    <i r="4">
      <x v="3209"/>
      <x v="611"/>
    </i>
    <i r="4">
      <x v="3443"/>
      <x v="611"/>
    </i>
    <i r="1">
      <x v="28"/>
      <x v="14"/>
      <x v="57"/>
      <x v="1167"/>
      <x v="611"/>
    </i>
    <i r="2">
      <x v="19"/>
      <x v="57"/>
      <x v="2115"/>
      <x v="611"/>
    </i>
    <i r="1">
      <x v="31"/>
      <x v="19"/>
      <x v="57"/>
      <x v="2572"/>
      <x v="611"/>
    </i>
    <i r="1">
      <x v="33"/>
      <x v="67"/>
      <x v="57"/>
      <x v="1198"/>
      <x v="611"/>
    </i>
    <i r="1">
      <x v="37"/>
      <x v="19"/>
      <x v="57"/>
      <x v="944"/>
      <x v="611"/>
    </i>
    <i r="1">
      <x v="38"/>
      <x v="19"/>
      <x v="57"/>
      <x v="266"/>
      <x v="611"/>
    </i>
    <i r="2">
      <x v="67"/>
      <x v="57"/>
      <x v="964"/>
      <x v="611"/>
    </i>
    <i r="1">
      <x v="40"/>
      <x v="14"/>
      <x v="57"/>
      <x v="2587"/>
      <x v="611"/>
    </i>
    <i r="2">
      <x v="22"/>
      <x v="402"/>
      <x v="3544"/>
      <x v="611"/>
    </i>
    <i>
      <x v="116"/>
      <x v="2"/>
      <x v="14"/>
      <x v="56"/>
      <x v="2275"/>
      <x v="611"/>
    </i>
    <i r="1">
      <x v="3"/>
      <x v="2"/>
      <x v="56"/>
      <x v="3209"/>
      <x v="611"/>
    </i>
    <i r="4">
      <x v="3443"/>
      <x v="611"/>
    </i>
    <i r="1">
      <x v="5"/>
      <x v="67"/>
      <x v="56"/>
      <x v="1238"/>
      <x v="611"/>
    </i>
    <i r="1">
      <x v="24"/>
      <x v="68"/>
      <x v="56"/>
      <x v="188"/>
      <x v="611"/>
    </i>
    <i r="1">
      <x v="25"/>
      <x v="2"/>
      <x v="56"/>
      <x v="2578"/>
      <x v="611"/>
    </i>
    <i r="1">
      <x v="27"/>
      <x v="2"/>
      <x v="56"/>
      <x v="1909"/>
      <x v="611"/>
    </i>
    <i r="4">
      <x v="2027"/>
      <x v="611"/>
    </i>
    <i r="4">
      <x v="2305"/>
      <x v="611"/>
    </i>
    <i r="4">
      <x v="2486"/>
      <x v="611"/>
    </i>
    <i r="4">
      <x v="2690"/>
      <x v="611"/>
    </i>
    <i r="4">
      <x v="3443"/>
      <x v="611"/>
    </i>
    <i r="1">
      <x v="40"/>
      <x v="14"/>
      <x v="56"/>
      <x v="2378"/>
      <x v="611"/>
    </i>
    <i r="2">
      <x v="22"/>
      <x v="412"/>
      <x v="3550"/>
      <x v="611"/>
    </i>
    <i>
      <x v="117"/>
      <x v="3"/>
      <x v="2"/>
      <x v="55"/>
      <x v="3443"/>
      <x v="611"/>
    </i>
    <i r="1">
      <x v="5"/>
      <x v="17"/>
      <x v="55"/>
      <x v="2837"/>
      <x v="611"/>
    </i>
    <i r="1">
      <x v="13"/>
      <x v="68"/>
      <x v="55"/>
      <x v="1939"/>
      <x v="611"/>
    </i>
    <i r="1">
      <x v="16"/>
      <x v="67"/>
      <x v="55"/>
      <x v="2767"/>
      <x v="611"/>
    </i>
    <i r="1">
      <x v="24"/>
      <x v="67"/>
      <x v="55"/>
      <x v="786"/>
      <x v="611"/>
    </i>
    <i r="1">
      <x v="27"/>
      <x v="2"/>
      <x v="55"/>
      <x v="2690"/>
      <x v="611"/>
    </i>
    <i r="4">
      <x v="3209"/>
      <x v="611"/>
    </i>
    <i r="4">
      <x v="3443"/>
      <x v="611"/>
    </i>
    <i r="1">
      <x v="33"/>
      <x v="17"/>
      <x v="55"/>
      <x v="2168"/>
      <x v="611"/>
    </i>
    <i r="2">
      <x v="19"/>
      <x v="55"/>
      <x v="293"/>
      <x v="611"/>
    </i>
    <i r="1">
      <x v="37"/>
      <x v="67"/>
      <x v="55"/>
      <x v="3393"/>
      <x v="611"/>
    </i>
    <i r="1">
      <x v="40"/>
      <x v="2"/>
      <x v="55"/>
      <x v="3443"/>
      <x v="611"/>
    </i>
    <i r="2">
      <x v="18"/>
      <x v="55"/>
      <x v="2116"/>
      <x v="611"/>
    </i>
    <i r="4">
      <x v="2156"/>
      <x v="611"/>
    </i>
    <i r="4">
      <x v="2481"/>
      <x v="611"/>
    </i>
    <i r="2">
      <x v="22"/>
      <x v="378"/>
      <x v="3550"/>
      <x v="611"/>
    </i>
    <i r="3">
      <x v="412"/>
      <x v="3550"/>
      <x v="611"/>
    </i>
    <i r="3">
      <x v="436"/>
      <x v="3379"/>
      <x v="611"/>
    </i>
    <i>
      <x v="118"/>
      <x v="3"/>
      <x v="2"/>
      <x v="54"/>
      <x v="3443"/>
      <x v="611"/>
    </i>
    <i r="1">
      <x v="5"/>
      <x v="2"/>
      <x v="54"/>
      <x v="3022"/>
      <x v="611"/>
    </i>
    <i r="1">
      <x v="15"/>
      <x v="19"/>
      <x v="54"/>
      <x v="3564"/>
      <x v="496"/>
    </i>
    <i r="1">
      <x v="16"/>
      <x v="2"/>
      <x v="54"/>
      <x v="3393"/>
      <x v="611"/>
    </i>
    <i r="2">
      <x v="67"/>
      <x v="54"/>
      <x v="2446"/>
      <x v="611"/>
    </i>
    <i r="1">
      <x v="20"/>
      <x v="67"/>
      <x v="54"/>
      <x v="2617"/>
      <x v="611"/>
    </i>
    <i r="1">
      <x v="24"/>
      <x v="2"/>
      <x v="54"/>
      <x v="3443"/>
      <x v="611"/>
    </i>
    <i r="2">
      <x v="62"/>
      <x v="54"/>
      <x v="451"/>
      <x v="611"/>
    </i>
    <i r="1">
      <x v="25"/>
      <x v="67"/>
      <x v="54"/>
      <x v="3197"/>
      <x v="611"/>
    </i>
    <i r="1">
      <x v="27"/>
      <x v="2"/>
      <x v="54"/>
      <x v="2305"/>
      <x v="611"/>
    </i>
    <i r="4">
      <x v="2969"/>
      <x v="611"/>
    </i>
    <i r="4">
      <x v="3209"/>
      <x v="611"/>
    </i>
    <i r="4">
      <x v="3443"/>
      <x v="611"/>
    </i>
    <i r="1">
      <x v="32"/>
      <x v="67"/>
      <x v="54"/>
      <x v="1793"/>
      <x v="611"/>
    </i>
    <i r="1">
      <x v="40"/>
      <x v="14"/>
      <x v="54"/>
      <x v="3120"/>
      <x v="611"/>
    </i>
    <i r="2">
      <x v="19"/>
      <x v="54"/>
      <x v="3564"/>
      <x v="399"/>
    </i>
    <i r="2">
      <x v="22"/>
      <x v="391"/>
      <x v="3418"/>
      <x v="611"/>
    </i>
    <i r="3">
      <x v="392"/>
      <x v="3544"/>
      <x v="611"/>
    </i>
    <i r="3">
      <x v="413"/>
      <x v="3509"/>
      <x v="611"/>
    </i>
    <i r="3">
      <x v="433"/>
      <x v="3544"/>
      <x v="611"/>
    </i>
    <i r="2">
      <x v="67"/>
      <x v="54"/>
      <x v="886"/>
      <x v="611"/>
    </i>
    <i>
      <x v="119"/>
      <x v="3"/>
      <x v="67"/>
      <x v="53"/>
      <x v="2690"/>
      <x v="611"/>
    </i>
    <i r="1">
      <x v="16"/>
      <x v="67"/>
      <x v="53"/>
      <x v="3273"/>
      <x v="611"/>
    </i>
    <i r="1">
      <x v="24"/>
      <x v="2"/>
      <x v="53"/>
      <x v="3443"/>
      <x v="611"/>
    </i>
    <i r="2">
      <x v="67"/>
      <x v="53"/>
      <x v="2690"/>
      <x v="611"/>
    </i>
    <i r="1">
      <x v="27"/>
      <x v="2"/>
      <x v="53"/>
      <x v="3209"/>
      <x v="611"/>
    </i>
    <i r="2">
      <x v="67"/>
      <x v="53"/>
      <x v="1668"/>
      <x v="611"/>
    </i>
    <i r="1">
      <x v="40"/>
      <x v="17"/>
      <x v="53"/>
      <x v="2105"/>
      <x v="611"/>
    </i>
    <i r="4">
      <x v="2360"/>
      <x v="611"/>
    </i>
    <i r="4">
      <x v="2821"/>
      <x v="611"/>
    </i>
    <i r="2">
      <x v="18"/>
      <x v="53"/>
      <x v="1661"/>
      <x v="611"/>
    </i>
    <i r="4">
      <x v="1901"/>
      <x v="611"/>
    </i>
    <i r="4">
      <x v="2592"/>
      <x v="611"/>
    </i>
    <i r="4">
      <x v="2724"/>
      <x v="611"/>
    </i>
    <i r="4">
      <x v="2817"/>
      <x v="611"/>
    </i>
    <i r="4">
      <x v="3023"/>
      <x v="611"/>
    </i>
    <i r="2">
      <x v="22"/>
      <x v="379"/>
      <x v="3541"/>
      <x v="611"/>
    </i>
    <i r="3">
      <x v="399"/>
      <x v="3142"/>
      <x v="611"/>
    </i>
    <i r="3">
      <x v="407"/>
      <x v="3418"/>
      <x v="611"/>
    </i>
    <i>
      <x v="120"/>
      <x v="3"/>
      <x v="2"/>
      <x v="52"/>
      <x v="3443"/>
      <x v="611"/>
    </i>
    <i r="2">
      <x v="67"/>
      <x v="52"/>
      <x v="3367"/>
      <x v="611"/>
    </i>
    <i r="1">
      <x v="5"/>
      <x v="16"/>
      <x v="52"/>
      <x v="115"/>
      <x v="611"/>
    </i>
    <i r="1">
      <x v="16"/>
      <x v="67"/>
      <x v="52"/>
      <x v="2285"/>
      <x v="611"/>
    </i>
    <i r="1">
      <x v="23"/>
      <x v="2"/>
      <x v="52"/>
      <x v="3393"/>
      <x v="611"/>
    </i>
    <i r="1">
      <x v="24"/>
      <x v="2"/>
      <x v="52"/>
      <x v="3209"/>
      <x v="611"/>
    </i>
    <i r="1">
      <x v="26"/>
      <x v="2"/>
      <x v="52"/>
      <x v="2921"/>
      <x v="611"/>
    </i>
    <i r="1">
      <x v="27"/>
      <x v="2"/>
      <x v="52"/>
      <x v="2690"/>
      <x v="611"/>
    </i>
    <i r="4">
      <x v="3209"/>
      <x v="611"/>
    </i>
    <i r="4">
      <x v="3443"/>
      <x v="611"/>
    </i>
    <i r="1">
      <x v="37"/>
      <x v="14"/>
      <x v="52"/>
      <x v="2900"/>
      <x v="611"/>
    </i>
    <i r="2">
      <x v="67"/>
      <x v="52"/>
      <x v="3178"/>
      <x v="611"/>
    </i>
    <i r="1">
      <x v="38"/>
      <x v="2"/>
      <x v="52"/>
      <x v="737"/>
      <x v="611"/>
    </i>
    <i r="2">
      <x v="14"/>
      <x v="52"/>
      <x v="2930"/>
      <x v="611"/>
    </i>
    <i r="1">
      <x v="40"/>
      <x v="17"/>
      <x v="52"/>
      <x v="3248"/>
      <x v="611"/>
    </i>
    <i r="2">
      <x v="18"/>
      <x v="52"/>
      <x v="2324"/>
      <x v="611"/>
    </i>
    <i r="2">
      <x v="22"/>
      <x v="401"/>
      <x v="3487"/>
      <x v="611"/>
    </i>
    <i>
      <x v="121"/>
      <x v="2"/>
      <x v="49"/>
      <x v="51"/>
      <x v="1609"/>
      <x v="611"/>
    </i>
    <i r="1">
      <x v="3"/>
      <x v="49"/>
      <x v="51"/>
      <x v="1339"/>
      <x v="611"/>
    </i>
    <i r="4">
      <x v="1757"/>
      <x v="611"/>
    </i>
    <i r="4">
      <x v="2195"/>
      <x v="611"/>
    </i>
    <i r="4">
      <x v="2245"/>
      <x v="611"/>
    </i>
    <i r="4">
      <x v="2453"/>
      <x v="611"/>
    </i>
    <i r="4">
      <x v="2584"/>
      <x v="611"/>
    </i>
    <i r="4">
      <x v="2645"/>
      <x v="611"/>
    </i>
    <i r="4">
      <x v="2728"/>
      <x v="611"/>
    </i>
    <i r="4">
      <x v="2906"/>
      <x v="611"/>
    </i>
    <i r="4">
      <x v="3059"/>
      <x v="611"/>
    </i>
    <i r="4">
      <x v="3256"/>
      <x v="611"/>
    </i>
    <i r="4">
      <x v="3445"/>
      <x v="611"/>
    </i>
    <i r="4">
      <x v="3523"/>
      <x v="611"/>
    </i>
    <i r="1">
      <x v="15"/>
      <x v="49"/>
      <x v="51"/>
      <x v="1257"/>
      <x v="611"/>
    </i>
    <i r="1">
      <x v="16"/>
      <x v="49"/>
      <x v="51"/>
      <x v="32"/>
      <x v="611"/>
    </i>
    <i r="1">
      <x v="22"/>
      <x v="49"/>
      <x v="51"/>
      <x v="2608"/>
      <x v="611"/>
    </i>
    <i r="1">
      <x v="24"/>
      <x v="49"/>
      <x v="51"/>
      <x v="1438"/>
      <x v="611"/>
    </i>
    <i r="1">
      <x v="27"/>
      <x v="49"/>
      <x v="51"/>
      <x v="294"/>
      <x v="611"/>
    </i>
    <i r="4">
      <x v="355"/>
      <x v="611"/>
    </i>
    <i r="4">
      <x v="359"/>
      <x v="611"/>
    </i>
    <i r="4">
      <x v="441"/>
      <x v="611"/>
    </i>
    <i r="4">
      <x v="489"/>
      <x v="611"/>
    </i>
    <i r="4">
      <x v="530"/>
      <x v="611"/>
    </i>
    <i r="4">
      <x v="540"/>
      <x v="611"/>
    </i>
    <i r="4">
      <x v="543"/>
      <x v="611"/>
    </i>
    <i r="4">
      <x v="600"/>
      <x v="611"/>
    </i>
    <i r="4">
      <x v="655"/>
      <x v="611"/>
    </i>
    <i r="4">
      <x v="698"/>
      <x v="611"/>
    </i>
    <i r="4">
      <x v="806"/>
      <x v="611"/>
    </i>
    <i r="4">
      <x v="837"/>
      <x v="611"/>
    </i>
    <i r="4">
      <x v="876"/>
      <x v="611"/>
    </i>
    <i r="4">
      <x v="945"/>
      <x v="611"/>
    </i>
    <i r="4">
      <x v="966"/>
      <x v="611"/>
    </i>
    <i r="4">
      <x v="1003"/>
      <x v="611"/>
    </i>
    <i r="4">
      <x v="1039"/>
      <x v="611"/>
    </i>
    <i r="4">
      <x v="1234"/>
      <x v="611"/>
    </i>
    <i r="4">
      <x v="1324"/>
      <x v="611"/>
    </i>
    <i r="4">
      <x v="1326"/>
      <x v="611"/>
    </i>
    <i r="4">
      <x v="1430"/>
      <x v="611"/>
    </i>
    <i r="4">
      <x v="1954"/>
      <x v="611"/>
    </i>
    <i r="4">
      <x v="2208"/>
      <x v="611"/>
    </i>
    <i r="4">
      <x v="2212"/>
      <x v="611"/>
    </i>
    <i r="4">
      <x v="2441"/>
      <x v="611"/>
    </i>
    <i r="4">
      <x v="2494"/>
      <x v="611"/>
    </i>
    <i r="4">
      <x v="2508"/>
      <x v="611"/>
    </i>
    <i r="4">
      <x v="2533"/>
      <x v="611"/>
    </i>
    <i r="4">
      <x v="2770"/>
      <x v="611"/>
    </i>
    <i r="1">
      <x v="37"/>
      <x v="49"/>
      <x v="51"/>
      <x v="3183"/>
      <x v="611"/>
    </i>
    <i r="1">
      <x v="38"/>
      <x v="49"/>
      <x v="51"/>
      <x v="211"/>
      <x v="611"/>
    </i>
    <i r="1">
      <x v="40"/>
      <x v="22"/>
      <x v="399"/>
      <x v="3142"/>
      <x v="611"/>
    </i>
    <i r="3">
      <x v="415"/>
      <x v="3500"/>
      <x v="611"/>
    </i>
    <i r="3">
      <x v="430"/>
      <x v="3460"/>
      <x v="611"/>
    </i>
    <i r="2">
      <x v="49"/>
      <x v="51"/>
      <x v="1920"/>
      <x v="611"/>
    </i>
    <i r="4">
      <x v="1968"/>
      <x v="611"/>
    </i>
    <i r="4">
      <x v="1993"/>
      <x v="611"/>
    </i>
    <i r="4">
      <x v="2139"/>
      <x v="611"/>
    </i>
    <i r="4">
      <x v="2191"/>
      <x v="611"/>
    </i>
    <i r="4">
      <x v="2279"/>
      <x v="611"/>
    </i>
    <i r="4">
      <x v="2399"/>
      <x v="611"/>
    </i>
    <i r="4">
      <x v="2445"/>
      <x v="611"/>
    </i>
    <i r="4">
      <x v="2507"/>
      <x v="611"/>
    </i>
    <i r="4">
      <x v="3054"/>
      <x v="611"/>
    </i>
    <i r="4">
      <x v="3095"/>
      <x v="611"/>
    </i>
    <i>
      <x v="122"/>
      <x v="3"/>
      <x v="2"/>
      <x v="50"/>
      <x v="2969"/>
      <x v="611"/>
    </i>
    <i r="4">
      <x v="3443"/>
      <x v="611"/>
    </i>
    <i r="1">
      <x v="13"/>
      <x v="68"/>
      <x v="50"/>
      <x v="1939"/>
      <x v="611"/>
    </i>
    <i r="1">
      <x v="16"/>
      <x v="2"/>
      <x v="50"/>
      <x v="3393"/>
      <x v="611"/>
    </i>
    <i r="1">
      <x v="20"/>
      <x v="19"/>
      <x v="50"/>
      <x v="3564"/>
      <x v="173"/>
    </i>
    <i r="2">
      <x v="67"/>
      <x v="50"/>
      <x v="2126"/>
      <x v="611"/>
    </i>
    <i r="1">
      <x v="24"/>
      <x v="2"/>
      <x v="50"/>
      <x v="3209"/>
      <x v="611"/>
    </i>
    <i r="1">
      <x v="25"/>
      <x v="2"/>
      <x v="50"/>
      <x v="3284"/>
      <x v="611"/>
    </i>
    <i r="1">
      <x v="27"/>
      <x v="2"/>
      <x v="50"/>
      <x v="2969"/>
      <x v="611"/>
    </i>
    <i r="4">
      <x v="3209"/>
      <x v="611"/>
    </i>
    <i r="4">
      <x v="3443"/>
      <x v="611"/>
    </i>
    <i r="1">
      <x v="32"/>
      <x v="67"/>
      <x v="50"/>
      <x v="1494"/>
      <x v="611"/>
    </i>
    <i r="1">
      <x v="34"/>
      <x v="67"/>
      <x v="50"/>
      <x v="2409"/>
      <x v="611"/>
    </i>
    <i r="1">
      <x v="35"/>
      <x v="67"/>
      <x v="50"/>
      <x v="567"/>
      <x v="611"/>
    </i>
    <i r="1">
      <x v="37"/>
      <x v="2"/>
      <x v="50"/>
      <x v="3393"/>
      <x v="611"/>
    </i>
    <i r="2">
      <x v="67"/>
      <x v="50"/>
      <x v="2946"/>
      <x v="611"/>
    </i>
    <i r="1">
      <x v="40"/>
      <x v="67"/>
      <x v="50"/>
      <x v="2326"/>
      <x v="611"/>
    </i>
    <i r="4">
      <x v="2825"/>
      <x v="611"/>
    </i>
    <i>
      <x v="123"/>
      <x v="3"/>
      <x v="2"/>
      <x v="49"/>
      <x v="3443"/>
      <x v="611"/>
    </i>
    <i r="1">
      <x v="24"/>
      <x v="2"/>
      <x v="49"/>
      <x v="456"/>
      <x v="611"/>
    </i>
    <i r="2">
      <x v="62"/>
      <x v="49"/>
      <x v="1"/>
      <x v="611"/>
    </i>
    <i r="2">
      <x v="67"/>
      <x v="49"/>
      <x v="1273"/>
      <x v="611"/>
    </i>
    <i r="1">
      <x v="25"/>
      <x v="67"/>
      <x v="49"/>
      <x v="2690"/>
      <x v="611"/>
    </i>
    <i r="1">
      <x v="27"/>
      <x v="2"/>
      <x v="49"/>
      <x v="3209"/>
      <x v="611"/>
    </i>
    <i r="4">
      <x v="3443"/>
      <x v="611"/>
    </i>
    <i r="1">
      <x v="40"/>
      <x v="2"/>
      <x v="49"/>
      <x v="3443"/>
      <x v="611"/>
    </i>
    <i r="2">
      <x v="22"/>
      <x v="418"/>
      <x v="3471"/>
      <x v="611"/>
    </i>
    <i>
      <x v="124"/>
      <x v="3"/>
      <x v="2"/>
      <x v="48"/>
      <x v="3443"/>
      <x v="611"/>
    </i>
    <i r="1">
      <x v="5"/>
      <x v="67"/>
      <x v="48"/>
      <x v="1939"/>
      <x v="611"/>
    </i>
    <i r="1">
      <x v="24"/>
      <x v="2"/>
      <x v="48"/>
      <x v="2305"/>
      <x v="611"/>
    </i>
    <i r="1">
      <x v="27"/>
      <x v="2"/>
      <x v="48"/>
      <x v="2969"/>
      <x v="611"/>
    </i>
    <i r="4">
      <x v="3443"/>
      <x v="611"/>
    </i>
    <i r="1">
      <x v="34"/>
      <x v="67"/>
      <x v="48"/>
      <x v="1423"/>
      <x v="611"/>
    </i>
    <i>
      <x v="125"/>
      <x v="40"/>
      <x v="22"/>
      <x v="389"/>
      <x v="3379"/>
      <x v="611"/>
    </i>
    <i r="3">
      <x v="403"/>
      <x v="3039"/>
      <x v="611"/>
    </i>
    <i r="3">
      <x v="433"/>
      <x v="3544"/>
      <x v="611"/>
    </i>
    <i r="3">
      <x v="436"/>
      <x v="3379"/>
      <x v="611"/>
    </i>
    <i>
      <x v="126"/>
      <x v="40"/>
      <x v="22"/>
      <x v="433"/>
      <x v="3478"/>
      <x v="611"/>
    </i>
    <i>
      <x v="127"/>
      <x v="15"/>
      <x v="14"/>
      <x v="47"/>
      <x v="917"/>
      <x v="611"/>
    </i>
    <i r="2">
      <x v="67"/>
      <x v="47"/>
      <x v="2920"/>
      <x v="611"/>
    </i>
    <i r="1">
      <x v="16"/>
      <x v="14"/>
      <x v="47"/>
      <x v="2027"/>
      <x v="611"/>
    </i>
    <i r="2">
      <x v="67"/>
      <x v="47"/>
      <x v="1060"/>
      <x v="611"/>
    </i>
    <i r="1">
      <x v="24"/>
      <x v="67"/>
      <x v="47"/>
      <x v="1124"/>
      <x v="611"/>
    </i>
    <i r="1">
      <x v="27"/>
      <x v="2"/>
      <x v="47"/>
      <x v="2969"/>
      <x v="611"/>
    </i>
    <i r="4">
      <x v="3443"/>
      <x v="611"/>
    </i>
    <i r="2">
      <x v="67"/>
      <x v="47"/>
      <x v="1087"/>
      <x v="611"/>
    </i>
    <i r="4">
      <x v="1675"/>
      <x v="611"/>
    </i>
    <i r="1">
      <x v="28"/>
      <x v="67"/>
      <x v="47"/>
      <x v="3098"/>
      <x v="611"/>
    </i>
    <i r="1">
      <x v="32"/>
      <x v="67"/>
      <x v="47"/>
      <x v="1594"/>
      <x v="611"/>
    </i>
    <i r="1">
      <x v="33"/>
      <x v="67"/>
      <x v="47"/>
      <x v="828"/>
      <x v="611"/>
    </i>
    <i r="1">
      <x v="35"/>
      <x v="67"/>
      <x v="47"/>
      <x v="976"/>
      <x v="611"/>
    </i>
    <i r="1">
      <x v="37"/>
      <x v="2"/>
      <x v="47"/>
      <x v="1445"/>
      <x v="611"/>
    </i>
    <i r="2">
      <x v="67"/>
      <x v="47"/>
      <x v="3502"/>
      <x v="611"/>
    </i>
    <i r="1">
      <x v="40"/>
      <x v="17"/>
      <x v="47"/>
      <x v="1814"/>
      <x v="611"/>
    </i>
    <i r="2">
      <x v="22"/>
      <x v="416"/>
      <x v="2930"/>
      <x v="611"/>
    </i>
    <i r="3">
      <x v="418"/>
      <x v="3471"/>
      <x v="611"/>
    </i>
    <i r="3">
      <x v="450"/>
      <x v="3544"/>
      <x v="611"/>
    </i>
    <i>
      <x v="128"/>
      <x v="3"/>
      <x v="2"/>
      <x v="46"/>
      <x v="3443"/>
      <x v="611"/>
    </i>
    <i r="1">
      <x v="12"/>
      <x v="14"/>
      <x v="46"/>
      <x v="700"/>
      <x v="611"/>
    </i>
    <i r="1">
      <x v="16"/>
      <x v="67"/>
      <x v="46"/>
      <x v="3503"/>
      <x v="611"/>
    </i>
    <i r="2">
      <x v="68"/>
      <x v="46"/>
      <x v="50"/>
      <x v="611"/>
    </i>
    <i r="1">
      <x v="18"/>
      <x v="68"/>
      <x v="46"/>
      <x v="756"/>
      <x v="611"/>
    </i>
    <i r="1">
      <x v="22"/>
      <x v="14"/>
      <x v="46"/>
      <x v="340"/>
      <x v="611"/>
    </i>
    <i r="1">
      <x v="24"/>
      <x v="68"/>
      <x v="46"/>
      <x v="1227"/>
      <x v="611"/>
    </i>
    <i r="1">
      <x v="27"/>
      <x v="2"/>
      <x v="46"/>
      <x v="1701"/>
      <x v="611"/>
    </i>
    <i r="4">
      <x v="2486"/>
      <x v="611"/>
    </i>
    <i r="4">
      <x v="2690"/>
      <x v="611"/>
    </i>
    <i r="4">
      <x v="2969"/>
      <x v="611"/>
    </i>
    <i r="4">
      <x v="3209"/>
      <x v="611"/>
    </i>
    <i r="4">
      <x v="3443"/>
      <x v="611"/>
    </i>
    <i r="1">
      <x v="32"/>
      <x v="67"/>
      <x v="46"/>
      <x v="1016"/>
      <x v="611"/>
    </i>
    <i r="1">
      <x v="35"/>
      <x v="68"/>
      <x v="46"/>
      <x v="1272"/>
      <x v="611"/>
    </i>
    <i r="1">
      <x v="37"/>
      <x v="67"/>
      <x v="46"/>
      <x v="3496"/>
      <x v="611"/>
    </i>
    <i r="1">
      <x v="40"/>
      <x v="14"/>
      <x v="46"/>
      <x v="1745"/>
      <x v="611"/>
    </i>
    <i r="4">
      <x v="2875"/>
      <x v="611"/>
    </i>
    <i r="2">
      <x v="22"/>
      <x v="388"/>
      <x v="3550"/>
      <x v="611"/>
    </i>
    <i r="3">
      <x v="399"/>
      <x v="3142"/>
      <x v="611"/>
    </i>
    <i r="3">
      <x v="444"/>
      <x v="3544"/>
      <x v="611"/>
    </i>
    <i>
      <x v="129"/>
      <x v="2"/>
      <x v="17"/>
      <x v="45"/>
      <x v="890"/>
      <x v="611"/>
    </i>
    <i r="1">
      <x v="3"/>
      <x v="2"/>
      <x v="45"/>
      <x v="3443"/>
      <x v="611"/>
    </i>
    <i r="1">
      <x v="5"/>
      <x v="18"/>
      <x v="45"/>
      <x v="3211"/>
      <x v="611"/>
    </i>
    <i r="1">
      <x v="11"/>
      <x v="17"/>
      <x v="45"/>
      <x v="2353"/>
      <x v="611"/>
    </i>
    <i r="1">
      <x v="16"/>
      <x v="2"/>
      <x v="45"/>
      <x v="3393"/>
      <x v="611"/>
    </i>
    <i r="2">
      <x v="67"/>
      <x v="45"/>
      <x v="3163"/>
      <x v="611"/>
    </i>
    <i r="1">
      <x v="18"/>
      <x v="19"/>
      <x v="45"/>
      <x v="3564"/>
      <x v="381"/>
    </i>
    <i r="1">
      <x v="20"/>
      <x v="2"/>
      <x v="45"/>
      <x v="116"/>
      <x v="611"/>
    </i>
    <i r="1">
      <x v="24"/>
      <x v="17"/>
      <x v="45"/>
      <x v="2291"/>
      <x v="611"/>
    </i>
    <i r="1">
      <x v="25"/>
      <x v="2"/>
      <x v="45"/>
      <x v="1208"/>
      <x v="611"/>
    </i>
    <i r="1">
      <x v="27"/>
      <x v="2"/>
      <x v="45"/>
      <x v="1701"/>
      <x v="611"/>
    </i>
    <i r="4">
      <x v="2486"/>
      <x v="611"/>
    </i>
    <i r="4">
      <x v="2690"/>
      <x v="611"/>
    </i>
    <i r="4">
      <x v="3209"/>
      <x v="611"/>
    </i>
    <i r="4">
      <x v="3443"/>
      <x v="611"/>
    </i>
    <i r="1">
      <x v="35"/>
      <x v="17"/>
      <x v="45"/>
      <x v="1448"/>
      <x v="611"/>
    </i>
    <i r="1">
      <x v="40"/>
      <x v="17"/>
      <x v="45"/>
      <x v="2800"/>
      <x v="611"/>
    </i>
    <i r="4">
      <x v="3024"/>
      <x v="611"/>
    </i>
    <i r="2">
      <x v="18"/>
      <x v="45"/>
      <x v="1753"/>
      <x v="611"/>
    </i>
    <i r="4">
      <x v="1975"/>
      <x v="611"/>
    </i>
    <i r="4">
      <x v="2026"/>
      <x v="611"/>
    </i>
    <i r="4">
      <x v="2216"/>
      <x v="611"/>
    </i>
    <i r="4">
      <x v="2421"/>
      <x v="611"/>
    </i>
    <i r="4">
      <x v="2444"/>
      <x v="611"/>
    </i>
    <i r="4">
      <x v="2618"/>
      <x v="611"/>
    </i>
    <i r="4">
      <x v="2929"/>
      <x v="611"/>
    </i>
    <i r="4">
      <x v="3064"/>
      <x v="611"/>
    </i>
    <i r="4">
      <x v="3124"/>
      <x v="611"/>
    </i>
    <i r="2">
      <x v="22"/>
      <x v="421"/>
      <x v="3544"/>
      <x v="611"/>
    </i>
    <i>
      <x v="130"/>
      <x v="2"/>
      <x v="2"/>
      <x v="44"/>
      <x v="2721"/>
      <x v="611"/>
    </i>
    <i r="1">
      <x v="16"/>
      <x v="67"/>
      <x v="44"/>
      <x v="3519"/>
      <x v="611"/>
    </i>
    <i r="1">
      <x v="22"/>
      <x v="14"/>
      <x v="44"/>
      <x v="1785"/>
      <x v="611"/>
    </i>
    <i r="1">
      <x v="24"/>
      <x v="2"/>
      <x v="44"/>
      <x v="3349"/>
      <x v="611"/>
    </i>
    <i r="2">
      <x v="67"/>
      <x v="44"/>
      <x v="2177"/>
      <x v="611"/>
    </i>
    <i r="1">
      <x v="27"/>
      <x v="2"/>
      <x v="44"/>
      <x v="1621"/>
      <x v="611"/>
    </i>
    <i r="4">
      <x v="2027"/>
      <x v="611"/>
    </i>
    <i r="4">
      <x v="2486"/>
      <x v="611"/>
    </i>
    <i r="4">
      <x v="2969"/>
      <x v="611"/>
    </i>
    <i r="4">
      <x v="3209"/>
      <x v="611"/>
    </i>
    <i r="4">
      <x v="3443"/>
      <x v="611"/>
    </i>
    <i r="1">
      <x v="40"/>
      <x v="14"/>
      <x v="44"/>
      <x v="1029"/>
      <x v="611"/>
    </i>
    <i r="2">
      <x v="22"/>
      <x v="405"/>
      <x v="3432"/>
      <x v="611"/>
    </i>
    <i r="3">
      <x v="418"/>
      <x v="2896"/>
      <x v="611"/>
    </i>
    <i r="3">
      <x v="432"/>
      <x v="3527"/>
      <x v="611"/>
    </i>
    <i>
      <x v="131"/>
      <x v="1"/>
      <x v="62"/>
      <x v="43"/>
      <x v="2930"/>
      <x v="611"/>
    </i>
    <i r="1">
      <x v="2"/>
      <x v="62"/>
      <x v="43"/>
      <x v="2144"/>
      <x v="611"/>
    </i>
    <i r="1">
      <x v="16"/>
      <x v="16"/>
      <x v="43"/>
      <x v="2930"/>
      <x v="611"/>
    </i>
    <i r="1">
      <x v="20"/>
      <x v="2"/>
      <x v="43"/>
      <x v="680"/>
      <x v="611"/>
    </i>
    <i r="1">
      <x v="24"/>
      <x v="18"/>
      <x v="43"/>
      <x v="2839"/>
      <x v="611"/>
    </i>
    <i r="2">
      <x v="19"/>
      <x v="43"/>
      <x v="3564"/>
      <x v="302"/>
    </i>
    <i r="2">
      <x v="68"/>
      <x v="43"/>
      <x v="679"/>
      <x v="611"/>
    </i>
    <i r="1">
      <x v="27"/>
      <x v="2"/>
      <x v="43"/>
      <x v="1701"/>
      <x v="611"/>
    </i>
    <i r="4">
      <x v="2690"/>
      <x v="611"/>
    </i>
    <i r="4">
      <x v="2969"/>
      <x v="611"/>
    </i>
    <i r="1">
      <x v="40"/>
      <x v="17"/>
      <x v="43"/>
      <x v="1608"/>
      <x v="611"/>
    </i>
    <i r="4">
      <x v="2316"/>
      <x v="611"/>
    </i>
    <i r="4">
      <x v="2824"/>
      <x v="611"/>
    </i>
    <i r="4">
      <x v="3064"/>
      <x v="611"/>
    </i>
    <i r="2">
      <x v="18"/>
      <x v="43"/>
      <x v="1250"/>
      <x v="611"/>
    </i>
    <i r="4">
      <x v="1656"/>
      <x v="611"/>
    </i>
    <i r="4">
      <x v="1675"/>
      <x v="611"/>
    </i>
    <i r="4">
      <x v="1684"/>
      <x v="611"/>
    </i>
    <i r="4">
      <x v="1765"/>
      <x v="611"/>
    </i>
    <i r="4">
      <x v="2319"/>
      <x v="611"/>
    </i>
    <i r="4">
      <x v="2531"/>
      <x v="611"/>
    </i>
    <i r="4">
      <x v="2542"/>
      <x v="611"/>
    </i>
    <i r="4">
      <x v="2638"/>
      <x v="611"/>
    </i>
    <i r="2">
      <x v="19"/>
      <x v="43"/>
      <x v="3564"/>
      <x v="427"/>
    </i>
    <i r="2">
      <x v="22"/>
      <x v="384"/>
      <x v="3550"/>
      <x v="611"/>
    </i>
    <i r="3">
      <x v="387"/>
      <x v="3432"/>
      <x v="611"/>
    </i>
    <i r="3">
      <x v="390"/>
      <x v="3550"/>
      <x v="611"/>
    </i>
    <i>
      <x v="132"/>
      <x v="1"/>
      <x v="67"/>
      <x v="41"/>
      <x v="1575"/>
      <x v="611"/>
    </i>
    <i r="1">
      <x v="3"/>
      <x v="2"/>
      <x v="41"/>
      <x v="3443"/>
      <x v="611"/>
    </i>
    <i r="2">
      <x v="34"/>
      <x v="42"/>
      <x v="1066"/>
      <x v="611"/>
    </i>
    <i r="4">
      <x v="1591"/>
      <x v="611"/>
    </i>
    <i r="4">
      <x v="2016"/>
      <x v="611"/>
    </i>
    <i r="4">
      <x v="2096"/>
      <x v="611"/>
    </i>
    <i r="4">
      <x v="2341"/>
      <x v="611"/>
    </i>
    <i r="4">
      <x v="2512"/>
      <x v="611"/>
    </i>
    <i r="4">
      <x v="2582"/>
      <x v="611"/>
    </i>
    <i r="4">
      <x v="2753"/>
      <x v="611"/>
    </i>
    <i r="4">
      <x v="2779"/>
      <x v="611"/>
    </i>
    <i r="4">
      <x v="2830"/>
      <x v="611"/>
    </i>
    <i r="4">
      <x v="2911"/>
      <x v="611"/>
    </i>
    <i r="4">
      <x v="2962"/>
      <x v="611"/>
    </i>
    <i r="4">
      <x v="3137"/>
      <x v="611"/>
    </i>
    <i r="4">
      <x v="3216"/>
      <x v="611"/>
    </i>
    <i r="4">
      <x v="3294"/>
      <x v="611"/>
    </i>
    <i r="4">
      <x v="3336"/>
      <x v="611"/>
    </i>
    <i r="4">
      <x v="3345"/>
      <x v="611"/>
    </i>
    <i r="2">
      <x v="67"/>
      <x v="41"/>
      <x v="3487"/>
      <x v="611"/>
    </i>
    <i r="1">
      <x v="15"/>
      <x v="34"/>
      <x v="42"/>
      <x v="1252"/>
      <x v="611"/>
    </i>
    <i r="1">
      <x v="16"/>
      <x v="34"/>
      <x v="42"/>
      <x v="54"/>
      <x v="611"/>
    </i>
    <i r="2">
      <x v="67"/>
      <x v="41"/>
      <x v="3202"/>
      <x v="611"/>
    </i>
    <i r="1">
      <x v="18"/>
      <x v="14"/>
      <x v="41"/>
      <x v="1068"/>
      <x v="611"/>
    </i>
    <i r="2">
      <x v="34"/>
      <x v="42"/>
      <x v="616"/>
      <x v="611"/>
    </i>
    <i r="2">
      <x v="68"/>
      <x v="41"/>
      <x v="29"/>
      <x v="611"/>
    </i>
    <i r="1">
      <x v="20"/>
      <x v="67"/>
      <x v="41"/>
      <x v="3386"/>
      <x v="611"/>
    </i>
    <i r="1">
      <x v="22"/>
      <x v="34"/>
      <x v="42"/>
      <x v="2277"/>
      <x v="611"/>
    </i>
    <i r="1">
      <x v="24"/>
      <x v="18"/>
      <x v="41"/>
      <x v="2638"/>
      <x v="611"/>
    </i>
    <i r="2">
      <x v="34"/>
      <x v="42"/>
      <x v="923"/>
      <x v="611"/>
    </i>
    <i r="1">
      <x v="27"/>
      <x v="2"/>
      <x v="41"/>
      <x v="1909"/>
      <x v="611"/>
    </i>
    <i r="4">
      <x v="2305"/>
      <x v="611"/>
    </i>
    <i r="4">
      <x v="2486"/>
      <x v="611"/>
    </i>
    <i r="4">
      <x v="3209"/>
      <x v="611"/>
    </i>
    <i r="4">
      <x v="3443"/>
      <x v="611"/>
    </i>
    <i r="2">
      <x v="34"/>
      <x v="42"/>
      <x v="189"/>
      <x v="611"/>
    </i>
    <i r="4">
      <x v="261"/>
      <x v="611"/>
    </i>
    <i r="4">
      <x v="267"/>
      <x v="611"/>
    </i>
    <i r="4">
      <x v="302"/>
      <x v="611"/>
    </i>
    <i r="4">
      <x v="351"/>
      <x v="611"/>
    </i>
    <i r="4">
      <x v="374"/>
      <x v="611"/>
    </i>
    <i r="4">
      <x v="442"/>
      <x v="611"/>
    </i>
    <i r="4">
      <x v="488"/>
      <x v="611"/>
    </i>
    <i r="4">
      <x v="493"/>
      <x v="611"/>
    </i>
    <i r="4">
      <x v="512"/>
      <x v="611"/>
    </i>
    <i r="4">
      <x v="708"/>
      <x v="611"/>
    </i>
    <i r="4">
      <x v="725"/>
      <x v="611"/>
    </i>
    <i r="4">
      <x v="753"/>
      <x v="611"/>
    </i>
    <i r="4">
      <x v="868"/>
      <x v="611"/>
    </i>
    <i r="4">
      <x v="965"/>
      <x v="611"/>
    </i>
    <i r="4">
      <x v="979"/>
      <x v="611"/>
    </i>
    <i r="4">
      <x v="986"/>
      <x v="611"/>
    </i>
    <i r="4">
      <x v="987"/>
      <x v="611"/>
    </i>
    <i r="4">
      <x v="1088"/>
      <x v="611"/>
    </i>
    <i r="4">
      <x v="1197"/>
      <x v="611"/>
    </i>
    <i r="4">
      <x v="1210"/>
      <x v="611"/>
    </i>
    <i r="4">
      <x v="1645"/>
      <x v="611"/>
    </i>
    <i r="4">
      <x v="1827"/>
      <x v="611"/>
    </i>
    <i r="4">
      <x v="2636"/>
      <x v="611"/>
    </i>
    <i r="4">
      <x v="2794"/>
      <x v="611"/>
    </i>
    <i r="4">
      <x v="3433"/>
      <x v="611"/>
    </i>
    <i r="1">
      <x v="33"/>
      <x v="17"/>
      <x v="41"/>
      <x v="825"/>
      <x v="611"/>
    </i>
    <i r="2">
      <x v="18"/>
      <x v="41"/>
      <x v="2015"/>
      <x v="611"/>
    </i>
    <i r="2">
      <x v="19"/>
      <x v="41"/>
      <x v="1477"/>
      <x v="611"/>
    </i>
    <i r="1">
      <x v="37"/>
      <x v="34"/>
      <x v="42"/>
      <x v="3376"/>
      <x v="611"/>
    </i>
    <i r="2">
      <x v="67"/>
      <x v="41"/>
      <x v="3393"/>
      <x v="611"/>
    </i>
    <i r="1">
      <x v="38"/>
      <x v="34"/>
      <x v="42"/>
      <x v="172"/>
      <x v="611"/>
    </i>
    <i r="1">
      <x v="40"/>
      <x v="17"/>
      <x v="41"/>
      <x v="1434"/>
      <x v="611"/>
    </i>
    <i r="4">
      <x v="2411"/>
      <x v="611"/>
    </i>
    <i r="4">
      <x v="2859"/>
      <x v="611"/>
    </i>
    <i r="2">
      <x v="18"/>
      <x v="41"/>
      <x v="1101"/>
      <x v="611"/>
    </i>
    <i r="4">
      <x v="1125"/>
      <x v="611"/>
    </i>
    <i r="4">
      <x v="1582"/>
      <x v="611"/>
    </i>
    <i r="4">
      <x v="1692"/>
      <x v="611"/>
    </i>
    <i r="4">
      <x v="2209"/>
      <x v="611"/>
    </i>
    <i r="4">
      <x v="2458"/>
      <x v="611"/>
    </i>
    <i r="4">
      <x v="2506"/>
      <x v="611"/>
    </i>
    <i r="4">
      <x v="2591"/>
      <x v="611"/>
    </i>
    <i r="4">
      <x v="2650"/>
      <x v="611"/>
    </i>
    <i r="4">
      <x v="3089"/>
      <x v="611"/>
    </i>
    <i r="4">
      <x v="3136"/>
      <x v="611"/>
    </i>
    <i r="4">
      <x v="3176"/>
      <x v="611"/>
    </i>
    <i r="2">
      <x v="22"/>
      <x v="383"/>
      <x v="3338"/>
      <x v="611"/>
    </i>
    <i r="3">
      <x v="391"/>
      <x v="3541"/>
      <x v="611"/>
    </i>
    <i r="3">
      <x v="416"/>
      <x v="3239"/>
      <x v="611"/>
    </i>
    <i r="2">
      <x v="34"/>
      <x v="42"/>
      <x v="1470"/>
      <x v="611"/>
    </i>
    <i r="4">
      <x v="2518"/>
      <x v="611"/>
    </i>
    <i r="4">
      <x v="2687"/>
      <x v="611"/>
    </i>
    <i r="4">
      <x v="2802"/>
      <x v="611"/>
    </i>
    <i r="4">
      <x v="2964"/>
      <x v="611"/>
    </i>
    <i r="4">
      <x v="3164"/>
      <x v="611"/>
    </i>
    <i r="4">
      <x v="3215"/>
      <x v="611"/>
    </i>
    <i>
      <x v="133"/>
      <x v="2"/>
      <x v="14"/>
      <x v="40"/>
      <x v="1613"/>
      <x v="611"/>
    </i>
    <i r="1">
      <x v="4"/>
      <x v="67"/>
      <x v="40"/>
      <x v="1370"/>
      <x v="611"/>
    </i>
    <i r="1">
      <x v="16"/>
      <x v="2"/>
      <x v="40"/>
      <x v="2478"/>
      <x v="611"/>
    </i>
    <i r="1">
      <x v="18"/>
      <x v="67"/>
      <x v="40"/>
      <x v="1026"/>
      <x v="611"/>
    </i>
    <i r="1">
      <x v="27"/>
      <x v="2"/>
      <x v="40"/>
      <x v="1170"/>
      <x v="611"/>
    </i>
    <i r="4">
      <x v="2150"/>
      <x v="611"/>
    </i>
    <i r="4">
      <x v="2969"/>
      <x v="611"/>
    </i>
    <i r="4">
      <x v="3209"/>
      <x v="611"/>
    </i>
    <i r="4">
      <x v="3443"/>
      <x v="611"/>
    </i>
    <i r="2">
      <x v="67"/>
      <x v="40"/>
      <x v="1144"/>
      <x v="611"/>
    </i>
    <i r="4">
      <x v="2047"/>
      <x v="611"/>
    </i>
    <i r="1">
      <x v="28"/>
      <x v="67"/>
      <x v="40"/>
      <x v="1168"/>
      <x v="611"/>
    </i>
    <i r="1">
      <x v="32"/>
      <x v="67"/>
      <x v="40"/>
      <x v="1456"/>
      <x v="611"/>
    </i>
    <i r="1">
      <x v="33"/>
      <x v="67"/>
      <x v="40"/>
      <x v="3178"/>
      <x v="611"/>
    </i>
    <i r="1">
      <x v="34"/>
      <x v="67"/>
      <x v="40"/>
      <x v="962"/>
      <x v="611"/>
    </i>
    <i r="1">
      <x v="35"/>
      <x v="67"/>
      <x v="40"/>
      <x v="1887"/>
      <x v="611"/>
    </i>
    <i r="1">
      <x v="38"/>
      <x v="2"/>
      <x v="40"/>
      <x v="1839"/>
      <x v="611"/>
    </i>
    <i r="2">
      <x v="14"/>
      <x v="40"/>
      <x v="2167"/>
      <x v="611"/>
    </i>
    <i r="1">
      <x v="40"/>
      <x v="14"/>
      <x v="40"/>
      <x v="2884"/>
      <x v="611"/>
    </i>
    <i r="2">
      <x v="22"/>
      <x v="433"/>
      <x v="3475"/>
      <x v="611"/>
    </i>
    <i r="2">
      <x v="67"/>
      <x v="40"/>
      <x v="2230"/>
      <x v="611"/>
    </i>
    <i>
      <x v="134"/>
      <x v="3"/>
      <x v="2"/>
      <x v="39"/>
      <x v="3443"/>
      <x v="611"/>
    </i>
    <i r="1">
      <x v="16"/>
      <x v="18"/>
      <x v="39"/>
      <x v="663"/>
      <x v="611"/>
    </i>
    <i r="1">
      <x v="20"/>
      <x v="67"/>
      <x v="39"/>
      <x v="1919"/>
      <x v="611"/>
    </i>
    <i r="1">
      <x v="27"/>
      <x v="2"/>
      <x v="39"/>
      <x v="2150"/>
      <x v="611"/>
    </i>
    <i r="4">
      <x v="2969"/>
      <x v="611"/>
    </i>
    <i r="4">
      <x v="3209"/>
      <x v="611"/>
    </i>
    <i r="4">
      <x v="3443"/>
      <x v="611"/>
    </i>
    <i r="2">
      <x v="67"/>
      <x v="39"/>
      <x v="958"/>
      <x v="611"/>
    </i>
    <i r="4">
      <x v="1509"/>
      <x v="611"/>
    </i>
    <i r="1">
      <x v="34"/>
      <x v="67"/>
      <x v="39"/>
      <x v="1134"/>
      <x v="611"/>
    </i>
    <i r="1">
      <x v="38"/>
      <x v="17"/>
      <x v="39"/>
      <x v="3123"/>
      <x v="611"/>
    </i>
    <i r="1">
      <x v="40"/>
      <x v="14"/>
      <x v="39"/>
      <x v="1143"/>
      <x v="611"/>
    </i>
    <i r="2">
      <x v="16"/>
      <x v="39"/>
      <x v="3098"/>
      <x v="611"/>
    </i>
    <i r="2">
      <x v="17"/>
      <x v="39"/>
      <x v="2258"/>
      <x v="611"/>
    </i>
    <i r="2">
      <x v="18"/>
      <x v="39"/>
      <x v="1254"/>
      <x v="611"/>
    </i>
    <i r="4">
      <x v="1708"/>
      <x v="611"/>
    </i>
    <i r="4">
      <x v="2617"/>
      <x v="611"/>
    </i>
    <i r="2">
      <x v="22"/>
      <x v="389"/>
      <x v="3546"/>
      <x v="611"/>
    </i>
    <i r="3">
      <x v="391"/>
      <x v="3537"/>
      <x v="611"/>
    </i>
    <i>
      <x v="135"/>
      <x v="12"/>
      <x v="67"/>
      <x v="38"/>
      <x v="3393"/>
      <x v="611"/>
    </i>
    <i r="1">
      <x v="27"/>
      <x v="2"/>
      <x v="38"/>
      <x v="2486"/>
      <x v="611"/>
    </i>
    <i r="4">
      <x v="2690"/>
      <x v="611"/>
    </i>
    <i r="4">
      <x v="3209"/>
      <x v="611"/>
    </i>
    <i r="4">
      <x v="3443"/>
      <x v="611"/>
    </i>
    <i r="1">
      <x v="32"/>
      <x v="67"/>
      <x v="38"/>
      <x v="2858"/>
      <x v="611"/>
    </i>
    <i>
      <x v="136"/>
      <x v="1"/>
      <x v="68"/>
      <x v="37"/>
      <x v="515"/>
      <x v="611"/>
    </i>
    <i r="1">
      <x v="24"/>
      <x v="68"/>
      <x v="37"/>
      <x v="1086"/>
      <x v="611"/>
    </i>
    <i r="1">
      <x v="27"/>
      <x v="2"/>
      <x v="37"/>
      <x v="2969"/>
      <x v="611"/>
    </i>
    <i r="4">
      <x v="3209"/>
      <x v="611"/>
    </i>
    <i r="1">
      <x v="29"/>
      <x v="17"/>
      <x v="37"/>
      <x v="882"/>
      <x v="611"/>
    </i>
    <i r="1">
      <x v="35"/>
      <x v="68"/>
      <x v="37"/>
      <x v="1012"/>
      <x v="611"/>
    </i>
    <i r="1">
      <x v="40"/>
      <x v="22"/>
      <x v="428"/>
      <x v="3550"/>
      <x v="611"/>
    </i>
    <i r="3">
      <x v="429"/>
      <x v="3537"/>
      <x v="611"/>
    </i>
    <i>
      <x v="137"/>
      <x v="1"/>
      <x v="17"/>
      <x v="36"/>
      <x v="1632"/>
      <x v="611"/>
    </i>
    <i r="2">
      <x v="67"/>
      <x v="36"/>
      <x v="2681"/>
      <x v="611"/>
    </i>
    <i r="1">
      <x v="5"/>
      <x v="67"/>
      <x v="36"/>
      <x v="974"/>
      <x v="611"/>
    </i>
    <i r="1">
      <x v="13"/>
      <x v="68"/>
      <x v="36"/>
      <x v="2369"/>
      <x v="611"/>
    </i>
    <i r="1">
      <x v="16"/>
      <x v="67"/>
      <x v="36"/>
      <x v="2785"/>
      <x v="611"/>
    </i>
    <i r="1">
      <x v="17"/>
      <x v="67"/>
      <x v="36"/>
      <x v="1032"/>
      <x v="611"/>
    </i>
    <i r="2">
      <x v="68"/>
      <x v="36"/>
      <x v="801"/>
      <x v="611"/>
    </i>
    <i r="1">
      <x v="23"/>
      <x v="67"/>
      <x v="36"/>
      <x v="3481"/>
      <x v="611"/>
    </i>
    <i r="1">
      <x v="24"/>
      <x v="68"/>
      <x v="36"/>
      <x v="712"/>
      <x v="611"/>
    </i>
    <i r="1">
      <x v="27"/>
      <x v="2"/>
      <x v="36"/>
      <x v="2486"/>
      <x v="611"/>
    </i>
    <i r="4">
      <x v="2969"/>
      <x v="611"/>
    </i>
    <i r="4">
      <x v="3209"/>
      <x v="611"/>
    </i>
    <i r="4">
      <x v="3443"/>
      <x v="611"/>
    </i>
    <i r="1">
      <x v="28"/>
      <x v="2"/>
      <x v="36"/>
      <x v="3194"/>
      <x v="611"/>
    </i>
    <i r="1">
      <x v="34"/>
      <x v="67"/>
      <x v="36"/>
      <x v="1779"/>
      <x v="611"/>
    </i>
    <i r="1">
      <x v="35"/>
      <x v="67"/>
      <x v="36"/>
      <x v="2409"/>
      <x v="611"/>
    </i>
    <i r="2">
      <x v="68"/>
      <x v="36"/>
      <x v="1092"/>
      <x v="611"/>
    </i>
    <i r="1">
      <x v="37"/>
      <x v="67"/>
      <x v="36"/>
      <x v="1302"/>
      <x v="611"/>
    </i>
    <i r="1">
      <x v="40"/>
      <x v="16"/>
      <x v="36"/>
      <x v="2102"/>
      <x v="611"/>
    </i>
    <i r="4">
      <x v="2237"/>
      <x v="611"/>
    </i>
    <i r="2">
      <x v="17"/>
      <x v="36"/>
      <x v="1621"/>
      <x v="611"/>
    </i>
    <i r="4">
      <x v="1952"/>
      <x v="611"/>
    </i>
    <i r="4">
      <x v="3099"/>
      <x v="611"/>
    </i>
    <i r="2">
      <x v="18"/>
      <x v="36"/>
      <x v="788"/>
      <x v="611"/>
    </i>
    <i r="4">
      <x v="1385"/>
      <x v="611"/>
    </i>
    <i r="4">
      <x v="1580"/>
      <x v="611"/>
    </i>
    <i r="4">
      <x v="2163"/>
      <x v="611"/>
    </i>
    <i r="4">
      <x v="2506"/>
      <x v="611"/>
    </i>
    <i r="4">
      <x v="2585"/>
      <x v="611"/>
    </i>
    <i r="4">
      <x v="2587"/>
      <x v="611"/>
    </i>
    <i r="4">
      <x v="2748"/>
      <x v="611"/>
    </i>
    <i r="4">
      <x v="3191"/>
      <x v="611"/>
    </i>
    <i r="4">
      <x v="3229"/>
      <x v="611"/>
    </i>
    <i r="2">
      <x v="22"/>
      <x v="392"/>
      <x v="3546"/>
      <x v="611"/>
    </i>
    <i r="3">
      <x v="425"/>
      <x v="3527"/>
      <x v="611"/>
    </i>
    <i r="3">
      <x v="444"/>
      <x v="3544"/>
      <x v="611"/>
    </i>
    <i r="3">
      <x v="445"/>
      <x v="3518"/>
      <x v="611"/>
    </i>
    <i>
      <x v="138"/>
      <x v="3"/>
      <x v="2"/>
      <x v="35"/>
      <x v="3443"/>
      <x v="611"/>
    </i>
    <i r="1">
      <x v="12"/>
      <x v="67"/>
      <x v="35"/>
      <x v="3509"/>
      <x v="611"/>
    </i>
    <i r="1">
      <x v="24"/>
      <x v="62"/>
      <x v="35"/>
      <x v="72"/>
      <x v="611"/>
    </i>
    <i r="1">
      <x v="27"/>
      <x v="2"/>
      <x v="35"/>
      <x v="1486"/>
      <x v="611"/>
    </i>
    <i r="4">
      <x v="2150"/>
      <x v="611"/>
    </i>
    <i r="4">
      <x v="2486"/>
      <x v="611"/>
    </i>
    <i r="4">
      <x v="2969"/>
      <x v="611"/>
    </i>
    <i r="4">
      <x v="3209"/>
      <x v="611"/>
    </i>
    <i r="4">
      <x v="3443"/>
      <x v="611"/>
    </i>
    <i r="1">
      <x v="34"/>
      <x v="67"/>
      <x v="35"/>
      <x v="2434"/>
      <x v="611"/>
    </i>
    <i r="1">
      <x v="40"/>
      <x v="2"/>
      <x v="35"/>
      <x v="2748"/>
      <x v="611"/>
    </i>
    <i r="4">
      <x v="3443"/>
      <x v="611"/>
    </i>
    <i r="2">
      <x v="17"/>
      <x v="35"/>
      <x v="2404"/>
      <x v="611"/>
    </i>
    <i r="2">
      <x v="18"/>
      <x v="35"/>
      <x v="1517"/>
      <x v="611"/>
    </i>
    <i r="4">
      <x v="2152"/>
      <x v="611"/>
    </i>
    <i r="2">
      <x v="67"/>
      <x v="35"/>
      <x v="2008"/>
      <x v="611"/>
    </i>
    <i>
      <x v="139"/>
      <x/>
      <x v="19"/>
      <x v="34"/>
      <x v="1382"/>
      <x v="611"/>
    </i>
    <i r="1">
      <x v="1"/>
      <x v="19"/>
      <x v="34"/>
      <x v="386"/>
      <x v="611"/>
    </i>
    <i r="1">
      <x v="2"/>
      <x v="19"/>
      <x v="34"/>
      <x v="389"/>
      <x v="611"/>
    </i>
    <i r="1">
      <x v="27"/>
      <x v="2"/>
      <x v="34"/>
      <x v="2305"/>
      <x v="611"/>
    </i>
    <i r="4">
      <x v="2486"/>
      <x v="611"/>
    </i>
    <i r="4">
      <x v="2690"/>
      <x v="611"/>
    </i>
    <i r="4">
      <x v="2969"/>
      <x v="611"/>
    </i>
    <i r="4">
      <x v="3209"/>
      <x v="611"/>
    </i>
    <i r="4">
      <x v="3443"/>
      <x v="611"/>
    </i>
    <i r="1">
      <x v="28"/>
      <x v="19"/>
      <x v="34"/>
      <x v="1778"/>
      <x v="611"/>
    </i>
    <i r="1">
      <x v="30"/>
      <x v="2"/>
      <x v="34"/>
      <x v="2443"/>
      <x v="611"/>
    </i>
    <i r="1">
      <x v="31"/>
      <x v="19"/>
      <x v="34"/>
      <x v="3134"/>
      <x v="611"/>
    </i>
    <i r="1">
      <x v="37"/>
      <x v="19"/>
      <x v="34"/>
      <x v="989"/>
      <x v="611"/>
    </i>
    <i r="2">
      <x v="67"/>
      <x v="34"/>
      <x v="3039"/>
      <x v="611"/>
    </i>
    <i r="1">
      <x v="38"/>
      <x v="19"/>
      <x v="34"/>
      <x v="253"/>
      <x v="611"/>
    </i>
    <i r="1">
      <x v="40"/>
      <x v="18"/>
      <x v="34"/>
      <x v="627"/>
      <x v="611"/>
    </i>
    <i r="2">
      <x v="22"/>
      <x v="393"/>
      <x v="3484"/>
      <x v="611"/>
    </i>
    <i r="3">
      <x v="425"/>
      <x v="3463"/>
      <x v="611"/>
    </i>
    <i r="3">
      <x v="426"/>
      <x v="3274"/>
      <x v="611"/>
    </i>
    <i r="3">
      <x v="436"/>
      <x v="3123"/>
      <x v="611"/>
    </i>
    <i r="2">
      <x v="67"/>
      <x v="34"/>
      <x v="1701"/>
      <x v="611"/>
    </i>
    <i>
      <x v="140"/>
      <x v="2"/>
      <x v="67"/>
      <x v="33"/>
      <x v="3326"/>
      <x v="611"/>
    </i>
    <i r="1">
      <x v="5"/>
      <x v="62"/>
      <x v="33"/>
      <x v="1002"/>
      <x v="611"/>
    </i>
    <i r="1">
      <x v="16"/>
      <x v="67"/>
      <x v="33"/>
      <x v="1814"/>
      <x v="611"/>
    </i>
    <i r="1">
      <x v="22"/>
      <x v="67"/>
      <x v="33"/>
      <x v="2835"/>
      <x v="611"/>
    </i>
    <i r="1">
      <x v="24"/>
      <x v="67"/>
      <x v="33"/>
      <x v="2086"/>
      <x v="611"/>
    </i>
    <i r="1">
      <x v="27"/>
      <x v="2"/>
      <x v="33"/>
      <x v="1621"/>
      <x v="611"/>
    </i>
    <i r="4">
      <x v="3443"/>
      <x v="611"/>
    </i>
    <i r="1">
      <x v="33"/>
      <x v="17"/>
      <x v="33"/>
      <x v="625"/>
      <x v="611"/>
    </i>
    <i r="2">
      <x v="19"/>
      <x v="33"/>
      <x v="2665"/>
      <x v="611"/>
    </i>
    <i r="2">
      <x v="67"/>
      <x v="33"/>
      <x v="1099"/>
      <x v="611"/>
    </i>
    <i r="1">
      <x v="40"/>
      <x v="22"/>
      <x v="401"/>
      <x v="3514"/>
      <x v="611"/>
    </i>
    <i r="3">
      <x v="403"/>
      <x v="3039"/>
      <x v="611"/>
    </i>
    <i>
      <x v="141"/>
      <x v="24"/>
      <x v="67"/>
      <x v="32"/>
      <x v="1423"/>
      <x v="611"/>
    </i>
    <i r="1">
      <x v="27"/>
      <x v="2"/>
      <x v="32"/>
      <x v="2690"/>
      <x v="611"/>
    </i>
    <i r="4">
      <x v="3209"/>
      <x v="611"/>
    </i>
    <i r="4">
      <x v="3443"/>
      <x v="611"/>
    </i>
    <i r="1">
      <x v="40"/>
      <x v="22"/>
      <x v="392"/>
      <x v="3546"/>
      <x v="611"/>
    </i>
    <i r="2">
      <x v="67"/>
      <x v="32"/>
      <x v="2644"/>
      <x v="611"/>
    </i>
    <i>
      <x v="142"/>
      <x v="13"/>
      <x v="68"/>
      <x v="31"/>
      <x v="2617"/>
      <x v="611"/>
    </i>
    <i r="1">
      <x v="20"/>
      <x v="14"/>
      <x v="31"/>
      <x v="1278"/>
      <x v="611"/>
    </i>
    <i r="1">
      <x v="22"/>
      <x v="67"/>
      <x v="31"/>
      <x v="2649"/>
      <x v="611"/>
    </i>
    <i r="1">
      <x v="27"/>
      <x v="2"/>
      <x v="31"/>
      <x v="2486"/>
      <x v="611"/>
    </i>
    <i r="4">
      <x v="3443"/>
      <x v="611"/>
    </i>
    <i r="1">
      <x v="28"/>
      <x v="67"/>
      <x v="31"/>
      <x v="1355"/>
      <x v="611"/>
    </i>
    <i r="1">
      <x v="31"/>
      <x v="17"/>
      <x v="31"/>
      <x v="2170"/>
      <x v="611"/>
    </i>
    <i r="1">
      <x v="32"/>
      <x v="67"/>
      <x v="31"/>
      <x v="607"/>
      <x v="611"/>
    </i>
    <i r="1">
      <x v="35"/>
      <x v="17"/>
      <x v="31"/>
      <x v="2320"/>
      <x v="611"/>
    </i>
    <i r="1">
      <x v="37"/>
      <x v="2"/>
      <x v="31"/>
      <x v="3393"/>
      <x v="611"/>
    </i>
    <i r="2">
      <x v="67"/>
      <x v="31"/>
      <x v="3393"/>
      <x v="611"/>
    </i>
    <i r="1">
      <x v="40"/>
      <x v="2"/>
      <x v="31"/>
      <x v="3443"/>
      <x v="611"/>
    </i>
    <i r="2">
      <x v="18"/>
      <x v="31"/>
      <x v="2388"/>
      <x v="611"/>
    </i>
    <i r="4">
      <x v="2468"/>
      <x v="611"/>
    </i>
    <i r="4">
      <x v="2630"/>
      <x v="611"/>
    </i>
    <i r="4">
      <x v="2634"/>
      <x v="611"/>
    </i>
    <i r="4">
      <x v="2930"/>
      <x v="611"/>
    </i>
    <i r="2">
      <x v="22"/>
      <x v="384"/>
      <x v="3274"/>
      <x v="611"/>
    </i>
    <i>
      <x v="143"/>
      <x v="3"/>
      <x v="48"/>
      <x v="30"/>
      <x v="1711"/>
      <x v="611"/>
    </i>
    <i r="4">
      <x v="1751"/>
      <x v="611"/>
    </i>
    <i r="4">
      <x v="1789"/>
      <x v="611"/>
    </i>
    <i r="4">
      <x v="1833"/>
      <x v="611"/>
    </i>
    <i r="4">
      <x v="1907"/>
      <x v="611"/>
    </i>
    <i r="4">
      <x v="1941"/>
      <x v="611"/>
    </i>
    <i r="4">
      <x v="2131"/>
      <x v="611"/>
    </i>
    <i r="4">
      <x v="2517"/>
      <x v="611"/>
    </i>
    <i r="4">
      <x v="2676"/>
      <x v="611"/>
    </i>
    <i r="4">
      <x v="2679"/>
      <x v="611"/>
    </i>
    <i r="4">
      <x v="2782"/>
      <x v="611"/>
    </i>
    <i r="4">
      <x v="3012"/>
      <x v="611"/>
    </i>
    <i r="4">
      <x v="3286"/>
      <x v="611"/>
    </i>
    <i r="4">
      <x v="3288"/>
      <x v="611"/>
    </i>
    <i r="4">
      <x v="3297"/>
      <x v="611"/>
    </i>
    <i r="4">
      <x v="3359"/>
      <x v="611"/>
    </i>
    <i r="1">
      <x v="15"/>
      <x v="48"/>
      <x v="30"/>
      <x v="1368"/>
      <x v="611"/>
    </i>
    <i r="1">
      <x v="16"/>
      <x v="48"/>
      <x v="30"/>
      <x v="41"/>
      <x v="611"/>
    </i>
    <i r="2">
      <x v="67"/>
      <x v="29"/>
      <x v="3026"/>
      <x v="611"/>
    </i>
    <i r="1">
      <x v="20"/>
      <x v="14"/>
      <x v="29"/>
      <x v="1246"/>
      <x v="611"/>
    </i>
    <i r="1">
      <x v="22"/>
      <x v="48"/>
      <x v="30"/>
      <x v="369"/>
      <x v="611"/>
    </i>
    <i r="2">
      <x v="67"/>
      <x v="29"/>
      <x v="3087"/>
      <x v="611"/>
    </i>
    <i r="1">
      <x v="24"/>
      <x v="48"/>
      <x v="30"/>
      <x v="683"/>
      <x v="611"/>
    </i>
    <i r="1">
      <x v="25"/>
      <x v="67"/>
      <x v="29"/>
      <x v="3393"/>
      <x v="611"/>
    </i>
    <i r="1">
      <x v="27"/>
      <x v="48"/>
      <x v="30"/>
      <x v="137"/>
      <x v="611"/>
    </i>
    <i r="4">
      <x v="239"/>
      <x v="611"/>
    </i>
    <i r="4">
      <x v="245"/>
      <x v="611"/>
    </i>
    <i r="4">
      <x v="250"/>
      <x v="611"/>
    </i>
    <i r="4">
      <x v="299"/>
      <x v="611"/>
    </i>
    <i r="4">
      <x v="319"/>
      <x v="611"/>
    </i>
    <i r="4">
      <x v="356"/>
      <x v="611"/>
    </i>
    <i r="4">
      <x v="373"/>
      <x v="611"/>
    </i>
    <i r="4">
      <x v="375"/>
      <x v="611"/>
    </i>
    <i r="4">
      <x v="414"/>
      <x v="611"/>
    </i>
    <i r="4">
      <x v="572"/>
      <x v="611"/>
    </i>
    <i r="4">
      <x v="609"/>
      <x v="611"/>
    </i>
    <i r="4">
      <x v="681"/>
      <x v="611"/>
    </i>
    <i r="4">
      <x v="721"/>
      <x v="611"/>
    </i>
    <i r="4">
      <x v="821"/>
      <x v="611"/>
    </i>
    <i r="4">
      <x v="823"/>
      <x v="611"/>
    </i>
    <i r="4">
      <x v="830"/>
      <x v="611"/>
    </i>
    <i r="4">
      <x v="863"/>
      <x v="611"/>
    </i>
    <i r="4">
      <x v="872"/>
      <x v="611"/>
    </i>
    <i r="4">
      <x v="906"/>
      <x v="611"/>
    </i>
    <i r="4">
      <x v="927"/>
      <x v="611"/>
    </i>
    <i r="4">
      <x v="1046"/>
      <x v="611"/>
    </i>
    <i r="4">
      <x v="2171"/>
      <x v="611"/>
    </i>
    <i r="4">
      <x v="2576"/>
      <x v="611"/>
    </i>
    <i r="4">
      <x v="3207"/>
      <x v="611"/>
    </i>
    <i r="4">
      <x v="3315"/>
      <x v="611"/>
    </i>
    <i r="1">
      <x v="38"/>
      <x v="48"/>
      <x v="30"/>
      <x v="552"/>
      <x v="611"/>
    </i>
    <i r="1">
      <x v="40"/>
      <x v="48"/>
      <x v="30"/>
      <x v="1763"/>
      <x v="611"/>
    </i>
    <i r="4">
      <x v="2518"/>
      <x v="611"/>
    </i>
    <i r="4">
      <x v="2564"/>
      <x v="611"/>
    </i>
    <i>
      <x v="144"/>
      <x v="1"/>
      <x v="14"/>
      <x v="28"/>
      <x v="1451"/>
      <x v="611"/>
    </i>
    <i r="1">
      <x v="3"/>
      <x v="2"/>
      <x v="28"/>
      <x v="3443"/>
      <x v="611"/>
    </i>
    <i r="1">
      <x v="24"/>
      <x v="2"/>
      <x v="28"/>
      <x v="2916"/>
      <x v="611"/>
    </i>
    <i r="1">
      <x v="27"/>
      <x v="2"/>
      <x v="28"/>
      <x v="2305"/>
      <x v="611"/>
    </i>
    <i r="4">
      <x v="2969"/>
      <x v="611"/>
    </i>
    <i r="4">
      <x v="3209"/>
      <x v="611"/>
    </i>
    <i r="1">
      <x v="40"/>
      <x v="2"/>
      <x v="28"/>
      <x v="3239"/>
      <x v="611"/>
    </i>
    <i r="2">
      <x v="22"/>
      <x v="402"/>
      <x v="3550"/>
      <x v="611"/>
    </i>
    <i r="3">
      <x v="444"/>
      <x v="3541"/>
      <x v="611"/>
    </i>
    <i>
      <x v="145"/>
      <x v="15"/>
      <x v="14"/>
      <x v="27"/>
      <x v="2149"/>
      <x v="611"/>
    </i>
    <i r="1">
      <x v="16"/>
      <x v="16"/>
      <x v="27"/>
      <x v="1875"/>
      <x v="611"/>
    </i>
    <i r="2">
      <x v="67"/>
      <x v="27"/>
      <x v="3267"/>
      <x v="611"/>
    </i>
    <i r="1">
      <x v="18"/>
      <x v="2"/>
      <x v="27"/>
      <x v="2787"/>
      <x v="611"/>
    </i>
    <i r="1">
      <x v="22"/>
      <x v="14"/>
      <x v="27"/>
      <x v="816"/>
      <x v="611"/>
    </i>
    <i r="1">
      <x v="24"/>
      <x v="16"/>
      <x v="27"/>
      <x v="645"/>
      <x v="611"/>
    </i>
    <i r="1">
      <x v="27"/>
      <x v="2"/>
      <x v="27"/>
      <x v="2969"/>
      <x v="611"/>
    </i>
    <i r="4">
      <x v="3209"/>
      <x v="611"/>
    </i>
    <i r="4">
      <x v="3443"/>
      <x v="611"/>
    </i>
    <i r="1">
      <x v="37"/>
      <x v="2"/>
      <x v="27"/>
      <x v="2515"/>
      <x v="611"/>
    </i>
    <i r="1">
      <x v="40"/>
      <x v="17"/>
      <x v="27"/>
      <x v="1731"/>
      <x v="611"/>
    </i>
    <i r="2">
      <x v="18"/>
      <x v="27"/>
      <x v="1953"/>
      <x v="611"/>
    </i>
    <i r="4">
      <x v="2732"/>
      <x v="611"/>
    </i>
    <i r="2">
      <x v="22"/>
      <x v="389"/>
      <x v="3546"/>
      <x v="611"/>
    </i>
    <i>
      <x v="146"/>
      <x v="5"/>
      <x v="2"/>
      <x v="25"/>
      <x v="953"/>
      <x v="611"/>
    </i>
    <i r="1">
      <x v="19"/>
      <x v="2"/>
      <x v="25"/>
      <x v="3488"/>
      <x v="611"/>
    </i>
    <i r="1">
      <x v="22"/>
      <x v="67"/>
      <x v="25"/>
      <x v="3487"/>
      <x v="611"/>
    </i>
    <i r="1">
      <x v="27"/>
      <x v="2"/>
      <x v="25"/>
      <x v="2690"/>
      <x v="611"/>
    </i>
    <i r="4">
      <x v="2969"/>
      <x v="611"/>
    </i>
    <i r="2">
      <x v="60"/>
      <x v="26"/>
      <x v="3225"/>
      <x v="611"/>
    </i>
    <i r="1">
      <x v="28"/>
      <x v="67"/>
      <x v="25"/>
      <x v="2233"/>
      <x v="611"/>
    </i>
    <i r="1">
      <x v="30"/>
      <x v="19"/>
      <x v="25"/>
      <x v="25"/>
      <x v="611"/>
    </i>
    <i r="1">
      <x v="40"/>
      <x v="2"/>
      <x v="25"/>
      <x v="3209"/>
      <x v="611"/>
    </i>
    <i r="2">
      <x v="14"/>
      <x v="25"/>
      <x v="2682"/>
      <x v="611"/>
    </i>
    <i r="2">
      <x v="22"/>
      <x v="404"/>
      <x v="3022"/>
      <x v="611"/>
    </i>
    <i r="3">
      <x v="435"/>
      <x v="3128"/>
      <x v="611"/>
    </i>
    <i r="2">
      <x v="67"/>
      <x v="25"/>
      <x v="3123"/>
      <x v="611"/>
    </i>
    <i>
      <x v="147"/>
      <x v="3"/>
      <x v="2"/>
      <x v="24"/>
      <x v="3443"/>
      <x v="611"/>
    </i>
    <i r="1">
      <x v="15"/>
      <x v="14"/>
      <x v="24"/>
      <x v="2189"/>
      <x v="611"/>
    </i>
    <i r="1">
      <x v="24"/>
      <x v="2"/>
      <x v="24"/>
      <x v="3443"/>
      <x v="611"/>
    </i>
    <i r="1">
      <x v="27"/>
      <x v="2"/>
      <x v="24"/>
      <x v="2969"/>
      <x v="611"/>
    </i>
    <i r="4">
      <x v="3209"/>
      <x v="611"/>
    </i>
    <i r="4">
      <x v="3443"/>
      <x v="611"/>
    </i>
    <i r="1">
      <x v="32"/>
      <x v="67"/>
      <x v="24"/>
      <x v="1050"/>
      <x v="611"/>
    </i>
    <i r="1">
      <x v="37"/>
      <x v="67"/>
      <x v="24"/>
      <x v="1914"/>
      <x v="611"/>
    </i>
    <i r="1">
      <x v="38"/>
      <x v="2"/>
      <x v="24"/>
      <x v="1348"/>
      <x v="611"/>
    </i>
    <i r="2">
      <x v="17"/>
      <x v="24"/>
      <x v="964"/>
      <x v="611"/>
    </i>
    <i r="2">
      <x v="19"/>
      <x v="24"/>
      <x v="3564"/>
      <x v="341"/>
    </i>
    <i r="1">
      <x v="40"/>
      <x v="2"/>
      <x v="24"/>
      <x v="2887"/>
      <x v="611"/>
    </i>
    <i r="2">
      <x v="14"/>
      <x v="24"/>
      <x v="3080"/>
      <x v="611"/>
    </i>
    <i r="2">
      <x v="22"/>
      <x v="386"/>
      <x v="3544"/>
      <x v="611"/>
    </i>
    <i r="3">
      <x v="416"/>
      <x v="2930"/>
      <x v="611"/>
    </i>
    <i r="3">
      <x v="418"/>
      <x v="3422"/>
      <x v="611"/>
    </i>
    <i>
      <x v="148"/>
      <x v="3"/>
      <x v="67"/>
      <x v="23"/>
      <x v="738"/>
      <x v="611"/>
    </i>
    <i r="1">
      <x v="13"/>
      <x v="68"/>
      <x v="23"/>
      <x v="2617"/>
      <x v="611"/>
    </i>
    <i r="1">
      <x v="31"/>
      <x v="17"/>
      <x v="23"/>
      <x v="2668"/>
      <x v="611"/>
    </i>
    <i r="1">
      <x v="40"/>
      <x v="16"/>
      <x v="23"/>
      <x v="1877"/>
      <x v="611"/>
    </i>
    <i r="4">
      <x v="2589"/>
      <x v="611"/>
    </i>
    <i r="2">
      <x v="17"/>
      <x v="23"/>
      <x v="1621"/>
      <x v="611"/>
    </i>
    <i r="4">
      <x v="2759"/>
      <x v="611"/>
    </i>
    <i r="4">
      <x v="2970"/>
      <x v="611"/>
    </i>
    <i r="2">
      <x v="18"/>
      <x v="23"/>
      <x v="1379"/>
      <x v="611"/>
    </i>
    <i r="4">
      <x v="1467"/>
      <x v="611"/>
    </i>
    <i r="4">
      <x v="1529"/>
      <x v="611"/>
    </i>
    <i r="4">
      <x v="3211"/>
      <x v="611"/>
    </i>
    <i r="2">
      <x v="22"/>
      <x v="397"/>
      <x v="3537"/>
      <x v="611"/>
    </i>
    <i r="3">
      <x v="441"/>
      <x v="3546"/>
      <x v="611"/>
    </i>
    <i r="2">
      <x v="67"/>
      <x v="23"/>
      <x v="1301"/>
      <x v="611"/>
    </i>
    <i>
      <x v="149"/>
      <x v="16"/>
      <x v="67"/>
      <x v="22"/>
      <x v="3415"/>
      <x v="611"/>
    </i>
    <i r="1">
      <x v="24"/>
      <x v="62"/>
      <x v="22"/>
      <x v="1013"/>
      <x v="611"/>
    </i>
    <i r="1">
      <x v="40"/>
      <x v="17"/>
      <x v="22"/>
      <x v="1071"/>
      <x v="611"/>
    </i>
    <i r="2">
      <x v="19"/>
      <x v="22"/>
      <x v="3564"/>
      <x v="489"/>
    </i>
    <i r="2">
      <x v="22"/>
      <x v="401"/>
      <x v="3535"/>
      <x v="611"/>
    </i>
    <i r="3">
      <x v="418"/>
      <x v="3518"/>
      <x v="611"/>
    </i>
    <i r="3">
      <x v="426"/>
      <x v="3525"/>
      <x v="611"/>
    </i>
    <i r="3">
      <x v="441"/>
      <x v="3422"/>
      <x v="611"/>
    </i>
    <i>
      <x v="150"/>
      <x v="1"/>
      <x v="67"/>
      <x v="21"/>
      <x v="1127"/>
      <x v="611"/>
    </i>
    <i r="1">
      <x v="3"/>
      <x v="2"/>
      <x v="21"/>
      <x v="3209"/>
      <x v="611"/>
    </i>
    <i r="4">
      <x v="3443"/>
      <x v="611"/>
    </i>
    <i r="1">
      <x v="13"/>
      <x v="67"/>
      <x v="21"/>
      <x v="1316"/>
      <x v="611"/>
    </i>
    <i r="1">
      <x v="16"/>
      <x v="16"/>
      <x v="21"/>
      <x v="2930"/>
      <x v="611"/>
    </i>
    <i r="2">
      <x v="68"/>
      <x v="21"/>
      <x v="53"/>
      <x v="611"/>
    </i>
    <i r="1">
      <x v="17"/>
      <x v="67"/>
      <x v="21"/>
      <x v="2369"/>
      <x v="611"/>
    </i>
    <i r="1">
      <x v="18"/>
      <x v="68"/>
      <x v="21"/>
      <x v="1227"/>
      <x v="611"/>
    </i>
    <i r="1">
      <x v="22"/>
      <x v="16"/>
      <x v="21"/>
      <x v="2955"/>
      <x v="611"/>
    </i>
    <i r="2">
      <x v="67"/>
      <x v="21"/>
      <x v="2635"/>
      <x v="611"/>
    </i>
    <i r="1">
      <x v="24"/>
      <x v="16"/>
      <x v="21"/>
      <x v="1680"/>
      <x v="611"/>
    </i>
    <i r="2">
      <x v="68"/>
      <x v="21"/>
      <x v="1227"/>
      <x v="611"/>
    </i>
    <i r="1">
      <x v="27"/>
      <x v="2"/>
      <x v="21"/>
      <x v="2027"/>
      <x v="611"/>
    </i>
    <i r="4">
      <x v="2305"/>
      <x v="611"/>
    </i>
    <i r="4">
      <x v="2486"/>
      <x v="611"/>
    </i>
    <i r="4">
      <x v="2969"/>
      <x v="611"/>
    </i>
    <i r="4">
      <x v="3209"/>
      <x v="611"/>
    </i>
    <i r="4">
      <x v="3443"/>
      <x v="611"/>
    </i>
    <i r="1">
      <x v="33"/>
      <x v="67"/>
      <x v="21"/>
      <x v="2434"/>
      <x v="611"/>
    </i>
    <i r="1">
      <x v="35"/>
      <x v="17"/>
      <x v="21"/>
      <x v="3081"/>
      <x v="611"/>
    </i>
    <i r="2">
      <x v="67"/>
      <x v="21"/>
      <x v="1745"/>
      <x v="611"/>
    </i>
    <i r="1">
      <x v="37"/>
      <x v="67"/>
      <x v="21"/>
      <x v="2434"/>
      <x v="611"/>
    </i>
    <i r="1">
      <x v="38"/>
      <x v="14"/>
      <x v="21"/>
      <x v="793"/>
      <x v="611"/>
    </i>
    <i r="2">
      <x v="17"/>
      <x v="21"/>
      <x v="1831"/>
      <x v="611"/>
    </i>
    <i r="2">
      <x v="18"/>
      <x v="21"/>
      <x v="1808"/>
      <x v="611"/>
    </i>
    <i r="1">
      <x v="40"/>
      <x v="16"/>
      <x v="21"/>
      <x v="2282"/>
      <x v="611"/>
    </i>
    <i r="4">
      <x v="2328"/>
      <x v="611"/>
    </i>
    <i r="2">
      <x v="17"/>
      <x v="21"/>
      <x v="1119"/>
      <x v="611"/>
    </i>
    <i r="4">
      <x v="1537"/>
      <x v="611"/>
    </i>
    <i r="4">
      <x v="2858"/>
      <x v="611"/>
    </i>
    <i r="2">
      <x v="18"/>
      <x v="21"/>
      <x v="1817"/>
      <x v="611"/>
    </i>
    <i r="4">
      <x v="1925"/>
      <x v="611"/>
    </i>
    <i r="4">
      <x v="2395"/>
      <x v="611"/>
    </i>
    <i r="4">
      <x v="2963"/>
      <x v="611"/>
    </i>
    <i r="4">
      <x v="3079"/>
      <x v="611"/>
    </i>
    <i r="2">
      <x v="19"/>
      <x v="21"/>
      <x v="2416"/>
      <x v="611"/>
    </i>
    <i r="2">
      <x v="22"/>
      <x v="420"/>
      <x v="3550"/>
      <x v="611"/>
    </i>
    <i r="2">
      <x v="67"/>
      <x v="21"/>
      <x v="828"/>
      <x v="611"/>
    </i>
    <i>
      <x v="151"/>
      <x v="12"/>
      <x v="2"/>
      <x v="20"/>
      <x v="3014"/>
      <x v="611"/>
    </i>
    <i r="2">
      <x v="67"/>
      <x v="20"/>
      <x v="3393"/>
      <x v="611"/>
    </i>
    <i r="1">
      <x v="15"/>
      <x v="14"/>
      <x v="20"/>
      <x v="685"/>
      <x v="611"/>
    </i>
    <i r="1">
      <x v="16"/>
      <x v="67"/>
      <x v="20"/>
      <x v="3348"/>
      <x v="611"/>
    </i>
    <i r="1">
      <x v="24"/>
      <x v="67"/>
      <x v="20"/>
      <x v="1814"/>
      <x v="611"/>
    </i>
    <i r="1">
      <x v="25"/>
      <x v="67"/>
      <x v="20"/>
      <x v="1102"/>
      <x v="611"/>
    </i>
    <i r="1">
      <x v="27"/>
      <x v="2"/>
      <x v="20"/>
      <x v="2486"/>
      <x v="611"/>
    </i>
    <i r="4">
      <x v="2969"/>
      <x v="611"/>
    </i>
    <i r="4">
      <x v="3209"/>
      <x v="611"/>
    </i>
    <i r="4">
      <x v="3443"/>
      <x v="611"/>
    </i>
    <i r="1">
      <x v="33"/>
      <x v="67"/>
      <x v="20"/>
      <x v="1704"/>
      <x v="611"/>
    </i>
    <i r="1">
      <x v="37"/>
      <x v="67"/>
      <x v="20"/>
      <x v="1491"/>
      <x v="611"/>
    </i>
    <i>
      <x v="152"/>
      <x v="3"/>
      <x v="2"/>
      <x v="19"/>
      <x v="3209"/>
      <x v="611"/>
    </i>
    <i r="4">
      <x v="3443"/>
      <x v="611"/>
    </i>
    <i r="2">
      <x v="67"/>
      <x v="19"/>
      <x v="3535"/>
      <x v="611"/>
    </i>
    <i r="1">
      <x v="12"/>
      <x v="14"/>
      <x v="19"/>
      <x v="776"/>
      <x v="611"/>
    </i>
    <i r="2">
      <x v="67"/>
      <x v="19"/>
      <x v="3393"/>
      <x v="611"/>
    </i>
    <i r="1">
      <x v="13"/>
      <x v="19"/>
      <x v="19"/>
      <x v="3564"/>
      <x v="603"/>
    </i>
    <i r="1">
      <x v="16"/>
      <x v="67"/>
      <x v="19"/>
      <x v="3097"/>
      <x v="611"/>
    </i>
    <i r="1">
      <x v="20"/>
      <x v="67"/>
      <x v="19"/>
      <x v="3471"/>
      <x v="611"/>
    </i>
    <i r="1">
      <x v="24"/>
      <x v="68"/>
      <x v="19"/>
      <x v="164"/>
      <x v="611"/>
    </i>
    <i r="1">
      <x v="27"/>
      <x v="2"/>
      <x v="19"/>
      <x v="1814"/>
      <x v="611"/>
    </i>
    <i r="4">
      <x v="1909"/>
      <x v="611"/>
    </i>
    <i r="4">
      <x v="2027"/>
      <x v="611"/>
    </i>
    <i r="4">
      <x v="2486"/>
      <x v="611"/>
    </i>
    <i r="4">
      <x v="2969"/>
      <x v="611"/>
    </i>
    <i r="4">
      <x v="3209"/>
      <x v="611"/>
    </i>
    <i r="4">
      <x v="3443"/>
      <x v="611"/>
    </i>
    <i r="2">
      <x v="67"/>
      <x v="19"/>
      <x v="1240"/>
      <x v="611"/>
    </i>
    <i r="1">
      <x v="32"/>
      <x v="67"/>
      <x v="19"/>
      <x v="1215"/>
      <x v="611"/>
    </i>
    <i r="1">
      <x v="33"/>
      <x v="68"/>
      <x v="19"/>
      <x v="1120"/>
      <x v="611"/>
    </i>
    <i r="1">
      <x v="40"/>
      <x v="22"/>
      <x v="408"/>
      <x v="3475"/>
      <x v="611"/>
    </i>
    <i r="3">
      <x v="424"/>
      <x v="3544"/>
      <x v="611"/>
    </i>
    <i r="3">
      <x v="425"/>
      <x v="3535"/>
      <x v="611"/>
    </i>
    <i r="3">
      <x v="433"/>
      <x v="3546"/>
      <x v="611"/>
    </i>
    <i>
      <x v="153"/>
      <x/>
      <x v="19"/>
      <x v="18"/>
      <x v="1287"/>
      <x v="611"/>
    </i>
    <i r="1">
      <x v="1"/>
      <x v="19"/>
      <x v="18"/>
      <x v="300"/>
      <x v="611"/>
    </i>
    <i r="1">
      <x v="2"/>
      <x v="19"/>
      <x v="18"/>
      <x v="443"/>
      <x v="611"/>
    </i>
    <i r="1">
      <x v="4"/>
      <x v="62"/>
      <x v="18"/>
      <x v="1577"/>
      <x v="611"/>
    </i>
    <i r="1">
      <x v="12"/>
      <x v="14"/>
      <x v="18"/>
      <x v="1515"/>
      <x v="611"/>
    </i>
    <i r="2">
      <x v="67"/>
      <x v="18"/>
      <x v="1803"/>
      <x v="611"/>
    </i>
    <i r="1">
      <x v="20"/>
      <x v="67"/>
      <x v="18"/>
      <x v="1022"/>
      <x v="611"/>
    </i>
    <i r="1">
      <x v="24"/>
      <x v="67"/>
      <x v="18"/>
      <x v="650"/>
      <x v="611"/>
    </i>
    <i r="1">
      <x v="25"/>
      <x v="2"/>
      <x v="18"/>
      <x v="2071"/>
      <x v="611"/>
    </i>
    <i r="1">
      <x v="28"/>
      <x v="19"/>
      <x v="18"/>
      <x v="1677"/>
      <x v="611"/>
    </i>
    <i r="1">
      <x v="31"/>
      <x v="19"/>
      <x v="18"/>
      <x v="3004"/>
      <x v="611"/>
    </i>
    <i r="1">
      <x v="33"/>
      <x v="17"/>
      <x v="18"/>
      <x v="1033"/>
      <x v="611"/>
    </i>
    <i r="2">
      <x v="19"/>
      <x v="18"/>
      <x v="3039"/>
      <x v="611"/>
    </i>
    <i r="1">
      <x v="35"/>
      <x v="67"/>
      <x v="18"/>
      <x v="1402"/>
      <x v="611"/>
    </i>
    <i r="1">
      <x v="37"/>
      <x v="18"/>
      <x v="18"/>
      <x v="704"/>
      <x v="611"/>
    </i>
    <i r="2">
      <x v="19"/>
      <x v="18"/>
      <x v="716"/>
      <x v="611"/>
    </i>
    <i r="1">
      <x v="38"/>
      <x v="19"/>
      <x v="18"/>
      <x v="330"/>
      <x v="611"/>
    </i>
    <i r="1">
      <x v="40"/>
      <x v="17"/>
      <x v="18"/>
      <x v="2907"/>
      <x v="611"/>
    </i>
    <i r="2">
      <x v="18"/>
      <x v="18"/>
      <x v="1531"/>
      <x v="611"/>
    </i>
    <i r="4">
      <x v="1818"/>
      <x v="611"/>
    </i>
    <i r="4">
      <x v="1855"/>
      <x v="611"/>
    </i>
    <i r="4">
      <x v="2290"/>
      <x v="611"/>
    </i>
    <i r="4">
      <x v="2483"/>
      <x v="611"/>
    </i>
    <i r="4">
      <x v="2580"/>
      <x v="611"/>
    </i>
    <i r="4">
      <x v="3102"/>
      <x v="611"/>
    </i>
    <i r="2">
      <x v="67"/>
      <x v="18"/>
      <x v="3123"/>
      <x v="611"/>
    </i>
    <i>
      <x v="154"/>
      <x v="1"/>
      <x v="25"/>
      <x v="17"/>
      <x v="1135"/>
      <x v="611"/>
    </i>
    <i r="1">
      <x v="2"/>
      <x v="25"/>
      <x v="17"/>
      <x v="1647"/>
      <x v="611"/>
    </i>
    <i r="1">
      <x v="3"/>
      <x v="2"/>
      <x v="16"/>
      <x v="3443"/>
      <x v="611"/>
    </i>
    <i r="2">
      <x v="25"/>
      <x v="17"/>
      <x v="1878"/>
      <x v="611"/>
    </i>
    <i r="4">
      <x v="2720"/>
      <x v="611"/>
    </i>
    <i r="4">
      <x v="2754"/>
      <x v="611"/>
    </i>
    <i r="4">
      <x v="2801"/>
      <x v="611"/>
    </i>
    <i r="4">
      <x v="2834"/>
      <x v="611"/>
    </i>
    <i r="4">
      <x v="2906"/>
      <x v="611"/>
    </i>
    <i r="4">
      <x v="3253"/>
      <x v="611"/>
    </i>
    <i r="4">
      <x v="3473"/>
      <x v="611"/>
    </i>
    <i r="1">
      <x v="10"/>
      <x v="68"/>
      <x v="16"/>
      <x v="800"/>
      <x v="611"/>
    </i>
    <i r="1">
      <x v="15"/>
      <x v="25"/>
      <x v="17"/>
      <x v="144"/>
      <x v="611"/>
    </i>
    <i r="1">
      <x v="16"/>
      <x v="25"/>
      <x v="17"/>
      <x v="9"/>
      <x v="611"/>
    </i>
    <i r="2">
      <x v="68"/>
      <x v="16"/>
      <x v="653"/>
      <x v="611"/>
    </i>
    <i r="1">
      <x v="18"/>
      <x v="25"/>
      <x v="17"/>
      <x v="22"/>
      <x v="611"/>
    </i>
    <i r="1">
      <x v="22"/>
      <x v="25"/>
      <x v="17"/>
      <x v="1444"/>
      <x v="611"/>
    </i>
    <i r="1">
      <x v="24"/>
      <x v="25"/>
      <x v="17"/>
      <x v="203"/>
      <x v="611"/>
    </i>
    <i r="2">
      <x v="62"/>
      <x v="16"/>
      <x v="1390"/>
      <x v="611"/>
    </i>
    <i r="2">
      <x v="67"/>
      <x v="16"/>
      <x v="786"/>
      <x v="611"/>
    </i>
    <i r="2">
      <x v="68"/>
      <x v="16"/>
      <x v="133"/>
      <x v="611"/>
    </i>
    <i r="1">
      <x v="25"/>
      <x v="25"/>
      <x v="17"/>
      <x v="1670"/>
      <x v="611"/>
    </i>
    <i r="1">
      <x v="27"/>
      <x v="2"/>
      <x v="16"/>
      <x v="2486"/>
      <x v="611"/>
    </i>
    <i r="4">
      <x v="2969"/>
      <x v="611"/>
    </i>
    <i r="2">
      <x v="25"/>
      <x v="17"/>
      <x v="88"/>
      <x v="611"/>
    </i>
    <i r="4">
      <x v="143"/>
      <x v="611"/>
    </i>
    <i r="4">
      <x v="213"/>
      <x v="611"/>
    </i>
    <i r="4">
      <x v="214"/>
      <x v="611"/>
    </i>
    <i r="4">
      <x v="321"/>
      <x v="611"/>
    </i>
    <i r="4">
      <x v="413"/>
      <x v="611"/>
    </i>
    <i r="4">
      <x v="459"/>
      <x v="611"/>
    </i>
    <i r="4">
      <x v="669"/>
      <x v="611"/>
    </i>
    <i r="4">
      <x v="699"/>
      <x v="611"/>
    </i>
    <i r="4">
      <x v="733"/>
      <x v="611"/>
    </i>
    <i r="4">
      <x v="779"/>
      <x v="611"/>
    </i>
    <i r="4">
      <x v="789"/>
      <x v="611"/>
    </i>
    <i r="4">
      <x v="915"/>
      <x v="611"/>
    </i>
    <i r="4">
      <x v="938"/>
      <x v="611"/>
    </i>
    <i r="4">
      <x v="941"/>
      <x v="611"/>
    </i>
    <i r="4">
      <x v="996"/>
      <x v="611"/>
    </i>
    <i r="4">
      <x v="1017"/>
      <x v="611"/>
    </i>
    <i r="4">
      <x v="1097"/>
      <x v="611"/>
    </i>
    <i r="4">
      <x v="1149"/>
      <x v="611"/>
    </i>
    <i r="4">
      <x v="2467"/>
      <x v="611"/>
    </i>
    <i r="4">
      <x v="2776"/>
      <x v="611"/>
    </i>
    <i r="4">
      <x v="2895"/>
      <x v="611"/>
    </i>
    <i r="4">
      <x v="2904"/>
      <x v="611"/>
    </i>
    <i r="4">
      <x v="2942"/>
      <x v="611"/>
    </i>
    <i r="1">
      <x v="30"/>
      <x v="25"/>
      <x v="17"/>
      <x v="178"/>
      <x v="611"/>
    </i>
    <i r="1">
      <x v="35"/>
      <x v="68"/>
      <x v="16"/>
      <x v="90"/>
      <x v="611"/>
    </i>
    <i r="1">
      <x v="37"/>
      <x v="25"/>
      <x v="17"/>
      <x v="636"/>
      <x v="611"/>
    </i>
    <i r="1">
      <x v="38"/>
      <x v="25"/>
      <x v="17"/>
      <x v="13"/>
      <x v="611"/>
    </i>
    <i r="1">
      <x v="40"/>
      <x v="17"/>
      <x v="16"/>
      <x v="1501"/>
      <x v="611"/>
    </i>
    <i r="4">
      <x v="1713"/>
      <x v="611"/>
    </i>
    <i r="2">
      <x v="18"/>
      <x v="16"/>
      <x v="1577"/>
      <x v="611"/>
    </i>
    <i r="4">
      <x v="2325"/>
      <x v="611"/>
    </i>
    <i r="2">
      <x v="22"/>
      <x v="389"/>
      <x v="3546"/>
      <x v="611"/>
    </i>
    <i r="3">
      <x v="408"/>
      <x v="3475"/>
      <x v="611"/>
    </i>
    <i r="2">
      <x v="25"/>
      <x v="17"/>
      <x v="1292"/>
      <x v="611"/>
    </i>
    <i r="4">
      <x v="2159"/>
      <x v="611"/>
    </i>
    <i r="4">
      <x v="2331"/>
      <x v="611"/>
    </i>
    <i r="4">
      <x v="2424"/>
      <x v="611"/>
    </i>
    <i r="2">
      <x v="68"/>
      <x v="16"/>
      <x v="1064"/>
      <x v="611"/>
    </i>
    <i>
      <x v="155"/>
      <x v="3"/>
      <x v="2"/>
      <x v="15"/>
      <x v="3443"/>
      <x v="611"/>
    </i>
    <i r="1">
      <x v="5"/>
      <x v="62"/>
      <x v="15"/>
      <x v="588"/>
      <x v="611"/>
    </i>
    <i r="1">
      <x v="27"/>
      <x v="2"/>
      <x v="15"/>
      <x v="2305"/>
      <x v="611"/>
    </i>
    <i r="4">
      <x v="2486"/>
      <x v="611"/>
    </i>
    <i r="4">
      <x v="2690"/>
      <x v="611"/>
    </i>
    <i r="4">
      <x v="2969"/>
      <x v="611"/>
    </i>
    <i r="4">
      <x v="3443"/>
      <x v="611"/>
    </i>
    <i r="1">
      <x v="30"/>
      <x v="68"/>
      <x v="15"/>
      <x v="127"/>
      <x v="611"/>
    </i>
    <i r="1">
      <x v="34"/>
      <x v="67"/>
      <x v="15"/>
      <x v="2567"/>
      <x v="611"/>
    </i>
    <i r="1">
      <x v="40"/>
      <x v="22"/>
      <x v="389"/>
      <x v="3518"/>
      <x v="611"/>
    </i>
    <i>
      <x v="156"/>
      <x v="2"/>
      <x v="14"/>
      <x v="14"/>
      <x v="1943"/>
      <x v="611"/>
    </i>
    <i r="1">
      <x v="16"/>
      <x v="14"/>
      <x v="14"/>
      <x v="1588"/>
      <x v="611"/>
    </i>
    <i r="1">
      <x v="24"/>
      <x v="2"/>
      <x v="14"/>
      <x v="408"/>
      <x v="611"/>
    </i>
    <i r="2">
      <x v="16"/>
      <x v="14"/>
      <x v="1940"/>
      <x v="611"/>
    </i>
    <i r="2">
      <x v="17"/>
      <x v="14"/>
      <x v="1371"/>
      <x v="611"/>
    </i>
    <i r="1">
      <x v="27"/>
      <x v="2"/>
      <x v="14"/>
      <x v="2486"/>
      <x v="611"/>
    </i>
    <i r="4">
      <x v="2969"/>
      <x v="611"/>
    </i>
    <i r="1">
      <x v="28"/>
      <x v="14"/>
      <x v="14"/>
      <x v="1939"/>
      <x v="611"/>
    </i>
    <i r="1">
      <x v="31"/>
      <x v="18"/>
      <x v="14"/>
      <x v="60"/>
      <x v="611"/>
    </i>
    <i r="1">
      <x v="35"/>
      <x v="18"/>
      <x v="14"/>
      <x v="38"/>
      <x v="611"/>
    </i>
    <i r="2">
      <x v="67"/>
      <x v="14"/>
      <x v="1522"/>
      <x v="611"/>
    </i>
    <i r="1">
      <x v="40"/>
      <x v="16"/>
      <x v="14"/>
      <x v="1926"/>
      <x v="611"/>
    </i>
    <i r="4">
      <x v="1960"/>
      <x v="611"/>
    </i>
    <i r="4">
      <x v="2771"/>
      <x v="611"/>
    </i>
    <i r="2">
      <x v="17"/>
      <x v="14"/>
      <x v="2471"/>
      <x v="611"/>
    </i>
    <i r="4">
      <x v="2860"/>
      <x v="611"/>
    </i>
    <i r="4">
      <x v="2950"/>
      <x v="611"/>
    </i>
    <i r="2">
      <x v="18"/>
      <x v="14"/>
      <x v="1219"/>
      <x v="611"/>
    </i>
    <i r="4">
      <x v="1858"/>
      <x v="611"/>
    </i>
    <i r="4">
      <x v="2616"/>
      <x v="611"/>
    </i>
    <i r="4">
      <x v="2707"/>
      <x v="611"/>
    </i>
    <i r="4">
      <x v="3100"/>
      <x v="611"/>
    </i>
    <i r="4">
      <x v="3414"/>
      <x v="611"/>
    </i>
    <i r="2">
      <x v="22"/>
      <x v="378"/>
      <x v="3557"/>
      <x v="611"/>
    </i>
    <i r="3">
      <x v="399"/>
      <x v="3491"/>
      <x v="611"/>
    </i>
    <i r="3">
      <x v="401"/>
      <x v="3535"/>
      <x v="611"/>
    </i>
    <i r="3">
      <x v="403"/>
      <x v="3039"/>
      <x v="611"/>
    </i>
    <i r="3">
      <x v="420"/>
      <x v="3544"/>
      <x v="611"/>
    </i>
    <i r="3">
      <x v="433"/>
      <x v="3550"/>
      <x v="611"/>
    </i>
    <i r="2">
      <x v="67"/>
      <x v="14"/>
      <x v="1073"/>
      <x v="611"/>
    </i>
    <i r="4">
      <x v="3535"/>
      <x v="611"/>
    </i>
    <i>
      <x v="157"/>
      <x v="3"/>
      <x v="2"/>
      <x v="13"/>
      <x v="3209"/>
      <x v="611"/>
    </i>
    <i r="2">
      <x v="67"/>
      <x v="13"/>
      <x v="787"/>
      <x v="611"/>
    </i>
    <i r="1">
      <x v="13"/>
      <x v="67"/>
      <x v="13"/>
      <x v="3098"/>
      <x v="611"/>
    </i>
    <i r="1">
      <x v="16"/>
      <x v="67"/>
      <x v="13"/>
      <x v="983"/>
      <x v="611"/>
    </i>
    <i r="1">
      <x v="25"/>
      <x v="67"/>
      <x v="13"/>
      <x v="3558"/>
      <x v="611"/>
    </i>
    <i r="1">
      <x v="27"/>
      <x v="2"/>
      <x v="13"/>
      <x v="2690"/>
      <x v="611"/>
    </i>
    <i r="4">
      <x v="2969"/>
      <x v="611"/>
    </i>
    <i r="4">
      <x v="3209"/>
      <x v="611"/>
    </i>
    <i r="4">
      <x v="3443"/>
      <x v="611"/>
    </i>
    <i r="1">
      <x v="37"/>
      <x v="2"/>
      <x v="13"/>
      <x v="2503"/>
      <x v="611"/>
    </i>
    <i r="2">
      <x v="67"/>
      <x v="13"/>
      <x v="2627"/>
      <x v="611"/>
    </i>
    <i r="1">
      <x v="38"/>
      <x v="14"/>
      <x v="13"/>
      <x v="947"/>
      <x v="611"/>
    </i>
    <i r="1">
      <x v="40"/>
      <x v="14"/>
      <x v="13"/>
      <x v="3142"/>
      <x v="611"/>
    </i>
    <i r="2">
      <x v="22"/>
      <x v="435"/>
      <x v="3341"/>
      <x v="611"/>
    </i>
    <i r="2">
      <x v="67"/>
      <x v="13"/>
      <x v="1301"/>
      <x v="611"/>
    </i>
    <i>
      <x v="158"/>
      <x v="1"/>
      <x v="17"/>
      <x v="11"/>
      <x v="1756"/>
      <x v="611"/>
    </i>
    <i r="2">
      <x v="18"/>
      <x v="11"/>
      <x v="3040"/>
      <x v="611"/>
    </i>
    <i r="2">
      <x v="19"/>
      <x v="11"/>
      <x v="849"/>
      <x v="611"/>
    </i>
    <i r="2">
      <x v="67"/>
      <x v="11"/>
      <x v="1469"/>
      <x v="611"/>
    </i>
    <i r="1">
      <x v="2"/>
      <x v="18"/>
      <x v="11"/>
      <x v="538"/>
      <x v="611"/>
    </i>
    <i r="1">
      <x v="15"/>
      <x v="14"/>
      <x v="11"/>
      <x v="643"/>
      <x v="611"/>
    </i>
    <i r="1">
      <x v="16"/>
      <x v="18"/>
      <x v="11"/>
      <x v="106"/>
      <x v="611"/>
    </i>
    <i r="2">
      <x v="67"/>
      <x v="11"/>
      <x v="2434"/>
      <x v="611"/>
    </i>
    <i r="1">
      <x v="24"/>
      <x v="16"/>
      <x v="11"/>
      <x v="1315"/>
      <x v="611"/>
    </i>
    <i r="2">
      <x v="17"/>
      <x v="11"/>
      <x v="1856"/>
      <x v="611"/>
    </i>
    <i r="2">
      <x v="18"/>
      <x v="11"/>
      <x v="1557"/>
      <x v="611"/>
    </i>
    <i r="1">
      <x v="25"/>
      <x v="2"/>
      <x v="11"/>
      <x v="1816"/>
      <x v="611"/>
    </i>
    <i r="2">
      <x v="53"/>
      <x v="12"/>
      <x v="1959"/>
      <x v="611"/>
    </i>
    <i r="1">
      <x v="27"/>
      <x v="2"/>
      <x v="11"/>
      <x v="2690"/>
      <x v="611"/>
    </i>
    <i r="4">
      <x v="2969"/>
      <x v="611"/>
    </i>
    <i r="4">
      <x v="3209"/>
      <x v="611"/>
    </i>
    <i r="1">
      <x v="40"/>
      <x v="16"/>
      <x v="11"/>
      <x v="2010"/>
      <x v="611"/>
    </i>
    <i r="4">
      <x v="2292"/>
      <x v="611"/>
    </i>
    <i r="2">
      <x v="18"/>
      <x v="11"/>
      <x v="959"/>
      <x v="611"/>
    </i>
    <i r="4">
      <x v="1675"/>
      <x v="611"/>
    </i>
    <i r="4">
      <x v="2694"/>
      <x v="611"/>
    </i>
    <i r="2">
      <x v="22"/>
      <x v="403"/>
      <x v="3039"/>
      <x v="611"/>
    </i>
    <i r="3">
      <x v="424"/>
      <x v="3544"/>
      <x v="611"/>
    </i>
    <i r="3">
      <x v="441"/>
      <x v="3546"/>
      <x v="611"/>
    </i>
    <i r="3">
      <x v="446"/>
      <x v="3484"/>
      <x v="611"/>
    </i>
    <i>
      <x v="159"/>
      <x v="3"/>
      <x v="2"/>
      <x v="10"/>
      <x v="3443"/>
      <x v="611"/>
    </i>
    <i r="1">
      <x v="4"/>
      <x v="67"/>
      <x v="10"/>
      <x v="3100"/>
      <x v="611"/>
    </i>
    <i r="1">
      <x v="16"/>
      <x v="67"/>
      <x v="10"/>
      <x v="2967"/>
      <x v="611"/>
    </i>
    <i r="1">
      <x v="27"/>
      <x v="2"/>
      <x v="10"/>
      <x v="1621"/>
      <x v="611"/>
    </i>
    <i r="4">
      <x v="1909"/>
      <x v="611"/>
    </i>
    <i r="4">
      <x v="2150"/>
      <x v="611"/>
    </i>
    <i r="4">
      <x v="2486"/>
      <x v="611"/>
    </i>
    <i r="4">
      <x v="2690"/>
      <x v="611"/>
    </i>
    <i r="4">
      <x v="3443"/>
      <x v="611"/>
    </i>
    <i r="1">
      <x v="30"/>
      <x v="67"/>
      <x v="10"/>
      <x v="898"/>
      <x v="611"/>
    </i>
    <i r="1">
      <x v="32"/>
      <x v="67"/>
      <x v="10"/>
      <x v="2326"/>
      <x v="611"/>
    </i>
    <i r="1">
      <x v="34"/>
      <x v="67"/>
      <x v="10"/>
      <x v="2617"/>
      <x v="611"/>
    </i>
    <i r="1">
      <x v="38"/>
      <x v="14"/>
      <x v="10"/>
      <x v="1288"/>
      <x v="611"/>
    </i>
    <i r="1">
      <x v="40"/>
      <x v="2"/>
      <x v="10"/>
      <x v="3443"/>
      <x v="611"/>
    </i>
    <i r="2">
      <x v="14"/>
      <x v="10"/>
      <x v="3211"/>
      <x v="611"/>
    </i>
    <i r="2">
      <x v="17"/>
      <x v="10"/>
      <x v="1621"/>
      <x v="611"/>
    </i>
    <i r="2">
      <x v="22"/>
      <x v="379"/>
      <x v="3528"/>
      <x v="611"/>
    </i>
    <i r="3">
      <x v="399"/>
      <x v="3142"/>
      <x v="611"/>
    </i>
    <i r="3">
      <x v="420"/>
      <x v="3537"/>
      <x v="611"/>
    </i>
    <i r="3">
      <x v="433"/>
      <x v="3475"/>
      <x v="611"/>
    </i>
    <i>
      <x v="160"/>
      <x v="1"/>
      <x v="67"/>
      <x v="9"/>
      <x v="3387"/>
      <x v="611"/>
    </i>
    <i r="1">
      <x v="2"/>
      <x v="14"/>
      <x v="9"/>
      <x v="1281"/>
      <x v="611"/>
    </i>
    <i r="1">
      <x v="5"/>
      <x v="14"/>
      <x v="9"/>
      <x v="2748"/>
      <x v="611"/>
    </i>
    <i r="1">
      <x v="15"/>
      <x v="67"/>
      <x v="9"/>
      <x v="3292"/>
      <x v="611"/>
    </i>
    <i r="1">
      <x v="27"/>
      <x v="2"/>
      <x v="9"/>
      <x v="3443"/>
      <x v="611"/>
    </i>
    <i r="1">
      <x v="32"/>
      <x v="67"/>
      <x v="9"/>
      <x v="522"/>
      <x v="611"/>
    </i>
    <i r="1">
      <x v="35"/>
      <x v="67"/>
      <x v="9"/>
      <x v="2486"/>
      <x v="611"/>
    </i>
    <i r="1">
      <x v="37"/>
      <x v="67"/>
      <x v="9"/>
      <x v="3505"/>
      <x v="611"/>
    </i>
    <i r="1">
      <x v="38"/>
      <x v="2"/>
      <x v="9"/>
      <x v="1829"/>
      <x v="611"/>
    </i>
    <i r="1">
      <x v="40"/>
      <x v="14"/>
      <x v="9"/>
      <x v="1032"/>
      <x v="611"/>
    </i>
    <i r="2">
      <x v="22"/>
      <x v="378"/>
      <x v="3550"/>
      <x v="611"/>
    </i>
    <i r="3">
      <x v="430"/>
      <x v="3484"/>
      <x v="611"/>
    </i>
    <i r="3">
      <x v="442"/>
      <x v="3544"/>
      <x v="611"/>
    </i>
    <i r="2">
      <x v="67"/>
      <x v="9"/>
      <x v="1717"/>
      <x v="611"/>
    </i>
    <i r="4">
      <x v="2446"/>
      <x v="611"/>
    </i>
    <i>
      <x v="161"/>
      <x v="1"/>
      <x v="39"/>
      <x v="8"/>
      <x v="995"/>
      <x v="611"/>
    </i>
    <i r="1">
      <x v="2"/>
      <x v="39"/>
      <x v="8"/>
      <x v="1362"/>
      <x v="611"/>
    </i>
    <i r="1">
      <x v="3"/>
      <x v="2"/>
      <x v="7"/>
      <x v="3443"/>
      <x v="611"/>
    </i>
    <i r="2">
      <x v="39"/>
      <x v="8"/>
      <x v="1556"/>
      <x v="611"/>
    </i>
    <i r="4">
      <x v="1983"/>
      <x v="611"/>
    </i>
    <i r="4">
      <x v="2194"/>
      <x v="611"/>
    </i>
    <i r="4">
      <x v="2439"/>
      <x v="611"/>
    </i>
    <i r="4">
      <x v="2700"/>
      <x v="611"/>
    </i>
    <i r="4">
      <x v="2830"/>
      <x v="611"/>
    </i>
    <i r="4">
      <x v="2873"/>
      <x v="611"/>
    </i>
    <i r="4">
      <x v="2937"/>
      <x v="611"/>
    </i>
    <i r="4">
      <x v="3154"/>
      <x v="611"/>
    </i>
    <i r="4">
      <x v="3206"/>
      <x v="611"/>
    </i>
    <i r="4">
      <x v="3226"/>
      <x v="611"/>
    </i>
    <i r="4">
      <x v="3231"/>
      <x v="611"/>
    </i>
    <i r="4">
      <x v="3342"/>
      <x v="611"/>
    </i>
    <i r="4">
      <x v="3441"/>
      <x v="611"/>
    </i>
    <i r="1">
      <x v="15"/>
      <x v="39"/>
      <x v="8"/>
      <x v="240"/>
      <x v="611"/>
    </i>
    <i r="1">
      <x v="16"/>
      <x v="39"/>
      <x v="8"/>
      <x v="11"/>
      <x v="611"/>
    </i>
    <i r="2">
      <x v="67"/>
      <x v="7"/>
      <x v="3358"/>
      <x v="611"/>
    </i>
    <i r="1">
      <x v="18"/>
      <x v="14"/>
      <x v="7"/>
      <x v="1261"/>
      <x v="611"/>
    </i>
    <i r="2">
      <x v="39"/>
      <x v="8"/>
      <x v="26"/>
      <x v="611"/>
    </i>
    <i r="1">
      <x v="22"/>
      <x v="39"/>
      <x v="8"/>
      <x v="1436"/>
      <x v="611"/>
    </i>
    <i r="1">
      <x v="24"/>
      <x v="39"/>
      <x v="8"/>
      <x v="64"/>
      <x v="611"/>
    </i>
    <i r="2">
      <x v="67"/>
      <x v="7"/>
      <x v="1745"/>
      <x v="611"/>
    </i>
    <i r="1">
      <x v="27"/>
      <x v="2"/>
      <x v="7"/>
      <x v="1909"/>
      <x v="611"/>
    </i>
    <i r="4">
      <x v="3209"/>
      <x v="611"/>
    </i>
    <i r="4">
      <x v="3443"/>
      <x v="611"/>
    </i>
    <i r="2">
      <x v="39"/>
      <x v="8"/>
      <x v="68"/>
      <x v="611"/>
    </i>
    <i r="4">
      <x v="225"/>
      <x v="611"/>
    </i>
    <i r="4">
      <x v="227"/>
      <x v="611"/>
    </i>
    <i r="4">
      <x v="241"/>
      <x v="611"/>
    </i>
    <i r="4">
      <x v="257"/>
      <x v="611"/>
    </i>
    <i r="4">
      <x v="278"/>
      <x v="611"/>
    </i>
    <i r="4">
      <x v="298"/>
      <x v="611"/>
    </i>
    <i r="4">
      <x v="452"/>
      <x v="611"/>
    </i>
    <i r="4">
      <x v="524"/>
      <x v="611"/>
    </i>
    <i r="4">
      <x v="546"/>
      <x v="611"/>
    </i>
    <i r="4">
      <x v="555"/>
      <x v="611"/>
    </i>
    <i r="4">
      <x v="565"/>
      <x v="611"/>
    </i>
    <i r="4">
      <x v="615"/>
      <x v="611"/>
    </i>
    <i r="4">
      <x v="790"/>
      <x v="611"/>
    </i>
    <i r="4">
      <x v="819"/>
      <x v="611"/>
    </i>
    <i r="4">
      <x v="888"/>
      <x v="611"/>
    </i>
    <i r="4">
      <x v="1027"/>
      <x v="611"/>
    </i>
    <i r="4">
      <x v="1105"/>
      <x v="611"/>
    </i>
    <i r="4">
      <x v="1169"/>
      <x v="611"/>
    </i>
    <i r="4">
      <x v="1221"/>
      <x v="611"/>
    </i>
    <i r="4">
      <x v="1335"/>
      <x v="611"/>
    </i>
    <i r="4">
      <x v="1447"/>
      <x v="611"/>
    </i>
    <i r="4">
      <x v="3126"/>
      <x v="611"/>
    </i>
    <i r="1">
      <x v="30"/>
      <x v="39"/>
      <x v="8"/>
      <x v="487"/>
      <x v="611"/>
    </i>
    <i r="1">
      <x v="31"/>
      <x v="2"/>
      <x v="7"/>
      <x v="1836"/>
      <x v="611"/>
    </i>
    <i r="1">
      <x v="37"/>
      <x v="67"/>
      <x v="7"/>
      <x v="3249"/>
      <x v="611"/>
    </i>
    <i r="1">
      <x v="38"/>
      <x v="39"/>
      <x v="8"/>
      <x v="24"/>
      <x v="611"/>
    </i>
    <i r="1">
      <x v="40"/>
      <x v="22"/>
      <x v="385"/>
      <x v="3250"/>
      <x v="611"/>
    </i>
    <i r="3">
      <x v="416"/>
      <x v="3239"/>
      <x v="611"/>
    </i>
    <i r="3">
      <x v="432"/>
      <x v="3539"/>
      <x v="611"/>
    </i>
    <i r="3">
      <x v="433"/>
      <x v="3475"/>
      <x v="611"/>
    </i>
    <i r="2">
      <x v="39"/>
      <x v="8"/>
      <x v="1222"/>
      <x v="611"/>
    </i>
    <i r="4">
      <x v="2981"/>
      <x v="611"/>
    </i>
    <i r="4">
      <x v="3161"/>
      <x v="611"/>
    </i>
    <i>
      <x v="162"/>
      <x v="3"/>
      <x v="2"/>
      <x v="6"/>
      <x v="3443"/>
      <x v="611"/>
    </i>
    <i r="1">
      <x v="4"/>
      <x v="62"/>
      <x v="6"/>
      <x v="1323"/>
      <x v="611"/>
    </i>
    <i r="1">
      <x v="10"/>
      <x v="18"/>
      <x v="6"/>
      <x v="506"/>
      <x v="611"/>
    </i>
    <i r="1">
      <x v="14"/>
      <x v="18"/>
      <x v="6"/>
      <x v="1198"/>
      <x v="611"/>
    </i>
    <i r="1">
      <x v="24"/>
      <x v="16"/>
      <x v="6"/>
      <x v="3360"/>
      <x v="611"/>
    </i>
    <i r="2">
      <x v="18"/>
      <x v="6"/>
      <x v="1485"/>
      <x v="611"/>
    </i>
    <i r="1">
      <x v="27"/>
      <x v="2"/>
      <x v="6"/>
      <x v="2150"/>
      <x v="611"/>
    </i>
    <i r="4">
      <x v="2486"/>
      <x v="611"/>
    </i>
    <i r="4">
      <x v="2969"/>
      <x v="611"/>
    </i>
    <i r="4">
      <x v="3209"/>
      <x v="611"/>
    </i>
    <i r="4">
      <x v="3443"/>
      <x v="611"/>
    </i>
    <i r="1">
      <x v="28"/>
      <x v="18"/>
      <x v="6"/>
      <x v="51"/>
      <x v="611"/>
    </i>
    <i r="1">
      <x v="31"/>
      <x v="17"/>
      <x v="6"/>
      <x v="3368"/>
      <x v="611"/>
    </i>
    <i r="1">
      <x v="37"/>
      <x v="2"/>
      <x v="6"/>
      <x v="3393"/>
      <x v="611"/>
    </i>
    <i r="1">
      <x v="38"/>
      <x v="18"/>
      <x v="6"/>
      <x v="2143"/>
      <x v="611"/>
    </i>
    <i r="1">
      <x v="40"/>
      <x v="16"/>
      <x v="6"/>
      <x v="3160"/>
      <x v="611"/>
    </i>
    <i r="2">
      <x v="17"/>
      <x v="6"/>
      <x v="1586"/>
      <x v="611"/>
    </i>
    <i r="2">
      <x v="18"/>
      <x v="6"/>
      <x v="602"/>
      <x v="611"/>
    </i>
    <i r="4">
      <x v="831"/>
      <x v="611"/>
    </i>
    <i r="4">
      <x v="919"/>
      <x v="611"/>
    </i>
    <i r="4">
      <x v="1013"/>
      <x v="611"/>
    </i>
    <i r="4">
      <x v="1057"/>
      <x v="611"/>
    </i>
    <i r="4">
      <x v="1102"/>
      <x v="611"/>
    </i>
    <i r="4">
      <x v="1433"/>
      <x v="611"/>
    </i>
    <i r="4">
      <x v="1519"/>
      <x v="611"/>
    </i>
    <i r="4">
      <x v="1730"/>
      <x v="611"/>
    </i>
    <i r="4">
      <x v="3075"/>
      <x v="611"/>
    </i>
    <i r="4">
      <x v="3138"/>
      <x v="611"/>
    </i>
    <i r="2">
      <x v="22"/>
      <x v="419"/>
      <x v="3250"/>
      <x v="611"/>
    </i>
    <i r="3">
      <x v="441"/>
      <x v="3546"/>
      <x v="611"/>
    </i>
    <i r="3">
      <x v="450"/>
      <x v="3549"/>
      <x v="611"/>
    </i>
    <i>
      <x v="163"/>
      <x v="1"/>
      <x v="18"/>
      <x v="5"/>
      <x v="383"/>
      <x v="611"/>
    </i>
    <i r="1">
      <x v="3"/>
      <x v="2"/>
      <x v="5"/>
      <x v="3443"/>
      <x v="611"/>
    </i>
    <i r="1">
      <x v="5"/>
      <x v="19"/>
      <x v="5"/>
      <x v="95"/>
      <x v="611"/>
    </i>
    <i r="1">
      <x v="16"/>
      <x v="67"/>
      <x v="5"/>
      <x v="3380"/>
      <x v="611"/>
    </i>
    <i r="1">
      <x v="22"/>
      <x v="18"/>
      <x v="5"/>
      <x v="3564"/>
      <x v="206"/>
    </i>
    <i r="1">
      <x v="23"/>
      <x v="14"/>
      <x v="5"/>
      <x v="2497"/>
      <x v="611"/>
    </i>
    <i r="1">
      <x v="24"/>
      <x v="16"/>
      <x v="5"/>
      <x v="2371"/>
      <x v="611"/>
    </i>
    <i r="1">
      <x v="27"/>
      <x v="2"/>
      <x v="5"/>
      <x v="1909"/>
      <x v="611"/>
    </i>
    <i r="4">
      <x v="2027"/>
      <x v="611"/>
    </i>
    <i r="4">
      <x v="3209"/>
      <x v="611"/>
    </i>
    <i r="4">
      <x v="3443"/>
      <x v="611"/>
    </i>
    <i r="1">
      <x v="28"/>
      <x v="67"/>
      <x v="5"/>
      <x v="352"/>
      <x v="611"/>
    </i>
    <i r="1">
      <x v="31"/>
      <x v="18"/>
      <x v="5"/>
      <x v="281"/>
      <x v="611"/>
    </i>
    <i r="1">
      <x v="37"/>
      <x v="67"/>
      <x v="5"/>
      <x v="3249"/>
      <x v="611"/>
    </i>
    <i r="1">
      <x v="40"/>
      <x v="2"/>
      <x v="5"/>
      <x v="3443"/>
      <x v="611"/>
    </i>
    <i r="2">
      <x v="14"/>
      <x v="5"/>
      <x v="1132"/>
      <x v="611"/>
    </i>
    <i r="4">
      <x v="1165"/>
      <x v="611"/>
    </i>
    <i r="4">
      <x v="2820"/>
      <x v="611"/>
    </i>
    <i r="2">
      <x v="16"/>
      <x v="5"/>
      <x v="2411"/>
      <x v="611"/>
    </i>
    <i r="4">
      <x v="3063"/>
      <x v="611"/>
    </i>
    <i r="2">
      <x v="17"/>
      <x v="5"/>
      <x v="1603"/>
      <x v="611"/>
    </i>
    <i r="4">
      <x v="2569"/>
      <x v="611"/>
    </i>
    <i r="2">
      <x v="18"/>
      <x v="5"/>
      <x v="1875"/>
      <x v="611"/>
    </i>
    <i r="4">
      <x v="2390"/>
      <x v="611"/>
    </i>
    <i r="2">
      <x v="22"/>
      <x v="399"/>
      <x v="2969"/>
      <x v="611"/>
    </i>
    <i r="3">
      <x v="426"/>
      <x v="3393"/>
      <x v="611"/>
    </i>
    <i r="3">
      <x v="428"/>
      <x v="3544"/>
      <x v="611"/>
    </i>
    <i>
      <x v="164"/>
      <x v="3"/>
      <x v="2"/>
      <x v="4"/>
      <x v="3443"/>
      <x v="611"/>
    </i>
    <i r="1">
      <x v="27"/>
      <x v="2"/>
      <x v="4"/>
      <x v="2486"/>
      <x v="611"/>
    </i>
    <i r="4">
      <x v="2690"/>
      <x v="611"/>
    </i>
    <i r="4">
      <x v="2969"/>
      <x v="611"/>
    </i>
    <i r="4">
      <x v="3209"/>
      <x v="611"/>
    </i>
    <i r="1">
      <x v="37"/>
      <x v="67"/>
      <x v="4"/>
      <x v="3393"/>
      <x v="611"/>
    </i>
    <i r="1">
      <x v="40"/>
      <x v="22"/>
      <x v="418"/>
      <x v="1539"/>
      <x v="611"/>
    </i>
    <i r="3">
      <x v="425"/>
      <x v="3535"/>
      <x v="611"/>
    </i>
    <i>
      <x v="165"/>
      <x v="1"/>
      <x v="18"/>
      <x v="3"/>
      <x v="169"/>
      <x v="611"/>
    </i>
    <i r="1">
      <x v="3"/>
      <x v="2"/>
      <x v="3"/>
      <x v="3443"/>
      <x v="611"/>
    </i>
    <i r="1">
      <x v="14"/>
      <x v="18"/>
      <x v="3"/>
      <x v="480"/>
      <x v="611"/>
    </i>
    <i r="1">
      <x v="16"/>
      <x v="14"/>
      <x v="3"/>
      <x v="649"/>
      <x v="611"/>
    </i>
    <i r="2">
      <x v="18"/>
      <x v="3"/>
      <x v="1471"/>
      <x v="611"/>
    </i>
    <i r="2">
      <x v="67"/>
      <x v="3"/>
      <x v="2519"/>
      <x v="611"/>
    </i>
    <i r="1">
      <x v="22"/>
      <x v="14"/>
      <x v="3"/>
      <x v="274"/>
      <x v="611"/>
    </i>
    <i r="2">
      <x v="19"/>
      <x v="3"/>
      <x v="3564"/>
      <x v="105"/>
    </i>
    <i r="1">
      <x v="25"/>
      <x v="14"/>
      <x v="3"/>
      <x v="320"/>
      <x v="611"/>
    </i>
    <i r="1">
      <x v="27"/>
      <x v="2"/>
      <x v="3"/>
      <x v="2486"/>
      <x v="611"/>
    </i>
    <i r="4">
      <x v="2969"/>
      <x v="611"/>
    </i>
    <i r="4">
      <x v="3209"/>
      <x v="611"/>
    </i>
    <i r="4">
      <x v="3443"/>
      <x v="611"/>
    </i>
    <i r="1">
      <x v="34"/>
      <x v="67"/>
      <x v="3"/>
      <x v="2291"/>
      <x v="611"/>
    </i>
    <i r="1">
      <x v="40"/>
      <x v="14"/>
      <x v="3"/>
      <x v="2133"/>
      <x v="611"/>
    </i>
    <i r="2">
      <x v="18"/>
      <x v="3"/>
      <x v="881"/>
      <x v="611"/>
    </i>
    <i r="4">
      <x v="1229"/>
      <x v="611"/>
    </i>
    <i r="4">
      <x v="1643"/>
      <x v="611"/>
    </i>
    <i r="2">
      <x v="22"/>
      <x v="385"/>
      <x v="2930"/>
      <x v="611"/>
    </i>
    <i>
      <x v="166"/>
      <x v="16"/>
      <x v="18"/>
      <x v="2"/>
      <x v="224"/>
      <x v="611"/>
    </i>
    <i r="1">
      <x v="20"/>
      <x v="2"/>
      <x v="2"/>
      <x v="701"/>
      <x v="611"/>
    </i>
    <i r="1">
      <x v="22"/>
      <x v="14"/>
      <x v="2"/>
      <x v="176"/>
      <x v="611"/>
    </i>
    <i r="1">
      <x v="24"/>
      <x v="67"/>
      <x v="2"/>
      <x v="684"/>
      <x v="611"/>
    </i>
    <i r="1">
      <x v="33"/>
      <x v="18"/>
      <x v="2"/>
      <x v="3393"/>
      <x v="611"/>
    </i>
    <i r="2">
      <x v="19"/>
      <x v="2"/>
      <x v="2665"/>
      <x v="611"/>
    </i>
    <i r="1">
      <x v="38"/>
      <x v="2"/>
      <x v="2"/>
      <x v="1487"/>
      <x v="611"/>
    </i>
    <i r="2">
      <x v="14"/>
      <x v="2"/>
      <x v="453"/>
      <x v="611"/>
    </i>
    <i r="1">
      <x v="40"/>
      <x v="16"/>
      <x v="2"/>
      <x v="2134"/>
      <x v="611"/>
    </i>
    <i r="2">
      <x v="18"/>
      <x v="2"/>
      <x v="697"/>
      <x v="611"/>
    </i>
    <i r="4">
      <x v="1626"/>
      <x v="611"/>
    </i>
    <i r="4">
      <x v="1744"/>
      <x v="611"/>
    </i>
    <i r="4">
      <x v="3291"/>
      <x v="611"/>
    </i>
    <i r="2">
      <x v="22"/>
      <x v="385"/>
      <x v="3528"/>
      <x v="611"/>
    </i>
    <i r="3">
      <x v="402"/>
      <x v="3550"/>
      <x v="611"/>
    </i>
    <i>
      <x v="167"/>
      <x v="2"/>
      <x v="18"/>
      <x v="1"/>
      <x v="167"/>
      <x v="611"/>
    </i>
    <i r="1">
      <x v="3"/>
      <x v="2"/>
      <x v="1"/>
      <x v="3443"/>
      <x v="611"/>
    </i>
    <i r="1">
      <x v="5"/>
      <x v="18"/>
      <x v="1"/>
      <x v="887"/>
      <x v="611"/>
    </i>
    <i r="1">
      <x v="10"/>
      <x v="2"/>
      <x v="1"/>
      <x v="2486"/>
      <x v="611"/>
    </i>
    <i r="1">
      <x v="14"/>
      <x v="18"/>
      <x v="1"/>
      <x v="1566"/>
      <x v="611"/>
    </i>
    <i r="1">
      <x v="23"/>
      <x v="14"/>
      <x v="1"/>
      <x v="791"/>
      <x v="611"/>
    </i>
    <i r="1">
      <x v="24"/>
      <x v="14"/>
      <x v="1"/>
      <x v="520"/>
      <x v="611"/>
    </i>
    <i r="2">
      <x v="17"/>
      <x v="1"/>
      <x v="2524"/>
      <x v="611"/>
    </i>
    <i r="1">
      <x v="25"/>
      <x v="2"/>
      <x v="1"/>
      <x v="2207"/>
      <x v="611"/>
    </i>
    <i r="2">
      <x v="67"/>
      <x v="1"/>
      <x v="2868"/>
      <x v="611"/>
    </i>
    <i r="1">
      <x v="27"/>
      <x v="2"/>
      <x v="1"/>
      <x v="2486"/>
      <x v="611"/>
    </i>
    <i r="4">
      <x v="2969"/>
      <x v="611"/>
    </i>
    <i r="4">
      <x v="3443"/>
      <x v="611"/>
    </i>
    <i r="1">
      <x v="28"/>
      <x v="14"/>
      <x v="1"/>
      <x v="1722"/>
      <x v="611"/>
    </i>
    <i r="2">
      <x v="17"/>
      <x v="1"/>
      <x v="1347"/>
      <x v="611"/>
    </i>
    <i r="2">
      <x v="18"/>
      <x v="1"/>
      <x v="647"/>
      <x v="611"/>
    </i>
    <i r="2">
      <x v="19"/>
      <x v="1"/>
      <x v="3564"/>
      <x v="372"/>
    </i>
    <i r="1">
      <x v="30"/>
      <x v="14"/>
      <x v="1"/>
      <x v="622"/>
      <x v="611"/>
    </i>
    <i r="1">
      <x v="33"/>
      <x v="17"/>
      <x v="1"/>
      <x v="1338"/>
      <x v="611"/>
    </i>
    <i r="2">
      <x v="18"/>
      <x v="1"/>
      <x v="726"/>
      <x v="611"/>
    </i>
    <i r="1">
      <x v="34"/>
      <x v="67"/>
      <x v="1"/>
      <x v="2137"/>
      <x v="611"/>
    </i>
    <i r="1">
      <x v="38"/>
      <x v="2"/>
      <x v="1"/>
      <x v="2871"/>
      <x v="611"/>
    </i>
    <i r="1">
      <x v="40"/>
      <x v="16"/>
      <x v="1"/>
      <x v="2486"/>
      <x v="611"/>
    </i>
    <i r="4">
      <x v="2692"/>
      <x v="611"/>
    </i>
    <i r="2">
      <x v="18"/>
      <x v="1"/>
      <x v="894"/>
      <x v="611"/>
    </i>
    <i r="4">
      <x v="1051"/>
      <x v="611"/>
    </i>
    <i r="4">
      <x v="1329"/>
      <x v="611"/>
    </i>
    <i r="4">
      <x v="1351"/>
      <x v="611"/>
    </i>
    <i r="4">
      <x v="1454"/>
      <x v="611"/>
    </i>
    <i r="4">
      <x v="1513"/>
      <x v="611"/>
    </i>
    <i r="4">
      <x v="1516"/>
      <x v="611"/>
    </i>
    <i r="4">
      <x v="1621"/>
      <x v="611"/>
    </i>
    <i r="4">
      <x v="1966"/>
      <x v="611"/>
    </i>
    <i r="4">
      <x v="2994"/>
      <x v="611"/>
    </i>
    <i r="2">
      <x v="22"/>
      <x v="432"/>
      <x v="3548"/>
      <x v="611"/>
    </i>
    <i r="3">
      <x v="443"/>
      <x v="3198"/>
      <x v="611"/>
    </i>
    <i>
      <x v="168"/>
      <x v="1"/>
      <x v="14"/>
      <x/>
      <x v="1939"/>
      <x v="611"/>
    </i>
    <i r="1">
      <x v="2"/>
      <x v="14"/>
      <x/>
      <x v="1871"/>
      <x v="611"/>
    </i>
    <i r="2">
      <x v="18"/>
      <x/>
      <x v="1355"/>
      <x v="611"/>
    </i>
    <i r="1">
      <x v="3"/>
      <x v="2"/>
      <x/>
      <x v="3443"/>
      <x v="611"/>
    </i>
    <i r="1">
      <x v="15"/>
      <x v="14"/>
      <x/>
      <x v="597"/>
      <x v="611"/>
    </i>
    <i r="2">
      <x v="67"/>
      <x/>
      <x v="2988"/>
      <x v="611"/>
    </i>
    <i r="1">
      <x v="16"/>
      <x v="14"/>
      <x/>
      <x v="482"/>
      <x v="611"/>
    </i>
    <i r="1">
      <x v="18"/>
      <x v="14"/>
      <x/>
      <x v="1755"/>
      <x v="611"/>
    </i>
    <i r="1">
      <x v="22"/>
      <x v="14"/>
      <x/>
      <x v="1542"/>
      <x v="611"/>
    </i>
    <i r="1">
      <x v="25"/>
      <x v="14"/>
      <x/>
      <x v="1274"/>
      <x v="611"/>
    </i>
    <i r="1">
      <x v="27"/>
      <x v="2"/>
      <x/>
      <x v="1909"/>
      <x v="611"/>
    </i>
    <i r="4">
      <x v="2486"/>
      <x v="611"/>
    </i>
    <i r="4">
      <x v="2690"/>
      <x v="611"/>
    </i>
    <i r="4">
      <x v="3209"/>
      <x v="611"/>
    </i>
    <i r="4">
      <x v="3443"/>
      <x v="611"/>
    </i>
    <i r="1">
      <x v="32"/>
      <x v="67"/>
      <x/>
      <x v="2690"/>
      <x v="611"/>
    </i>
    <i r="1">
      <x v="33"/>
      <x v="18"/>
      <x/>
      <x v="140"/>
      <x v="611"/>
    </i>
    <i r="1">
      <x v="34"/>
      <x v="67"/>
      <x/>
      <x v="1547"/>
      <x v="611"/>
    </i>
    <i r="1">
      <x v="38"/>
      <x v="14"/>
      <x/>
      <x v="1985"/>
      <x v="611"/>
    </i>
    <i r="1">
      <x v="40"/>
      <x v="2"/>
      <x/>
      <x v="3443"/>
      <x v="611"/>
    </i>
    <i r="2">
      <x v="14"/>
      <x/>
      <x v="1026"/>
      <x v="611"/>
    </i>
    <i r="4">
      <x v="1683"/>
      <x v="611"/>
    </i>
    <i r="2">
      <x v="16"/>
      <x/>
      <x v="1794"/>
      <x v="611"/>
    </i>
    <i r="4">
      <x v="2086"/>
      <x v="611"/>
    </i>
    <i r="2">
      <x v="17"/>
      <x/>
      <x v="1849"/>
      <x v="611"/>
    </i>
    <i r="2">
      <x v="18"/>
      <x/>
      <x v="748"/>
      <x v="611"/>
    </i>
    <i r="4">
      <x v="991"/>
      <x v="611"/>
    </i>
    <i r="4">
      <x v="1004"/>
      <x v="611"/>
    </i>
    <i r="4">
      <x v="1059"/>
      <x v="611"/>
    </i>
    <i r="4">
      <x v="1155"/>
      <x v="611"/>
    </i>
    <i r="4">
      <x v="1401"/>
      <x v="611"/>
    </i>
    <i r="4">
      <x v="1415"/>
      <x v="611"/>
    </i>
    <i r="4">
      <x v="1421"/>
      <x v="611"/>
    </i>
    <i r="4">
      <x v="1534"/>
      <x v="611"/>
    </i>
    <i r="4">
      <x v="1672"/>
      <x v="611"/>
    </i>
    <i r="4">
      <x v="1875"/>
      <x v="611"/>
    </i>
    <i r="4">
      <x v="2024"/>
      <x v="611"/>
    </i>
    <i r="4">
      <x v="2267"/>
      <x v="611"/>
    </i>
    <i r="4">
      <x v="2460"/>
      <x v="611"/>
    </i>
    <i r="4">
      <x v="3417"/>
      <x v="611"/>
    </i>
    <i r="2">
      <x v="22"/>
      <x v="417"/>
      <x v="3544"/>
      <x v="611"/>
    </i>
    <i r="3">
      <x v="443"/>
      <x v="3528"/>
      <x v="611"/>
    </i>
    <i>
      <x v="169"/>
      <x v="40"/>
      <x v="22"/>
      <x v="426"/>
      <x v="2748"/>
      <x v="611"/>
    </i>
    <i>
      <x v="170"/>
      <x/>
      <x v="3"/>
      <x v="456"/>
      <x v="3564"/>
      <x v="95"/>
    </i>
    <i r="5">
      <x v="356"/>
    </i>
    <i r="1">
      <x v="1"/>
      <x v="3"/>
      <x v="456"/>
      <x v="3564"/>
      <x v="29"/>
    </i>
    <i r="5">
      <x v="46"/>
    </i>
    <i r="5">
      <x v="65"/>
    </i>
    <i r="5">
      <x v="274"/>
    </i>
    <i r="5">
      <x v="369"/>
    </i>
    <i r="1">
      <x v="2"/>
      <x v="3"/>
      <x v="456"/>
      <x v="3564"/>
      <x v="36"/>
    </i>
    <i r="5">
      <x v="42"/>
    </i>
    <i r="5">
      <x v="49"/>
    </i>
    <i r="5">
      <x v="80"/>
    </i>
    <i r="5">
      <x v="108"/>
    </i>
    <i r="1">
      <x v="3"/>
      <x v="3"/>
      <x v="456"/>
      <x v="3564"/>
      <x v="59"/>
    </i>
    <i r="5">
      <x v="73"/>
    </i>
    <i r="5">
      <x v="113"/>
    </i>
    <i r="5">
      <x v="118"/>
    </i>
    <i r="5">
      <x v="133"/>
    </i>
    <i r="5">
      <x v="142"/>
    </i>
    <i r="5">
      <x v="147"/>
    </i>
    <i r="5">
      <x v="167"/>
    </i>
    <i r="5">
      <x v="168"/>
    </i>
    <i r="5">
      <x v="184"/>
    </i>
    <i r="5">
      <x v="189"/>
    </i>
    <i r="5">
      <x v="193"/>
    </i>
    <i r="5">
      <x v="199"/>
    </i>
    <i r="5">
      <x v="207"/>
    </i>
    <i r="5">
      <x v="209"/>
    </i>
    <i r="5">
      <x v="212"/>
    </i>
    <i r="5">
      <x v="215"/>
    </i>
    <i r="5">
      <x v="220"/>
    </i>
    <i r="5">
      <x v="226"/>
    </i>
    <i r="5">
      <x v="228"/>
    </i>
    <i r="5">
      <x v="230"/>
    </i>
    <i r="5">
      <x v="252"/>
    </i>
    <i r="5">
      <x v="255"/>
    </i>
    <i r="5">
      <x v="263"/>
    </i>
    <i r="5">
      <x v="266"/>
    </i>
    <i r="5">
      <x v="270"/>
    </i>
    <i r="5">
      <x v="281"/>
    </i>
    <i r="5">
      <x v="285"/>
    </i>
    <i r="5">
      <x v="287"/>
    </i>
    <i r="5">
      <x v="292"/>
    </i>
    <i r="5">
      <x v="304"/>
    </i>
    <i r="5">
      <x v="325"/>
    </i>
    <i r="5">
      <x v="327"/>
    </i>
    <i r="5">
      <x v="329"/>
    </i>
    <i r="5">
      <x v="331"/>
    </i>
    <i r="5">
      <x v="335"/>
    </i>
    <i r="5">
      <x v="358"/>
    </i>
    <i r="5">
      <x v="361"/>
    </i>
    <i r="5">
      <x v="362"/>
    </i>
    <i r="5">
      <x v="363"/>
    </i>
    <i r="5">
      <x v="368"/>
    </i>
    <i r="5">
      <x v="373"/>
    </i>
    <i r="5">
      <x v="377"/>
    </i>
    <i r="5">
      <x v="395"/>
    </i>
    <i r="5">
      <x v="407"/>
    </i>
    <i r="5">
      <x v="410"/>
    </i>
    <i r="5">
      <x v="418"/>
    </i>
    <i r="5">
      <x v="424"/>
    </i>
    <i r="5">
      <x v="430"/>
    </i>
    <i r="5">
      <x v="439"/>
    </i>
    <i r="5">
      <x v="460"/>
    </i>
    <i r="5">
      <x v="480"/>
    </i>
    <i r="5">
      <x v="483"/>
    </i>
    <i r="5">
      <x v="484"/>
    </i>
    <i r="5">
      <x v="501"/>
    </i>
    <i r="5">
      <x v="509"/>
    </i>
    <i r="5">
      <x v="519"/>
    </i>
    <i r="5">
      <x v="523"/>
    </i>
    <i r="5">
      <x v="534"/>
    </i>
    <i r="5">
      <x v="539"/>
    </i>
    <i r="5">
      <x v="542"/>
    </i>
    <i r="5">
      <x v="548"/>
    </i>
    <i r="5">
      <x v="549"/>
    </i>
    <i r="5">
      <x v="553"/>
    </i>
    <i r="5">
      <x v="558"/>
    </i>
    <i r="5">
      <x v="560"/>
    </i>
    <i r="5">
      <x v="563"/>
    </i>
    <i r="5">
      <x v="565"/>
    </i>
    <i r="5">
      <x v="575"/>
    </i>
    <i r="5">
      <x v="580"/>
    </i>
    <i r="5">
      <x v="582"/>
    </i>
    <i r="5">
      <x v="585"/>
    </i>
    <i r="5">
      <x v="595"/>
    </i>
    <i r="5">
      <x v="599"/>
    </i>
    <i r="5">
      <x v="605"/>
    </i>
    <i r="1">
      <x v="4"/>
      <x v="3"/>
      <x v="456"/>
      <x v="3564"/>
      <x v="282"/>
    </i>
    <i r="5">
      <x v="291"/>
    </i>
    <i r="5">
      <x v="422"/>
    </i>
    <i r="1">
      <x v="5"/>
      <x v="3"/>
      <x v="456"/>
      <x v="3564"/>
      <x v="63"/>
    </i>
    <i r="5">
      <x v="82"/>
    </i>
    <i r="5">
      <x v="158"/>
    </i>
    <i r="5">
      <x v="286"/>
    </i>
    <i r="1">
      <x v="8"/>
      <x v="3"/>
      <x v="456"/>
      <x v="3564"/>
      <x v="39"/>
    </i>
    <i r="5">
      <x v="183"/>
    </i>
    <i r="5">
      <x v="466"/>
    </i>
    <i r="1">
      <x v="9"/>
      <x v="3"/>
      <x v="456"/>
      <x v="3564"/>
      <x v="35"/>
    </i>
    <i r="1">
      <x v="10"/>
      <x v="3"/>
      <x v="456"/>
      <x v="3564"/>
      <x v="122"/>
    </i>
    <i r="5">
      <x v="139"/>
    </i>
    <i r="5">
      <x v="350"/>
    </i>
    <i r="1">
      <x v="11"/>
      <x v="3"/>
      <x v="456"/>
      <x v="3564"/>
      <x v="181"/>
    </i>
    <i r="5">
      <x v="458"/>
    </i>
    <i r="1">
      <x v="12"/>
      <x v="3"/>
      <x v="456"/>
      <x v="3564"/>
      <x v="27"/>
    </i>
    <i r="5">
      <x v="64"/>
    </i>
    <i r="5">
      <x v="111"/>
    </i>
    <i r="5">
      <x v="419"/>
    </i>
    <i r="1">
      <x v="13"/>
      <x v="3"/>
      <x v="456"/>
      <x v="3564"/>
      <x v="15"/>
    </i>
    <i r="5">
      <x v="235"/>
    </i>
    <i r="5">
      <x v="247"/>
    </i>
    <i r="5">
      <x v="257"/>
    </i>
    <i r="5">
      <x v="297"/>
    </i>
    <i r="1">
      <x v="14"/>
      <x v="3"/>
      <x v="456"/>
      <x v="3564"/>
      <x v="112"/>
    </i>
    <i r="5">
      <x v="392"/>
    </i>
    <i r="1">
      <x v="15"/>
      <x v="3"/>
      <x v="456"/>
      <x v="3564"/>
      <x v="10"/>
    </i>
    <i r="5">
      <x v="87"/>
    </i>
    <i r="5">
      <x v="273"/>
    </i>
    <i r="5">
      <x v="459"/>
    </i>
    <i r="5">
      <x v="517"/>
    </i>
    <i r="1">
      <x v="16"/>
      <x v="3"/>
      <x v="456"/>
      <x v="3564"/>
      <x v="1"/>
    </i>
    <i r="5">
      <x v="2"/>
    </i>
    <i r="5">
      <x v="43"/>
    </i>
    <i r="5">
      <x v="79"/>
    </i>
    <i r="5">
      <x v="151"/>
    </i>
    <i r="1">
      <x v="17"/>
      <x v="3"/>
      <x v="456"/>
      <x v="3564"/>
      <x v="56"/>
    </i>
    <i r="5">
      <x v="214"/>
    </i>
    <i r="1">
      <x v="18"/>
      <x v="3"/>
      <x v="456"/>
      <x v="3564"/>
      <x v="8"/>
    </i>
    <i r="5">
      <x v="22"/>
    </i>
    <i r="5">
      <x v="210"/>
    </i>
    <i r="5">
      <x v="272"/>
    </i>
    <i r="5">
      <x v="444"/>
    </i>
    <i r="1">
      <x v="19"/>
      <x v="3"/>
      <x v="456"/>
      <x v="3564"/>
      <x v="602"/>
    </i>
    <i r="1">
      <x v="20"/>
      <x v="3"/>
      <x v="456"/>
      <x v="3564"/>
      <x v="26"/>
    </i>
    <i r="5">
      <x v="71"/>
    </i>
    <i r="5">
      <x v="114"/>
    </i>
    <i r="5">
      <x v="153"/>
    </i>
    <i r="5">
      <x v="155"/>
    </i>
    <i r="1">
      <x v="21"/>
      <x v="3"/>
      <x v="456"/>
      <x v="3564"/>
      <x v="442"/>
    </i>
    <i r="5">
      <x v="492"/>
    </i>
    <i r="1">
      <x v="22"/>
      <x v="3"/>
      <x v="456"/>
      <x v="3564"/>
      <x v="33"/>
    </i>
    <i r="5">
      <x v="54"/>
    </i>
    <i r="5">
      <x v="107"/>
    </i>
    <i r="5">
      <x v="121"/>
    </i>
    <i r="5">
      <x v="308"/>
    </i>
    <i r="1">
      <x v="23"/>
      <x v="3"/>
      <x v="456"/>
      <x v="3564"/>
      <x v="171"/>
    </i>
    <i r="5">
      <x v="351"/>
    </i>
    <i r="5">
      <x v="353"/>
    </i>
    <i r="5">
      <x v="564"/>
    </i>
    <i r="1">
      <x v="24"/>
      <x v="3"/>
      <x v="456"/>
      <x v="3564"/>
      <x/>
    </i>
    <i r="5">
      <x v="5"/>
    </i>
    <i r="5">
      <x v="7"/>
    </i>
    <i r="5">
      <x v="53"/>
    </i>
    <i r="5">
      <x v="86"/>
    </i>
    <i r="1">
      <x v="25"/>
      <x v="3"/>
      <x v="456"/>
      <x v="3564"/>
      <x v="62"/>
    </i>
    <i r="5">
      <x v="88"/>
    </i>
    <i r="5">
      <x v="140"/>
    </i>
    <i r="5">
      <x v="174"/>
    </i>
    <i r="5">
      <x v="311"/>
    </i>
    <i r="1">
      <x v="26"/>
      <x v="3"/>
      <x v="456"/>
      <x v="3564"/>
      <x v="415"/>
    </i>
    <i r="5">
      <x v="493"/>
    </i>
    <i r="5">
      <x v="502"/>
    </i>
    <i r="1">
      <x v="27"/>
      <x v="3"/>
      <x v="456"/>
      <x v="3437"/>
      <x v="611"/>
    </i>
    <i r="4">
      <x v="3564"/>
      <x v="4"/>
    </i>
    <i r="5">
      <x v="6"/>
    </i>
    <i r="5">
      <x v="9"/>
    </i>
    <i r="5">
      <x v="12"/>
    </i>
    <i r="5">
      <x v="13"/>
    </i>
    <i r="5">
      <x v="16"/>
    </i>
    <i r="5">
      <x v="17"/>
    </i>
    <i r="5">
      <x v="19"/>
    </i>
    <i r="5">
      <x v="21"/>
    </i>
    <i r="5">
      <x v="23"/>
    </i>
    <i r="5">
      <x v="28"/>
    </i>
    <i r="5">
      <x v="30"/>
    </i>
    <i r="5">
      <x v="32"/>
    </i>
    <i r="5">
      <x v="37"/>
    </i>
    <i r="5">
      <x v="45"/>
    </i>
    <i r="5">
      <x v="47"/>
    </i>
    <i r="5">
      <x v="48"/>
    </i>
    <i r="5">
      <x v="50"/>
    </i>
    <i r="5">
      <x v="51"/>
    </i>
    <i r="5">
      <x v="55"/>
    </i>
    <i r="5">
      <x v="57"/>
    </i>
    <i r="5">
      <x v="58"/>
    </i>
    <i r="5">
      <x v="60"/>
    </i>
    <i r="5">
      <x v="69"/>
    </i>
    <i r="5">
      <x v="75"/>
    </i>
    <i r="5">
      <x v="84"/>
    </i>
    <i r="5">
      <x v="90"/>
    </i>
    <i r="5">
      <x v="96"/>
    </i>
    <i r="5">
      <x v="102"/>
    </i>
    <i r="5">
      <x v="103"/>
    </i>
    <i r="5">
      <x v="104"/>
    </i>
    <i r="5">
      <x v="115"/>
    </i>
    <i r="5">
      <x v="116"/>
    </i>
    <i r="5">
      <x v="131"/>
    </i>
    <i r="5">
      <x v="132"/>
    </i>
    <i r="5">
      <x v="136"/>
    </i>
    <i r="5">
      <x v="137"/>
    </i>
    <i r="5">
      <x v="143"/>
    </i>
    <i r="5">
      <x v="146"/>
    </i>
    <i r="5">
      <x v="162"/>
    </i>
    <i r="5">
      <x v="169"/>
    </i>
    <i r="5">
      <x v="177"/>
    </i>
    <i r="5">
      <x v="191"/>
    </i>
    <i r="5">
      <x v="195"/>
    </i>
    <i r="5">
      <x v="196"/>
    </i>
    <i r="5">
      <x v="214"/>
    </i>
    <i r="5">
      <x v="216"/>
    </i>
    <i r="5">
      <x v="221"/>
    </i>
    <i r="5">
      <x v="232"/>
    </i>
    <i r="5">
      <x v="234"/>
    </i>
    <i r="5">
      <x v="239"/>
    </i>
    <i r="5">
      <x v="240"/>
    </i>
    <i r="5">
      <x v="241"/>
    </i>
    <i r="5">
      <x v="245"/>
    </i>
    <i r="5">
      <x v="254"/>
    </i>
    <i r="5">
      <x v="278"/>
    </i>
    <i r="5">
      <x v="295"/>
    </i>
    <i r="5">
      <x v="303"/>
    </i>
    <i r="5">
      <x v="306"/>
    </i>
    <i r="5">
      <x v="307"/>
    </i>
    <i r="5">
      <x v="309"/>
    </i>
    <i r="5">
      <x v="313"/>
    </i>
    <i r="5">
      <x v="324"/>
    </i>
    <i r="5">
      <x v="328"/>
    </i>
    <i r="5">
      <x v="329"/>
    </i>
    <i r="5">
      <x v="334"/>
    </i>
    <i r="5">
      <x v="336"/>
    </i>
    <i r="5">
      <x v="339"/>
    </i>
    <i r="5">
      <x v="347"/>
    </i>
    <i r="5">
      <x v="354"/>
    </i>
    <i r="5">
      <x v="355"/>
    </i>
    <i r="5">
      <x v="363"/>
    </i>
    <i r="5">
      <x v="365"/>
    </i>
    <i r="5">
      <x v="367"/>
    </i>
    <i r="5">
      <x v="379"/>
    </i>
    <i r="5">
      <x v="382"/>
    </i>
    <i r="5">
      <x v="384"/>
    </i>
    <i r="5">
      <x v="385"/>
    </i>
    <i r="5">
      <x v="386"/>
    </i>
    <i r="5">
      <x v="388"/>
    </i>
    <i r="5">
      <x v="394"/>
    </i>
    <i r="5">
      <x v="397"/>
    </i>
    <i r="5">
      <x v="400"/>
    </i>
    <i r="5">
      <x v="406"/>
    </i>
    <i r="5">
      <x v="409"/>
    </i>
    <i r="5">
      <x v="414"/>
    </i>
    <i r="5">
      <x v="417"/>
    </i>
    <i r="5">
      <x v="437"/>
    </i>
    <i r="5">
      <x v="468"/>
    </i>
    <i r="5">
      <x v="477"/>
    </i>
    <i r="5">
      <x v="481"/>
    </i>
    <i r="5">
      <x v="501"/>
    </i>
    <i r="5">
      <x v="503"/>
    </i>
    <i r="5">
      <x v="510"/>
    </i>
    <i r="5">
      <x v="519"/>
    </i>
    <i r="5">
      <x v="522"/>
    </i>
    <i r="5">
      <x v="534"/>
    </i>
    <i r="5">
      <x v="552"/>
    </i>
    <i r="5">
      <x v="557"/>
    </i>
    <i r="5">
      <x v="563"/>
    </i>
    <i r="5">
      <x v="567"/>
    </i>
    <i r="5">
      <x v="578"/>
    </i>
    <i r="5">
      <x v="580"/>
    </i>
    <i r="5">
      <x v="587"/>
    </i>
    <i r="5">
      <x v="592"/>
    </i>
    <i r="5">
      <x v="599"/>
    </i>
    <i r="5">
      <x v="600"/>
    </i>
    <i r="1">
      <x v="28"/>
      <x v="3"/>
      <x v="456"/>
      <x v="3564"/>
      <x v="25"/>
    </i>
    <i r="5">
      <x v="67"/>
    </i>
    <i r="5">
      <x v="70"/>
    </i>
    <i r="5">
      <x v="530"/>
    </i>
    <i r="1">
      <x v="29"/>
      <x v="3"/>
      <x v="456"/>
      <x v="3564"/>
      <x v="52"/>
    </i>
    <i r="5">
      <x v="85"/>
    </i>
    <i r="5">
      <x v="109"/>
    </i>
    <i r="5">
      <x v="123"/>
    </i>
    <i r="1">
      <x v="30"/>
      <x v="3"/>
      <x v="456"/>
      <x v="3564"/>
      <x v="34"/>
    </i>
    <i r="5">
      <x v="38"/>
    </i>
    <i r="5">
      <x v="72"/>
    </i>
    <i r="5">
      <x v="154"/>
    </i>
    <i r="5">
      <x v="175"/>
    </i>
    <i r="1">
      <x v="31"/>
      <x v="3"/>
      <x v="456"/>
      <x v="3564"/>
      <x v="74"/>
    </i>
    <i r="5">
      <x v="225"/>
    </i>
    <i r="5">
      <x v="261"/>
    </i>
    <i r="1">
      <x v="32"/>
      <x v="3"/>
      <x v="456"/>
      <x v="3564"/>
      <x v="18"/>
    </i>
    <i r="5">
      <x v="135"/>
    </i>
    <i r="5">
      <x v="256"/>
    </i>
    <i r="5">
      <x v="301"/>
    </i>
    <i r="1">
      <x v="33"/>
      <x v="3"/>
      <x v="456"/>
      <x v="3564"/>
      <x v="31"/>
    </i>
    <i r="5">
      <x v="61"/>
    </i>
    <i r="5">
      <x v="97"/>
    </i>
    <i r="5">
      <x v="211"/>
    </i>
    <i r="5">
      <x v="443"/>
    </i>
    <i r="1">
      <x v="34"/>
      <x v="3"/>
      <x v="456"/>
      <x v="3564"/>
      <x v="44"/>
    </i>
    <i r="5">
      <x v="590"/>
    </i>
    <i r="1">
      <x v="35"/>
      <x v="3"/>
      <x v="456"/>
      <x v="3564"/>
      <x v="11"/>
    </i>
    <i r="5">
      <x v="68"/>
    </i>
    <i r="5">
      <x v="134"/>
    </i>
    <i r="5">
      <x v="374"/>
    </i>
    <i r="1">
      <x v="36"/>
      <x v="3"/>
      <x v="456"/>
      <x v="3564"/>
      <x v="352"/>
    </i>
    <i r="1">
      <x v="37"/>
      <x v="3"/>
      <x v="456"/>
      <x v="3564"/>
      <x v="40"/>
    </i>
    <i r="5">
      <x v="130"/>
    </i>
    <i r="5">
      <x v="188"/>
    </i>
    <i r="5">
      <x v="205"/>
    </i>
    <i r="1">
      <x v="38"/>
      <x v="3"/>
      <x v="456"/>
      <x v="3564"/>
      <x v="3"/>
    </i>
    <i r="5">
      <x v="24"/>
    </i>
    <i r="5">
      <x v="66"/>
    </i>
    <i r="5">
      <x v="83"/>
    </i>
    <i r="5">
      <x v="264"/>
    </i>
    <i r="1">
      <x v="40"/>
      <x v="3"/>
      <x v="456"/>
      <x v="3564"/>
      <x v="76"/>
    </i>
    <i r="5">
      <x v="81"/>
    </i>
    <i r="5">
      <x v="89"/>
    </i>
    <i r="5">
      <x v="93"/>
    </i>
    <i r="5">
      <x v="94"/>
    </i>
    <i r="5">
      <x v="98"/>
    </i>
    <i r="5">
      <x v="99"/>
    </i>
    <i r="5">
      <x v="100"/>
    </i>
    <i r="5">
      <x v="106"/>
    </i>
    <i r="5">
      <x v="110"/>
    </i>
    <i r="5">
      <x v="117"/>
    </i>
    <i r="5">
      <x v="124"/>
    </i>
    <i r="5">
      <x v="125"/>
    </i>
    <i r="5">
      <x v="126"/>
    </i>
    <i r="5">
      <x v="128"/>
    </i>
    <i r="5">
      <x v="129"/>
    </i>
    <i r="5">
      <x v="138"/>
    </i>
    <i r="5">
      <x v="141"/>
    </i>
    <i r="5">
      <x v="144"/>
    </i>
    <i r="5">
      <x v="145"/>
    </i>
    <i r="5">
      <x v="148"/>
    </i>
    <i r="5">
      <x v="149"/>
    </i>
    <i r="5">
      <x v="150"/>
    </i>
    <i r="5">
      <x v="152"/>
    </i>
    <i r="5">
      <x v="156"/>
    </i>
    <i r="5">
      <x v="157"/>
    </i>
    <i r="5">
      <x v="159"/>
    </i>
    <i r="5">
      <x v="160"/>
    </i>
    <i r="5">
      <x v="161"/>
    </i>
    <i r="5">
      <x v="163"/>
    </i>
    <i r="5">
      <x v="164"/>
    </i>
    <i r="5">
      <x v="165"/>
    </i>
    <i r="5">
      <x v="170"/>
    </i>
    <i r="5">
      <x v="172"/>
    </i>
    <i r="5">
      <x v="176"/>
    </i>
    <i r="5">
      <x v="178"/>
    </i>
    <i r="5">
      <x v="179"/>
    </i>
    <i r="5">
      <x v="180"/>
    </i>
    <i r="5">
      <x v="182"/>
    </i>
    <i r="5">
      <x v="185"/>
    </i>
    <i r="5">
      <x v="186"/>
    </i>
    <i r="5">
      <x v="187"/>
    </i>
    <i r="5">
      <x v="192"/>
    </i>
    <i r="5">
      <x v="194"/>
    </i>
    <i r="5">
      <x v="197"/>
    </i>
    <i r="5">
      <x v="198"/>
    </i>
    <i r="5">
      <x v="200"/>
    </i>
    <i r="5">
      <x v="201"/>
    </i>
    <i r="5">
      <x v="202"/>
    </i>
    <i r="5">
      <x v="203"/>
    </i>
    <i r="5">
      <x v="204"/>
    </i>
    <i r="5">
      <x v="208"/>
    </i>
    <i r="5">
      <x v="213"/>
    </i>
    <i r="5">
      <x v="217"/>
    </i>
    <i r="5">
      <x v="218"/>
    </i>
    <i r="5">
      <x v="219"/>
    </i>
    <i r="5">
      <x v="222"/>
    </i>
    <i r="5">
      <x v="223"/>
    </i>
    <i r="5">
      <x v="224"/>
    </i>
    <i r="5">
      <x v="227"/>
    </i>
    <i r="5">
      <x v="229"/>
    </i>
    <i r="5">
      <x v="231"/>
    </i>
    <i r="5">
      <x v="233"/>
    </i>
    <i r="5">
      <x v="236"/>
    </i>
    <i r="5">
      <x v="237"/>
    </i>
    <i r="5">
      <x v="242"/>
    </i>
    <i r="5">
      <x v="243"/>
    </i>
    <i r="5">
      <x v="244"/>
    </i>
    <i r="5">
      <x v="246"/>
    </i>
    <i r="5">
      <x v="248"/>
    </i>
    <i r="5">
      <x v="249"/>
    </i>
    <i r="5">
      <x v="250"/>
    </i>
    <i r="5">
      <x v="251"/>
    </i>
    <i r="5">
      <x v="258"/>
    </i>
    <i r="5">
      <x v="259"/>
    </i>
    <i r="5">
      <x v="262"/>
    </i>
    <i r="5">
      <x v="265"/>
    </i>
    <i r="5">
      <x v="267"/>
    </i>
    <i r="5">
      <x v="269"/>
    </i>
    <i r="5">
      <x v="271"/>
    </i>
    <i r="5">
      <x v="275"/>
    </i>
    <i r="5">
      <x v="276"/>
    </i>
    <i r="5">
      <x v="277"/>
    </i>
    <i r="5">
      <x v="279"/>
    </i>
    <i r="5">
      <x v="280"/>
    </i>
    <i r="5">
      <x v="283"/>
    </i>
    <i r="5">
      <x v="288"/>
    </i>
    <i r="5">
      <x v="289"/>
    </i>
    <i r="5">
      <x v="290"/>
    </i>
    <i r="5">
      <x v="296"/>
    </i>
    <i r="5">
      <x v="298"/>
    </i>
    <i r="5">
      <x v="299"/>
    </i>
    <i r="5">
      <x v="300"/>
    </i>
    <i r="5">
      <x v="305"/>
    </i>
    <i r="5">
      <x v="310"/>
    </i>
    <i r="5">
      <x v="312"/>
    </i>
    <i r="5">
      <x v="314"/>
    </i>
    <i r="5">
      <x v="315"/>
    </i>
    <i r="5">
      <x v="316"/>
    </i>
    <i r="5">
      <x v="317"/>
    </i>
    <i r="5">
      <x v="318"/>
    </i>
    <i r="5">
      <x v="319"/>
    </i>
    <i r="5">
      <x v="320"/>
    </i>
    <i r="5">
      <x v="321"/>
    </i>
    <i r="5">
      <x v="322"/>
    </i>
    <i r="5">
      <x v="323"/>
    </i>
    <i r="5">
      <x v="326"/>
    </i>
    <i r="5">
      <x v="330"/>
    </i>
    <i r="5">
      <x v="332"/>
    </i>
    <i r="5">
      <x v="333"/>
    </i>
    <i r="5">
      <x v="337"/>
    </i>
    <i r="5">
      <x v="340"/>
    </i>
    <i r="5">
      <x v="342"/>
    </i>
    <i r="5">
      <x v="343"/>
    </i>
    <i r="5">
      <x v="344"/>
    </i>
    <i r="5">
      <x v="345"/>
    </i>
    <i r="5">
      <x v="346"/>
    </i>
    <i r="5">
      <x v="348"/>
    </i>
    <i r="5">
      <x v="349"/>
    </i>
    <i r="5">
      <x v="357"/>
    </i>
    <i r="5">
      <x v="359"/>
    </i>
    <i r="5">
      <x v="366"/>
    </i>
    <i r="5">
      <x v="370"/>
    </i>
    <i r="5">
      <x v="371"/>
    </i>
    <i r="5">
      <x v="375"/>
    </i>
    <i r="5">
      <x v="376"/>
    </i>
    <i r="5">
      <x v="378"/>
    </i>
    <i r="5">
      <x v="383"/>
    </i>
    <i r="5">
      <x v="387"/>
    </i>
    <i r="5">
      <x v="389"/>
    </i>
    <i r="5">
      <x v="390"/>
    </i>
    <i r="5">
      <x v="396"/>
    </i>
    <i r="5">
      <x v="398"/>
    </i>
    <i r="5">
      <x v="402"/>
    </i>
    <i r="5">
      <x v="403"/>
    </i>
    <i r="5">
      <x v="404"/>
    </i>
    <i r="5">
      <x v="405"/>
    </i>
    <i r="5">
      <x v="411"/>
    </i>
    <i r="5">
      <x v="412"/>
    </i>
    <i r="5">
      <x v="413"/>
    </i>
    <i r="5">
      <x v="416"/>
    </i>
    <i r="5">
      <x v="420"/>
    </i>
    <i r="5">
      <x v="421"/>
    </i>
    <i r="5">
      <x v="423"/>
    </i>
    <i r="5">
      <x v="425"/>
    </i>
    <i r="5">
      <x v="426"/>
    </i>
    <i r="5">
      <x v="427"/>
    </i>
    <i r="5">
      <x v="428"/>
    </i>
    <i r="5">
      <x v="432"/>
    </i>
    <i r="5">
      <x v="433"/>
    </i>
    <i r="5">
      <x v="434"/>
    </i>
    <i r="5">
      <x v="435"/>
    </i>
    <i r="5">
      <x v="436"/>
    </i>
    <i r="5">
      <x v="438"/>
    </i>
    <i r="5">
      <x v="440"/>
    </i>
    <i r="5">
      <x v="441"/>
    </i>
    <i r="5">
      <x v="445"/>
    </i>
    <i r="5">
      <x v="446"/>
    </i>
    <i r="5">
      <x v="447"/>
    </i>
    <i r="5">
      <x v="449"/>
    </i>
    <i r="5">
      <x v="450"/>
    </i>
    <i r="5">
      <x v="451"/>
    </i>
    <i r="5">
      <x v="452"/>
    </i>
    <i r="5">
      <x v="453"/>
    </i>
    <i r="5">
      <x v="454"/>
    </i>
    <i r="5">
      <x v="455"/>
    </i>
    <i r="5">
      <x v="456"/>
    </i>
    <i r="5">
      <x v="457"/>
    </i>
    <i r="5">
      <x v="461"/>
    </i>
    <i r="5">
      <x v="463"/>
    </i>
    <i r="5">
      <x v="464"/>
    </i>
    <i r="5">
      <x v="465"/>
    </i>
    <i r="5">
      <x v="467"/>
    </i>
    <i r="5">
      <x v="469"/>
    </i>
    <i r="5">
      <x v="470"/>
    </i>
    <i r="5">
      <x v="471"/>
    </i>
    <i r="5">
      <x v="472"/>
    </i>
    <i r="5">
      <x v="474"/>
    </i>
    <i r="5">
      <x v="475"/>
    </i>
    <i r="5">
      <x v="476"/>
    </i>
    <i r="5">
      <x v="478"/>
    </i>
    <i r="5">
      <x v="479"/>
    </i>
    <i r="5">
      <x v="482"/>
    </i>
    <i r="5">
      <x v="486"/>
    </i>
    <i r="5">
      <x v="487"/>
    </i>
    <i r="5">
      <x v="488"/>
    </i>
    <i r="5">
      <x v="490"/>
    </i>
    <i r="5">
      <x v="491"/>
    </i>
    <i r="5">
      <x v="494"/>
    </i>
    <i r="5">
      <x v="495"/>
    </i>
    <i r="5">
      <x v="497"/>
    </i>
    <i r="5">
      <x v="498"/>
    </i>
    <i r="5">
      <x v="499"/>
    </i>
    <i r="5">
      <x v="500"/>
    </i>
    <i r="5">
      <x v="501"/>
    </i>
    <i r="5">
      <x v="504"/>
    </i>
    <i r="5">
      <x v="505"/>
    </i>
    <i r="5">
      <x v="506"/>
    </i>
    <i r="5">
      <x v="507"/>
    </i>
    <i r="5">
      <x v="508"/>
    </i>
    <i r="5">
      <x v="511"/>
    </i>
    <i r="5">
      <x v="512"/>
    </i>
    <i r="5">
      <x v="513"/>
    </i>
    <i r="5">
      <x v="514"/>
    </i>
    <i r="5">
      <x v="515"/>
    </i>
    <i r="5">
      <x v="516"/>
    </i>
    <i r="5">
      <x v="518"/>
    </i>
    <i r="5">
      <x v="519"/>
    </i>
    <i r="5">
      <x v="520"/>
    </i>
    <i r="5">
      <x v="521"/>
    </i>
    <i r="5">
      <x v="524"/>
    </i>
    <i r="5">
      <x v="526"/>
    </i>
    <i r="5">
      <x v="527"/>
    </i>
    <i r="5">
      <x v="528"/>
    </i>
    <i r="5">
      <x v="529"/>
    </i>
    <i r="5">
      <x v="532"/>
    </i>
    <i r="5">
      <x v="535"/>
    </i>
    <i r="5">
      <x v="537"/>
    </i>
    <i r="5">
      <x v="538"/>
    </i>
    <i r="5">
      <x v="540"/>
    </i>
    <i r="5">
      <x v="541"/>
    </i>
    <i r="5">
      <x v="542"/>
    </i>
    <i r="5">
      <x v="543"/>
    </i>
    <i r="5">
      <x v="544"/>
    </i>
    <i r="5">
      <x v="545"/>
    </i>
    <i r="5">
      <x v="546"/>
    </i>
    <i r="5">
      <x v="547"/>
    </i>
    <i r="5">
      <x v="550"/>
    </i>
    <i r="5">
      <x v="554"/>
    </i>
    <i r="5">
      <x v="555"/>
    </i>
    <i r="5">
      <x v="559"/>
    </i>
    <i r="5">
      <x v="561"/>
    </i>
    <i r="5">
      <x v="562"/>
    </i>
    <i r="5">
      <x v="568"/>
    </i>
    <i r="5">
      <x v="571"/>
    </i>
    <i r="5">
      <x v="572"/>
    </i>
    <i r="5">
      <x v="574"/>
    </i>
    <i r="5">
      <x v="577"/>
    </i>
    <i r="5">
      <x v="579"/>
    </i>
    <i r="5">
      <x v="580"/>
    </i>
    <i r="5">
      <x v="581"/>
    </i>
    <i r="5">
      <x v="583"/>
    </i>
    <i r="5">
      <x v="584"/>
    </i>
    <i r="5">
      <x v="588"/>
    </i>
    <i r="5">
      <x v="589"/>
    </i>
    <i r="5">
      <x v="591"/>
    </i>
    <i r="5">
      <x v="593"/>
    </i>
    <i r="5">
      <x v="594"/>
    </i>
    <i r="5">
      <x v="597"/>
    </i>
    <i r="5">
      <x v="599"/>
    </i>
    <i r="5">
      <x v="601"/>
    </i>
    <i r="5">
      <x v="604"/>
    </i>
    <i r="5">
      <x v="606"/>
    </i>
    <i r="2">
      <x v="22"/>
      <x v="402"/>
      <x v="3550"/>
      <x v="611"/>
    </i>
    <i r="3">
      <x v="414"/>
      <x v="3432"/>
      <x v="611"/>
    </i>
    <i>
      <x v="171"/>
      <x v="3"/>
      <x v="2"/>
      <x v="370"/>
      <x v="3443"/>
      <x v="611"/>
    </i>
    <i r="2">
      <x v="67"/>
      <x v="370"/>
      <x v="1376"/>
      <x v="611"/>
    </i>
    <i r="1">
      <x v="20"/>
      <x v="2"/>
      <x v="370"/>
      <x v="2800"/>
      <x v="611"/>
    </i>
    <i r="1">
      <x v="27"/>
      <x v="2"/>
      <x v="370"/>
      <x v="1701"/>
      <x v="611"/>
    </i>
    <i r="4">
      <x v="2690"/>
      <x v="611"/>
    </i>
    <i r="4">
      <x v="2969"/>
      <x v="611"/>
    </i>
    <i r="4">
      <x v="3209"/>
      <x v="611"/>
    </i>
    <i r="4">
      <x v="3443"/>
      <x v="611"/>
    </i>
    <i r="2">
      <x v="67"/>
      <x v="370"/>
      <x v="896"/>
      <x v="611"/>
    </i>
    <i r="4">
      <x v="1850"/>
      <x v="611"/>
    </i>
    <i r="1">
      <x v="28"/>
      <x v="67"/>
      <x v="370"/>
      <x v="2704"/>
      <x v="611"/>
    </i>
    <i r="1">
      <x v="30"/>
      <x v="67"/>
      <x v="370"/>
      <x v="1045"/>
      <x v="611"/>
    </i>
    <i r="1">
      <x v="40"/>
      <x v="2"/>
      <x v="370"/>
      <x v="3209"/>
      <x v="611"/>
    </i>
    <i r="2">
      <x v="17"/>
      <x v="370"/>
      <x v="1814"/>
      <x v="611"/>
    </i>
    <i r="2">
      <x v="22"/>
      <x v="430"/>
      <x v="3528"/>
      <x v="611"/>
    </i>
    <i r="2">
      <x v="67"/>
      <x v="370"/>
      <x v="896"/>
      <x v="611"/>
    </i>
    <i>
      <x v="172"/>
      <x v="3"/>
      <x v="2"/>
      <x v="369"/>
      <x v="3443"/>
      <x v="611"/>
    </i>
    <i r="1">
      <x v="16"/>
      <x v="68"/>
      <x v="369"/>
      <x v="53"/>
      <x v="611"/>
    </i>
    <i r="1">
      <x v="18"/>
      <x v="67"/>
      <x v="369"/>
      <x v="2969"/>
      <x v="611"/>
    </i>
    <i r="2">
      <x v="68"/>
      <x v="369"/>
      <x v="1227"/>
      <x v="611"/>
    </i>
    <i r="1">
      <x v="24"/>
      <x v="16"/>
      <x v="369"/>
      <x v="2748"/>
      <x v="611"/>
    </i>
    <i r="2">
      <x v="68"/>
      <x v="369"/>
      <x v="1227"/>
      <x v="611"/>
    </i>
    <i r="1">
      <x v="27"/>
      <x v="2"/>
      <x v="369"/>
      <x v="2150"/>
      <x v="611"/>
    </i>
    <i r="4">
      <x v="2969"/>
      <x v="611"/>
    </i>
    <i r="4">
      <x v="3443"/>
      <x v="611"/>
    </i>
    <i r="2">
      <x v="67"/>
      <x v="369"/>
      <x v="1284"/>
      <x v="611"/>
    </i>
    <i r="1">
      <x v="33"/>
      <x v="17"/>
      <x v="369"/>
      <x v="1468"/>
      <x v="611"/>
    </i>
    <i r="1">
      <x v="37"/>
      <x v="67"/>
      <x v="369"/>
      <x v="3393"/>
      <x v="611"/>
    </i>
    <i r="1">
      <x v="40"/>
      <x v="2"/>
      <x v="369"/>
      <x v="3443"/>
      <x v="611"/>
    </i>
    <i r="2">
      <x v="16"/>
      <x v="369"/>
      <x v="2198"/>
      <x v="611"/>
    </i>
    <i r="4">
      <x v="2369"/>
      <x v="611"/>
    </i>
    <i r="4">
      <x v="3173"/>
      <x v="611"/>
    </i>
    <i r="2">
      <x v="17"/>
      <x v="369"/>
      <x v="1452"/>
      <x v="611"/>
    </i>
    <i r="4">
      <x v="2367"/>
      <x v="611"/>
    </i>
    <i r="2">
      <x v="22"/>
      <x v="413"/>
      <x v="3239"/>
      <x v="611"/>
    </i>
    <i r="3">
      <x v="426"/>
      <x v="3274"/>
      <x v="611"/>
    </i>
    <i>
      <x v="173"/>
      <x v="3"/>
      <x v="2"/>
      <x v="368"/>
      <x v="3443"/>
      <x v="611"/>
    </i>
    <i r="1">
      <x v="12"/>
      <x v="14"/>
      <x v="368"/>
      <x v="762"/>
      <x v="611"/>
    </i>
    <i r="1">
      <x v="15"/>
      <x v="67"/>
      <x v="368"/>
      <x v="2969"/>
      <x v="611"/>
    </i>
    <i r="1">
      <x v="16"/>
      <x v="14"/>
      <x v="368"/>
      <x v="3431"/>
      <x v="611"/>
    </i>
    <i r="1">
      <x v="18"/>
      <x v="67"/>
      <x v="368"/>
      <x v="2969"/>
      <x v="611"/>
    </i>
    <i r="1">
      <x v="27"/>
      <x v="2"/>
      <x v="368"/>
      <x v="2027"/>
      <x v="611"/>
    </i>
    <i r="4">
      <x v="2690"/>
      <x v="611"/>
    </i>
    <i r="4">
      <x v="2969"/>
      <x v="611"/>
    </i>
    <i r="4">
      <x v="3209"/>
      <x v="611"/>
    </i>
    <i r="4">
      <x v="3443"/>
      <x v="611"/>
    </i>
    <i r="1">
      <x v="32"/>
      <x v="67"/>
      <x v="368"/>
      <x v="1776"/>
      <x v="611"/>
    </i>
    <i r="1">
      <x v="37"/>
      <x v="68"/>
      <x v="368"/>
      <x v="3517"/>
      <x v="611"/>
    </i>
    <i r="1">
      <x v="40"/>
      <x v="14"/>
      <x v="368"/>
      <x v="3211"/>
      <x v="611"/>
    </i>
    <i r="2">
      <x v="16"/>
      <x v="368"/>
      <x v="3131"/>
      <x v="611"/>
    </i>
    <i r="2">
      <x v="22"/>
      <x v="379"/>
      <x v="3544"/>
      <x v="611"/>
    </i>
    <i r="3">
      <x v="381"/>
      <x v="3557"/>
      <x v="611"/>
    </i>
    <i>
      <x v="174"/>
      <x v="3"/>
      <x v="2"/>
      <x v="367"/>
      <x v="3443"/>
      <x v="611"/>
    </i>
    <i r="1">
      <x v="27"/>
      <x v="2"/>
      <x v="367"/>
      <x v="1909"/>
      <x v="611"/>
    </i>
    <i r="4">
      <x v="2690"/>
      <x v="611"/>
    </i>
    <i r="4">
      <x v="3443"/>
      <x v="611"/>
    </i>
    <i r="1">
      <x v="40"/>
      <x v="14"/>
      <x v="367"/>
      <x v="2108"/>
      <x v="611"/>
    </i>
    <i r="2">
      <x v="22"/>
      <x v="426"/>
      <x v="1939"/>
      <x v="611"/>
    </i>
    <i>
      <x v="175"/>
      <x v="12"/>
      <x v="67"/>
      <x v="366"/>
      <x v="571"/>
      <x v="611"/>
    </i>
    <i r="1">
      <x v="27"/>
      <x v="2"/>
      <x v="366"/>
      <x v="2486"/>
      <x v="611"/>
    </i>
    <i r="4">
      <x v="3209"/>
      <x v="611"/>
    </i>
    <i r="1">
      <x v="32"/>
      <x v="67"/>
      <x v="366"/>
      <x v="1712"/>
      <x v="611"/>
    </i>
    <i r="1">
      <x v="40"/>
      <x v="16"/>
      <x v="366"/>
      <x v="1439"/>
      <x v="611"/>
    </i>
    <i r="2">
      <x v="17"/>
      <x v="366"/>
      <x v="2009"/>
      <x v="611"/>
    </i>
    <i r="2">
      <x v="22"/>
      <x v="378"/>
      <x v="3482"/>
      <x v="611"/>
    </i>
    <i r="3">
      <x v="381"/>
      <x v="3544"/>
      <x v="611"/>
    </i>
    <i r="3">
      <x v="390"/>
      <x v="3550"/>
      <x v="611"/>
    </i>
    <i r="3">
      <x v="421"/>
      <x v="3406"/>
      <x v="611"/>
    </i>
    <i>
      <x v="176"/>
      <x v="20"/>
      <x v="67"/>
      <x v="365"/>
      <x v="883"/>
      <x v="611"/>
    </i>
    <i r="1">
      <x v="27"/>
      <x v="2"/>
      <x v="365"/>
      <x v="2150"/>
      <x v="611"/>
    </i>
    <i r="4">
      <x v="3209"/>
      <x v="611"/>
    </i>
    <i r="4">
      <x v="3443"/>
      <x v="611"/>
    </i>
    <i r="1">
      <x v="30"/>
      <x v="67"/>
      <x v="365"/>
      <x v="950"/>
      <x v="611"/>
    </i>
    <i r="1">
      <x v="37"/>
      <x v="2"/>
      <x v="365"/>
      <x v="1834"/>
      <x v="611"/>
    </i>
    <i r="2">
      <x v="14"/>
      <x v="365"/>
      <x v="2900"/>
      <x v="611"/>
    </i>
    <i r="1">
      <x v="40"/>
      <x v="19"/>
      <x v="365"/>
      <x v="3564"/>
      <x v="338"/>
    </i>
    <i r="2">
      <x v="22"/>
      <x v="390"/>
      <x v="3550"/>
      <x v="611"/>
    </i>
    <i r="3">
      <x v="433"/>
      <x v="3544"/>
      <x v="611"/>
    </i>
    <i>
      <x v="177"/>
      <x v="3"/>
      <x v="2"/>
      <x v="363"/>
      <x v="3209"/>
      <x v="611"/>
    </i>
    <i r="4">
      <x v="3443"/>
      <x v="611"/>
    </i>
    <i r="2">
      <x v="26"/>
      <x v="364"/>
      <x v="1507"/>
      <x v="611"/>
    </i>
    <i r="4">
      <x v="2218"/>
      <x v="611"/>
    </i>
    <i r="4">
      <x v="2249"/>
      <x v="611"/>
    </i>
    <i r="4">
      <x v="2461"/>
      <x v="611"/>
    </i>
    <i r="4">
      <x v="2639"/>
      <x v="611"/>
    </i>
    <i r="4">
      <x v="2641"/>
      <x v="611"/>
    </i>
    <i r="4">
      <x v="2728"/>
      <x v="611"/>
    </i>
    <i r="4">
      <x v="3118"/>
      <x v="611"/>
    </i>
    <i r="4">
      <x v="3127"/>
      <x v="611"/>
    </i>
    <i r="4">
      <x v="3320"/>
      <x v="611"/>
    </i>
    <i r="1">
      <x v="12"/>
      <x v="26"/>
      <x v="364"/>
      <x v="2500"/>
      <x v="611"/>
    </i>
    <i r="1">
      <x v="15"/>
      <x v="26"/>
      <x v="364"/>
      <x v="1964"/>
      <x v="611"/>
    </i>
    <i r="1">
      <x v="16"/>
      <x v="26"/>
      <x v="364"/>
      <x v="291"/>
      <x v="611"/>
    </i>
    <i r="1">
      <x v="18"/>
      <x v="26"/>
      <x v="364"/>
      <x v="1397"/>
      <x v="611"/>
    </i>
    <i r="2">
      <x v="67"/>
      <x v="363"/>
      <x v="1623"/>
      <x v="611"/>
    </i>
    <i r="1">
      <x v="22"/>
      <x v="26"/>
      <x v="364"/>
      <x v="810"/>
      <x v="611"/>
    </i>
    <i r="1">
      <x v="24"/>
      <x v="16"/>
      <x v="363"/>
      <x v="1967"/>
      <x v="611"/>
    </i>
    <i r="1">
      <x v="27"/>
      <x v="2"/>
      <x v="363"/>
      <x v="2150"/>
      <x v="611"/>
    </i>
    <i r="4">
      <x v="2969"/>
      <x v="611"/>
    </i>
    <i r="4">
      <x v="3443"/>
      <x v="611"/>
    </i>
    <i r="2">
      <x v="26"/>
      <x v="364"/>
      <x v="84"/>
      <x v="611"/>
    </i>
    <i r="4">
      <x v="103"/>
      <x v="611"/>
    </i>
    <i r="4">
      <x v="168"/>
      <x v="611"/>
    </i>
    <i r="4">
      <x v="238"/>
      <x v="611"/>
    </i>
    <i r="4">
      <x v="255"/>
      <x v="611"/>
    </i>
    <i r="4">
      <x v="259"/>
      <x v="611"/>
    </i>
    <i r="4">
      <x v="322"/>
      <x v="611"/>
    </i>
    <i r="4">
      <x v="370"/>
      <x v="611"/>
    </i>
    <i r="4">
      <x v="380"/>
      <x v="611"/>
    </i>
    <i r="4">
      <x v="397"/>
      <x v="611"/>
    </i>
    <i r="4">
      <x v="411"/>
      <x v="611"/>
    </i>
    <i r="4">
      <x v="434"/>
      <x v="611"/>
    </i>
    <i r="4">
      <x v="470"/>
      <x v="611"/>
    </i>
    <i r="4">
      <x v="494"/>
      <x v="611"/>
    </i>
    <i r="4">
      <x v="505"/>
      <x v="611"/>
    </i>
    <i r="4">
      <x v="605"/>
      <x v="611"/>
    </i>
    <i r="4">
      <x v="608"/>
      <x v="611"/>
    </i>
    <i r="4">
      <x v="751"/>
      <x v="611"/>
    </i>
    <i r="4">
      <x v="860"/>
      <x v="611"/>
    </i>
    <i r="4">
      <x v="1175"/>
      <x v="611"/>
    </i>
    <i r="4">
      <x v="1847"/>
      <x v="611"/>
    </i>
    <i r="4">
      <x v="2551"/>
      <x v="611"/>
    </i>
    <i r="4">
      <x v="2595"/>
      <x v="611"/>
    </i>
    <i r="4">
      <x v="2845"/>
      <x v="611"/>
    </i>
    <i r="4">
      <x v="3132"/>
      <x v="611"/>
    </i>
    <i r="4">
      <x v="3155"/>
      <x v="611"/>
    </i>
    <i r="4">
      <x v="3304"/>
      <x v="611"/>
    </i>
    <i r="1">
      <x v="37"/>
      <x v="26"/>
      <x v="364"/>
      <x v="1147"/>
      <x v="611"/>
    </i>
    <i r="2">
      <x v="67"/>
      <x v="363"/>
      <x v="2858"/>
      <x v="611"/>
    </i>
    <i r="1">
      <x v="38"/>
      <x v="26"/>
      <x v="364"/>
      <x v="34"/>
      <x v="611"/>
    </i>
    <i r="1">
      <x v="40"/>
      <x v="17"/>
      <x v="363"/>
      <x v="2009"/>
      <x v="611"/>
    </i>
    <i r="4">
      <x v="3388"/>
      <x v="611"/>
    </i>
    <i r="2">
      <x v="18"/>
      <x v="363"/>
      <x v="2225"/>
      <x v="611"/>
    </i>
    <i r="4">
      <x v="2413"/>
      <x v="611"/>
    </i>
    <i r="4">
      <x v="2665"/>
      <x v="611"/>
    </i>
    <i r="4">
      <x v="2900"/>
      <x v="611"/>
    </i>
    <i r="2">
      <x v="22"/>
      <x v="391"/>
      <x v="3537"/>
      <x v="611"/>
    </i>
    <i r="3">
      <x v="402"/>
      <x v="3550"/>
      <x v="611"/>
    </i>
    <i r="3">
      <x v="420"/>
      <x v="3475"/>
      <x v="611"/>
    </i>
    <i r="3">
      <x v="435"/>
      <x v="3128"/>
      <x v="611"/>
    </i>
    <i r="2">
      <x v="26"/>
      <x v="364"/>
      <x v="2055"/>
      <x v="611"/>
    </i>
    <i r="4">
      <x v="2067"/>
      <x v="611"/>
    </i>
    <i r="4">
      <x v="2366"/>
      <x v="611"/>
    </i>
    <i r="4">
      <x v="2601"/>
      <x v="611"/>
    </i>
    <i>
      <x v="178"/>
      <x v="3"/>
      <x v="2"/>
      <x v="362"/>
      <x v="2969"/>
      <x v="611"/>
    </i>
    <i r="4">
      <x v="3209"/>
      <x v="611"/>
    </i>
    <i r="4">
      <x v="3443"/>
      <x v="611"/>
    </i>
    <i r="1">
      <x v="13"/>
      <x v="68"/>
      <x v="362"/>
      <x v="2930"/>
      <x v="611"/>
    </i>
    <i r="1">
      <x v="18"/>
      <x v="67"/>
      <x v="362"/>
      <x v="2969"/>
      <x v="611"/>
    </i>
    <i r="1">
      <x v="20"/>
      <x v="67"/>
      <x v="362"/>
      <x v="3346"/>
      <x v="611"/>
    </i>
    <i r="1">
      <x v="24"/>
      <x v="67"/>
      <x v="362"/>
      <x v="2769"/>
      <x v="611"/>
    </i>
    <i r="1">
      <x v="27"/>
      <x v="2"/>
      <x v="362"/>
      <x v="3209"/>
      <x v="611"/>
    </i>
    <i r="4">
      <x v="3443"/>
      <x v="611"/>
    </i>
    <i r="2">
      <x v="67"/>
      <x v="362"/>
      <x v="2100"/>
      <x v="611"/>
    </i>
    <i r="1">
      <x v="31"/>
      <x v="2"/>
      <x v="362"/>
      <x v="1727"/>
      <x v="611"/>
    </i>
    <i r="1">
      <x v="34"/>
      <x v="67"/>
      <x v="362"/>
      <x v="1297"/>
      <x v="611"/>
    </i>
    <i r="1">
      <x v="40"/>
      <x v="2"/>
      <x v="362"/>
      <x v="3443"/>
      <x v="611"/>
    </i>
    <i r="2">
      <x v="22"/>
      <x v="433"/>
      <x v="3537"/>
      <x v="611"/>
    </i>
    <i r="3">
      <x v="435"/>
      <x v="3128"/>
      <x v="611"/>
    </i>
    <i>
      <x v="179"/>
      <x v="16"/>
      <x v="67"/>
      <x v="361"/>
      <x v="2391"/>
      <x v="611"/>
    </i>
    <i r="1">
      <x v="27"/>
      <x v="2"/>
      <x v="361"/>
      <x v="2690"/>
      <x v="611"/>
    </i>
    <i r="4">
      <x v="2969"/>
      <x v="611"/>
    </i>
    <i r="4">
      <x v="3443"/>
      <x v="611"/>
    </i>
    <i r="1">
      <x v="31"/>
      <x v="17"/>
      <x v="361"/>
      <x v="1678"/>
      <x v="611"/>
    </i>
    <i r="1">
      <x v="35"/>
      <x v="67"/>
      <x v="361"/>
      <x v="2043"/>
      <x v="611"/>
    </i>
    <i r="2">
      <x v="68"/>
      <x v="361"/>
      <x v="305"/>
      <x v="611"/>
    </i>
    <i r="1">
      <x v="37"/>
      <x v="68"/>
      <x v="361"/>
      <x v="3098"/>
      <x v="611"/>
    </i>
    <i r="1">
      <x v="40"/>
      <x v="17"/>
      <x v="361"/>
      <x v="2526"/>
      <x v="611"/>
    </i>
    <i r="2">
      <x v="18"/>
      <x v="361"/>
      <x v="2569"/>
      <x v="611"/>
    </i>
    <i r="2">
      <x v="22"/>
      <x v="402"/>
      <x v="3550"/>
      <x v="611"/>
    </i>
    <i r="3">
      <x v="448"/>
      <x v="3242"/>
      <x v="611"/>
    </i>
    <i>
      <x v="180"/>
      <x v="3"/>
      <x v="2"/>
      <x v="360"/>
      <x v="3443"/>
      <x v="611"/>
    </i>
    <i r="1">
      <x v="13"/>
      <x v="67"/>
      <x v="360"/>
      <x v="2969"/>
      <x v="611"/>
    </i>
    <i r="1">
      <x v="16"/>
      <x v="2"/>
      <x v="360"/>
      <x v="3098"/>
      <x v="611"/>
    </i>
    <i r="2">
      <x v="67"/>
      <x v="360"/>
      <x v="3076"/>
      <x v="611"/>
    </i>
    <i r="1">
      <x v="27"/>
      <x v="2"/>
      <x v="360"/>
      <x v="2690"/>
      <x v="611"/>
    </i>
    <i r="4">
      <x v="2969"/>
      <x v="611"/>
    </i>
    <i r="4">
      <x v="3209"/>
      <x v="611"/>
    </i>
    <i r="4">
      <x v="3443"/>
      <x v="611"/>
    </i>
    <i r="2">
      <x v="67"/>
      <x v="360"/>
      <x v="1602"/>
      <x v="611"/>
    </i>
    <i r="4">
      <x v="1701"/>
      <x v="611"/>
    </i>
    <i r="1">
      <x v="32"/>
      <x v="67"/>
      <x v="360"/>
      <x v="1082"/>
      <x v="611"/>
    </i>
    <i r="1">
      <x v="40"/>
      <x v="67"/>
      <x v="360"/>
      <x v="2220"/>
      <x v="611"/>
    </i>
    <i>
      <x v="181"/>
      <x v="3"/>
      <x v="2"/>
      <x v="359"/>
      <x v="3443"/>
      <x v="611"/>
    </i>
    <i r="1">
      <x v="15"/>
      <x v="2"/>
      <x v="359"/>
      <x v="3209"/>
      <x v="611"/>
    </i>
    <i r="1">
      <x v="27"/>
      <x v="2"/>
      <x v="359"/>
      <x v="2027"/>
      <x v="611"/>
    </i>
    <i r="4">
      <x v="2150"/>
      <x v="611"/>
    </i>
    <i r="4">
      <x v="3209"/>
      <x v="611"/>
    </i>
    <i r="4">
      <x v="3443"/>
      <x v="611"/>
    </i>
    <i r="1">
      <x v="40"/>
      <x v="17"/>
      <x v="359"/>
      <x v="1539"/>
      <x v="611"/>
    </i>
    <i r="2">
      <x v="18"/>
      <x v="359"/>
      <x v="3158"/>
      <x v="611"/>
    </i>
    <i r="4">
      <x v="3193"/>
      <x v="611"/>
    </i>
    <i r="4">
      <x v="3211"/>
      <x v="611"/>
    </i>
    <i r="2">
      <x v="22"/>
      <x v="429"/>
      <x v="3537"/>
      <x v="611"/>
    </i>
    <i r="2">
      <x v="67"/>
      <x v="359"/>
      <x v="3107"/>
      <x v="611"/>
    </i>
    <i>
      <x v="182"/>
      <x v="16"/>
      <x v="67"/>
      <x v="358"/>
      <x v="3390"/>
      <x v="611"/>
    </i>
    <i r="1">
      <x v="24"/>
      <x v="2"/>
      <x v="358"/>
      <x v="2486"/>
      <x v="611"/>
    </i>
    <i r="2">
      <x v="67"/>
      <x v="358"/>
      <x v="3209"/>
      <x v="611"/>
    </i>
    <i r="1">
      <x v="27"/>
      <x v="2"/>
      <x v="358"/>
      <x v="2969"/>
      <x v="611"/>
    </i>
    <i r="1">
      <x v="35"/>
      <x v="67"/>
      <x v="358"/>
      <x v="937"/>
      <x v="611"/>
    </i>
    <i r="1">
      <x v="40"/>
      <x v="22"/>
      <x v="379"/>
      <x v="3541"/>
      <x v="611"/>
    </i>
    <i r="3">
      <x v="390"/>
      <x v="3550"/>
      <x v="611"/>
    </i>
    <i r="3">
      <x v="411"/>
      <x v="3274"/>
      <x v="611"/>
    </i>
    <i r="3">
      <x v="417"/>
      <x v="3537"/>
      <x v="611"/>
    </i>
    <i r="3">
      <x v="441"/>
      <x v="3142"/>
      <x v="611"/>
    </i>
    <i>
      <x v="183"/>
      <x v="2"/>
      <x v="17"/>
      <x v="357"/>
      <x v="714"/>
      <x v="611"/>
    </i>
    <i r="1">
      <x v="12"/>
      <x v="67"/>
      <x v="357"/>
      <x v="851"/>
      <x v="611"/>
    </i>
    <i r="1">
      <x v="13"/>
      <x v="67"/>
      <x v="357"/>
      <x v="3098"/>
      <x v="611"/>
    </i>
    <i r="1">
      <x v="15"/>
      <x v="2"/>
      <x v="357"/>
      <x v="3393"/>
      <x v="611"/>
    </i>
    <i r="2">
      <x v="67"/>
      <x v="357"/>
      <x v="3341"/>
      <x v="611"/>
    </i>
    <i r="1">
      <x v="22"/>
      <x v="16"/>
      <x v="357"/>
      <x v="2187"/>
      <x v="611"/>
    </i>
    <i r="1">
      <x v="27"/>
      <x v="2"/>
      <x v="357"/>
      <x v="2305"/>
      <x v="611"/>
    </i>
    <i r="4">
      <x v="2690"/>
      <x v="611"/>
    </i>
    <i r="4">
      <x v="3209"/>
      <x v="611"/>
    </i>
    <i r="4">
      <x v="3443"/>
      <x v="611"/>
    </i>
    <i r="1">
      <x v="32"/>
      <x v="67"/>
      <x v="357"/>
      <x v="1594"/>
      <x v="611"/>
    </i>
    <i r="1">
      <x v="35"/>
      <x v="67"/>
      <x v="357"/>
      <x v="547"/>
      <x v="611"/>
    </i>
    <i r="1">
      <x v="37"/>
      <x v="67"/>
      <x v="357"/>
      <x v="1558"/>
      <x v="611"/>
    </i>
    <i r="1">
      <x v="40"/>
      <x v="18"/>
      <x v="357"/>
      <x v="1740"/>
      <x v="611"/>
    </i>
    <i r="4">
      <x v="2454"/>
      <x v="611"/>
    </i>
    <i r="4">
      <x v="3064"/>
      <x v="611"/>
    </i>
    <i r="2">
      <x v="22"/>
      <x v="379"/>
      <x v="3530"/>
      <x v="611"/>
    </i>
    <i r="3">
      <x v="384"/>
      <x v="3561"/>
      <x v="611"/>
    </i>
    <i r="3">
      <x v="389"/>
      <x v="3341"/>
      <x v="611"/>
    </i>
    <i r="3">
      <x v="402"/>
      <x v="3514"/>
      <x v="611"/>
    </i>
    <i r="3">
      <x v="425"/>
      <x v="3375"/>
      <x v="611"/>
    </i>
    <i r="3">
      <x v="429"/>
      <x v="3537"/>
      <x v="611"/>
    </i>
    <i r="2">
      <x v="67"/>
      <x v="357"/>
      <x v="1356"/>
      <x v="611"/>
    </i>
    <i>
      <x v="184"/>
      <x/>
      <x v="19"/>
      <x v="356"/>
      <x v="1840"/>
      <x v="611"/>
    </i>
    <i r="1">
      <x v="1"/>
      <x v="19"/>
      <x v="356"/>
      <x v="409"/>
      <x v="611"/>
    </i>
    <i r="1">
      <x v="2"/>
      <x v="19"/>
      <x v="356"/>
      <x v="517"/>
      <x v="611"/>
    </i>
    <i r="1">
      <x v="28"/>
      <x v="19"/>
      <x v="356"/>
      <x v="2031"/>
      <x v="611"/>
    </i>
    <i r="1">
      <x v="31"/>
      <x v="19"/>
      <x v="356"/>
      <x v="2978"/>
      <x v="611"/>
    </i>
    <i r="1">
      <x v="37"/>
      <x v="19"/>
      <x v="356"/>
      <x v="818"/>
      <x v="611"/>
    </i>
    <i r="1">
      <x v="38"/>
      <x v="19"/>
      <x v="356"/>
      <x v="341"/>
      <x v="611"/>
    </i>
    <i>
      <x v="185"/>
      <x v="3"/>
      <x v="2"/>
      <x v="355"/>
      <x v="3209"/>
      <x v="611"/>
    </i>
    <i r="4">
      <x v="3443"/>
      <x v="611"/>
    </i>
    <i r="1">
      <x v="11"/>
      <x v="2"/>
      <x v="355"/>
      <x v="1593"/>
      <x v="611"/>
    </i>
    <i r="1">
      <x v="16"/>
      <x v="67"/>
      <x v="355"/>
      <x v="1693"/>
      <x v="611"/>
    </i>
    <i r="1">
      <x v="27"/>
      <x v="2"/>
      <x v="355"/>
      <x v="1701"/>
      <x v="611"/>
    </i>
    <i r="4">
      <x v="1814"/>
      <x v="611"/>
    </i>
    <i r="4">
      <x v="2690"/>
      <x v="611"/>
    </i>
    <i r="4">
      <x v="2969"/>
      <x v="611"/>
    </i>
    <i r="4">
      <x v="3209"/>
      <x v="611"/>
    </i>
    <i r="4">
      <x v="3443"/>
      <x v="611"/>
    </i>
    <i r="1">
      <x v="40"/>
      <x v="2"/>
      <x v="355"/>
      <x v="3209"/>
      <x v="611"/>
    </i>
    <i r="4">
      <x v="3443"/>
      <x v="611"/>
    </i>
    <i r="2">
      <x v="22"/>
      <x v="408"/>
      <x v="3546"/>
      <x v="611"/>
    </i>
    <i r="3">
      <x v="420"/>
      <x v="3518"/>
      <x v="611"/>
    </i>
    <i>
      <x v="186"/>
      <x v="2"/>
      <x v="17"/>
      <x v="354"/>
      <x v="1543"/>
      <x v="611"/>
    </i>
    <i r="1">
      <x v="3"/>
      <x v="2"/>
      <x v="354"/>
      <x v="3443"/>
      <x v="611"/>
    </i>
    <i r="1">
      <x v="16"/>
      <x v="16"/>
      <x v="354"/>
      <x v="1387"/>
      <x v="611"/>
    </i>
    <i r="1">
      <x v="24"/>
      <x v="67"/>
      <x v="354"/>
      <x v="1745"/>
      <x v="611"/>
    </i>
    <i r="1">
      <x v="27"/>
      <x v="2"/>
      <x v="354"/>
      <x v="1814"/>
      <x v="611"/>
    </i>
    <i r="4">
      <x v="2150"/>
      <x v="611"/>
    </i>
    <i r="4">
      <x v="2969"/>
      <x v="611"/>
    </i>
    <i r="4">
      <x v="3209"/>
      <x v="611"/>
    </i>
    <i r="4">
      <x v="3443"/>
      <x v="611"/>
    </i>
    <i r="1">
      <x v="33"/>
      <x v="17"/>
      <x v="354"/>
      <x v="2257"/>
      <x v="611"/>
    </i>
    <i r="2">
      <x v="19"/>
      <x v="354"/>
      <x v="635"/>
      <x v="611"/>
    </i>
    <i r="1">
      <x v="35"/>
      <x v="17"/>
      <x v="354"/>
      <x v="2352"/>
      <x v="611"/>
    </i>
    <i r="2">
      <x v="67"/>
      <x v="354"/>
      <x v="1127"/>
      <x v="611"/>
    </i>
    <i r="1">
      <x v="37"/>
      <x v="67"/>
      <x v="354"/>
      <x v="3393"/>
      <x v="611"/>
    </i>
    <i r="1">
      <x v="40"/>
      <x v="18"/>
      <x v="354"/>
      <x v="2523"/>
      <x v="611"/>
    </i>
    <i r="4">
      <x v="3080"/>
      <x v="611"/>
    </i>
    <i>
      <x v="187"/>
      <x v="27"/>
      <x v="2"/>
      <x v="353"/>
      <x v="2305"/>
      <x v="611"/>
    </i>
    <i r="1">
      <x v="40"/>
      <x v="18"/>
      <x v="353"/>
      <x v="3193"/>
      <x v="611"/>
    </i>
    <i r="4">
      <x v="3564"/>
      <x v="576"/>
    </i>
    <i r="2">
      <x v="22"/>
      <x v="389"/>
      <x v="3518"/>
      <x v="611"/>
    </i>
    <i>
      <x v="188"/>
      <x v="16"/>
      <x v="67"/>
      <x v="352"/>
      <x v="3067"/>
      <x v="611"/>
    </i>
    <i r="1">
      <x v="27"/>
      <x v="2"/>
      <x v="352"/>
      <x v="3209"/>
      <x v="611"/>
    </i>
    <i r="1">
      <x v="37"/>
      <x v="67"/>
      <x v="352"/>
      <x v="2027"/>
      <x v="611"/>
    </i>
    <i r="1">
      <x v="40"/>
      <x v="22"/>
      <x v="414"/>
      <x v="3163"/>
      <x v="611"/>
    </i>
    <i r="2">
      <x v="67"/>
      <x v="352"/>
      <x v="3123"/>
      <x v="611"/>
    </i>
    <i r="4">
      <x v="3487"/>
      <x v="611"/>
    </i>
    <i>
      <x v="189"/>
      <x v="3"/>
      <x v="40"/>
      <x v="351"/>
      <x v="1845"/>
      <x v="611"/>
    </i>
    <i r="4">
      <x v="2127"/>
      <x v="611"/>
    </i>
    <i r="4">
      <x v="2768"/>
      <x v="611"/>
    </i>
    <i r="4">
      <x v="2861"/>
      <x v="611"/>
    </i>
    <i r="4">
      <x v="3479"/>
      <x v="611"/>
    </i>
    <i r="1">
      <x v="15"/>
      <x v="40"/>
      <x v="351"/>
      <x v="1532"/>
      <x v="611"/>
    </i>
    <i r="1">
      <x v="16"/>
      <x v="40"/>
      <x v="351"/>
      <x v="1220"/>
      <x v="611"/>
    </i>
    <i r="2">
      <x v="67"/>
      <x v="350"/>
      <x v="3489"/>
      <x v="611"/>
    </i>
    <i r="1">
      <x v="22"/>
      <x v="40"/>
      <x v="351"/>
      <x v="2877"/>
      <x v="611"/>
    </i>
    <i r="1">
      <x v="24"/>
      <x v="40"/>
      <x v="351"/>
      <x v="332"/>
      <x v="611"/>
    </i>
    <i r="1">
      <x v="27"/>
      <x v="2"/>
      <x v="350"/>
      <x v="3443"/>
      <x v="611"/>
    </i>
    <i r="2">
      <x v="40"/>
      <x v="351"/>
      <x v="131"/>
      <x v="611"/>
    </i>
    <i r="4">
      <x v="157"/>
      <x v="611"/>
    </i>
    <i r="4">
      <x v="161"/>
      <x v="611"/>
    </i>
    <i r="4">
      <x v="184"/>
      <x v="611"/>
    </i>
    <i r="4">
      <x v="295"/>
      <x v="611"/>
    </i>
    <i r="4">
      <x v="395"/>
      <x v="611"/>
    </i>
    <i r="4">
      <x v="495"/>
      <x v="611"/>
    </i>
    <i r="4">
      <x v="497"/>
      <x v="611"/>
    </i>
    <i r="4">
      <x v="556"/>
      <x v="611"/>
    </i>
    <i r="4">
      <x v="562"/>
      <x v="611"/>
    </i>
    <i r="4">
      <x v="585"/>
      <x v="611"/>
    </i>
    <i r="4">
      <x v="657"/>
      <x v="611"/>
    </i>
    <i r="4">
      <x v="665"/>
      <x v="611"/>
    </i>
    <i r="4">
      <x v="768"/>
      <x v="611"/>
    </i>
    <i r="4">
      <x v="829"/>
      <x v="611"/>
    </i>
    <i r="4">
      <x v="850"/>
      <x v="611"/>
    </i>
    <i r="4">
      <x v="884"/>
      <x v="611"/>
    </i>
    <i r="4">
      <x v="1110"/>
      <x v="611"/>
    </i>
    <i r="4">
      <x v="1317"/>
      <x v="611"/>
    </i>
    <i r="4">
      <x v="1484"/>
      <x v="611"/>
    </i>
    <i r="4">
      <x v="1540"/>
      <x v="611"/>
    </i>
    <i r="4">
      <x v="1541"/>
      <x v="611"/>
    </i>
    <i r="4">
      <x v="1571"/>
      <x v="611"/>
    </i>
    <i r="4">
      <x v="1617"/>
      <x v="611"/>
    </i>
    <i r="4">
      <x v="1629"/>
      <x v="611"/>
    </i>
    <i r="4">
      <x v="1710"/>
      <x v="611"/>
    </i>
    <i r="4">
      <x v="1758"/>
      <x v="611"/>
    </i>
    <i r="4">
      <x v="1807"/>
      <x v="611"/>
    </i>
    <i r="4">
      <x v="1999"/>
      <x v="611"/>
    </i>
    <i r="4">
      <x v="2256"/>
      <x v="611"/>
    </i>
    <i r="4">
      <x v="2378"/>
      <x v="611"/>
    </i>
    <i r="4">
      <x v="2451"/>
      <x v="611"/>
    </i>
    <i r="4">
      <x v="2504"/>
      <x v="611"/>
    </i>
    <i r="4">
      <x v="2525"/>
      <x v="611"/>
    </i>
    <i r="4">
      <x v="2553"/>
      <x v="611"/>
    </i>
    <i r="4">
      <x v="2626"/>
      <x v="611"/>
    </i>
    <i r="4">
      <x v="2831"/>
      <x v="611"/>
    </i>
    <i r="4">
      <x v="2845"/>
      <x v="611"/>
    </i>
    <i r="4">
      <x v="2880"/>
      <x v="611"/>
    </i>
    <i r="4">
      <x v="2941"/>
      <x v="611"/>
    </i>
    <i r="4">
      <x v="2976"/>
      <x v="611"/>
    </i>
    <i r="4">
      <x v="3162"/>
      <x v="611"/>
    </i>
    <i r="4">
      <x v="3243"/>
      <x v="611"/>
    </i>
    <i r="4">
      <x v="3280"/>
      <x v="611"/>
    </i>
    <i r="4">
      <x v="3307"/>
      <x v="611"/>
    </i>
    <i r="1">
      <x v="32"/>
      <x v="67"/>
      <x v="350"/>
      <x v="1481"/>
      <x v="611"/>
    </i>
    <i r="1">
      <x v="38"/>
      <x v="40"/>
      <x v="351"/>
      <x v="218"/>
      <x v="611"/>
    </i>
    <i r="1">
      <x v="40"/>
      <x v="16"/>
      <x v="350"/>
      <x v="3402"/>
      <x v="611"/>
    </i>
    <i r="2">
      <x v="18"/>
      <x v="350"/>
      <x v="2305"/>
      <x v="611"/>
    </i>
    <i r="4">
      <x v="2462"/>
      <x v="611"/>
    </i>
    <i r="4">
      <x v="3211"/>
      <x v="611"/>
    </i>
    <i r="4">
      <x v="3564"/>
      <x v="609"/>
    </i>
    <i r="2">
      <x v="22"/>
      <x v="399"/>
      <x v="2587"/>
      <x v="611"/>
    </i>
    <i r="2">
      <x v="40"/>
      <x v="351"/>
      <x v="1244"/>
      <x v="611"/>
    </i>
    <i r="4">
      <x v="2312"/>
      <x v="611"/>
    </i>
    <i r="4">
      <x v="2397"/>
      <x v="611"/>
    </i>
    <i r="4">
      <x v="2571"/>
      <x v="611"/>
    </i>
    <i r="2">
      <x v="67"/>
      <x v="350"/>
      <x v="3123"/>
      <x v="611"/>
    </i>
    <i>
      <x v="190"/>
      <x v="24"/>
      <x v="16"/>
      <x v="349"/>
      <x v="2284"/>
      <x v="611"/>
    </i>
    <i r="2">
      <x v="17"/>
      <x v="349"/>
      <x v="2112"/>
      <x v="611"/>
    </i>
    <i r="2">
      <x v="18"/>
      <x v="349"/>
      <x v="1343"/>
      <x v="611"/>
    </i>
    <i r="1">
      <x v="34"/>
      <x v="67"/>
      <x v="349"/>
      <x v="1705"/>
      <x v="611"/>
    </i>
    <i r="1">
      <x v="40"/>
      <x v="17"/>
      <x v="349"/>
      <x v="2970"/>
      <x v="611"/>
    </i>
    <i r="2">
      <x v="18"/>
      <x v="349"/>
      <x v="905"/>
      <x v="611"/>
    </i>
    <i r="4">
      <x v="1832"/>
      <x v="611"/>
    </i>
    <i r="4">
      <x v="2305"/>
      <x v="611"/>
    </i>
    <i r="2">
      <x v="22"/>
      <x v="381"/>
      <x v="3537"/>
      <x v="611"/>
    </i>
    <i r="3">
      <x v="433"/>
      <x v="3503"/>
      <x v="611"/>
    </i>
    <i>
      <x v="191"/>
      <x v="16"/>
      <x v="18"/>
      <x v="348"/>
      <x v="1079"/>
      <x v="611"/>
    </i>
    <i r="1">
      <x v="22"/>
      <x v="14"/>
      <x v="348"/>
      <x v="1271"/>
      <x v="611"/>
    </i>
    <i r="1">
      <x v="24"/>
      <x v="61"/>
      <x v="374"/>
      <x/>
      <x v="611"/>
    </i>
    <i r="1">
      <x v="28"/>
      <x v="2"/>
      <x v="348"/>
      <x v="2638"/>
      <x v="611"/>
    </i>
    <i r="1">
      <x v="37"/>
      <x v="67"/>
      <x v="348"/>
      <x v="3334"/>
      <x v="611"/>
    </i>
    <i r="1">
      <x v="40"/>
      <x v="18"/>
      <x v="348"/>
      <x v="2854"/>
      <x v="611"/>
    </i>
    <i r="2">
      <x v="22"/>
      <x v="384"/>
      <x v="3537"/>
      <x v="611"/>
    </i>
    <i r="3">
      <x v="393"/>
      <x v="3247"/>
      <x v="611"/>
    </i>
    <i r="3">
      <x v="399"/>
      <x v="3346"/>
      <x v="611"/>
    </i>
    <i r="3">
      <x v="404"/>
      <x v="3022"/>
      <x v="611"/>
    </i>
    <i>
      <x v="192"/>
      <x v="27"/>
      <x v="2"/>
      <x v="347"/>
      <x v="2305"/>
      <x v="611"/>
    </i>
    <i r="4">
      <x v="3443"/>
      <x v="611"/>
    </i>
    <i r="1">
      <x v="31"/>
      <x v="17"/>
      <x v="347"/>
      <x v="2704"/>
      <x v="611"/>
    </i>
    <i r="1">
      <x v="37"/>
      <x v="2"/>
      <x v="347"/>
      <x v="1870"/>
      <x v="611"/>
    </i>
    <i r="2">
      <x v="14"/>
      <x v="347"/>
      <x v="2900"/>
      <x v="611"/>
    </i>
    <i r="2">
      <x v="67"/>
      <x v="347"/>
      <x v="2233"/>
      <x v="611"/>
    </i>
    <i r="1">
      <x v="40"/>
      <x v="18"/>
      <x v="347"/>
      <x v="661"/>
      <x v="611"/>
    </i>
    <i r="2">
      <x v="22"/>
      <x v="420"/>
      <x v="3418"/>
      <x v="611"/>
    </i>
    <i r="3">
      <x v="432"/>
      <x v="3509"/>
      <x v="611"/>
    </i>
    <i r="3">
      <x v="441"/>
      <x v="3422"/>
      <x v="611"/>
    </i>
    <i>
      <x v="193"/>
      <x v="3"/>
      <x v="2"/>
      <x v="346"/>
      <x v="3443"/>
      <x v="611"/>
    </i>
    <i r="1">
      <x v="16"/>
      <x v="14"/>
      <x v="346"/>
      <x v="2306"/>
      <x v="611"/>
    </i>
    <i r="1">
      <x v="27"/>
      <x v="2"/>
      <x v="346"/>
      <x v="3209"/>
      <x v="611"/>
    </i>
    <i r="1">
      <x v="40"/>
      <x v="22"/>
      <x v="379"/>
      <x v="3537"/>
      <x v="611"/>
    </i>
    <i r="3">
      <x v="425"/>
      <x v="3484"/>
      <x v="611"/>
    </i>
    <i r="3">
      <x v="426"/>
      <x v="3274"/>
      <x v="611"/>
    </i>
    <i r="3">
      <x v="443"/>
      <x v="3418"/>
      <x v="611"/>
    </i>
    <i>
      <x v="194"/>
      <x v="3"/>
      <x v="2"/>
      <x v="345"/>
      <x v="3443"/>
      <x v="611"/>
    </i>
    <i r="1">
      <x v="16"/>
      <x v="14"/>
      <x v="345"/>
      <x v="1466"/>
      <x v="611"/>
    </i>
    <i r="2">
      <x v="16"/>
      <x v="345"/>
      <x v="2930"/>
      <x v="611"/>
    </i>
    <i r="1">
      <x v="20"/>
      <x v="14"/>
      <x v="345"/>
      <x v="1984"/>
      <x v="611"/>
    </i>
    <i r="1">
      <x v="23"/>
      <x v="67"/>
      <x v="345"/>
      <x v="3509"/>
      <x v="611"/>
    </i>
    <i r="1">
      <x v="27"/>
      <x v="2"/>
      <x v="345"/>
      <x v="1909"/>
      <x v="611"/>
    </i>
    <i r="4">
      <x v="2486"/>
      <x v="611"/>
    </i>
    <i r="4">
      <x v="2969"/>
      <x v="611"/>
    </i>
    <i r="4">
      <x v="3209"/>
      <x v="611"/>
    </i>
    <i r="4">
      <x v="3443"/>
      <x v="611"/>
    </i>
    <i r="2">
      <x v="67"/>
      <x v="345"/>
      <x v="1379"/>
      <x v="611"/>
    </i>
    <i r="4">
      <x v="3142"/>
      <x v="611"/>
    </i>
    <i r="1">
      <x v="31"/>
      <x v="17"/>
      <x v="345"/>
      <x v="2513"/>
      <x v="611"/>
    </i>
    <i r="1">
      <x v="34"/>
      <x v="67"/>
      <x v="345"/>
      <x v="2748"/>
      <x v="611"/>
    </i>
    <i r="1">
      <x v="40"/>
      <x v="17"/>
      <x v="345"/>
      <x v="1539"/>
      <x v="611"/>
    </i>
    <i r="2">
      <x v="18"/>
      <x v="345"/>
      <x v="1552"/>
      <x v="611"/>
    </i>
    <i r="4">
      <x v="3131"/>
      <x v="611"/>
    </i>
    <i r="4">
      <x v="3293"/>
      <x v="611"/>
    </i>
    <i r="2">
      <x v="22"/>
      <x v="379"/>
      <x v="3537"/>
      <x v="611"/>
    </i>
    <i r="3">
      <x v="411"/>
      <x v="3471"/>
      <x v="611"/>
    </i>
    <i r="3">
      <x v="419"/>
      <x v="2708"/>
      <x v="611"/>
    </i>
    <i r="2">
      <x v="67"/>
      <x v="345"/>
      <x v="1497"/>
      <x v="611"/>
    </i>
    <i>
      <x v="195"/>
      <x v="16"/>
      <x v="67"/>
      <x v="344"/>
      <x v="2562"/>
      <x v="611"/>
    </i>
    <i r="1">
      <x v="20"/>
      <x v="14"/>
      <x v="344"/>
      <x v="2930"/>
      <x v="611"/>
    </i>
    <i r="1">
      <x v="24"/>
      <x v="62"/>
      <x v="344"/>
      <x v="5"/>
      <x v="611"/>
    </i>
    <i r="1">
      <x v="34"/>
      <x v="67"/>
      <x v="344"/>
      <x v="2486"/>
      <x v="611"/>
    </i>
    <i r="1">
      <x v="40"/>
      <x v="14"/>
      <x v="344"/>
      <x v="2748"/>
      <x v="611"/>
    </i>
    <i r="2">
      <x v="22"/>
      <x v="392"/>
      <x v="3546"/>
      <x v="611"/>
    </i>
    <i r="3">
      <x v="445"/>
      <x v="3403"/>
      <x v="611"/>
    </i>
    <i>
      <x v="196"/>
      <x v="2"/>
      <x v="2"/>
      <x v="342"/>
      <x v="2970"/>
      <x v="611"/>
    </i>
    <i r="1">
      <x v="16"/>
      <x v="68"/>
      <x v="342"/>
      <x v="50"/>
      <x v="611"/>
    </i>
    <i r="1">
      <x v="18"/>
      <x v="68"/>
      <x v="342"/>
      <x v="1227"/>
      <x v="611"/>
    </i>
    <i r="1">
      <x v="24"/>
      <x v="68"/>
      <x v="342"/>
      <x v="1227"/>
      <x v="611"/>
    </i>
    <i r="1">
      <x v="27"/>
      <x v="2"/>
      <x v="342"/>
      <x v="1621"/>
      <x v="611"/>
    </i>
    <i r="4">
      <x v="1814"/>
      <x v="611"/>
    </i>
    <i r="4">
      <x v="2690"/>
      <x v="611"/>
    </i>
    <i r="4">
      <x v="2969"/>
      <x v="611"/>
    </i>
    <i r="4">
      <x v="3209"/>
      <x v="611"/>
    </i>
    <i r="4">
      <x v="3443"/>
      <x v="611"/>
    </i>
    <i r="1">
      <x v="30"/>
      <x v="68"/>
      <x v="342"/>
      <x v="750"/>
      <x v="611"/>
    </i>
    <i r="1">
      <x v="32"/>
      <x v="67"/>
      <x v="342"/>
      <x v="1435"/>
      <x v="611"/>
    </i>
    <i r="1">
      <x v="38"/>
      <x v="54"/>
      <x v="343"/>
      <x v="3515"/>
      <x v="611"/>
    </i>
    <i r="1">
      <x v="40"/>
      <x v="19"/>
      <x v="342"/>
      <x v="3564"/>
      <x v="364"/>
    </i>
    <i r="2">
      <x v="22"/>
      <x v="396"/>
      <x v="3485"/>
      <x v="611"/>
    </i>
    <i r="3">
      <x v="421"/>
      <x v="3544"/>
      <x v="611"/>
    </i>
    <i r="3">
      <x v="425"/>
      <x v="3485"/>
      <x v="611"/>
    </i>
    <i r="2">
      <x v="67"/>
      <x v="342"/>
      <x v="406"/>
      <x v="611"/>
    </i>
    <i r="4">
      <x v="1073"/>
      <x v="611"/>
    </i>
    <i>
      <x v="197"/>
      <x v="12"/>
      <x v="14"/>
      <x v="341"/>
      <x v="833"/>
      <x v="611"/>
    </i>
    <i r="1">
      <x v="20"/>
      <x v="67"/>
      <x v="341"/>
      <x v="2434"/>
      <x v="611"/>
    </i>
    <i r="1">
      <x v="24"/>
      <x v="18"/>
      <x v="341"/>
      <x v="2751"/>
      <x v="611"/>
    </i>
    <i r="1">
      <x v="27"/>
      <x v="1"/>
      <x v="341"/>
      <x v="3443"/>
      <x v="611"/>
    </i>
    <i r="2">
      <x v="2"/>
      <x v="341"/>
      <x v="2690"/>
      <x v="611"/>
    </i>
    <i r="4">
      <x v="2969"/>
      <x v="611"/>
    </i>
    <i r="1">
      <x v="31"/>
      <x v="17"/>
      <x v="341"/>
      <x v="2829"/>
      <x v="611"/>
    </i>
    <i r="1">
      <x v="35"/>
      <x v="67"/>
      <x v="341"/>
      <x v="1100"/>
      <x v="611"/>
    </i>
    <i r="1">
      <x v="40"/>
      <x v="14"/>
      <x v="341"/>
      <x v="3142"/>
      <x v="611"/>
    </i>
    <i r="2">
      <x v="18"/>
      <x v="341"/>
      <x v="1815"/>
      <x v="611"/>
    </i>
    <i r="4">
      <x v="1990"/>
      <x v="611"/>
    </i>
    <i r="4">
      <x v="2370"/>
      <x v="611"/>
    </i>
    <i r="4">
      <x v="2547"/>
      <x v="611"/>
    </i>
    <i r="4">
      <x v="2675"/>
      <x v="611"/>
    </i>
    <i r="4">
      <x v="2971"/>
      <x v="611"/>
    </i>
    <i r="4">
      <x v="3211"/>
      <x v="611"/>
    </i>
    <i r="2">
      <x v="22"/>
      <x v="399"/>
      <x v="3142"/>
      <x v="611"/>
    </i>
    <i r="3">
      <x v="425"/>
      <x v="3485"/>
      <x v="611"/>
    </i>
    <i r="2">
      <x v="67"/>
      <x v="341"/>
      <x v="654"/>
      <x v="611"/>
    </i>
    <i r="4">
      <x v="2334"/>
      <x v="611"/>
    </i>
    <i>
      <x v="198"/>
      <x v="16"/>
      <x v="67"/>
      <x v="340"/>
      <x v="3377"/>
      <x v="611"/>
    </i>
    <i r="1">
      <x v="27"/>
      <x v="2"/>
      <x v="340"/>
      <x v="3209"/>
      <x v="611"/>
    </i>
    <i r="1">
      <x v="32"/>
      <x v="67"/>
      <x v="340"/>
      <x v="695"/>
      <x v="611"/>
    </i>
    <i r="1">
      <x v="40"/>
      <x v="22"/>
      <x v="389"/>
      <x v="3546"/>
      <x v="611"/>
    </i>
    <i r="2">
      <x v="67"/>
      <x v="340"/>
      <x v="2930"/>
      <x v="611"/>
    </i>
    <i>
      <x v="199"/>
      <x v="3"/>
      <x v="2"/>
      <x v="339"/>
      <x v="3443"/>
      <x v="611"/>
    </i>
    <i r="1">
      <x v="18"/>
      <x v="67"/>
      <x v="339"/>
      <x v="1850"/>
      <x v="611"/>
    </i>
    <i r="1">
      <x v="20"/>
      <x v="19"/>
      <x v="339"/>
      <x v="427"/>
      <x v="611"/>
    </i>
    <i r="1">
      <x v="27"/>
      <x v="2"/>
      <x v="339"/>
      <x v="2027"/>
      <x v="611"/>
    </i>
    <i r="4">
      <x v="3209"/>
      <x v="611"/>
    </i>
    <i r="4">
      <x v="3443"/>
      <x v="611"/>
    </i>
    <i r="1">
      <x v="40"/>
      <x v="16"/>
      <x v="339"/>
      <x v="2686"/>
      <x v="611"/>
    </i>
    <i r="2">
      <x v="18"/>
      <x v="339"/>
      <x v="1559"/>
      <x v="611"/>
    </i>
    <i r="4">
      <x v="1986"/>
      <x v="611"/>
    </i>
    <i r="4">
      <x v="2283"/>
      <x v="611"/>
    </i>
    <i r="4">
      <x v="2713"/>
      <x v="611"/>
    </i>
    <i r="4">
      <x v="3142"/>
      <x v="611"/>
    </i>
    <i r="4">
      <x v="3175"/>
      <x v="611"/>
    </i>
    <i r="2">
      <x v="19"/>
      <x v="339"/>
      <x v="2817"/>
      <x v="611"/>
    </i>
    <i r="2">
      <x v="22"/>
      <x v="384"/>
      <x v="3544"/>
      <x v="611"/>
    </i>
    <i>
      <x v="200"/>
      <x v="3"/>
      <x v="2"/>
      <x v="338"/>
      <x v="3443"/>
      <x v="611"/>
    </i>
    <i r="1">
      <x v="5"/>
      <x v="14"/>
      <x v="338"/>
      <x v="2748"/>
      <x v="611"/>
    </i>
    <i r="1">
      <x v="11"/>
      <x v="17"/>
      <x v="338"/>
      <x v="2365"/>
      <x v="611"/>
    </i>
    <i r="1">
      <x v="13"/>
      <x v="67"/>
      <x v="338"/>
      <x v="3393"/>
      <x v="611"/>
    </i>
    <i r="1">
      <x v="15"/>
      <x v="67"/>
      <x v="338"/>
      <x v="3443"/>
      <x v="611"/>
    </i>
    <i r="1">
      <x v="16"/>
      <x v="2"/>
      <x v="338"/>
      <x v="3393"/>
      <x v="611"/>
    </i>
    <i r="2">
      <x v="67"/>
      <x v="338"/>
      <x v="3086"/>
      <x v="611"/>
    </i>
    <i r="1">
      <x v="18"/>
      <x v="14"/>
      <x v="338"/>
      <x v="2587"/>
      <x v="611"/>
    </i>
    <i r="2">
      <x v="67"/>
      <x v="338"/>
      <x v="2969"/>
      <x v="611"/>
    </i>
    <i r="1">
      <x v="24"/>
      <x v="2"/>
      <x v="338"/>
      <x v="362"/>
      <x v="611"/>
    </i>
    <i r="1">
      <x v="27"/>
      <x v="2"/>
      <x v="338"/>
      <x v="1909"/>
      <x v="611"/>
    </i>
    <i r="4">
      <x v="2486"/>
      <x v="611"/>
    </i>
    <i r="4">
      <x v="2690"/>
      <x v="611"/>
    </i>
    <i r="4">
      <x v="2969"/>
      <x v="611"/>
    </i>
    <i r="4">
      <x v="3209"/>
      <x v="611"/>
    </i>
    <i r="4">
      <x v="3443"/>
      <x v="611"/>
    </i>
    <i r="2">
      <x v="67"/>
      <x v="338"/>
      <x v="1284"/>
      <x v="611"/>
    </i>
    <i r="1">
      <x v="31"/>
      <x v="17"/>
      <x v="338"/>
      <x v="1177"/>
      <x v="611"/>
    </i>
    <i r="1">
      <x v="32"/>
      <x v="67"/>
      <x v="338"/>
      <x v="2313"/>
      <x v="611"/>
    </i>
    <i r="1">
      <x v="33"/>
      <x v="67"/>
      <x v="338"/>
      <x v="3039"/>
      <x v="611"/>
    </i>
    <i r="1">
      <x v="35"/>
      <x v="67"/>
      <x v="338"/>
      <x v="2513"/>
      <x v="611"/>
    </i>
    <i r="1">
      <x v="37"/>
      <x v="67"/>
      <x v="338"/>
      <x v="3260"/>
      <x v="611"/>
    </i>
    <i r="1">
      <x v="40"/>
      <x v="14"/>
      <x v="338"/>
      <x v="3031"/>
      <x v="611"/>
    </i>
    <i r="4">
      <x v="3178"/>
      <x v="611"/>
    </i>
    <i r="2">
      <x v="22"/>
      <x v="385"/>
      <x v="3466"/>
      <x v="611"/>
    </i>
    <i r="3">
      <x v="391"/>
      <x v="3544"/>
      <x v="611"/>
    </i>
    <i r="3">
      <x v="441"/>
      <x v="3546"/>
      <x v="611"/>
    </i>
    <i>
      <x v="201"/>
      <x v="2"/>
      <x v="14"/>
      <x v="336"/>
      <x v="3097"/>
      <x v="611"/>
    </i>
    <i r="1">
      <x v="3"/>
      <x v="27"/>
      <x v="337"/>
      <x v="1458"/>
      <x v="611"/>
    </i>
    <i r="4">
      <x v="1669"/>
      <x v="611"/>
    </i>
    <i r="4">
      <x v="1842"/>
      <x v="611"/>
    </i>
    <i r="4">
      <x v="2236"/>
      <x v="611"/>
    </i>
    <i r="4">
      <x v="2575"/>
      <x v="611"/>
    </i>
    <i r="4">
      <x v="2786"/>
      <x v="611"/>
    </i>
    <i r="4">
      <x v="2851"/>
      <x v="611"/>
    </i>
    <i r="4">
      <x v="2922"/>
      <x v="611"/>
    </i>
    <i r="4">
      <x v="2952"/>
      <x v="611"/>
    </i>
    <i r="4">
      <x v="2999"/>
      <x v="611"/>
    </i>
    <i r="4">
      <x v="3133"/>
      <x v="611"/>
    </i>
    <i r="1">
      <x v="12"/>
      <x v="27"/>
      <x v="337"/>
      <x v="813"/>
      <x v="611"/>
    </i>
    <i r="1">
      <x v="15"/>
      <x v="27"/>
      <x v="337"/>
      <x v="732"/>
      <x v="611"/>
    </i>
    <i r="1">
      <x v="16"/>
      <x v="27"/>
      <x v="337"/>
      <x v="445"/>
      <x v="611"/>
    </i>
    <i r="2">
      <x v="67"/>
      <x v="336"/>
      <x v="1196"/>
      <x v="611"/>
    </i>
    <i r="1">
      <x v="18"/>
      <x v="27"/>
      <x v="337"/>
      <x v="139"/>
      <x v="611"/>
    </i>
    <i r="1">
      <x v="22"/>
      <x v="27"/>
      <x v="337"/>
      <x v="2224"/>
      <x v="611"/>
    </i>
    <i r="1">
      <x v="24"/>
      <x v="27"/>
      <x v="337"/>
      <x v="1493"/>
      <x v="611"/>
    </i>
    <i r="1">
      <x v="27"/>
      <x v="27"/>
      <x v="337"/>
      <x v="175"/>
      <x v="611"/>
    </i>
    <i r="4">
      <x v="181"/>
      <x v="611"/>
    </i>
    <i r="4">
      <x v="210"/>
      <x v="611"/>
    </i>
    <i r="4">
      <x v="230"/>
      <x v="611"/>
    </i>
    <i r="4">
      <x v="258"/>
      <x v="611"/>
    </i>
    <i r="4">
      <x v="265"/>
      <x v="611"/>
    </i>
    <i r="4">
      <x v="476"/>
      <x v="611"/>
    </i>
    <i r="4">
      <x v="558"/>
      <x v="611"/>
    </i>
    <i r="4">
      <x v="564"/>
      <x v="611"/>
    </i>
    <i r="4">
      <x v="603"/>
      <x v="611"/>
    </i>
    <i r="4">
      <x v="742"/>
      <x v="611"/>
    </i>
    <i r="4">
      <x v="769"/>
      <x v="611"/>
    </i>
    <i r="4">
      <x v="827"/>
      <x v="611"/>
    </i>
    <i r="4">
      <x v="951"/>
      <x v="611"/>
    </i>
    <i r="4">
      <x v="971"/>
      <x v="611"/>
    </i>
    <i r="4">
      <x v="985"/>
      <x v="611"/>
    </i>
    <i r="4">
      <x v="1011"/>
      <x v="611"/>
    </i>
    <i r="4">
      <x v="1398"/>
      <x v="611"/>
    </i>
    <i r="4">
      <x v="1738"/>
      <x v="611"/>
    </i>
    <i r="4">
      <x v="1746"/>
      <x v="611"/>
    </i>
    <i r="4">
      <x v="2511"/>
      <x v="611"/>
    </i>
    <i r="4">
      <x v="3027"/>
      <x v="611"/>
    </i>
    <i r="4">
      <x v="3187"/>
      <x v="611"/>
    </i>
    <i r="1">
      <x v="37"/>
      <x v="27"/>
      <x v="337"/>
      <x v="1223"/>
      <x v="611"/>
    </i>
    <i r="1">
      <x v="38"/>
      <x v="27"/>
      <x v="337"/>
      <x v="14"/>
      <x v="611"/>
    </i>
    <i r="1">
      <x v="40"/>
      <x v="27"/>
      <x v="337"/>
      <x v="1488"/>
      <x v="611"/>
    </i>
    <i r="4">
      <x v="1499"/>
      <x v="611"/>
    </i>
    <i r="4">
      <x v="1848"/>
      <x v="611"/>
    </i>
    <i r="4">
      <x v="1982"/>
      <x v="611"/>
    </i>
    <i r="4">
      <x v="2070"/>
      <x v="611"/>
    </i>
    <i r="4">
      <x v="2389"/>
      <x v="611"/>
    </i>
    <i r="4">
      <x v="2397"/>
      <x v="611"/>
    </i>
    <i r="4">
      <x v="2406"/>
      <x v="611"/>
    </i>
    <i r="4">
      <x v="2418"/>
      <x v="611"/>
    </i>
    <i>
      <x v="202"/>
      <x v="3"/>
      <x v="2"/>
      <x v="335"/>
      <x v="3443"/>
      <x v="611"/>
    </i>
    <i r="1">
      <x v="20"/>
      <x v="67"/>
      <x v="335"/>
      <x v="3314"/>
      <x v="611"/>
    </i>
    <i r="1">
      <x v="24"/>
      <x v="68"/>
      <x v="335"/>
      <x v="160"/>
      <x v="611"/>
    </i>
    <i r="1">
      <x v="27"/>
      <x v="2"/>
      <x v="335"/>
      <x v="2690"/>
      <x v="611"/>
    </i>
    <i r="4">
      <x v="3443"/>
      <x v="611"/>
    </i>
    <i r="1">
      <x v="40"/>
      <x v="22"/>
      <x v="389"/>
      <x v="3518"/>
      <x v="611"/>
    </i>
    <i r="3">
      <x v="399"/>
      <x v="3142"/>
      <x v="611"/>
    </i>
    <i>
      <x v="203"/>
      <x v="15"/>
      <x v="67"/>
      <x v="334"/>
      <x v="2969"/>
      <x v="611"/>
    </i>
    <i r="1">
      <x v="35"/>
      <x v="67"/>
      <x v="334"/>
      <x v="1665"/>
      <x v="611"/>
    </i>
    <i r="1">
      <x v="40"/>
      <x v="22"/>
      <x v="379"/>
      <x v="3537"/>
      <x v="611"/>
    </i>
    <i r="3">
      <x v="403"/>
      <x v="3039"/>
      <x v="611"/>
    </i>
    <i>
      <x v="204"/>
      <x v="3"/>
      <x v="2"/>
      <x v="333"/>
      <x v="3443"/>
      <x v="611"/>
    </i>
    <i r="1">
      <x v="18"/>
      <x v="62"/>
      <x v="333"/>
      <x v="1577"/>
      <x v="611"/>
    </i>
    <i r="1">
      <x v="20"/>
      <x v="67"/>
      <x v="333"/>
      <x v="1367"/>
      <x v="611"/>
    </i>
    <i r="1">
      <x v="25"/>
      <x v="2"/>
      <x v="333"/>
      <x v="758"/>
      <x v="611"/>
    </i>
    <i r="1">
      <x v="27"/>
      <x v="2"/>
      <x v="333"/>
      <x v="2305"/>
      <x v="611"/>
    </i>
    <i r="4">
      <x v="2486"/>
      <x v="611"/>
    </i>
    <i r="4">
      <x v="2690"/>
      <x v="611"/>
    </i>
    <i r="4">
      <x v="2969"/>
      <x v="611"/>
    </i>
    <i r="4">
      <x v="3443"/>
      <x v="611"/>
    </i>
    <i r="1">
      <x v="33"/>
      <x v="17"/>
      <x v="333"/>
      <x v="1256"/>
      <x v="611"/>
    </i>
    <i r="2">
      <x v="19"/>
      <x v="333"/>
      <x v="3208"/>
      <x v="611"/>
    </i>
    <i r="1">
      <x v="35"/>
      <x v="17"/>
      <x v="333"/>
      <x v="1182"/>
      <x v="611"/>
    </i>
    <i r="1">
      <x v="37"/>
      <x v="67"/>
      <x v="333"/>
      <x v="3098"/>
      <x v="611"/>
    </i>
    <i r="1">
      <x v="40"/>
      <x v="2"/>
      <x v="333"/>
      <x v="3209"/>
      <x v="611"/>
    </i>
    <i r="2">
      <x v="14"/>
      <x v="333"/>
      <x v="3142"/>
      <x v="611"/>
    </i>
    <i r="2">
      <x v="17"/>
      <x v="333"/>
      <x v="1766"/>
      <x v="611"/>
    </i>
    <i r="2">
      <x v="18"/>
      <x v="333"/>
      <x v="872"/>
      <x v="611"/>
    </i>
    <i r="4">
      <x v="1535"/>
      <x v="611"/>
    </i>
    <i r="4">
      <x v="1787"/>
      <x v="611"/>
    </i>
    <i r="4">
      <x v="1994"/>
      <x v="611"/>
    </i>
    <i r="4">
      <x v="2401"/>
      <x v="611"/>
    </i>
    <i r="4">
      <x v="2988"/>
      <x v="611"/>
    </i>
    <i r="4">
      <x v="2992"/>
      <x v="611"/>
    </i>
    <i r="2">
      <x v="22"/>
      <x v="382"/>
      <x v="3418"/>
      <x v="611"/>
    </i>
    <i r="3">
      <x v="385"/>
      <x v="3546"/>
      <x v="611"/>
    </i>
    <i r="3">
      <x v="403"/>
      <x v="3039"/>
      <x v="611"/>
    </i>
    <i r="3">
      <x v="418"/>
      <x v="3422"/>
      <x v="611"/>
    </i>
    <i r="3">
      <x v="433"/>
      <x v="3544"/>
      <x v="611"/>
    </i>
    <i r="3">
      <x v="446"/>
      <x v="3460"/>
      <x v="611"/>
    </i>
    <i r="2">
      <x v="67"/>
      <x v="333"/>
      <x v="3341"/>
      <x v="611"/>
    </i>
    <i>
      <x v="205"/>
      <x v="12"/>
      <x v="67"/>
      <x v="332"/>
      <x v="3509"/>
      <x v="611"/>
    </i>
    <i r="1">
      <x v="13"/>
      <x v="67"/>
      <x v="332"/>
      <x v="3393"/>
      <x v="611"/>
    </i>
    <i r="1">
      <x v="27"/>
      <x v="2"/>
      <x v="332"/>
      <x v="3443"/>
      <x v="611"/>
    </i>
    <i r="1">
      <x v="40"/>
      <x v="22"/>
      <x v="387"/>
      <x v="3485"/>
      <x v="611"/>
    </i>
    <i r="3">
      <x v="408"/>
      <x v="3460"/>
      <x v="611"/>
    </i>
    <i r="3">
      <x v="424"/>
      <x v="3418"/>
      <x v="611"/>
    </i>
    <i r="3">
      <x v="432"/>
      <x v="3455"/>
      <x v="611"/>
    </i>
    <i r="3">
      <x v="450"/>
      <x v="3351"/>
      <x v="611"/>
    </i>
    <i>
      <x v="206"/>
      <x/>
      <x v="19"/>
      <x v="331"/>
      <x v="1461"/>
      <x v="611"/>
    </i>
    <i r="1">
      <x v="1"/>
      <x v="19"/>
      <x v="331"/>
      <x v="324"/>
      <x v="611"/>
    </i>
    <i r="1">
      <x v="2"/>
      <x v="17"/>
      <x v="331"/>
      <x v="2046"/>
      <x v="611"/>
    </i>
    <i r="2">
      <x v="19"/>
      <x v="331"/>
      <x v="508"/>
      <x v="611"/>
    </i>
    <i r="1">
      <x v="3"/>
      <x v="2"/>
      <x v="331"/>
      <x v="3443"/>
      <x v="611"/>
    </i>
    <i r="1">
      <x v="12"/>
      <x v="67"/>
      <x v="331"/>
      <x v="3509"/>
      <x v="611"/>
    </i>
    <i r="1">
      <x v="13"/>
      <x v="67"/>
      <x v="331"/>
      <x v="1896"/>
      <x v="611"/>
    </i>
    <i r="1">
      <x v="16"/>
      <x v="67"/>
      <x v="331"/>
      <x v="3083"/>
      <x v="611"/>
    </i>
    <i r="1">
      <x v="18"/>
      <x v="67"/>
      <x v="331"/>
      <x v="1651"/>
      <x v="611"/>
    </i>
    <i r="1">
      <x v="27"/>
      <x v="2"/>
      <x v="331"/>
      <x v="2690"/>
      <x v="611"/>
    </i>
    <i r="4">
      <x v="3209"/>
      <x v="611"/>
    </i>
    <i r="1">
      <x v="28"/>
      <x v="19"/>
      <x v="331"/>
      <x v="2071"/>
      <x v="611"/>
    </i>
    <i r="1">
      <x v="31"/>
      <x v="19"/>
      <x v="331"/>
      <x v="3004"/>
      <x v="611"/>
    </i>
    <i r="1">
      <x v="33"/>
      <x v="17"/>
      <x v="331"/>
      <x v="3203"/>
      <x v="611"/>
    </i>
    <i r="2">
      <x v="19"/>
      <x v="331"/>
      <x v="2322"/>
      <x v="611"/>
    </i>
    <i r="1">
      <x v="37"/>
      <x v="19"/>
      <x v="331"/>
      <x v="1036"/>
      <x v="611"/>
    </i>
    <i r="1">
      <x v="38"/>
      <x v="19"/>
      <x v="331"/>
      <x v="415"/>
      <x v="611"/>
    </i>
    <i r="1">
      <x v="40"/>
      <x v="2"/>
      <x v="331"/>
      <x v="2969"/>
      <x v="611"/>
    </i>
    <i r="2">
      <x v="17"/>
      <x v="331"/>
      <x v="2147"/>
      <x v="611"/>
    </i>
    <i r="4">
      <x v="2923"/>
      <x v="611"/>
    </i>
    <i r="2">
      <x v="18"/>
      <x v="331"/>
      <x v="1266"/>
      <x v="611"/>
    </i>
    <i r="4">
      <x v="2340"/>
      <x v="611"/>
    </i>
    <i r="4">
      <x v="2521"/>
      <x v="611"/>
    </i>
    <i r="4">
      <x v="2979"/>
      <x v="611"/>
    </i>
    <i r="2">
      <x v="22"/>
      <x v="385"/>
      <x v="3460"/>
      <x v="611"/>
    </i>
    <i r="3">
      <x v="387"/>
      <x v="3432"/>
      <x v="611"/>
    </i>
    <i r="3">
      <x v="388"/>
      <x v="3460"/>
      <x v="611"/>
    </i>
    <i r="3">
      <x v="430"/>
      <x v="3460"/>
      <x v="611"/>
    </i>
    <i>
      <x v="207"/>
      <x v="6"/>
      <x v="14"/>
      <x v="330"/>
      <x v="170"/>
      <x v="611"/>
    </i>
    <i r="1">
      <x v="34"/>
      <x v="67"/>
      <x v="330"/>
      <x v="2665"/>
      <x v="611"/>
    </i>
    <i r="1">
      <x v="40"/>
      <x v="22"/>
      <x v="379"/>
      <x v="3546"/>
      <x v="611"/>
    </i>
    <i r="3">
      <x v="431"/>
      <x v="3379"/>
      <x v="611"/>
    </i>
    <i>
      <x v="208"/>
      <x v="2"/>
      <x v="14"/>
      <x v="329"/>
      <x v="2113"/>
      <x v="611"/>
    </i>
    <i r="1">
      <x v="3"/>
      <x v="2"/>
      <x v="329"/>
      <x v="3443"/>
      <x v="611"/>
    </i>
    <i r="1">
      <x v="12"/>
      <x v="67"/>
      <x v="329"/>
      <x v="2811"/>
      <x v="611"/>
    </i>
    <i r="1">
      <x v="16"/>
      <x v="67"/>
      <x v="329"/>
      <x v="3493"/>
      <x v="611"/>
    </i>
    <i r="1">
      <x v="20"/>
      <x v="68"/>
      <x v="329"/>
      <x v="2305"/>
      <x v="611"/>
    </i>
    <i r="1">
      <x v="27"/>
      <x v="2"/>
      <x v="329"/>
      <x v="2027"/>
      <x v="611"/>
    </i>
    <i r="4">
      <x v="2305"/>
      <x v="611"/>
    </i>
    <i r="4">
      <x v="2486"/>
      <x v="611"/>
    </i>
    <i r="4">
      <x v="2690"/>
      <x v="611"/>
    </i>
    <i r="4">
      <x v="3209"/>
      <x v="611"/>
    </i>
    <i r="4">
      <x v="3443"/>
      <x v="611"/>
    </i>
    <i r="1">
      <x v="34"/>
      <x v="67"/>
      <x v="329"/>
      <x v="2146"/>
      <x v="611"/>
    </i>
    <i r="1">
      <x v="35"/>
      <x v="67"/>
      <x v="329"/>
      <x v="2689"/>
      <x v="611"/>
    </i>
    <i r="2">
      <x v="68"/>
      <x v="329"/>
      <x v="844"/>
      <x v="611"/>
    </i>
    <i r="1">
      <x v="40"/>
      <x v="17"/>
      <x v="329"/>
      <x v="1814"/>
      <x v="611"/>
    </i>
    <i r="2">
      <x v="22"/>
      <x v="379"/>
      <x v="3418"/>
      <x v="611"/>
    </i>
    <i r="3">
      <x v="380"/>
      <x v="3142"/>
      <x v="611"/>
    </i>
    <i r="3">
      <x v="418"/>
      <x v="2896"/>
      <x v="611"/>
    </i>
    <i r="3">
      <x v="422"/>
      <x v="3455"/>
      <x v="611"/>
    </i>
    <i r="3">
      <x v="434"/>
      <x v="3409"/>
      <x v="611"/>
    </i>
    <i r="3">
      <x v="438"/>
      <x v="3339"/>
      <x v="611"/>
    </i>
    <i r="2">
      <x v="67"/>
      <x v="329"/>
      <x v="1301"/>
      <x v="611"/>
    </i>
    <i r="4">
      <x v="2774"/>
      <x v="611"/>
    </i>
    <i r="4">
      <x v="3341"/>
      <x v="611"/>
    </i>
    <i>
      <x v="209"/>
      <x v="3"/>
      <x v="2"/>
      <x v="328"/>
      <x v="3443"/>
      <x v="611"/>
    </i>
    <i r="1">
      <x v="13"/>
      <x v="67"/>
      <x v="328"/>
      <x v="2027"/>
      <x v="611"/>
    </i>
    <i r="2">
      <x v="68"/>
      <x v="328"/>
      <x v="76"/>
      <x v="611"/>
    </i>
    <i r="1">
      <x v="16"/>
      <x v="18"/>
      <x v="328"/>
      <x v="2317"/>
      <x v="611"/>
    </i>
    <i r="1">
      <x v="24"/>
      <x v="19"/>
      <x v="328"/>
      <x v="2491"/>
      <x v="611"/>
    </i>
    <i r="1">
      <x v="27"/>
      <x v="2"/>
      <x v="328"/>
      <x v="2690"/>
      <x v="611"/>
    </i>
    <i r="4">
      <x v="3209"/>
      <x v="611"/>
    </i>
    <i r="1">
      <x v="32"/>
      <x v="67"/>
      <x v="328"/>
      <x v="1191"/>
      <x v="611"/>
    </i>
    <i r="1">
      <x v="35"/>
      <x v="17"/>
      <x v="328"/>
      <x v="3081"/>
      <x v="611"/>
    </i>
    <i r="1">
      <x v="40"/>
      <x v="17"/>
      <x v="328"/>
      <x v="3259"/>
      <x v="611"/>
    </i>
    <i r="2">
      <x v="18"/>
      <x v="328"/>
      <x v="1047"/>
      <x v="611"/>
    </i>
    <i r="4">
      <x v="1049"/>
      <x v="611"/>
    </i>
    <i r="4">
      <x v="1572"/>
      <x v="611"/>
    </i>
    <i r="4">
      <x v="2269"/>
      <x v="611"/>
    </i>
    <i r="4">
      <x v="2949"/>
      <x v="611"/>
    </i>
    <i r="4">
      <x v="3383"/>
      <x v="611"/>
    </i>
    <i r="2">
      <x v="22"/>
      <x v="378"/>
      <x v="3387"/>
      <x v="611"/>
    </i>
    <i r="3">
      <x v="381"/>
      <x v="3351"/>
      <x v="611"/>
    </i>
    <i r="3">
      <x v="385"/>
      <x v="3460"/>
      <x v="611"/>
    </i>
    <i r="3">
      <x v="407"/>
      <x v="3418"/>
      <x v="611"/>
    </i>
    <i r="3">
      <x v="416"/>
      <x v="2486"/>
      <x v="611"/>
    </i>
    <i r="3">
      <x v="429"/>
      <x v="3087"/>
      <x v="611"/>
    </i>
    <i r="3">
      <x v="430"/>
      <x v="3544"/>
      <x v="611"/>
    </i>
    <i r="3">
      <x v="441"/>
      <x v="2930"/>
      <x v="611"/>
    </i>
    <i r="3">
      <x v="444"/>
      <x v="2903"/>
      <x v="611"/>
    </i>
    <i r="3">
      <x v="449"/>
      <x v="3387"/>
      <x v="611"/>
    </i>
    <i>
      <x v="210"/>
      <x v="9"/>
      <x v="14"/>
      <x v="327"/>
      <x v="323"/>
      <x v="611"/>
    </i>
    <i r="1">
      <x v="13"/>
      <x v="67"/>
      <x v="327"/>
      <x v="3443"/>
      <x v="611"/>
    </i>
    <i r="2">
      <x v="68"/>
      <x v="327"/>
      <x v="662"/>
      <x v="611"/>
    </i>
    <i r="1">
      <x v="15"/>
      <x v="67"/>
      <x v="327"/>
      <x v="3512"/>
      <x v="611"/>
    </i>
    <i r="1">
      <x v="20"/>
      <x v="14"/>
      <x v="327"/>
      <x v="2930"/>
      <x v="611"/>
    </i>
    <i r="1">
      <x v="24"/>
      <x v="67"/>
      <x v="327"/>
      <x v="3072"/>
      <x v="611"/>
    </i>
    <i r="1">
      <x v="25"/>
      <x v="2"/>
      <x v="327"/>
      <x v="1958"/>
      <x v="611"/>
    </i>
    <i r="1">
      <x v="27"/>
      <x v="2"/>
      <x v="327"/>
      <x v="2305"/>
      <x v="611"/>
    </i>
    <i r="4">
      <x v="2486"/>
      <x v="611"/>
    </i>
    <i r="4">
      <x v="3443"/>
      <x v="611"/>
    </i>
    <i r="1">
      <x v="40"/>
      <x v="22"/>
      <x v="388"/>
      <x v="3460"/>
      <x v="611"/>
    </i>
    <i r="3">
      <x v="393"/>
      <x v="3460"/>
      <x v="611"/>
    </i>
    <i r="3">
      <x v="396"/>
      <x v="3458"/>
      <x v="611"/>
    </i>
    <i r="3">
      <x v="402"/>
      <x v="3418"/>
      <x v="611"/>
    </i>
    <i r="3">
      <x v="433"/>
      <x v="3418"/>
      <x v="611"/>
    </i>
    <i r="3">
      <x v="443"/>
      <x v="3418"/>
      <x v="611"/>
    </i>
    <i r="3">
      <x v="449"/>
      <x v="3387"/>
      <x v="611"/>
    </i>
    <i r="3">
      <x v="450"/>
      <x v="3509"/>
      <x v="611"/>
    </i>
    <i>
      <x v="211"/>
      <x v="13"/>
      <x v="19"/>
      <x v="326"/>
      <x v="3564"/>
      <x v="607"/>
    </i>
    <i r="1">
      <x v="27"/>
      <x v="2"/>
      <x v="326"/>
      <x v="3209"/>
      <x v="611"/>
    </i>
    <i r="4">
      <x v="3443"/>
      <x v="611"/>
    </i>
    <i r="1">
      <x v="40"/>
      <x v="22"/>
      <x v="397"/>
      <x v="3134"/>
      <x v="611"/>
    </i>
    <i r="3">
      <x v="402"/>
      <x v="3467"/>
      <x v="611"/>
    </i>
    <i r="3">
      <x v="407"/>
      <x v="3418"/>
      <x v="611"/>
    </i>
    <i r="3">
      <x v="421"/>
      <x v="3544"/>
      <x v="611"/>
    </i>
    <i r="3">
      <x v="427"/>
      <x v="3537"/>
      <x v="611"/>
    </i>
    <i r="3">
      <x v="432"/>
      <x v="3455"/>
      <x v="611"/>
    </i>
    <i r="3">
      <x v="434"/>
      <x v="1498"/>
      <x v="611"/>
    </i>
    <i>
      <x v="212"/>
      <x v="1"/>
      <x v="17"/>
      <x v="325"/>
      <x v="1754"/>
      <x v="611"/>
    </i>
    <i r="2">
      <x v="19"/>
      <x v="325"/>
      <x v="1185"/>
      <x v="611"/>
    </i>
    <i r="1">
      <x v="12"/>
      <x v="67"/>
      <x v="325"/>
      <x v="3393"/>
      <x v="611"/>
    </i>
    <i r="1">
      <x v="13"/>
      <x v="14"/>
      <x v="325"/>
      <x v="3234"/>
      <x v="611"/>
    </i>
    <i r="2">
      <x v="67"/>
      <x v="325"/>
      <x v="3080"/>
      <x v="611"/>
    </i>
    <i r="1">
      <x v="16"/>
      <x v="17"/>
      <x v="325"/>
      <x v="2839"/>
      <x v="611"/>
    </i>
    <i r="1">
      <x v="24"/>
      <x v="18"/>
      <x v="325"/>
      <x v="2138"/>
      <x v="611"/>
    </i>
    <i r="2">
      <x v="68"/>
      <x v="325"/>
      <x v="164"/>
      <x v="611"/>
    </i>
    <i r="1">
      <x v="27"/>
      <x v="2"/>
      <x v="325"/>
      <x v="3209"/>
      <x v="611"/>
    </i>
    <i r="1">
      <x v="32"/>
      <x v="67"/>
      <x v="325"/>
      <x v="916"/>
      <x v="611"/>
    </i>
    <i r="1">
      <x v="33"/>
      <x v="17"/>
      <x v="325"/>
      <x v="1118"/>
      <x v="611"/>
    </i>
    <i r="1">
      <x v="35"/>
      <x v="67"/>
      <x v="325"/>
      <x v="1737"/>
      <x v="611"/>
    </i>
    <i r="1">
      <x v="40"/>
      <x v="17"/>
      <x v="325"/>
      <x v="2437"/>
      <x v="611"/>
    </i>
    <i r="2">
      <x v="18"/>
      <x v="325"/>
      <x v="2373"/>
      <x v="611"/>
    </i>
    <i r="4">
      <x v="2507"/>
      <x v="611"/>
    </i>
    <i r="4">
      <x v="2995"/>
      <x v="611"/>
    </i>
    <i r="4">
      <x v="3152"/>
      <x v="611"/>
    </i>
    <i r="2">
      <x v="22"/>
      <x v="376"/>
      <x v="3355"/>
      <x v="611"/>
    </i>
    <i r="3">
      <x v="388"/>
      <x v="3539"/>
      <x v="611"/>
    </i>
    <i r="3">
      <x v="392"/>
      <x v="3528"/>
      <x v="611"/>
    </i>
    <i r="3">
      <x v="402"/>
      <x v="3418"/>
      <x v="611"/>
    </i>
    <i r="3">
      <x v="405"/>
      <x v="3537"/>
      <x v="611"/>
    </i>
    <i r="3">
      <x v="414"/>
      <x v="3002"/>
      <x v="611"/>
    </i>
    <i r="3">
      <x v="428"/>
      <x v="3323"/>
      <x v="611"/>
    </i>
    <i r="3">
      <x v="429"/>
      <x v="3387"/>
      <x v="611"/>
    </i>
    <i>
      <x v="213"/>
      <x v="2"/>
      <x v="41"/>
      <x v="324"/>
      <x v="711"/>
      <x v="611"/>
    </i>
    <i r="1">
      <x v="3"/>
      <x v="2"/>
      <x v="323"/>
      <x v="3443"/>
      <x v="611"/>
    </i>
    <i r="2">
      <x v="41"/>
      <x v="324"/>
      <x v="1174"/>
      <x v="611"/>
    </i>
    <i r="4">
      <x v="2060"/>
      <x v="611"/>
    </i>
    <i r="4">
      <x v="2077"/>
      <x v="611"/>
    </i>
    <i r="4">
      <x v="2145"/>
      <x v="611"/>
    </i>
    <i r="4">
      <x v="2161"/>
      <x v="611"/>
    </i>
    <i r="4">
      <x v="2798"/>
      <x v="611"/>
    </i>
    <i r="4">
      <x v="2830"/>
      <x v="611"/>
    </i>
    <i r="4">
      <x v="3047"/>
      <x v="611"/>
    </i>
    <i r="4">
      <x v="3159"/>
      <x v="611"/>
    </i>
    <i r="4">
      <x v="3357"/>
      <x v="611"/>
    </i>
    <i r="4">
      <x v="3370"/>
      <x v="611"/>
    </i>
    <i r="4">
      <x v="3375"/>
      <x v="611"/>
    </i>
    <i r="1">
      <x v="5"/>
      <x v="14"/>
      <x v="323"/>
      <x v="2751"/>
      <x v="611"/>
    </i>
    <i r="1">
      <x v="13"/>
      <x v="67"/>
      <x v="323"/>
      <x v="1881"/>
      <x v="611"/>
    </i>
    <i r="1">
      <x v="16"/>
      <x v="41"/>
      <x v="324"/>
      <x v="1188"/>
      <x v="611"/>
    </i>
    <i r="2">
      <x v="67"/>
      <x v="323"/>
      <x v="777"/>
      <x v="611"/>
    </i>
    <i r="1">
      <x v="18"/>
      <x v="41"/>
      <x v="324"/>
      <x v="1040"/>
      <x v="611"/>
    </i>
    <i r="1">
      <x v="20"/>
      <x v="2"/>
      <x v="323"/>
      <x v="2969"/>
      <x v="611"/>
    </i>
    <i r="2">
      <x v="67"/>
      <x v="323"/>
      <x v="3399"/>
      <x v="611"/>
    </i>
    <i r="1">
      <x v="22"/>
      <x v="41"/>
      <x v="324"/>
      <x v="1671"/>
      <x v="611"/>
    </i>
    <i r="1">
      <x v="27"/>
      <x v="2"/>
      <x v="323"/>
      <x v="2305"/>
      <x v="611"/>
    </i>
    <i r="4">
      <x v="2690"/>
      <x v="611"/>
    </i>
    <i r="4">
      <x v="2969"/>
      <x v="611"/>
    </i>
    <i r="4">
      <x v="3209"/>
      <x v="611"/>
    </i>
    <i r="4">
      <x v="3443"/>
      <x v="611"/>
    </i>
    <i r="2">
      <x v="41"/>
      <x v="324"/>
      <x v="254"/>
      <x v="611"/>
    </i>
    <i r="4">
      <x v="264"/>
      <x v="611"/>
    </i>
    <i r="4">
      <x v="306"/>
      <x v="611"/>
    </i>
    <i r="4">
      <x v="310"/>
      <x v="611"/>
    </i>
    <i r="4">
      <x v="405"/>
      <x v="611"/>
    </i>
    <i r="4">
      <x v="465"/>
      <x v="611"/>
    </i>
    <i r="4">
      <x v="589"/>
      <x v="611"/>
    </i>
    <i r="4">
      <x v="629"/>
      <x v="611"/>
    </i>
    <i r="4">
      <x v="728"/>
      <x v="611"/>
    </i>
    <i r="4">
      <x v="741"/>
      <x v="611"/>
    </i>
    <i r="4">
      <x v="783"/>
      <x v="611"/>
    </i>
    <i r="4">
      <x v="893"/>
      <x v="611"/>
    </i>
    <i r="4">
      <x v="922"/>
      <x v="611"/>
    </i>
    <i r="4">
      <x v="960"/>
      <x v="611"/>
    </i>
    <i r="4">
      <x v="1160"/>
      <x v="611"/>
    </i>
    <i r="4">
      <x v="1276"/>
      <x v="611"/>
    </i>
    <i r="4">
      <x v="1360"/>
      <x v="611"/>
    </i>
    <i r="4">
      <x v="1369"/>
      <x v="611"/>
    </i>
    <i r="4">
      <x v="1564"/>
      <x v="611"/>
    </i>
    <i r="4">
      <x v="1589"/>
      <x v="611"/>
    </i>
    <i r="4">
      <x v="2324"/>
      <x v="611"/>
    </i>
    <i r="4">
      <x v="2351"/>
      <x v="611"/>
    </i>
    <i r="4">
      <x v="2368"/>
      <x v="611"/>
    </i>
    <i r="4">
      <x v="3327"/>
      <x v="611"/>
    </i>
    <i r="4">
      <x v="3384"/>
      <x v="611"/>
    </i>
    <i r="1">
      <x v="34"/>
      <x v="67"/>
      <x v="323"/>
      <x v="2617"/>
      <x v="611"/>
    </i>
    <i r="1">
      <x v="37"/>
      <x v="41"/>
      <x v="324"/>
      <x v="1578"/>
      <x v="611"/>
    </i>
    <i r="1">
      <x v="38"/>
      <x v="41"/>
      <x v="324"/>
      <x v="174"/>
      <x v="611"/>
    </i>
    <i r="1">
      <x v="40"/>
      <x v="2"/>
      <x v="323"/>
      <x v="3443"/>
      <x v="611"/>
    </i>
    <i r="2">
      <x v="22"/>
      <x v="388"/>
      <x v="3524"/>
      <x v="611"/>
    </i>
    <i r="3">
      <x v="399"/>
      <x v="3534"/>
      <x v="611"/>
    </i>
    <i r="3">
      <x v="441"/>
      <x v="2930"/>
      <x v="611"/>
    </i>
    <i r="2">
      <x v="41"/>
      <x v="324"/>
      <x v="2375"/>
      <x v="611"/>
    </i>
    <i r="4">
      <x v="2397"/>
      <x v="611"/>
    </i>
    <i r="4">
      <x v="3068"/>
      <x v="611"/>
    </i>
    <i>
      <x v="214"/>
      <x v="2"/>
      <x v="2"/>
      <x v="322"/>
      <x v="1869"/>
      <x v="611"/>
    </i>
    <i r="1">
      <x v="12"/>
      <x v="67"/>
      <x v="322"/>
      <x v="1085"/>
      <x v="611"/>
    </i>
    <i r="1">
      <x v="14"/>
      <x v="18"/>
      <x v="322"/>
      <x v="1941"/>
      <x v="611"/>
    </i>
    <i r="1">
      <x v="20"/>
      <x v="67"/>
      <x v="322"/>
      <x v="3387"/>
      <x v="611"/>
    </i>
    <i r="1">
      <x v="24"/>
      <x v="18"/>
      <x v="322"/>
      <x v="2883"/>
      <x v="611"/>
    </i>
    <i r="2">
      <x v="19"/>
      <x v="322"/>
      <x v="2135"/>
      <x v="611"/>
    </i>
    <i r="2">
      <x v="63"/>
      <x v="371"/>
      <x v="3564"/>
      <x v="14"/>
    </i>
    <i r="2">
      <x v="67"/>
      <x v="322"/>
      <x v="637"/>
      <x v="611"/>
    </i>
    <i r="1">
      <x v="27"/>
      <x v="2"/>
      <x v="322"/>
      <x v="3443"/>
      <x v="611"/>
    </i>
    <i r="1">
      <x v="31"/>
      <x v="18"/>
      <x v="322"/>
      <x v="2008"/>
      <x v="611"/>
    </i>
    <i r="1">
      <x v="35"/>
      <x v="67"/>
      <x v="322"/>
      <x v="353"/>
      <x v="611"/>
    </i>
    <i r="1">
      <x v="38"/>
      <x v="14"/>
      <x v="322"/>
      <x v="2817"/>
      <x v="611"/>
    </i>
    <i r="1">
      <x v="40"/>
      <x v="17"/>
      <x v="322"/>
      <x v="1186"/>
      <x v="611"/>
    </i>
    <i r="4">
      <x v="1450"/>
      <x v="611"/>
    </i>
    <i r="2">
      <x v="18"/>
      <x v="322"/>
      <x v="1775"/>
      <x v="611"/>
    </i>
    <i r="4">
      <x v="1814"/>
      <x v="611"/>
    </i>
    <i r="4">
      <x v="1996"/>
      <x v="611"/>
    </i>
    <i r="4">
      <x v="2181"/>
      <x v="611"/>
    </i>
    <i r="4">
      <x v="2628"/>
      <x v="611"/>
    </i>
    <i r="4">
      <x v="3200"/>
      <x v="611"/>
    </i>
    <i r="4">
      <x v="3361"/>
      <x v="611"/>
    </i>
    <i r="2">
      <x v="22"/>
      <x v="445"/>
      <x v="3403"/>
      <x v="611"/>
    </i>
    <i r="2">
      <x v="67"/>
      <x v="322"/>
      <x v="1073"/>
      <x v="611"/>
    </i>
    <i r="4">
      <x v="2513"/>
      <x v="611"/>
    </i>
    <i>
      <x v="215"/>
      <x v="3"/>
      <x v="2"/>
      <x v="320"/>
      <x v="3209"/>
      <x v="611"/>
    </i>
    <i r="4">
      <x v="3443"/>
      <x v="611"/>
    </i>
    <i r="1">
      <x v="20"/>
      <x v="14"/>
      <x v="320"/>
      <x v="1909"/>
      <x v="611"/>
    </i>
    <i r="1">
      <x v="24"/>
      <x v="17"/>
      <x v="320"/>
      <x v="2390"/>
      <x v="611"/>
    </i>
    <i r="1">
      <x v="27"/>
      <x v="2"/>
      <x v="320"/>
      <x v="2690"/>
      <x v="611"/>
    </i>
    <i r="4">
      <x v="2969"/>
      <x v="611"/>
    </i>
    <i r="2">
      <x v="54"/>
      <x v="321"/>
      <x v="1863"/>
      <x v="611"/>
    </i>
    <i r="1">
      <x v="40"/>
      <x v="14"/>
      <x v="320"/>
      <x v="2321"/>
      <x v="611"/>
    </i>
    <i r="2">
      <x v="17"/>
      <x v="320"/>
      <x v="2505"/>
      <x v="611"/>
    </i>
    <i r="2">
      <x v="18"/>
      <x v="320"/>
      <x v="2971"/>
      <x v="611"/>
    </i>
    <i r="2">
      <x v="22"/>
      <x v="411"/>
      <x v="2817"/>
      <x v="611"/>
    </i>
    <i r="2">
      <x v="67"/>
      <x v="320"/>
      <x v="2230"/>
      <x v="611"/>
    </i>
    <i>
      <x v="216"/>
      <x v="40"/>
      <x v="22"/>
      <x v="430"/>
      <x v="3460"/>
      <x v="611"/>
    </i>
    <i>
      <x v="217"/>
      <x v="3"/>
      <x v="67"/>
      <x v="319"/>
      <x v="1116"/>
      <x v="611"/>
    </i>
    <i r="4">
      <x v="1280"/>
      <x v="611"/>
    </i>
    <i r="1">
      <x v="16"/>
      <x v="68"/>
      <x v="319"/>
      <x v="58"/>
      <x v="611"/>
    </i>
    <i r="1">
      <x v="18"/>
      <x v="68"/>
      <x v="319"/>
      <x v="1227"/>
      <x v="611"/>
    </i>
    <i r="1">
      <x v="20"/>
      <x v="67"/>
      <x v="319"/>
      <x v="2788"/>
      <x v="611"/>
    </i>
    <i r="1">
      <x v="24"/>
      <x v="68"/>
      <x v="319"/>
      <x v="1227"/>
      <x v="611"/>
    </i>
    <i r="1">
      <x v="28"/>
      <x v="17"/>
      <x v="319"/>
      <x v="2514"/>
      <x v="611"/>
    </i>
    <i r="1">
      <x v="38"/>
      <x v="17"/>
      <x v="319"/>
      <x v="1910"/>
      <x v="611"/>
    </i>
    <i r="1">
      <x v="40"/>
      <x v="17"/>
      <x v="319"/>
      <x v="1814"/>
      <x v="611"/>
    </i>
    <i r="4">
      <x v="2307"/>
      <x v="611"/>
    </i>
    <i r="4">
      <x v="3314"/>
      <x v="611"/>
    </i>
    <i r="2">
      <x v="18"/>
      <x v="319"/>
      <x v="2003"/>
      <x v="611"/>
    </i>
    <i r="4">
      <x v="2072"/>
      <x v="611"/>
    </i>
    <i r="4">
      <x v="2103"/>
      <x v="611"/>
    </i>
    <i r="4">
      <x v="2888"/>
      <x v="611"/>
    </i>
    <i r="4">
      <x v="3213"/>
      <x v="611"/>
    </i>
    <i r="2">
      <x v="22"/>
      <x v="399"/>
      <x v="3142"/>
      <x v="611"/>
    </i>
    <i r="3">
      <x v="411"/>
      <x v="3274"/>
      <x v="611"/>
    </i>
    <i>
      <x v="218"/>
      <x v="40"/>
      <x v="22"/>
      <x v="414"/>
      <x v="2215"/>
      <x v="611"/>
    </i>
    <i>
      <x v="219"/>
      <x v="2"/>
      <x v="14"/>
      <x v="318"/>
      <x v="3105"/>
      <x v="611"/>
    </i>
    <i r="1">
      <x v="3"/>
      <x v="2"/>
      <x v="318"/>
      <x v="3209"/>
      <x v="611"/>
    </i>
    <i r="1">
      <x v="16"/>
      <x v="14"/>
      <x v="318"/>
      <x v="1701"/>
      <x v="611"/>
    </i>
    <i r="2">
      <x v="67"/>
      <x v="318"/>
      <x v="3062"/>
      <x v="611"/>
    </i>
    <i r="1">
      <x v="20"/>
      <x v="67"/>
      <x v="318"/>
      <x v="2422"/>
      <x v="611"/>
    </i>
    <i r="1">
      <x v="27"/>
      <x v="2"/>
      <x v="318"/>
      <x v="1367"/>
      <x v="611"/>
    </i>
    <i r="4">
      <x v="2027"/>
      <x v="611"/>
    </i>
    <i r="4">
      <x v="2305"/>
      <x v="611"/>
    </i>
    <i r="4">
      <x v="2486"/>
      <x v="611"/>
    </i>
    <i r="4">
      <x v="2969"/>
      <x v="611"/>
    </i>
    <i r="4">
      <x v="3209"/>
      <x v="611"/>
    </i>
    <i r="4">
      <x v="3443"/>
      <x v="611"/>
    </i>
    <i r="1">
      <x v="32"/>
      <x v="67"/>
      <x v="318"/>
      <x v="1162"/>
      <x v="611"/>
    </i>
    <i r="1">
      <x v="34"/>
      <x v="67"/>
      <x v="318"/>
      <x v="1025"/>
      <x v="611"/>
    </i>
    <i>
      <x v="220"/>
      <x v="3"/>
      <x v="2"/>
      <x v="317"/>
      <x v="3443"/>
      <x v="611"/>
    </i>
    <i r="1">
      <x v="12"/>
      <x v="14"/>
      <x v="317"/>
      <x v="855"/>
      <x v="611"/>
    </i>
    <i r="2">
      <x v="67"/>
      <x v="317"/>
      <x v="1099"/>
      <x v="611"/>
    </i>
    <i r="1">
      <x v="18"/>
      <x v="67"/>
      <x v="317"/>
      <x v="2197"/>
      <x v="611"/>
    </i>
    <i r="1">
      <x v="24"/>
      <x v="67"/>
      <x v="317"/>
      <x v="1030"/>
      <x v="611"/>
    </i>
    <i r="1">
      <x v="27"/>
      <x v="2"/>
      <x v="317"/>
      <x v="1814"/>
      <x v="611"/>
    </i>
    <i r="4">
      <x v="2027"/>
      <x v="611"/>
    </i>
    <i r="4">
      <x v="2690"/>
      <x v="611"/>
    </i>
    <i r="1">
      <x v="33"/>
      <x v="17"/>
      <x v="317"/>
      <x v="2132"/>
      <x v="611"/>
    </i>
    <i r="2">
      <x v="19"/>
      <x v="317"/>
      <x v="2486"/>
      <x v="611"/>
    </i>
    <i r="1">
      <x v="40"/>
      <x v="14"/>
      <x v="317"/>
      <x v="3142"/>
      <x v="611"/>
    </i>
    <i r="2">
      <x v="17"/>
      <x v="317"/>
      <x v="2086"/>
      <x v="611"/>
    </i>
    <i r="4">
      <x v="2970"/>
      <x v="611"/>
    </i>
    <i r="2">
      <x v="18"/>
      <x v="317"/>
      <x v="1728"/>
      <x v="611"/>
    </i>
    <i r="4">
      <x v="2041"/>
      <x v="611"/>
    </i>
    <i r="4">
      <x v="2543"/>
      <x v="611"/>
    </i>
    <i r="4">
      <x v="2579"/>
      <x v="611"/>
    </i>
    <i r="2">
      <x v="22"/>
      <x v="391"/>
      <x v="3550"/>
      <x v="611"/>
    </i>
    <i r="3">
      <x v="402"/>
      <x v="3537"/>
      <x v="611"/>
    </i>
    <i r="3">
      <x v="433"/>
      <x v="3535"/>
      <x v="611"/>
    </i>
    <i>
      <x v="221"/>
      <x v="3"/>
      <x v="2"/>
      <x v="316"/>
      <x v="3209"/>
      <x v="611"/>
    </i>
    <i r="1">
      <x v="13"/>
      <x v="67"/>
      <x v="316"/>
      <x v="2969"/>
      <x v="611"/>
    </i>
    <i r="1">
      <x v="25"/>
      <x v="67"/>
      <x v="316"/>
      <x v="2969"/>
      <x v="611"/>
    </i>
    <i r="1">
      <x v="27"/>
      <x v="2"/>
      <x v="316"/>
      <x v="1621"/>
      <x v="611"/>
    </i>
    <i r="4">
      <x v="2969"/>
      <x v="611"/>
    </i>
    <i r="4">
      <x v="3209"/>
      <x v="611"/>
    </i>
    <i r="1">
      <x v="32"/>
      <x v="67"/>
      <x v="316"/>
      <x v="1600"/>
      <x v="611"/>
    </i>
    <i r="1">
      <x v="37"/>
      <x v="67"/>
      <x v="316"/>
      <x v="3418"/>
      <x v="611"/>
    </i>
    <i r="1">
      <x v="40"/>
      <x v="14"/>
      <x v="316"/>
      <x v="2943"/>
      <x v="611"/>
    </i>
    <i r="2">
      <x v="22"/>
      <x v="403"/>
      <x v="3530"/>
      <x v="611"/>
    </i>
    <i r="3">
      <x v="418"/>
      <x v="2896"/>
      <x v="611"/>
    </i>
    <i r="3">
      <x v="430"/>
      <x v="3247"/>
      <x v="611"/>
    </i>
    <i r="2">
      <x v="67"/>
      <x v="316"/>
      <x v="2434"/>
      <x v="611"/>
    </i>
    <i>
      <x v="222"/>
      <x v="3"/>
      <x v="32"/>
      <x v="315"/>
      <x v="2066"/>
      <x v="611"/>
    </i>
    <i r="4">
      <x v="2281"/>
      <x v="611"/>
    </i>
    <i r="4">
      <x v="2303"/>
      <x v="611"/>
    </i>
    <i r="4">
      <x v="2516"/>
      <x v="611"/>
    </i>
    <i r="4">
      <x v="2812"/>
      <x v="611"/>
    </i>
    <i r="4">
      <x v="2864"/>
      <x v="611"/>
    </i>
    <i r="4">
      <x v="3081"/>
      <x v="611"/>
    </i>
    <i r="4">
      <x v="3149"/>
      <x v="611"/>
    </i>
    <i r="4">
      <x v="3212"/>
      <x v="611"/>
    </i>
    <i r="4">
      <x v="3268"/>
      <x v="611"/>
    </i>
    <i r="4">
      <x v="3330"/>
      <x v="611"/>
    </i>
    <i r="4">
      <x v="3335"/>
      <x v="611"/>
    </i>
    <i r="1">
      <x v="6"/>
      <x v="67"/>
      <x v="314"/>
      <x v="1227"/>
      <x v="611"/>
    </i>
    <i r="1">
      <x v="12"/>
      <x v="32"/>
      <x v="315"/>
      <x v="1722"/>
      <x v="611"/>
    </i>
    <i r="1">
      <x v="15"/>
      <x v="32"/>
      <x v="315"/>
      <x v="843"/>
      <x v="611"/>
    </i>
    <i r="1">
      <x v="16"/>
      <x v="18"/>
      <x v="314"/>
      <x v="1133"/>
      <x v="611"/>
    </i>
    <i r="2">
      <x v="32"/>
      <x v="315"/>
      <x v="514"/>
      <x v="611"/>
    </i>
    <i r="1">
      <x v="18"/>
      <x v="32"/>
      <x v="315"/>
      <x v="749"/>
      <x v="611"/>
    </i>
    <i r="1">
      <x v="27"/>
      <x v="32"/>
      <x v="315"/>
      <x v="128"/>
      <x v="611"/>
    </i>
    <i r="4">
      <x v="146"/>
      <x v="611"/>
    </i>
    <i r="4">
      <x v="180"/>
      <x v="611"/>
    </i>
    <i r="4">
      <x v="223"/>
      <x v="611"/>
    </i>
    <i r="4">
      <x v="269"/>
      <x v="611"/>
    </i>
    <i r="4">
      <x v="473"/>
      <x v="611"/>
    </i>
    <i r="4">
      <x v="481"/>
      <x v="611"/>
    </i>
    <i r="4">
      <x v="628"/>
      <x v="611"/>
    </i>
    <i r="4">
      <x v="765"/>
      <x v="611"/>
    </i>
    <i r="4">
      <x v="805"/>
      <x v="611"/>
    </i>
    <i r="4">
      <x v="836"/>
      <x v="611"/>
    </i>
    <i r="4">
      <x v="845"/>
      <x v="611"/>
    </i>
    <i r="4">
      <x v="853"/>
      <x v="611"/>
    </i>
    <i r="4">
      <x v="875"/>
      <x v="611"/>
    </i>
    <i r="4">
      <x v="1015"/>
      <x v="611"/>
    </i>
    <i r="4">
      <x v="1083"/>
      <x v="611"/>
    </i>
    <i r="4">
      <x v="1328"/>
      <x v="611"/>
    </i>
    <i r="4">
      <x v="1340"/>
      <x v="611"/>
    </i>
    <i r="4">
      <x v="1528"/>
      <x v="611"/>
    </i>
    <i r="4">
      <x v="1599"/>
      <x v="611"/>
    </i>
    <i r="4">
      <x v="2088"/>
      <x v="611"/>
    </i>
    <i r="4">
      <x v="2749"/>
      <x v="611"/>
    </i>
    <i r="4">
      <x v="2941"/>
      <x v="611"/>
    </i>
    <i r="4">
      <x v="3410"/>
      <x v="611"/>
    </i>
    <i r="4">
      <x v="3483"/>
      <x v="611"/>
    </i>
    <i r="1">
      <x v="30"/>
      <x v="19"/>
      <x v="314"/>
      <x v="236"/>
      <x v="611"/>
    </i>
    <i r="1">
      <x v="38"/>
      <x v="32"/>
      <x v="315"/>
      <x v="118"/>
      <x v="611"/>
    </i>
    <i r="1">
      <x v="40"/>
      <x v="17"/>
      <x v="314"/>
      <x v="2465"/>
      <x v="611"/>
    </i>
    <i r="4">
      <x v="2970"/>
      <x v="611"/>
    </i>
    <i r="2">
      <x v="18"/>
      <x v="314"/>
      <x v="2577"/>
      <x v="611"/>
    </i>
    <i r="4">
      <x v="2688"/>
      <x v="611"/>
    </i>
    <i r="4">
      <x v="3064"/>
      <x v="611"/>
    </i>
    <i r="2">
      <x v="22"/>
      <x v="391"/>
      <x v="3544"/>
      <x v="611"/>
    </i>
    <i r="3">
      <x v="399"/>
      <x v="3142"/>
      <x v="611"/>
    </i>
    <i r="2">
      <x v="32"/>
      <x v="315"/>
      <x v="1372"/>
      <x v="611"/>
    </i>
    <i r="4">
      <x v="1697"/>
      <x v="611"/>
    </i>
    <i r="4">
      <x v="2429"/>
      <x v="611"/>
    </i>
    <i r="4">
      <x v="2449"/>
      <x v="611"/>
    </i>
    <i r="4">
      <x v="2546"/>
      <x v="611"/>
    </i>
    <i r="4">
      <x v="2678"/>
      <x v="611"/>
    </i>
    <i r="4">
      <x v="3060"/>
      <x v="611"/>
    </i>
    <i>
      <x v="223"/>
      <x v="3"/>
      <x v="2"/>
      <x v="313"/>
      <x v="3443"/>
      <x v="611"/>
    </i>
    <i r="2">
      <x v="67"/>
      <x v="313"/>
      <x v="3487"/>
      <x v="611"/>
    </i>
    <i r="1">
      <x v="16"/>
      <x v="67"/>
      <x v="313"/>
      <x v="3504"/>
      <x v="611"/>
    </i>
    <i r="1">
      <x v="18"/>
      <x v="67"/>
      <x v="313"/>
      <x v="3443"/>
      <x v="611"/>
    </i>
    <i r="1">
      <x v="27"/>
      <x v="2"/>
      <x v="313"/>
      <x v="1814"/>
      <x v="611"/>
    </i>
    <i r="4">
      <x v="2150"/>
      <x v="611"/>
    </i>
    <i r="4">
      <x v="2486"/>
      <x v="611"/>
    </i>
    <i r="4">
      <x v="2969"/>
      <x v="611"/>
    </i>
    <i r="4">
      <x v="3209"/>
      <x v="611"/>
    </i>
    <i r="4">
      <x v="3443"/>
      <x v="611"/>
    </i>
    <i r="2">
      <x v="67"/>
      <x v="313"/>
      <x v="1284"/>
      <x v="611"/>
    </i>
    <i r="1">
      <x v="30"/>
      <x v="62"/>
      <x v="313"/>
      <x v="1371"/>
      <x v="611"/>
    </i>
    <i r="1">
      <x v="34"/>
      <x v="67"/>
      <x v="313"/>
      <x v="1650"/>
      <x v="611"/>
    </i>
    <i r="1">
      <x v="37"/>
      <x v="67"/>
      <x v="313"/>
      <x v="3029"/>
      <x v="611"/>
    </i>
    <i r="1">
      <x v="40"/>
      <x v="17"/>
      <x v="313"/>
      <x v="3564"/>
      <x v="387"/>
    </i>
    <i r="2">
      <x v="22"/>
      <x v="389"/>
      <x v="3546"/>
      <x v="611"/>
    </i>
    <i r="3">
      <x v="391"/>
      <x v="3550"/>
      <x v="611"/>
    </i>
    <i r="3">
      <x v="399"/>
      <x v="3142"/>
      <x v="611"/>
    </i>
    <i r="3">
      <x v="434"/>
      <x v="3523"/>
      <x v="611"/>
    </i>
    <i>
      <x v="224"/>
      <x v="3"/>
      <x v="2"/>
      <x v="311"/>
      <x v="3443"/>
      <x v="611"/>
    </i>
    <i r="1">
      <x v="13"/>
      <x v="2"/>
      <x v="311"/>
      <x v="3393"/>
      <x v="611"/>
    </i>
    <i r="1">
      <x v="16"/>
      <x v="14"/>
      <x v="311"/>
      <x v="3311"/>
      <x v="611"/>
    </i>
    <i r="1">
      <x v="18"/>
      <x v="58"/>
      <x v="312"/>
      <x v="1178"/>
      <x v="611"/>
    </i>
    <i r="1">
      <x v="20"/>
      <x v="67"/>
      <x v="311"/>
      <x v="527"/>
      <x v="611"/>
    </i>
    <i r="1">
      <x v="24"/>
      <x v="2"/>
      <x v="311"/>
      <x v="2486"/>
      <x v="611"/>
    </i>
    <i r="1">
      <x v="27"/>
      <x v="2"/>
      <x v="311"/>
      <x v="2150"/>
      <x v="611"/>
    </i>
    <i r="4">
      <x v="2690"/>
      <x v="611"/>
    </i>
    <i r="4">
      <x v="2969"/>
      <x v="611"/>
    </i>
    <i r="4">
      <x v="3209"/>
      <x v="611"/>
    </i>
    <i r="4">
      <x v="3443"/>
      <x v="611"/>
    </i>
    <i r="1">
      <x v="30"/>
      <x v="67"/>
      <x v="311"/>
      <x v="614"/>
      <x v="611"/>
    </i>
    <i r="1">
      <x v="33"/>
      <x v="19"/>
      <x v="311"/>
      <x v="318"/>
      <x v="611"/>
    </i>
    <i r="1">
      <x v="34"/>
      <x v="67"/>
      <x v="311"/>
      <x v="2690"/>
      <x v="611"/>
    </i>
    <i r="1">
      <x v="35"/>
      <x v="2"/>
      <x v="311"/>
      <x v="1409"/>
      <x v="611"/>
    </i>
    <i r="1">
      <x v="38"/>
      <x v="2"/>
      <x v="311"/>
      <x v="2456"/>
      <x v="611"/>
    </i>
    <i r="2">
      <x v="14"/>
      <x v="311"/>
      <x v="2435"/>
      <x v="611"/>
    </i>
    <i r="2">
      <x v="17"/>
      <x v="311"/>
      <x v="1183"/>
      <x v="611"/>
    </i>
    <i r="1">
      <x v="40"/>
      <x v="2"/>
      <x v="311"/>
      <x v="3443"/>
      <x v="611"/>
    </i>
    <i r="2">
      <x v="17"/>
      <x v="311"/>
      <x v="812"/>
      <x v="611"/>
    </i>
    <i r="4">
      <x v="1191"/>
      <x v="611"/>
    </i>
    <i r="4">
      <x v="2320"/>
      <x v="611"/>
    </i>
    <i r="4">
      <x v="2537"/>
      <x v="611"/>
    </i>
    <i r="4">
      <x v="3214"/>
      <x v="611"/>
    </i>
    <i r="2">
      <x v="18"/>
      <x v="311"/>
      <x v="1476"/>
      <x v="611"/>
    </i>
    <i r="4">
      <x v="2254"/>
      <x v="611"/>
    </i>
    <i r="4">
      <x v="2870"/>
      <x v="611"/>
    </i>
    <i r="4">
      <x v="3100"/>
      <x v="611"/>
    </i>
    <i r="4">
      <x v="3142"/>
      <x v="611"/>
    </i>
    <i r="2">
      <x v="22"/>
      <x v="378"/>
      <x v="3537"/>
      <x v="611"/>
    </i>
    <i r="3">
      <x v="381"/>
      <x v="3537"/>
      <x v="611"/>
    </i>
    <i r="3">
      <x v="387"/>
      <x v="3535"/>
      <x v="611"/>
    </i>
    <i r="3">
      <x v="394"/>
      <x v="3548"/>
      <x v="611"/>
    </i>
    <i r="3">
      <x v="402"/>
      <x v="3550"/>
      <x v="611"/>
    </i>
    <i>
      <x v="225"/>
      <x v="3"/>
      <x v="2"/>
      <x v="310"/>
      <x v="3443"/>
      <x v="611"/>
    </i>
    <i r="2">
      <x v="68"/>
      <x v="310"/>
      <x v="431"/>
      <x v="611"/>
    </i>
    <i r="4">
      <x v="1621"/>
      <x v="611"/>
    </i>
    <i r="1">
      <x v="12"/>
      <x v="67"/>
      <x v="310"/>
      <x v="1922"/>
      <x v="611"/>
    </i>
    <i r="1">
      <x v="17"/>
      <x v="68"/>
      <x v="310"/>
      <x v="108"/>
      <x v="611"/>
    </i>
    <i r="1">
      <x v="20"/>
      <x v="16"/>
      <x v="310"/>
      <x v="19"/>
      <x v="611"/>
    </i>
    <i r="1">
      <x v="22"/>
      <x v="17"/>
      <x v="310"/>
      <x v="687"/>
      <x v="611"/>
    </i>
    <i r="2">
      <x v="18"/>
      <x v="310"/>
      <x v="2640"/>
      <x v="611"/>
    </i>
    <i r="1">
      <x v="27"/>
      <x v="2"/>
      <x v="310"/>
      <x v="3209"/>
      <x v="611"/>
    </i>
    <i r="1">
      <x v="32"/>
      <x v="67"/>
      <x v="310"/>
      <x v="1576"/>
      <x v="611"/>
    </i>
    <i r="1">
      <x v="34"/>
      <x v="67"/>
      <x v="310"/>
      <x v="2073"/>
      <x v="611"/>
    </i>
    <i r="1">
      <x v="40"/>
      <x v="17"/>
      <x v="310"/>
      <x v="1976"/>
      <x v="611"/>
    </i>
    <i r="2">
      <x v="18"/>
      <x v="310"/>
      <x v="1463"/>
      <x v="611"/>
    </i>
    <i r="4">
      <x v="2671"/>
      <x v="611"/>
    </i>
    <i r="2">
      <x v="22"/>
      <x v="381"/>
      <x v="3537"/>
      <x v="611"/>
    </i>
    <i r="3">
      <x v="389"/>
      <x v="3341"/>
      <x v="611"/>
    </i>
    <i r="3">
      <x v="401"/>
      <x v="3535"/>
      <x v="611"/>
    </i>
    <i r="3">
      <x v="403"/>
      <x v="3471"/>
      <x v="611"/>
    </i>
    <i r="3">
      <x v="415"/>
      <x v="3546"/>
      <x v="611"/>
    </i>
    <i r="2">
      <x v="68"/>
      <x v="310"/>
      <x v="1337"/>
      <x v="611"/>
    </i>
    <i r="4">
      <x v="1423"/>
      <x v="611"/>
    </i>
    <i>
      <x v="226"/>
      <x/>
      <x v="67"/>
      <x v="309"/>
      <x v="3517"/>
      <x v="611"/>
    </i>
    <i r="1">
      <x v="2"/>
      <x v="14"/>
      <x v="309"/>
      <x v="1948"/>
      <x v="611"/>
    </i>
    <i r="1">
      <x v="3"/>
      <x v="67"/>
      <x v="309"/>
      <x v="1058"/>
      <x v="611"/>
    </i>
    <i r="4">
      <x v="1132"/>
      <x v="611"/>
    </i>
    <i r="1">
      <x v="6"/>
      <x v="18"/>
      <x v="309"/>
      <x v="170"/>
      <x v="611"/>
    </i>
    <i r="1">
      <x v="12"/>
      <x v="67"/>
      <x v="309"/>
      <x v="1568"/>
      <x v="611"/>
    </i>
    <i r="1">
      <x v="13"/>
      <x v="68"/>
      <x v="309"/>
      <x v="2617"/>
      <x v="611"/>
    </i>
    <i r="1">
      <x v="24"/>
      <x v="14"/>
      <x v="309"/>
      <x v="3532"/>
      <x v="611"/>
    </i>
    <i r="1">
      <x v="27"/>
      <x v="2"/>
      <x v="309"/>
      <x v="3209"/>
      <x v="611"/>
    </i>
    <i r="1">
      <x v="40"/>
      <x v="22"/>
      <x v="404"/>
      <x v="3022"/>
      <x v="611"/>
    </i>
    <i r="3">
      <x v="408"/>
      <x v="3460"/>
      <x v="611"/>
    </i>
    <i r="3">
      <x v="411"/>
      <x v="3274"/>
      <x v="611"/>
    </i>
    <i r="3">
      <x v="418"/>
      <x v="2896"/>
      <x v="611"/>
    </i>
    <i>
      <x v="227"/>
      <x v="3"/>
      <x v="2"/>
      <x v="308"/>
      <x v="2969"/>
      <x v="611"/>
    </i>
    <i r="1">
      <x v="13"/>
      <x v="67"/>
      <x v="308"/>
      <x v="2896"/>
      <x v="611"/>
    </i>
    <i r="1">
      <x v="16"/>
      <x v="67"/>
      <x v="308"/>
      <x v="3168"/>
      <x v="611"/>
    </i>
    <i r="1">
      <x v="24"/>
      <x v="67"/>
      <x v="308"/>
      <x v="1337"/>
      <x v="611"/>
    </i>
    <i r="1">
      <x v="25"/>
      <x v="67"/>
      <x v="308"/>
      <x v="839"/>
      <x v="611"/>
    </i>
    <i r="1">
      <x v="27"/>
      <x v="2"/>
      <x v="308"/>
      <x v="3209"/>
      <x v="611"/>
    </i>
    <i r="1">
      <x v="37"/>
      <x v="67"/>
      <x v="308"/>
      <x v="3239"/>
      <x v="611"/>
    </i>
    <i r="1">
      <x v="40"/>
      <x v="17"/>
      <x v="308"/>
      <x v="2181"/>
      <x v="611"/>
    </i>
    <i r="4">
      <x v="3204"/>
      <x v="611"/>
    </i>
    <i r="4">
      <x v="3410"/>
      <x v="611"/>
    </i>
    <i r="4">
      <x v="3512"/>
      <x v="611"/>
    </i>
    <i r="2">
      <x v="18"/>
      <x v="308"/>
      <x v="2603"/>
      <x v="611"/>
    </i>
    <i r="4">
      <x v="2647"/>
      <x v="611"/>
    </i>
    <i r="2">
      <x v="22"/>
      <x v="389"/>
      <x v="3379"/>
      <x v="611"/>
    </i>
    <i r="3">
      <x v="393"/>
      <x v="3526"/>
      <x v="611"/>
    </i>
    <i r="3">
      <x v="433"/>
      <x v="3514"/>
      <x v="611"/>
    </i>
    <i>
      <x v="228"/>
      <x v="13"/>
      <x v="2"/>
      <x v="307"/>
      <x v="2969"/>
      <x v="611"/>
    </i>
    <i r="1">
      <x v="24"/>
      <x v="67"/>
      <x v="307"/>
      <x v="1312"/>
      <x v="611"/>
    </i>
    <i r="1">
      <x v="27"/>
      <x v="2"/>
      <x v="307"/>
      <x v="2969"/>
      <x v="611"/>
    </i>
    <i r="1">
      <x v="34"/>
      <x v="67"/>
      <x v="307"/>
      <x v="1773"/>
      <x v="611"/>
    </i>
    <i r="1">
      <x v="40"/>
      <x v="17"/>
      <x v="307"/>
      <x v="1539"/>
      <x v="611"/>
    </i>
    <i r="2">
      <x v="22"/>
      <x v="445"/>
      <x v="3518"/>
      <x v="611"/>
    </i>
    <i>
      <x v="229"/>
      <x v="3"/>
      <x v="2"/>
      <x v="306"/>
      <x v="3209"/>
      <x v="611"/>
    </i>
    <i r="4">
      <x v="3443"/>
      <x v="611"/>
    </i>
    <i r="1">
      <x v="16"/>
      <x v="67"/>
      <x v="306"/>
      <x v="3350"/>
      <x v="611"/>
    </i>
    <i r="1">
      <x v="18"/>
      <x v="67"/>
      <x v="306"/>
      <x v="2305"/>
      <x v="611"/>
    </i>
    <i r="1">
      <x v="27"/>
      <x v="2"/>
      <x v="306"/>
      <x v="1909"/>
      <x v="611"/>
    </i>
    <i r="4">
      <x v="2150"/>
      <x v="611"/>
    </i>
    <i r="4">
      <x v="2486"/>
      <x v="611"/>
    </i>
    <i r="4">
      <x v="2969"/>
      <x v="611"/>
    </i>
    <i r="4">
      <x v="3209"/>
      <x v="611"/>
    </i>
    <i r="4">
      <x v="3443"/>
      <x v="611"/>
    </i>
    <i r="1">
      <x v="40"/>
      <x v="22"/>
      <x v="378"/>
      <x v="3537"/>
      <x v="611"/>
    </i>
    <i r="3">
      <x v="391"/>
      <x v="3550"/>
      <x v="611"/>
    </i>
    <i r="3">
      <x v="393"/>
      <x v="3526"/>
      <x v="611"/>
    </i>
    <i r="3">
      <x v="433"/>
      <x v="3537"/>
      <x v="611"/>
    </i>
    <i r="3">
      <x v="450"/>
      <x v="3509"/>
      <x v="611"/>
    </i>
    <i>
      <x v="230"/>
      <x v="3"/>
      <x v="2"/>
      <x v="305"/>
      <x v="3443"/>
      <x v="611"/>
    </i>
    <i r="1">
      <x v="24"/>
      <x v="2"/>
      <x v="305"/>
      <x v="1285"/>
      <x v="611"/>
    </i>
    <i r="1">
      <x v="27"/>
      <x v="2"/>
      <x v="305"/>
      <x v="1621"/>
      <x v="611"/>
    </i>
    <i r="4">
      <x v="2305"/>
      <x v="611"/>
    </i>
    <i r="4">
      <x v="2690"/>
      <x v="611"/>
    </i>
    <i r="4">
      <x v="3209"/>
      <x v="611"/>
    </i>
    <i r="4">
      <x v="3443"/>
      <x v="611"/>
    </i>
    <i r="1">
      <x v="32"/>
      <x v="2"/>
      <x v="305"/>
      <x v="1577"/>
      <x v="611"/>
    </i>
    <i r="2">
      <x v="17"/>
      <x v="305"/>
      <x v="1707"/>
      <x v="611"/>
    </i>
    <i r="1">
      <x v="35"/>
      <x v="67"/>
      <x v="305"/>
      <x v="2644"/>
      <x v="611"/>
    </i>
    <i r="1">
      <x v="40"/>
      <x v="2"/>
      <x v="305"/>
      <x v="3443"/>
      <x v="611"/>
    </i>
    <i r="2">
      <x v="14"/>
      <x v="305"/>
      <x v="3211"/>
      <x v="611"/>
    </i>
    <i r="2">
      <x v="17"/>
      <x v="305"/>
      <x v="1241"/>
      <x v="611"/>
    </i>
    <i r="4">
      <x v="2470"/>
      <x v="611"/>
    </i>
    <i r="4">
      <x v="2590"/>
      <x v="611"/>
    </i>
    <i r="4">
      <x v="3238"/>
      <x v="611"/>
    </i>
    <i r="4">
      <x v="3310"/>
      <x v="611"/>
    </i>
    <i r="2">
      <x v="18"/>
      <x v="305"/>
      <x v="1501"/>
      <x v="611"/>
    </i>
    <i r="4">
      <x v="1917"/>
      <x v="611"/>
    </i>
    <i r="4">
      <x v="2205"/>
      <x v="611"/>
    </i>
    <i r="4">
      <x v="2305"/>
      <x v="611"/>
    </i>
    <i r="4">
      <x v="2447"/>
      <x v="611"/>
    </i>
    <i r="4">
      <x v="2532"/>
      <x v="611"/>
    </i>
    <i r="4">
      <x v="2620"/>
      <x v="611"/>
    </i>
    <i r="4">
      <x v="3538"/>
      <x v="611"/>
    </i>
    <i r="2">
      <x v="22"/>
      <x v="383"/>
      <x v="3460"/>
      <x v="611"/>
    </i>
    <i r="3">
      <x v="430"/>
      <x v="3544"/>
      <x v="611"/>
    </i>
    <i r="3">
      <x v="433"/>
      <x v="3537"/>
      <x v="611"/>
    </i>
    <i r="2">
      <x v="68"/>
      <x v="305"/>
      <x v="1814"/>
      <x v="611"/>
    </i>
    <i>
      <x v="231"/>
      <x v="2"/>
      <x v="68"/>
      <x v="304"/>
      <x v="3134"/>
      <x v="611"/>
    </i>
    <i r="1">
      <x v="13"/>
      <x v="2"/>
      <x v="304"/>
      <x v="3509"/>
      <x v="611"/>
    </i>
    <i r="1">
      <x v="16"/>
      <x v="68"/>
      <x v="304"/>
      <x v="3378"/>
      <x v="611"/>
    </i>
    <i r="1">
      <x v="24"/>
      <x v="68"/>
      <x v="304"/>
      <x v="775"/>
      <x v="611"/>
    </i>
    <i r="1">
      <x v="25"/>
      <x v="68"/>
      <x v="304"/>
      <x v="1112"/>
      <x v="611"/>
    </i>
    <i r="1">
      <x v="27"/>
      <x v="2"/>
      <x v="304"/>
      <x v="2690"/>
      <x v="611"/>
    </i>
    <i r="4">
      <x v="3443"/>
      <x v="611"/>
    </i>
    <i r="1">
      <x v="30"/>
      <x v="68"/>
      <x v="304"/>
      <x v="1419"/>
      <x v="611"/>
    </i>
    <i r="1">
      <x v="32"/>
      <x v="67"/>
      <x v="304"/>
      <x v="1455"/>
      <x v="611"/>
    </i>
    <i r="1">
      <x v="34"/>
      <x v="67"/>
      <x v="304"/>
      <x v="1934"/>
      <x v="611"/>
    </i>
    <i r="1">
      <x v="35"/>
      <x v="68"/>
      <x v="304"/>
      <x v="82"/>
      <x v="611"/>
    </i>
    <i r="1">
      <x v="40"/>
      <x v="22"/>
      <x v="420"/>
      <x v="3475"/>
      <x v="611"/>
    </i>
    <i r="2">
      <x v="68"/>
      <x v="304"/>
      <x v="1037"/>
      <x v="611"/>
    </i>
    <i r="4">
      <x v="1356"/>
      <x v="611"/>
    </i>
    <i>
      <x v="232"/>
      <x v="16"/>
      <x v="2"/>
      <x v="303"/>
      <x v="2489"/>
      <x v="611"/>
    </i>
    <i r="1">
      <x v="20"/>
      <x v="68"/>
      <x v="303"/>
      <x v="2659"/>
      <x v="611"/>
    </i>
    <i r="1">
      <x v="27"/>
      <x v="2"/>
      <x v="303"/>
      <x v="3209"/>
      <x v="611"/>
    </i>
    <i r="4">
      <x v="3443"/>
      <x v="611"/>
    </i>
    <i r="1">
      <x v="30"/>
      <x v="62"/>
      <x v="303"/>
      <x v="93"/>
      <x v="611"/>
    </i>
    <i r="1">
      <x v="33"/>
      <x v="68"/>
      <x v="303"/>
      <x v="999"/>
      <x v="611"/>
    </i>
    <i r="1">
      <x v="40"/>
      <x v="22"/>
      <x v="430"/>
      <x v="3460"/>
      <x v="611"/>
    </i>
    <i>
      <x v="233"/>
      <x/>
      <x v="19"/>
      <x v="302"/>
      <x v="1551"/>
      <x v="611"/>
    </i>
    <i r="1">
      <x v="1"/>
      <x v="19"/>
      <x v="302"/>
      <x v="606"/>
      <x v="611"/>
    </i>
    <i r="1">
      <x v="2"/>
      <x v="19"/>
      <x v="302"/>
      <x v="513"/>
      <x v="611"/>
    </i>
    <i r="1">
      <x v="10"/>
      <x v="19"/>
      <x v="302"/>
      <x v="1581"/>
      <x v="611"/>
    </i>
    <i r="1">
      <x v="13"/>
      <x v="67"/>
      <x v="302"/>
      <x v="2748"/>
      <x v="611"/>
    </i>
    <i r="1">
      <x v="27"/>
      <x v="2"/>
      <x v="302"/>
      <x v="3209"/>
      <x v="611"/>
    </i>
    <i r="1">
      <x v="28"/>
      <x v="19"/>
      <x v="302"/>
      <x v="2176"/>
      <x v="611"/>
    </i>
    <i r="1">
      <x v="31"/>
      <x v="19"/>
      <x v="302"/>
      <x v="2683"/>
      <x v="611"/>
    </i>
    <i r="1">
      <x v="37"/>
      <x v="19"/>
      <x v="302"/>
      <x v="1245"/>
      <x v="611"/>
    </i>
    <i r="1">
      <x v="38"/>
      <x v="19"/>
      <x v="302"/>
      <x v="387"/>
      <x v="611"/>
    </i>
    <i r="1">
      <x v="40"/>
      <x v="12"/>
      <x v="454"/>
      <x v="3351"/>
      <x v="611"/>
    </i>
    <i r="2">
      <x v="17"/>
      <x v="302"/>
      <x v="3260"/>
      <x v="611"/>
    </i>
    <i r="2">
      <x v="18"/>
      <x v="302"/>
      <x v="2386"/>
      <x v="611"/>
    </i>
    <i r="4">
      <x v="2824"/>
      <x v="611"/>
    </i>
    <i r="2">
      <x v="22"/>
      <x v="418"/>
      <x v="2896"/>
      <x v="611"/>
    </i>
    <i r="3">
      <x v="425"/>
      <x v="3484"/>
      <x v="611"/>
    </i>
    <i r="3">
      <x v="433"/>
      <x v="3475"/>
      <x v="611"/>
    </i>
    <i>
      <x v="234"/>
      <x v="9"/>
      <x v="14"/>
      <x v="301"/>
      <x v="165"/>
      <x v="611"/>
    </i>
    <i r="1">
      <x v="24"/>
      <x v="2"/>
      <x v="301"/>
      <x v="2910"/>
      <x v="611"/>
    </i>
    <i r="1">
      <x v="27"/>
      <x v="2"/>
      <x v="301"/>
      <x v="2969"/>
      <x v="611"/>
    </i>
    <i r="4">
      <x v="3443"/>
      <x v="611"/>
    </i>
    <i r="1">
      <x v="31"/>
      <x v="68"/>
      <x v="301"/>
      <x v="3241"/>
      <x v="611"/>
    </i>
    <i r="1">
      <x v="32"/>
      <x v="68"/>
      <x v="301"/>
      <x v="2027"/>
      <x v="611"/>
    </i>
    <i r="1">
      <x v="40"/>
      <x v="2"/>
      <x v="301"/>
      <x v="3443"/>
      <x v="611"/>
    </i>
    <i r="2">
      <x v="14"/>
      <x v="301"/>
      <x v="2748"/>
      <x v="611"/>
    </i>
    <i r="2">
      <x v="22"/>
      <x v="412"/>
      <x v="3499"/>
      <x v="611"/>
    </i>
    <i r="3">
      <x v="443"/>
      <x v="3512"/>
      <x v="611"/>
    </i>
    <i r="2">
      <x v="68"/>
      <x v="301"/>
      <x v="2644"/>
      <x v="611"/>
    </i>
    <i>
      <x v="235"/>
      <x v="1"/>
      <x v="46"/>
      <x v="300"/>
      <x v="111"/>
      <x v="611"/>
    </i>
    <i r="1">
      <x v="3"/>
      <x v="46"/>
      <x v="300"/>
      <x v="1774"/>
      <x v="611"/>
    </i>
    <i r="4">
      <x v="1841"/>
      <x v="611"/>
    </i>
    <i r="4">
      <x v="1900"/>
      <x v="611"/>
    </i>
    <i r="4">
      <x v="2501"/>
      <x v="611"/>
    </i>
    <i r="4">
      <x v="2865"/>
      <x v="611"/>
    </i>
    <i r="4">
      <x v="2953"/>
      <x v="611"/>
    </i>
    <i r="4">
      <x v="3151"/>
      <x v="611"/>
    </i>
    <i r="4">
      <x v="3220"/>
      <x v="611"/>
    </i>
    <i r="1">
      <x v="12"/>
      <x v="46"/>
      <x v="300"/>
      <x v="2549"/>
      <x v="611"/>
    </i>
    <i r="1">
      <x v="15"/>
      <x v="46"/>
      <x v="300"/>
      <x v="126"/>
      <x v="611"/>
    </i>
    <i r="1">
      <x v="16"/>
      <x v="46"/>
      <x v="300"/>
      <x v="4"/>
      <x v="611"/>
    </i>
    <i r="1">
      <x v="20"/>
      <x v="14"/>
      <x v="299"/>
      <x v="2726"/>
      <x v="611"/>
    </i>
    <i r="1">
      <x v="24"/>
      <x v="46"/>
      <x v="300"/>
      <x v="3462"/>
      <x v="611"/>
    </i>
    <i r="1">
      <x v="27"/>
      <x v="2"/>
      <x v="299"/>
      <x v="2486"/>
      <x v="611"/>
    </i>
    <i r="4">
      <x v="2969"/>
      <x v="611"/>
    </i>
    <i r="4">
      <x v="3209"/>
      <x v="611"/>
    </i>
    <i r="2">
      <x v="46"/>
      <x v="300"/>
      <x v="197"/>
      <x v="611"/>
    </i>
    <i r="4">
      <x v="376"/>
      <x v="611"/>
    </i>
    <i r="4">
      <x v="417"/>
      <x v="611"/>
    </i>
    <i r="4">
      <x v="418"/>
      <x v="611"/>
    </i>
    <i r="4">
      <x v="429"/>
      <x v="611"/>
    </i>
    <i r="4">
      <x v="462"/>
      <x v="611"/>
    </i>
    <i r="4">
      <x v="484"/>
      <x v="611"/>
    </i>
    <i r="4">
      <x v="496"/>
      <x v="611"/>
    </i>
    <i r="4">
      <x v="584"/>
      <x v="611"/>
    </i>
    <i r="4">
      <x v="632"/>
      <x v="611"/>
    </i>
    <i r="4">
      <x v="773"/>
      <x v="611"/>
    </i>
    <i r="4">
      <x v="840"/>
      <x v="611"/>
    </i>
    <i r="4">
      <x v="895"/>
      <x v="611"/>
    </i>
    <i r="4">
      <x v="900"/>
      <x v="611"/>
    </i>
    <i r="4">
      <x v="921"/>
      <x v="611"/>
    </i>
    <i r="4">
      <x v="1145"/>
      <x v="611"/>
    </i>
    <i r="4">
      <x v="1193"/>
      <x v="611"/>
    </i>
    <i r="4">
      <x v="1270"/>
      <x v="611"/>
    </i>
    <i r="4">
      <x v="1533"/>
      <x v="611"/>
    </i>
    <i r="4">
      <x v="1703"/>
      <x v="611"/>
    </i>
    <i r="4">
      <x v="1777"/>
      <x v="611"/>
    </i>
    <i r="4">
      <x v="1822"/>
      <x v="611"/>
    </i>
    <i r="4">
      <x v="2734"/>
      <x v="611"/>
    </i>
    <i r="1">
      <x v="38"/>
      <x v="46"/>
      <x v="300"/>
      <x v="114"/>
      <x v="611"/>
    </i>
    <i r="1">
      <x v="40"/>
      <x v="2"/>
      <x v="299"/>
      <x v="3443"/>
      <x v="611"/>
    </i>
    <i r="2">
      <x v="21"/>
      <x v="398"/>
      <x v="3509"/>
      <x v="611"/>
    </i>
    <i r="2">
      <x v="22"/>
      <x v="399"/>
      <x v="2748"/>
      <x v="611"/>
    </i>
    <i r="3">
      <x v="441"/>
      <x v="3546"/>
      <x v="611"/>
    </i>
    <i r="2">
      <x v="46"/>
      <x v="300"/>
      <x v="510"/>
      <x v="611"/>
    </i>
    <i r="4">
      <x v="1667"/>
      <x v="611"/>
    </i>
    <i r="4">
      <x v="2252"/>
      <x v="611"/>
    </i>
    <i r="4">
      <x v="2773"/>
      <x v="611"/>
    </i>
    <i r="2">
      <x v="68"/>
      <x v="299"/>
      <x v="2513"/>
      <x v="611"/>
    </i>
    <i>
      <x v="236"/>
      <x v="16"/>
      <x v="16"/>
      <x v="298"/>
      <x v="1227"/>
      <x v="611"/>
    </i>
    <i r="1">
      <x v="24"/>
      <x v="17"/>
      <x v="298"/>
      <x v="2455"/>
      <x v="611"/>
    </i>
    <i r="2">
      <x v="18"/>
      <x v="298"/>
      <x v="2998"/>
      <x v="611"/>
    </i>
    <i r="2">
      <x v="19"/>
      <x v="298"/>
      <x v="909"/>
      <x v="611"/>
    </i>
    <i r="2">
      <x v="68"/>
      <x v="298"/>
      <x v="1674"/>
      <x v="611"/>
    </i>
    <i r="1">
      <x v="27"/>
      <x v="2"/>
      <x v="298"/>
      <x v="3209"/>
      <x v="611"/>
    </i>
    <i r="4">
      <x v="3443"/>
      <x v="611"/>
    </i>
    <i r="1">
      <x v="30"/>
      <x v="68"/>
      <x v="298"/>
      <x v="290"/>
      <x v="611"/>
    </i>
    <i r="1">
      <x v="32"/>
      <x v="19"/>
      <x v="298"/>
      <x v="1139"/>
      <x v="611"/>
    </i>
    <i r="2">
      <x v="68"/>
      <x v="298"/>
      <x v="2056"/>
      <x v="611"/>
    </i>
    <i r="1">
      <x v="34"/>
      <x v="68"/>
      <x v="298"/>
      <x v="2345"/>
      <x v="611"/>
    </i>
    <i r="1">
      <x v="35"/>
      <x v="68"/>
      <x v="298"/>
      <x v="158"/>
      <x v="611"/>
    </i>
    <i r="1">
      <x v="37"/>
      <x v="68"/>
      <x v="298"/>
      <x v="3393"/>
      <x v="611"/>
    </i>
    <i r="1">
      <x v="40"/>
      <x v="18"/>
      <x v="298"/>
      <x v="969"/>
      <x v="611"/>
    </i>
    <i r="4">
      <x v="1305"/>
      <x v="611"/>
    </i>
    <i r="4">
      <x v="2492"/>
      <x v="611"/>
    </i>
    <i r="4">
      <x v="2606"/>
      <x v="611"/>
    </i>
    <i r="2">
      <x v="68"/>
      <x v="298"/>
      <x v="2748"/>
      <x v="611"/>
    </i>
    <i r="4">
      <x v="3123"/>
      <x v="611"/>
    </i>
    <i>
      <x v="237"/>
      <x v="2"/>
      <x v="68"/>
      <x v="297"/>
      <x v="3172"/>
      <x v="611"/>
    </i>
    <i r="1">
      <x v="3"/>
      <x v="68"/>
      <x v="297"/>
      <x v="912"/>
      <x v="611"/>
    </i>
    <i r="4">
      <x v="1265"/>
      <x v="611"/>
    </i>
    <i r="4">
      <x v="1442"/>
      <x v="611"/>
    </i>
    <i r="1">
      <x v="10"/>
      <x v="19"/>
      <x v="297"/>
      <x v="675"/>
      <x v="611"/>
    </i>
    <i r="2">
      <x v="68"/>
      <x v="297"/>
      <x v="2969"/>
      <x v="611"/>
    </i>
    <i r="1">
      <x v="13"/>
      <x v="2"/>
      <x v="297"/>
      <x v="3461"/>
      <x v="611"/>
    </i>
    <i r="1">
      <x v="16"/>
      <x v="18"/>
      <x v="297"/>
      <x v="774"/>
      <x v="611"/>
    </i>
    <i r="1">
      <x v="20"/>
      <x v="19"/>
      <x v="297"/>
      <x v="2674"/>
      <x v="611"/>
    </i>
    <i r="1">
      <x v="24"/>
      <x v="18"/>
      <x v="297"/>
      <x v="3142"/>
      <x v="611"/>
    </i>
    <i r="2">
      <x v="67"/>
      <x v="297"/>
      <x v="1935"/>
      <x v="611"/>
    </i>
    <i r="2">
      <x v="68"/>
      <x v="297"/>
      <x v="149"/>
      <x v="611"/>
    </i>
    <i r="1">
      <x v="27"/>
      <x v="2"/>
      <x v="297"/>
      <x v="3209"/>
      <x v="611"/>
    </i>
    <i r="4">
      <x v="3443"/>
      <x v="611"/>
    </i>
    <i r="2">
      <x v="68"/>
      <x v="297"/>
      <x v="912"/>
      <x v="611"/>
    </i>
    <i r="1">
      <x v="30"/>
      <x v="67"/>
      <x v="297"/>
      <x v="1275"/>
      <x v="611"/>
    </i>
    <i r="1">
      <x v="31"/>
      <x v="68"/>
      <x v="297"/>
      <x v="612"/>
      <x v="611"/>
    </i>
    <i r="1">
      <x v="36"/>
      <x v="2"/>
      <x v="297"/>
      <x v="3389"/>
      <x v="611"/>
    </i>
    <i r="1">
      <x v="37"/>
      <x v="68"/>
      <x v="297"/>
      <x v="2627"/>
      <x v="611"/>
    </i>
    <i r="1">
      <x v="38"/>
      <x v="2"/>
      <x v="297"/>
      <x v="3239"/>
      <x v="611"/>
    </i>
    <i r="2">
      <x v="14"/>
      <x v="297"/>
      <x v="1377"/>
      <x v="611"/>
    </i>
    <i r="1">
      <x v="40"/>
      <x v="2"/>
      <x v="297"/>
      <x v="3443"/>
      <x v="611"/>
    </i>
    <i r="2">
      <x v="18"/>
      <x v="297"/>
      <x v="1608"/>
      <x v="611"/>
    </i>
    <i r="4">
      <x v="1745"/>
      <x v="611"/>
    </i>
    <i r="4">
      <x v="2078"/>
      <x v="611"/>
    </i>
    <i r="4">
      <x v="2703"/>
      <x v="611"/>
    </i>
    <i r="2">
      <x v="22"/>
      <x v="414"/>
      <x v="3163"/>
      <x v="611"/>
    </i>
    <i r="3">
      <x v="418"/>
      <x v="2896"/>
      <x v="611"/>
    </i>
    <i r="3">
      <x v="428"/>
      <x v="3546"/>
      <x v="611"/>
    </i>
    <i r="3">
      <x v="433"/>
      <x v="3535"/>
      <x v="611"/>
    </i>
    <i r="2">
      <x v="68"/>
      <x v="297"/>
      <x v="1158"/>
      <x v="611"/>
    </i>
    <i r="4">
      <x v="1265"/>
      <x v="611"/>
    </i>
    <i r="4">
      <x v="1668"/>
      <x v="611"/>
    </i>
    <i r="4">
      <x v="3123"/>
      <x v="611"/>
    </i>
    <i>
      <x v="238"/>
      <x v="3"/>
      <x v="2"/>
      <x v="296"/>
      <x v="2690"/>
      <x v="611"/>
    </i>
    <i r="4">
      <x v="3443"/>
      <x v="611"/>
    </i>
    <i r="1">
      <x v="15"/>
      <x v="68"/>
      <x v="296"/>
      <x v="3360"/>
      <x v="611"/>
    </i>
    <i r="1">
      <x v="27"/>
      <x v="2"/>
      <x v="296"/>
      <x v="3209"/>
      <x v="611"/>
    </i>
    <i r="4">
      <x v="3443"/>
      <x v="611"/>
    </i>
    <i r="1">
      <x v="37"/>
      <x v="14"/>
      <x v="296"/>
      <x v="1615"/>
      <x v="611"/>
    </i>
    <i r="1">
      <x v="38"/>
      <x v="14"/>
      <x v="296"/>
      <x v="2795"/>
      <x v="611"/>
    </i>
    <i r="1">
      <x v="40"/>
      <x v="18"/>
      <x v="296"/>
      <x v="948"/>
      <x v="611"/>
    </i>
    <i r="2">
      <x v="68"/>
      <x v="296"/>
      <x v="2652"/>
      <x v="611"/>
    </i>
    <i>
      <x v="239"/>
      <x v="3"/>
      <x v="2"/>
      <x v="295"/>
      <x v="3443"/>
      <x v="611"/>
    </i>
    <i r="2">
      <x v="68"/>
      <x v="295"/>
      <x v="3418"/>
      <x v="611"/>
    </i>
    <i r="1">
      <x v="12"/>
      <x v="19"/>
      <x v="295"/>
      <x v="1419"/>
      <x v="611"/>
    </i>
    <i r="1">
      <x v="13"/>
      <x v="2"/>
      <x v="295"/>
      <x v="2617"/>
      <x v="611"/>
    </i>
    <i r="1">
      <x v="24"/>
      <x v="68"/>
      <x v="295"/>
      <x v="1519"/>
      <x v="611"/>
    </i>
    <i r="1">
      <x v="27"/>
      <x v="2"/>
      <x v="295"/>
      <x v="3443"/>
      <x v="611"/>
    </i>
    <i r="1">
      <x v="34"/>
      <x v="68"/>
      <x v="295"/>
      <x v="2644"/>
      <x v="611"/>
    </i>
    <i r="1">
      <x v="37"/>
      <x v="2"/>
      <x v="295"/>
      <x v="3108"/>
      <x v="611"/>
    </i>
    <i r="1">
      <x v="40"/>
      <x v="2"/>
      <x v="295"/>
      <x v="1939"/>
      <x v="611"/>
    </i>
    <i r="4">
      <x v="3443"/>
      <x v="611"/>
    </i>
    <i r="2">
      <x v="18"/>
      <x v="295"/>
      <x v="3372"/>
      <x v="611"/>
    </i>
    <i r="2">
      <x v="22"/>
      <x v="399"/>
      <x v="3443"/>
      <x v="611"/>
    </i>
    <i r="2">
      <x v="68"/>
      <x v="295"/>
      <x v="2434"/>
      <x v="611"/>
    </i>
    <i>
      <x v="240"/>
      <x v="40"/>
      <x v="22"/>
      <x v="391"/>
      <x v="3550"/>
      <x v="611"/>
    </i>
    <i r="3">
      <x v="402"/>
      <x v="3544"/>
      <x v="611"/>
    </i>
    <i>
      <x v="241"/>
      <x v="3"/>
      <x v="2"/>
      <x v="294"/>
      <x v="3443"/>
      <x v="611"/>
    </i>
    <i r="2">
      <x v="68"/>
      <x v="294"/>
      <x v="1668"/>
      <x v="611"/>
    </i>
    <i r="1">
      <x v="11"/>
      <x v="2"/>
      <x v="294"/>
      <x v="2083"/>
      <x v="611"/>
    </i>
    <i r="1">
      <x v="22"/>
      <x v="14"/>
      <x v="294"/>
      <x v="794"/>
      <x v="611"/>
    </i>
    <i r="1">
      <x v="24"/>
      <x v="2"/>
      <x v="294"/>
      <x v="1939"/>
      <x v="611"/>
    </i>
    <i r="2">
      <x v="14"/>
      <x v="294"/>
      <x v="2858"/>
      <x v="611"/>
    </i>
    <i r="1">
      <x v="25"/>
      <x v="68"/>
      <x v="294"/>
      <x v="2550"/>
      <x v="611"/>
    </i>
    <i r="1">
      <x v="27"/>
      <x v="2"/>
      <x v="294"/>
      <x v="2690"/>
      <x v="611"/>
    </i>
    <i r="4">
      <x v="2969"/>
      <x v="611"/>
    </i>
    <i r="4">
      <x v="3443"/>
      <x v="611"/>
    </i>
    <i r="1">
      <x v="38"/>
      <x v="14"/>
      <x v="294"/>
      <x v="2119"/>
      <x v="611"/>
    </i>
    <i r="1">
      <x v="40"/>
      <x v="14"/>
      <x v="294"/>
      <x v="3142"/>
      <x v="611"/>
    </i>
    <i r="2">
      <x v="17"/>
      <x v="294"/>
      <x v="1539"/>
      <x v="611"/>
    </i>
    <i r="2">
      <x v="22"/>
      <x v="397"/>
      <x v="3541"/>
      <x v="611"/>
    </i>
    <i r="3">
      <x v="413"/>
      <x v="3422"/>
      <x v="611"/>
    </i>
    <i r="3">
      <x v="424"/>
      <x v="3544"/>
      <x v="611"/>
    </i>
    <i r="3">
      <x v="450"/>
      <x v="3393"/>
      <x v="611"/>
    </i>
    <i>
      <x v="242"/>
      <x v="3"/>
      <x v="2"/>
      <x v="293"/>
      <x v="3209"/>
      <x v="611"/>
    </i>
    <i r="4">
      <x v="3443"/>
      <x v="611"/>
    </i>
    <i r="1">
      <x v="4"/>
      <x v="68"/>
      <x v="293"/>
      <x v="1984"/>
      <x v="611"/>
    </i>
    <i r="1">
      <x v="16"/>
      <x v="68"/>
      <x v="293"/>
      <x v="53"/>
      <x v="611"/>
    </i>
    <i r="1">
      <x v="18"/>
      <x v="68"/>
      <x v="293"/>
      <x v="1227"/>
      <x v="611"/>
    </i>
    <i r="1">
      <x v="20"/>
      <x v="14"/>
      <x v="293"/>
      <x v="2617"/>
      <x v="611"/>
    </i>
    <i r="1">
      <x v="24"/>
      <x v="68"/>
      <x v="293"/>
      <x v="1227"/>
      <x v="611"/>
    </i>
    <i r="1">
      <x v="27"/>
      <x v="2"/>
      <x v="293"/>
      <x v="2027"/>
      <x v="611"/>
    </i>
    <i r="4">
      <x v="2305"/>
      <x v="611"/>
    </i>
    <i r="4">
      <x v="2969"/>
      <x v="611"/>
    </i>
    <i r="4">
      <x v="3209"/>
      <x v="611"/>
    </i>
    <i r="1">
      <x v="32"/>
      <x v="68"/>
      <x v="293"/>
      <x v="2323"/>
      <x v="611"/>
    </i>
    <i r="1">
      <x v="33"/>
      <x v="68"/>
      <x v="293"/>
      <x v="2557"/>
      <x v="611"/>
    </i>
    <i r="1">
      <x v="34"/>
      <x v="68"/>
      <x v="293"/>
      <x v="1909"/>
      <x v="611"/>
    </i>
    <i r="1">
      <x v="40"/>
      <x v="14"/>
      <x v="293"/>
      <x v="2326"/>
      <x v="611"/>
    </i>
    <i r="2">
      <x v="68"/>
      <x v="293"/>
      <x v="2446"/>
      <x v="611"/>
    </i>
    <i>
      <x v="243"/>
      <x v="1"/>
      <x v="17"/>
      <x v="292"/>
      <x v="766"/>
      <x v="611"/>
    </i>
    <i r="2">
      <x v="18"/>
      <x v="292"/>
      <x v="935"/>
      <x v="611"/>
    </i>
    <i r="1">
      <x v="3"/>
      <x v="2"/>
      <x v="292"/>
      <x v="3443"/>
      <x v="611"/>
    </i>
    <i r="1">
      <x v="10"/>
      <x v="19"/>
      <x v="292"/>
      <x v="3559"/>
      <x v="611"/>
    </i>
    <i r="1">
      <x v="12"/>
      <x v="2"/>
      <x v="292"/>
      <x v="3245"/>
      <x v="611"/>
    </i>
    <i r="2">
      <x v="68"/>
      <x v="292"/>
      <x v="2853"/>
      <x v="611"/>
    </i>
    <i r="1">
      <x v="14"/>
      <x v="18"/>
      <x v="292"/>
      <x v="1876"/>
      <x v="611"/>
    </i>
    <i r="1">
      <x v="16"/>
      <x v="18"/>
      <x v="292"/>
      <x v="2570"/>
      <x v="611"/>
    </i>
    <i r="1">
      <x v="22"/>
      <x v="14"/>
      <x v="292"/>
      <x v="44"/>
      <x v="611"/>
    </i>
    <i r="1">
      <x v="24"/>
      <x v="17"/>
      <x v="292"/>
      <x v="2986"/>
      <x v="611"/>
    </i>
    <i r="1">
      <x v="27"/>
      <x v="2"/>
      <x v="292"/>
      <x v="2027"/>
      <x v="611"/>
    </i>
    <i r="4">
      <x v="2305"/>
      <x v="611"/>
    </i>
    <i r="4">
      <x v="2486"/>
      <x v="611"/>
    </i>
    <i r="4">
      <x v="2969"/>
      <x v="611"/>
    </i>
    <i r="4">
      <x v="3443"/>
      <x v="611"/>
    </i>
    <i r="1">
      <x v="31"/>
      <x v="17"/>
      <x v="292"/>
      <x v="3081"/>
      <x v="611"/>
    </i>
    <i r="1">
      <x v="32"/>
      <x v="19"/>
      <x v="292"/>
      <x v="2403"/>
      <x v="611"/>
    </i>
    <i r="2">
      <x v="68"/>
      <x v="292"/>
      <x v="1253"/>
      <x v="611"/>
    </i>
    <i r="1">
      <x v="33"/>
      <x v="19"/>
      <x v="292"/>
      <x v="468"/>
      <x v="611"/>
    </i>
    <i r="1">
      <x v="35"/>
      <x v="68"/>
      <x v="292"/>
      <x v="3209"/>
      <x v="611"/>
    </i>
    <i r="1">
      <x v="40"/>
      <x v="17"/>
      <x v="292"/>
      <x v="1230"/>
      <x v="611"/>
    </i>
    <i r="4">
      <x v="2479"/>
      <x v="611"/>
    </i>
    <i r="4">
      <x v="2537"/>
      <x v="611"/>
    </i>
    <i r="4">
      <x v="2590"/>
      <x v="611"/>
    </i>
    <i r="4">
      <x v="2718"/>
      <x v="611"/>
    </i>
    <i r="4">
      <x v="2897"/>
      <x v="611"/>
    </i>
    <i r="4">
      <x v="2958"/>
      <x v="611"/>
    </i>
    <i r="4">
      <x v="3328"/>
      <x v="611"/>
    </i>
    <i r="2">
      <x v="18"/>
      <x v="292"/>
      <x v="903"/>
      <x v="611"/>
    </i>
    <i r="4">
      <x v="1010"/>
      <x v="611"/>
    </i>
    <i r="4">
      <x v="1596"/>
      <x v="611"/>
    </i>
    <i r="4">
      <x v="1630"/>
      <x v="611"/>
    </i>
    <i r="4">
      <x v="1675"/>
      <x v="611"/>
    </i>
    <i r="4">
      <x v="1679"/>
      <x v="611"/>
    </i>
    <i r="4">
      <x v="1860"/>
      <x v="611"/>
    </i>
    <i r="4">
      <x v="1913"/>
      <x v="611"/>
    </i>
    <i r="4">
      <x v="2007"/>
      <x v="611"/>
    </i>
    <i r="4">
      <x v="2053"/>
      <x v="611"/>
    </i>
    <i r="4">
      <x v="2691"/>
      <x v="611"/>
    </i>
    <i r="4">
      <x v="2835"/>
      <x v="611"/>
    </i>
    <i r="4">
      <x v="3209"/>
      <x v="611"/>
    </i>
    <i r="4">
      <x v="3305"/>
      <x v="611"/>
    </i>
    <i r="4">
      <x v="3439"/>
      <x v="611"/>
    </i>
    <i r="2">
      <x v="22"/>
      <x v="379"/>
      <x v="3544"/>
      <x v="611"/>
    </i>
    <i r="3">
      <x v="399"/>
      <x v="3422"/>
      <x v="611"/>
    </i>
    <i r="3">
      <x v="425"/>
      <x v="3485"/>
      <x v="611"/>
    </i>
    <i r="3">
      <x v="432"/>
      <x v="3259"/>
      <x v="611"/>
    </i>
    <i>
      <x v="244"/>
      <x v="3"/>
      <x v="2"/>
      <x v="291"/>
      <x v="3209"/>
      <x v="611"/>
    </i>
    <i r="2">
      <x v="68"/>
      <x v="291"/>
      <x v="949"/>
      <x v="611"/>
    </i>
    <i r="1">
      <x v="16"/>
      <x v="68"/>
      <x v="291"/>
      <x v="2969"/>
      <x v="611"/>
    </i>
    <i r="1">
      <x v="18"/>
      <x v="68"/>
      <x v="291"/>
      <x v="437"/>
      <x v="611"/>
    </i>
    <i r="1">
      <x v="27"/>
      <x v="2"/>
      <x v="291"/>
      <x v="3209"/>
      <x v="611"/>
    </i>
    <i r="4">
      <x v="3443"/>
      <x v="611"/>
    </i>
    <i r="1">
      <x v="40"/>
      <x v="14"/>
      <x v="291"/>
      <x v="1416"/>
      <x v="611"/>
    </i>
    <i r="2">
      <x v="22"/>
      <x v="420"/>
      <x v="3514"/>
      <x v="611"/>
    </i>
    <i>
      <x v="245"/>
      <x v="2"/>
      <x v="18"/>
      <x v="290"/>
      <x v="1067"/>
      <x v="611"/>
    </i>
    <i r="2">
      <x v="68"/>
      <x v="290"/>
      <x v="2221"/>
      <x v="611"/>
    </i>
    <i r="1">
      <x v="3"/>
      <x v="2"/>
      <x v="290"/>
      <x v="3443"/>
      <x v="611"/>
    </i>
    <i r="1">
      <x v="12"/>
      <x v="14"/>
      <x v="290"/>
      <x v="671"/>
      <x v="611"/>
    </i>
    <i r="1">
      <x v="13"/>
      <x v="68"/>
      <x v="290"/>
      <x v="2930"/>
      <x v="611"/>
    </i>
    <i r="1">
      <x v="16"/>
      <x v="14"/>
      <x v="290"/>
      <x v="1475"/>
      <x v="611"/>
    </i>
    <i r="2">
      <x v="68"/>
      <x v="290"/>
      <x v="2935"/>
      <x v="611"/>
    </i>
    <i r="1">
      <x v="22"/>
      <x v="17"/>
      <x v="290"/>
      <x v="1342"/>
      <x v="611"/>
    </i>
    <i r="1">
      <x v="24"/>
      <x v="17"/>
      <x v="290"/>
      <x v="1988"/>
      <x v="611"/>
    </i>
    <i r="2">
      <x v="19"/>
      <x v="290"/>
      <x v="3039"/>
      <x v="611"/>
    </i>
    <i r="1">
      <x v="27"/>
      <x v="2"/>
      <x v="290"/>
      <x v="2969"/>
      <x v="611"/>
    </i>
    <i r="4">
      <x v="3209"/>
      <x v="611"/>
    </i>
    <i r="2">
      <x v="68"/>
      <x v="290"/>
      <x v="1240"/>
      <x v="611"/>
    </i>
    <i r="4">
      <x v="1755"/>
      <x v="611"/>
    </i>
    <i r="1">
      <x v="32"/>
      <x v="68"/>
      <x v="290"/>
      <x v="2665"/>
      <x v="611"/>
    </i>
    <i r="1">
      <x v="35"/>
      <x v="68"/>
      <x v="290"/>
      <x v="1053"/>
      <x v="611"/>
    </i>
    <i r="1">
      <x v="40"/>
      <x v="17"/>
      <x v="290"/>
      <x v="1391"/>
      <x v="611"/>
    </i>
    <i r="4">
      <x v="2128"/>
      <x v="611"/>
    </i>
    <i r="4">
      <x v="2898"/>
      <x v="611"/>
    </i>
    <i r="2">
      <x v="18"/>
      <x v="290"/>
      <x v="1209"/>
      <x v="611"/>
    </i>
    <i r="4">
      <x v="1981"/>
      <x v="611"/>
    </i>
    <i r="4">
      <x v="2184"/>
      <x v="611"/>
    </i>
    <i r="4">
      <x v="2234"/>
      <x v="611"/>
    </i>
    <i r="4">
      <x v="2561"/>
      <x v="611"/>
    </i>
    <i r="4">
      <x v="2893"/>
      <x v="611"/>
    </i>
    <i r="4">
      <x v="3041"/>
      <x v="611"/>
    </i>
    <i r="4">
      <x v="3124"/>
      <x v="611"/>
    </i>
    <i>
      <x v="246"/>
      <x v="3"/>
      <x v="2"/>
      <x v="289"/>
      <x v="3443"/>
      <x v="611"/>
    </i>
    <i r="1">
      <x v="16"/>
      <x v="68"/>
      <x v="289"/>
      <x v="2193"/>
      <x v="611"/>
    </i>
    <i r="1">
      <x v="24"/>
      <x v="68"/>
      <x v="289"/>
      <x v="3110"/>
      <x v="611"/>
    </i>
    <i r="1">
      <x v="27"/>
      <x v="2"/>
      <x v="289"/>
      <x v="2486"/>
      <x v="611"/>
    </i>
    <i r="4">
      <x v="2969"/>
      <x v="611"/>
    </i>
    <i r="4">
      <x v="3209"/>
      <x v="611"/>
    </i>
    <i r="4">
      <x v="3443"/>
      <x v="611"/>
    </i>
    <i r="1">
      <x v="33"/>
      <x v="67"/>
      <x v="289"/>
      <x v="1712"/>
      <x v="611"/>
    </i>
    <i r="1">
      <x v="37"/>
      <x v="14"/>
      <x v="289"/>
      <x v="1308"/>
      <x v="611"/>
    </i>
    <i r="2">
      <x v="68"/>
      <x v="289"/>
      <x v="3393"/>
      <x v="611"/>
    </i>
    <i r="1">
      <x v="38"/>
      <x v="14"/>
      <x v="289"/>
      <x v="2436"/>
      <x v="611"/>
    </i>
    <i r="1">
      <x v="40"/>
      <x v="2"/>
      <x v="289"/>
      <x v="3209"/>
      <x v="611"/>
    </i>
    <i r="2">
      <x v="14"/>
      <x v="289"/>
      <x v="1195"/>
      <x v="611"/>
    </i>
    <i r="2">
      <x v="22"/>
      <x v="404"/>
      <x v="3022"/>
      <x v="611"/>
    </i>
    <i>
      <x v="247"/>
      <x v="20"/>
      <x v="68"/>
      <x v="288"/>
      <x v="3201"/>
      <x v="611"/>
    </i>
    <i r="1">
      <x v="24"/>
      <x v="67"/>
      <x v="288"/>
      <x v="194"/>
      <x v="611"/>
    </i>
    <i r="1">
      <x v="27"/>
      <x v="2"/>
      <x v="288"/>
      <x v="3443"/>
      <x v="611"/>
    </i>
    <i r="1">
      <x v="32"/>
      <x v="68"/>
      <x v="288"/>
      <x v="2693"/>
      <x v="611"/>
    </i>
    <i r="1">
      <x v="40"/>
      <x v="22"/>
      <x v="397"/>
      <x v="3512"/>
      <x v="611"/>
    </i>
    <i r="3">
      <x v="411"/>
      <x v="3274"/>
      <x v="611"/>
    </i>
    <i r="3">
      <x v="428"/>
      <x v="3544"/>
      <x v="611"/>
    </i>
    <i r="3">
      <x v="430"/>
      <x v="3550"/>
      <x v="611"/>
    </i>
    <i>
      <x v="248"/>
      <x v="3"/>
      <x v="2"/>
      <x v="287"/>
      <x v="3443"/>
      <x v="611"/>
    </i>
    <i r="1">
      <x v="16"/>
      <x v="2"/>
      <x v="287"/>
      <x v="3209"/>
      <x v="611"/>
    </i>
    <i r="1">
      <x v="27"/>
      <x v="2"/>
      <x v="287"/>
      <x v="3209"/>
      <x v="611"/>
    </i>
    <i r="4">
      <x v="3443"/>
      <x v="611"/>
    </i>
    <i r="1">
      <x v="35"/>
      <x v="68"/>
      <x v="287"/>
      <x v="2460"/>
      <x v="611"/>
    </i>
    <i r="1">
      <x v="37"/>
      <x v="14"/>
      <x v="287"/>
      <x v="1520"/>
      <x v="611"/>
    </i>
    <i r="2">
      <x v="68"/>
      <x v="287"/>
      <x v="2930"/>
      <x v="611"/>
    </i>
    <i r="1">
      <x v="40"/>
      <x v="22"/>
      <x v="393"/>
      <x v="3537"/>
      <x v="611"/>
    </i>
    <i r="3">
      <x v="395"/>
      <x v="3514"/>
      <x v="611"/>
    </i>
    <i r="3">
      <x v="435"/>
      <x v="3518"/>
      <x v="611"/>
    </i>
    <i>
      <x v="249"/>
      <x v="1"/>
      <x v="23"/>
      <x v="286"/>
      <x v="2850"/>
      <x v="611"/>
    </i>
    <i r="1">
      <x v="2"/>
      <x v="14"/>
      <x v="285"/>
      <x v="1961"/>
      <x v="611"/>
    </i>
    <i r="1">
      <x v="3"/>
      <x v="2"/>
      <x v="285"/>
      <x v="3443"/>
      <x v="611"/>
    </i>
    <i r="2">
      <x v="23"/>
      <x v="286"/>
      <x v="1399"/>
      <x v="611"/>
    </i>
    <i r="4">
      <x v="1597"/>
      <x v="611"/>
    </i>
    <i r="4">
      <x v="1843"/>
      <x v="611"/>
    </i>
    <i r="4">
      <x v="1944"/>
      <x v="611"/>
    </i>
    <i r="4">
      <x v="2010"/>
      <x v="611"/>
    </i>
    <i r="4">
      <x v="2018"/>
      <x v="611"/>
    </i>
    <i r="4">
      <x v="2357"/>
      <x v="611"/>
    </i>
    <i r="4">
      <x v="2714"/>
      <x v="611"/>
    </i>
    <i r="4">
      <x v="2743"/>
      <x v="611"/>
    </i>
    <i r="4">
      <x v="2879"/>
      <x v="611"/>
    </i>
    <i r="4">
      <x v="3047"/>
      <x v="611"/>
    </i>
    <i r="4">
      <x v="3048"/>
      <x v="611"/>
    </i>
    <i r="4">
      <x v="3281"/>
      <x v="611"/>
    </i>
    <i r="1">
      <x v="13"/>
      <x v="2"/>
      <x v="285"/>
      <x v="3098"/>
      <x v="611"/>
    </i>
    <i r="1">
      <x v="16"/>
      <x v="2"/>
      <x v="285"/>
      <x v="2365"/>
      <x v="611"/>
    </i>
    <i r="2">
      <x v="23"/>
      <x v="286"/>
      <x v="1280"/>
      <x v="611"/>
    </i>
    <i r="1">
      <x v="18"/>
      <x v="23"/>
      <x v="286"/>
      <x v="424"/>
      <x v="611"/>
    </i>
    <i r="1">
      <x v="22"/>
      <x v="23"/>
      <x v="286"/>
      <x v="1239"/>
      <x v="611"/>
    </i>
    <i r="1">
      <x v="24"/>
      <x v="23"/>
      <x v="286"/>
      <x v="243"/>
      <x v="611"/>
    </i>
    <i r="1">
      <x v="25"/>
      <x v="23"/>
      <x v="286"/>
      <x v="1641"/>
      <x v="611"/>
    </i>
    <i r="1">
      <x v="27"/>
      <x v="2"/>
      <x v="285"/>
      <x v="3209"/>
      <x v="611"/>
    </i>
    <i r="2">
      <x v="23"/>
      <x v="286"/>
      <x v="249"/>
      <x v="611"/>
    </i>
    <i r="4">
      <x v="251"/>
      <x v="611"/>
    </i>
    <i r="4">
      <x v="279"/>
      <x v="611"/>
    </i>
    <i r="4">
      <x v="378"/>
      <x v="611"/>
    </i>
    <i r="4">
      <x v="381"/>
      <x v="611"/>
    </i>
    <i r="4">
      <x v="467"/>
      <x v="611"/>
    </i>
    <i r="4">
      <x v="499"/>
      <x v="611"/>
    </i>
    <i r="4">
      <x v="516"/>
      <x v="611"/>
    </i>
    <i r="4">
      <x v="559"/>
      <x v="611"/>
    </i>
    <i r="4">
      <x v="569"/>
      <x v="611"/>
    </i>
    <i r="4">
      <x v="667"/>
      <x v="611"/>
    </i>
    <i r="4">
      <x v="720"/>
      <x v="611"/>
    </i>
    <i r="4">
      <x v="759"/>
      <x v="611"/>
    </i>
    <i r="4">
      <x v="807"/>
      <x v="611"/>
    </i>
    <i r="4">
      <x v="877"/>
      <x v="611"/>
    </i>
    <i r="4">
      <x v="924"/>
      <x v="611"/>
    </i>
    <i r="4">
      <x v="934"/>
      <x v="611"/>
    </i>
    <i r="4">
      <x v="963"/>
      <x v="611"/>
    </i>
    <i r="4">
      <x v="992"/>
      <x v="611"/>
    </i>
    <i r="4">
      <x v="1138"/>
      <x v="611"/>
    </i>
    <i r="4">
      <x v="1153"/>
      <x v="611"/>
    </i>
    <i r="4">
      <x v="1213"/>
      <x v="611"/>
    </i>
    <i r="4">
      <x v="1314"/>
      <x v="611"/>
    </i>
    <i r="4">
      <x v="1644"/>
      <x v="611"/>
    </i>
    <i r="4">
      <x v="1736"/>
      <x v="611"/>
    </i>
    <i r="4">
      <x v="1790"/>
      <x v="611"/>
    </i>
    <i r="4">
      <x v="1921"/>
      <x v="611"/>
    </i>
    <i r="4">
      <x v="1973"/>
      <x v="611"/>
    </i>
    <i r="4">
      <x v="2358"/>
      <x v="611"/>
    </i>
    <i r="4">
      <x v="2512"/>
      <x v="611"/>
    </i>
    <i r="4">
      <x v="2544"/>
      <x v="611"/>
    </i>
    <i r="4">
      <x v="2548"/>
      <x v="611"/>
    </i>
    <i r="1">
      <x v="37"/>
      <x v="23"/>
      <x v="286"/>
      <x v="2368"/>
      <x v="611"/>
    </i>
    <i r="1">
      <x v="38"/>
      <x v="23"/>
      <x v="286"/>
      <x v="31"/>
      <x v="611"/>
    </i>
    <i r="1">
      <x v="40"/>
      <x v="22"/>
      <x v="403"/>
      <x v="2390"/>
      <x v="611"/>
    </i>
    <i r="3">
      <x v="408"/>
      <x v="3475"/>
      <x v="611"/>
    </i>
    <i r="3">
      <x v="428"/>
      <x v="3544"/>
      <x v="611"/>
    </i>
    <i r="3">
      <x v="432"/>
      <x v="3548"/>
      <x v="611"/>
    </i>
    <i r="2">
      <x v="23"/>
      <x v="286"/>
      <x v="1764"/>
      <x v="611"/>
    </i>
    <i r="4">
      <x v="1798"/>
      <x v="611"/>
    </i>
    <i r="4">
      <x v="1933"/>
      <x v="611"/>
    </i>
    <i r="4">
      <x v="1951"/>
      <x v="611"/>
    </i>
    <i r="4">
      <x v="2623"/>
      <x v="611"/>
    </i>
    <i r="4">
      <x v="3285"/>
      <x v="611"/>
    </i>
    <i>
      <x v="250"/>
      <x v="2"/>
      <x v="17"/>
      <x v="284"/>
      <x v="1640"/>
      <x v="611"/>
    </i>
    <i r="1">
      <x v="11"/>
      <x v="2"/>
      <x v="284"/>
      <x v="2667"/>
      <x v="611"/>
    </i>
    <i r="1">
      <x v="16"/>
      <x v="16"/>
      <x v="284"/>
      <x v="2035"/>
      <x v="611"/>
    </i>
    <i r="2">
      <x v="68"/>
      <x v="284"/>
      <x v="3376"/>
      <x v="611"/>
    </i>
    <i r="1">
      <x v="24"/>
      <x v="17"/>
      <x v="284"/>
      <x v="1307"/>
      <x v="611"/>
    </i>
    <i r="2">
      <x v="18"/>
      <x v="284"/>
      <x v="3142"/>
      <x v="611"/>
    </i>
    <i r="1">
      <x v="25"/>
      <x v="2"/>
      <x v="284"/>
      <x v="3393"/>
      <x v="611"/>
    </i>
    <i r="2">
      <x v="68"/>
      <x v="284"/>
      <x v="3055"/>
      <x v="611"/>
    </i>
    <i r="1">
      <x v="27"/>
      <x v="2"/>
      <x v="284"/>
      <x v="3443"/>
      <x v="611"/>
    </i>
    <i r="1">
      <x v="33"/>
      <x v="17"/>
      <x v="284"/>
      <x v="2201"/>
      <x v="611"/>
    </i>
    <i r="1">
      <x v="38"/>
      <x v="18"/>
      <x v="284"/>
      <x v="581"/>
      <x v="611"/>
    </i>
    <i r="1">
      <x v="40"/>
      <x v="17"/>
      <x v="284"/>
      <x v="2970"/>
      <x v="611"/>
    </i>
    <i r="4">
      <x v="3273"/>
      <x v="611"/>
    </i>
    <i r="2">
      <x v="18"/>
      <x v="284"/>
      <x v="1546"/>
      <x v="611"/>
    </i>
    <i r="4">
      <x v="1976"/>
      <x v="611"/>
    </i>
    <i r="4">
      <x v="2665"/>
      <x v="611"/>
    </i>
    <i r="4">
      <x v="2750"/>
      <x v="611"/>
    </i>
    <i r="4">
      <x v="3177"/>
      <x v="611"/>
    </i>
    <i r="4">
      <x v="3297"/>
      <x v="611"/>
    </i>
    <i r="2">
      <x v="22"/>
      <x v="383"/>
      <x v="3548"/>
      <x v="611"/>
    </i>
    <i r="3">
      <x v="386"/>
      <x v="3550"/>
      <x v="611"/>
    </i>
    <i>
      <x v="251"/>
      <x v="3"/>
      <x v="2"/>
      <x v="283"/>
      <x v="3443"/>
      <x v="611"/>
    </i>
    <i r="2">
      <x v="68"/>
      <x v="283"/>
      <x v="691"/>
      <x v="611"/>
    </i>
    <i r="4">
      <x v="1080"/>
      <x v="611"/>
    </i>
    <i r="1">
      <x v="15"/>
      <x v="68"/>
      <x v="283"/>
      <x v="3407"/>
      <x v="611"/>
    </i>
    <i r="1">
      <x v="24"/>
      <x v="17"/>
      <x v="283"/>
      <x v="2337"/>
      <x v="611"/>
    </i>
    <i r="1">
      <x v="27"/>
      <x v="2"/>
      <x v="283"/>
      <x v="3209"/>
      <x v="611"/>
    </i>
    <i r="4">
      <x v="3443"/>
      <x v="611"/>
    </i>
    <i r="2">
      <x v="68"/>
      <x v="283"/>
      <x v="912"/>
      <x v="611"/>
    </i>
    <i r="1">
      <x v="30"/>
      <x v="14"/>
      <x v="283"/>
      <x v="451"/>
      <x v="611"/>
    </i>
    <i r="2">
      <x v="17"/>
      <x v="283"/>
      <x v="3530"/>
      <x v="611"/>
    </i>
    <i r="1">
      <x v="33"/>
      <x v="17"/>
      <x v="283"/>
      <x v="3436"/>
      <x v="611"/>
    </i>
    <i r="1">
      <x v="37"/>
      <x v="68"/>
      <x v="283"/>
      <x v="2930"/>
      <x v="611"/>
    </i>
    <i r="1">
      <x v="40"/>
      <x v="18"/>
      <x v="283"/>
      <x v="2624"/>
      <x v="611"/>
    </i>
    <i r="4">
      <x v="2930"/>
      <x v="611"/>
    </i>
    <i r="2">
      <x v="19"/>
      <x v="283"/>
      <x v="2617"/>
      <x v="611"/>
    </i>
    <i r="2">
      <x v="22"/>
      <x v="410"/>
      <x v="3259"/>
      <x v="611"/>
    </i>
    <i r="3">
      <x v="428"/>
      <x v="3544"/>
      <x v="611"/>
    </i>
    <i r="3">
      <x v="434"/>
      <x v="3259"/>
      <x v="611"/>
    </i>
    <i>
      <x v="252"/>
      <x v="37"/>
      <x v="19"/>
      <x v="282"/>
      <x v="3564"/>
      <x v="559"/>
    </i>
    <i>
      <x v="253"/>
      <x v="1"/>
      <x v="14"/>
      <x v="281"/>
      <x v="2097"/>
      <x v="611"/>
    </i>
    <i r="1">
      <x v="2"/>
      <x v="14"/>
      <x v="281"/>
      <x v="3091"/>
      <x v="611"/>
    </i>
    <i r="2">
      <x v="68"/>
      <x v="281"/>
      <x v="2889"/>
      <x v="611"/>
    </i>
    <i r="1">
      <x v="3"/>
      <x v="2"/>
      <x v="281"/>
      <x v="3443"/>
      <x v="611"/>
    </i>
    <i r="1">
      <x v="4"/>
      <x v="68"/>
      <x v="281"/>
      <x v="2676"/>
      <x v="611"/>
    </i>
    <i r="1">
      <x v="16"/>
      <x v="68"/>
      <x v="281"/>
      <x v="3404"/>
      <x v="611"/>
    </i>
    <i r="1">
      <x v="25"/>
      <x v="2"/>
      <x v="281"/>
      <x v="3331"/>
      <x v="611"/>
    </i>
    <i r="1">
      <x v="27"/>
      <x v="2"/>
      <x v="281"/>
      <x v="2486"/>
      <x v="611"/>
    </i>
    <i r="4">
      <x v="2969"/>
      <x v="611"/>
    </i>
    <i r="4">
      <x v="3209"/>
      <x v="611"/>
    </i>
    <i r="4">
      <x v="3443"/>
      <x v="611"/>
    </i>
    <i r="1">
      <x v="40"/>
      <x v="22"/>
      <x v="387"/>
      <x v="3475"/>
      <x v="611"/>
    </i>
    <i r="3">
      <x v="397"/>
      <x v="3546"/>
      <x v="611"/>
    </i>
    <i r="2">
      <x v="68"/>
      <x v="281"/>
      <x v="2382"/>
      <x v="611"/>
    </i>
    <i r="4">
      <x v="3509"/>
      <x v="611"/>
    </i>
    <i>
      <x v="254"/>
      <x v="3"/>
      <x v="2"/>
      <x v="279"/>
      <x v="3209"/>
      <x v="611"/>
    </i>
    <i r="4">
      <x v="3443"/>
      <x v="611"/>
    </i>
    <i r="1">
      <x v="9"/>
      <x v="14"/>
      <x v="279"/>
      <x v="151"/>
      <x v="611"/>
    </i>
    <i r="1">
      <x v="24"/>
      <x v="2"/>
      <x v="279"/>
      <x v="420"/>
      <x v="611"/>
    </i>
    <i r="1">
      <x v="27"/>
      <x v="2"/>
      <x v="279"/>
      <x v="2150"/>
      <x v="611"/>
    </i>
    <i r="4">
      <x v="2486"/>
      <x v="611"/>
    </i>
    <i r="4">
      <x v="2690"/>
      <x v="611"/>
    </i>
    <i r="4">
      <x v="2969"/>
      <x v="611"/>
    </i>
    <i r="4">
      <x v="3209"/>
      <x v="611"/>
    </i>
    <i r="4">
      <x v="3443"/>
      <x v="611"/>
    </i>
    <i r="2">
      <x v="51"/>
      <x v="280"/>
      <x v="2091"/>
      <x v="611"/>
    </i>
    <i r="4">
      <x v="3082"/>
      <x v="611"/>
    </i>
    <i r="1">
      <x v="34"/>
      <x v="68"/>
      <x v="279"/>
      <x v="1296"/>
      <x v="611"/>
    </i>
    <i r="1">
      <x v="37"/>
      <x v="2"/>
      <x v="279"/>
      <x v="3393"/>
      <x v="611"/>
    </i>
    <i r="2">
      <x v="68"/>
      <x v="279"/>
      <x v="3517"/>
      <x v="611"/>
    </i>
    <i r="1">
      <x v="38"/>
      <x v="51"/>
      <x v="280"/>
      <x v="2058"/>
      <x v="611"/>
    </i>
    <i r="1">
      <x v="40"/>
      <x v="14"/>
      <x v="279"/>
      <x v="2209"/>
      <x v="611"/>
    </i>
    <i r="4">
      <x v="2957"/>
      <x v="611"/>
    </i>
    <i r="2">
      <x v="17"/>
      <x v="279"/>
      <x v="1701"/>
      <x v="611"/>
    </i>
    <i r="2">
      <x v="22"/>
      <x v="392"/>
      <x v="3539"/>
      <x v="611"/>
    </i>
    <i r="3">
      <x v="397"/>
      <x v="3546"/>
      <x v="611"/>
    </i>
    <i r="3">
      <x v="446"/>
      <x v="3460"/>
      <x v="611"/>
    </i>
    <i r="2">
      <x v="68"/>
      <x v="279"/>
      <x v="3341"/>
      <x v="611"/>
    </i>
    <i>
      <x v="255"/>
      <x v="1"/>
      <x v="68"/>
      <x v="278"/>
      <x v="3109"/>
      <x v="611"/>
    </i>
    <i r="1">
      <x v="3"/>
      <x v="2"/>
      <x v="278"/>
      <x v="3443"/>
      <x v="611"/>
    </i>
    <i r="1">
      <x v="13"/>
      <x v="68"/>
      <x v="278"/>
      <x v="85"/>
      <x v="611"/>
    </i>
    <i r="1">
      <x v="25"/>
      <x v="14"/>
      <x v="278"/>
      <x v="42"/>
      <x v="611"/>
    </i>
    <i r="1">
      <x v="27"/>
      <x v="2"/>
      <x v="278"/>
      <x v="2150"/>
      <x v="611"/>
    </i>
    <i r="4">
      <x v="2305"/>
      <x v="611"/>
    </i>
    <i r="4">
      <x v="2486"/>
      <x v="611"/>
    </i>
    <i r="4">
      <x v="2969"/>
      <x v="611"/>
    </i>
    <i r="4">
      <x v="3209"/>
      <x v="611"/>
    </i>
    <i r="4">
      <x v="3443"/>
      <x v="611"/>
    </i>
    <i r="1">
      <x v="40"/>
      <x v="14"/>
      <x v="278"/>
      <x v="2965"/>
      <x v="611"/>
    </i>
    <i r="2">
      <x v="17"/>
      <x v="278"/>
      <x v="2061"/>
      <x v="611"/>
    </i>
    <i r="2">
      <x v="18"/>
      <x v="278"/>
      <x v="2698"/>
      <x v="611"/>
    </i>
    <i r="4">
      <x v="2762"/>
      <x v="611"/>
    </i>
    <i r="2">
      <x v="22"/>
      <x v="430"/>
      <x v="3179"/>
      <x v="611"/>
    </i>
    <i r="2">
      <x v="68"/>
      <x v="278"/>
      <x v="3341"/>
      <x v="611"/>
    </i>
    <i>
      <x v="256"/>
      <x v="1"/>
      <x v="19"/>
      <x v="277"/>
      <x v="767"/>
      <x v="611"/>
    </i>
    <i r="1">
      <x v="20"/>
      <x v="14"/>
      <x v="277"/>
      <x v="1966"/>
      <x v="611"/>
    </i>
    <i r="1">
      <x v="27"/>
      <x v="2"/>
      <x v="277"/>
      <x v="2305"/>
      <x v="611"/>
    </i>
    <i r="4">
      <x v="2690"/>
      <x v="611"/>
    </i>
    <i r="4">
      <x v="2969"/>
      <x v="611"/>
    </i>
    <i r="4">
      <x v="3209"/>
      <x v="611"/>
    </i>
    <i r="4">
      <x v="3443"/>
      <x v="611"/>
    </i>
    <i r="1">
      <x v="32"/>
      <x v="19"/>
      <x v="277"/>
      <x v="1166"/>
      <x v="611"/>
    </i>
    <i r="1">
      <x v="40"/>
      <x v="17"/>
      <x v="277"/>
      <x v="3394"/>
      <x v="611"/>
    </i>
    <i r="2">
      <x v="18"/>
      <x v="277"/>
      <x v="2423"/>
      <x v="611"/>
    </i>
    <i r="4">
      <x v="2826"/>
      <x v="611"/>
    </i>
    <i>
      <x v="257"/>
      <x v="3"/>
      <x v="2"/>
      <x v="276"/>
      <x v="3443"/>
      <x v="611"/>
    </i>
    <i r="1">
      <x v="5"/>
      <x v="68"/>
      <x v="276"/>
      <x v="2382"/>
      <x v="611"/>
    </i>
    <i r="1">
      <x v="16"/>
      <x v="2"/>
      <x v="276"/>
      <x v="3098"/>
      <x v="611"/>
    </i>
    <i r="1">
      <x v="18"/>
      <x v="19"/>
      <x v="276"/>
      <x v="3564"/>
      <x v="563"/>
    </i>
    <i r="1">
      <x v="20"/>
      <x v="67"/>
      <x v="276"/>
      <x v="593"/>
      <x v="611"/>
    </i>
    <i r="2">
      <x v="68"/>
      <x v="276"/>
      <x v="296"/>
      <x v="611"/>
    </i>
    <i r="1">
      <x v="24"/>
      <x v="68"/>
      <x v="276"/>
      <x v="107"/>
      <x v="611"/>
    </i>
    <i r="1">
      <x v="25"/>
      <x v="67"/>
      <x v="276"/>
      <x v="1009"/>
      <x v="611"/>
    </i>
    <i r="2">
      <x v="68"/>
      <x v="276"/>
      <x v="549"/>
      <x v="611"/>
    </i>
    <i r="1">
      <x v="27"/>
      <x v="2"/>
      <x v="276"/>
      <x v="2969"/>
      <x v="611"/>
    </i>
    <i r="4">
      <x v="3209"/>
      <x v="611"/>
    </i>
    <i r="4">
      <x v="3443"/>
      <x v="611"/>
    </i>
    <i r="1">
      <x v="30"/>
      <x v="68"/>
      <x v="276"/>
      <x v="2473"/>
      <x v="611"/>
    </i>
    <i r="1">
      <x v="31"/>
      <x v="68"/>
      <x v="276"/>
      <x v="3464"/>
      <x v="611"/>
    </i>
    <i r="1">
      <x v="33"/>
      <x v="68"/>
      <x v="276"/>
      <x v="1633"/>
      <x v="611"/>
    </i>
    <i r="1">
      <x v="34"/>
      <x v="68"/>
      <x v="276"/>
      <x v="1437"/>
      <x v="611"/>
    </i>
    <i r="1">
      <x v="35"/>
      <x v="67"/>
      <x v="276"/>
      <x v="198"/>
      <x v="611"/>
    </i>
    <i r="2">
      <x v="68"/>
      <x v="276"/>
      <x v="89"/>
      <x v="611"/>
    </i>
    <i r="1">
      <x v="37"/>
      <x v="68"/>
      <x v="276"/>
      <x v="3029"/>
      <x v="611"/>
    </i>
    <i r="1">
      <x v="38"/>
      <x v="2"/>
      <x v="276"/>
      <x v="1357"/>
      <x v="611"/>
    </i>
    <i r="2">
      <x v="14"/>
      <x v="276"/>
      <x v="2466"/>
      <x v="611"/>
    </i>
    <i r="1">
      <x v="40"/>
      <x v="2"/>
      <x v="276"/>
      <x v="2140"/>
      <x v="611"/>
    </i>
    <i r="4">
      <x v="3443"/>
      <x v="611"/>
    </i>
    <i r="2">
      <x v="22"/>
      <x v="418"/>
      <x v="2896"/>
      <x v="611"/>
    </i>
    <i r="3">
      <x v="444"/>
      <x v="3198"/>
      <x v="611"/>
    </i>
    <i r="2">
      <x v="67"/>
      <x v="276"/>
      <x v="1150"/>
      <x v="611"/>
    </i>
    <i r="2">
      <x v="68"/>
      <x v="276"/>
      <x v="1114"/>
      <x v="611"/>
    </i>
    <i>
      <x v="258"/>
      <x v="12"/>
      <x v="68"/>
      <x v="275"/>
      <x v="2434"/>
      <x v="611"/>
    </i>
    <i r="1">
      <x v="14"/>
      <x v="18"/>
      <x v="275"/>
      <x v="1931"/>
      <x v="611"/>
    </i>
    <i r="1">
      <x v="15"/>
      <x v="17"/>
      <x v="275"/>
      <x v="1937"/>
      <x v="611"/>
    </i>
    <i r="1">
      <x v="16"/>
      <x v="68"/>
      <x v="275"/>
      <x v="3452"/>
      <x v="611"/>
    </i>
    <i r="1">
      <x v="24"/>
      <x v="14"/>
      <x v="275"/>
      <x v="3211"/>
      <x v="611"/>
    </i>
    <i r="2">
      <x v="18"/>
      <x v="275"/>
      <x v="3000"/>
      <x v="611"/>
    </i>
    <i r="1">
      <x v="27"/>
      <x v="2"/>
      <x v="275"/>
      <x v="2305"/>
      <x v="611"/>
    </i>
    <i r="4">
      <x v="2690"/>
      <x v="611"/>
    </i>
    <i r="4">
      <x v="3209"/>
      <x v="611"/>
    </i>
    <i r="1">
      <x v="28"/>
      <x v="17"/>
      <x v="275"/>
      <x v="1886"/>
      <x v="611"/>
    </i>
    <i r="1">
      <x v="40"/>
      <x v="18"/>
      <x v="275"/>
      <x v="1800"/>
      <x v="611"/>
    </i>
    <i r="4">
      <x v="1890"/>
      <x v="611"/>
    </i>
    <i r="4">
      <x v="2219"/>
      <x v="611"/>
    </i>
    <i r="4">
      <x v="2423"/>
      <x v="611"/>
    </i>
    <i r="4">
      <x v="2457"/>
      <x v="611"/>
    </i>
    <i r="2">
      <x v="22"/>
      <x v="378"/>
      <x v="3544"/>
      <x v="611"/>
    </i>
    <i r="3">
      <x v="383"/>
      <x v="3527"/>
      <x v="611"/>
    </i>
    <i r="3">
      <x v="384"/>
      <x v="3537"/>
      <x v="611"/>
    </i>
    <i r="3">
      <x v="388"/>
      <x v="3550"/>
      <x v="611"/>
    </i>
    <i r="3">
      <x v="396"/>
      <x v="3527"/>
      <x v="611"/>
    </i>
    <i r="3">
      <x v="406"/>
      <x v="3544"/>
      <x v="611"/>
    </i>
    <i r="3">
      <x v="418"/>
      <x v="2896"/>
      <x v="611"/>
    </i>
    <i>
      <x v="259"/>
      <x v="2"/>
      <x v="2"/>
      <x v="274"/>
      <x v="3036"/>
      <x v="611"/>
    </i>
    <i r="1">
      <x v="3"/>
      <x v="2"/>
      <x v="274"/>
      <x v="3209"/>
      <x v="611"/>
    </i>
    <i r="1">
      <x v="13"/>
      <x v="68"/>
      <x v="274"/>
      <x v="2150"/>
      <x v="611"/>
    </i>
    <i r="1">
      <x v="27"/>
      <x v="2"/>
      <x v="274"/>
      <x v="1539"/>
      <x v="611"/>
    </i>
    <i r="4">
      <x v="2150"/>
      <x v="611"/>
    </i>
    <i r="4">
      <x v="2690"/>
      <x v="611"/>
    </i>
    <i r="4">
      <x v="3209"/>
      <x v="611"/>
    </i>
    <i r="4">
      <x v="3443"/>
      <x v="611"/>
    </i>
    <i r="1">
      <x v="30"/>
      <x v="67"/>
      <x v="274"/>
      <x v="1286"/>
      <x v="611"/>
    </i>
    <i r="1">
      <x v="35"/>
      <x v="67"/>
      <x v="274"/>
      <x v="929"/>
      <x v="611"/>
    </i>
    <i r="1">
      <x v="37"/>
      <x v="14"/>
      <x v="274"/>
      <x v="1659"/>
      <x v="611"/>
    </i>
    <i r="1">
      <x v="40"/>
      <x v="22"/>
      <x v="397"/>
      <x v="3418"/>
      <x v="611"/>
    </i>
    <i r="3">
      <x v="430"/>
      <x v="3460"/>
      <x v="611"/>
    </i>
    <i r="2">
      <x v="68"/>
      <x v="274"/>
      <x v="3341"/>
      <x v="611"/>
    </i>
    <i>
      <x v="260"/>
      <x v="3"/>
      <x v="2"/>
      <x v="272"/>
      <x v="2690"/>
      <x v="611"/>
    </i>
    <i r="4">
      <x v="3443"/>
      <x v="611"/>
    </i>
    <i r="2">
      <x v="37"/>
      <x v="273"/>
      <x v="1034"/>
      <x v="611"/>
    </i>
    <i r="4">
      <x v="1349"/>
      <x v="611"/>
    </i>
    <i r="4">
      <x v="1506"/>
      <x v="611"/>
    </i>
    <i r="4">
      <x v="2065"/>
      <x v="611"/>
    </i>
    <i r="4">
      <x v="2293"/>
      <x v="611"/>
    </i>
    <i r="4">
      <x v="2332"/>
      <x v="611"/>
    </i>
    <i r="4">
      <x v="2660"/>
      <x v="611"/>
    </i>
    <i r="4">
      <x v="2772"/>
      <x v="611"/>
    </i>
    <i r="4">
      <x v="2878"/>
      <x v="611"/>
    </i>
    <i r="4">
      <x v="2927"/>
      <x v="611"/>
    </i>
    <i r="4">
      <x v="3042"/>
      <x v="611"/>
    </i>
    <i r="4">
      <x v="3180"/>
      <x v="611"/>
    </i>
    <i r="4">
      <x v="3398"/>
      <x v="611"/>
    </i>
    <i r="1">
      <x v="10"/>
      <x v="19"/>
      <x v="272"/>
      <x v="592"/>
      <x v="611"/>
    </i>
    <i r="1">
      <x v="12"/>
      <x v="37"/>
      <x v="273"/>
      <x v="1081"/>
      <x v="611"/>
    </i>
    <i r="1">
      <x v="13"/>
      <x v="37"/>
      <x v="273"/>
      <x v="3308"/>
      <x v="611"/>
    </i>
    <i r="1">
      <x v="15"/>
      <x v="37"/>
      <x v="273"/>
      <x v="426"/>
      <x v="611"/>
    </i>
    <i r="1">
      <x v="16"/>
      <x v="37"/>
      <x v="273"/>
      <x v="49"/>
      <x v="611"/>
    </i>
    <i r="1">
      <x v="18"/>
      <x v="37"/>
      <x v="273"/>
      <x v="403"/>
      <x v="611"/>
    </i>
    <i r="1">
      <x v="22"/>
      <x v="37"/>
      <x v="273"/>
      <x v="2268"/>
      <x v="611"/>
    </i>
    <i r="1">
      <x v="24"/>
      <x v="37"/>
      <x v="273"/>
      <x v="7"/>
      <x v="611"/>
    </i>
    <i r="1">
      <x v="25"/>
      <x v="68"/>
      <x v="272"/>
      <x v="2886"/>
      <x v="611"/>
    </i>
    <i r="1">
      <x v="27"/>
      <x v="2"/>
      <x v="272"/>
      <x v="2305"/>
      <x v="611"/>
    </i>
    <i r="4">
      <x v="2690"/>
      <x v="611"/>
    </i>
    <i r="4">
      <x v="3209"/>
      <x v="611"/>
    </i>
    <i r="4">
      <x v="3443"/>
      <x v="611"/>
    </i>
    <i r="2">
      <x v="37"/>
      <x v="273"/>
      <x v="307"/>
      <x v="611"/>
    </i>
    <i r="4">
      <x v="329"/>
      <x v="611"/>
    </i>
    <i r="4">
      <x v="402"/>
      <x v="611"/>
    </i>
    <i r="4">
      <x v="447"/>
      <x v="611"/>
    </i>
    <i r="4">
      <x v="464"/>
      <x v="611"/>
    </i>
    <i r="4">
      <x v="532"/>
      <x v="611"/>
    </i>
    <i r="4">
      <x v="535"/>
      <x v="611"/>
    </i>
    <i r="4">
      <x v="586"/>
      <x v="611"/>
    </i>
    <i r="4">
      <x v="598"/>
      <x v="611"/>
    </i>
    <i r="4">
      <x v="610"/>
      <x v="611"/>
    </i>
    <i r="4">
      <x v="621"/>
      <x v="611"/>
    </i>
    <i r="4">
      <x v="703"/>
      <x v="611"/>
    </i>
    <i r="4">
      <x v="724"/>
      <x v="611"/>
    </i>
    <i r="4">
      <x v="781"/>
      <x v="611"/>
    </i>
    <i r="4">
      <x v="914"/>
      <x v="611"/>
    </i>
    <i r="4">
      <x v="998"/>
      <x v="611"/>
    </i>
    <i r="4">
      <x v="1131"/>
      <x v="611"/>
    </i>
    <i r="4">
      <x v="1233"/>
      <x v="611"/>
    </i>
    <i r="4">
      <x v="1291"/>
      <x v="611"/>
    </i>
    <i r="4">
      <x v="1474"/>
      <x v="611"/>
    </i>
    <i r="4">
      <x v="1768"/>
      <x v="611"/>
    </i>
    <i r="4">
      <x v="1783"/>
      <x v="611"/>
    </i>
    <i r="4">
      <x v="1810"/>
      <x v="611"/>
    </i>
    <i r="4">
      <x v="1906"/>
      <x v="611"/>
    </i>
    <i r="4">
      <x v="2037"/>
      <x v="611"/>
    </i>
    <i r="4">
      <x v="2098"/>
      <x v="611"/>
    </i>
    <i r="4">
      <x v="2136"/>
      <x v="611"/>
    </i>
    <i r="4">
      <x v="2261"/>
      <x v="611"/>
    </i>
    <i r="4">
      <x v="2348"/>
      <x v="611"/>
    </i>
    <i r="4">
      <x v="2993"/>
      <x v="611"/>
    </i>
    <i r="4">
      <x v="3092"/>
      <x v="611"/>
    </i>
    <i r="4">
      <x v="3282"/>
      <x v="611"/>
    </i>
    <i r="4">
      <x v="3299"/>
      <x v="611"/>
    </i>
    <i r="4">
      <x v="3457"/>
      <x v="611"/>
    </i>
    <i r="1">
      <x v="33"/>
      <x v="18"/>
      <x v="272"/>
      <x v="3178"/>
      <x v="611"/>
    </i>
    <i r="2">
      <x v="19"/>
      <x v="272"/>
      <x v="583"/>
      <x v="611"/>
    </i>
    <i r="1">
      <x v="34"/>
      <x v="68"/>
      <x v="272"/>
      <x v="2385"/>
      <x v="611"/>
    </i>
    <i r="1">
      <x v="38"/>
      <x v="2"/>
      <x v="272"/>
      <x v="1357"/>
      <x v="611"/>
    </i>
    <i r="2">
      <x v="37"/>
      <x v="273"/>
      <x v="65"/>
      <x v="611"/>
    </i>
    <i r="1">
      <x v="40"/>
      <x v="18"/>
      <x v="272"/>
      <x v="2574"/>
      <x v="611"/>
    </i>
    <i r="4">
      <x v="2766"/>
      <x v="611"/>
    </i>
    <i r="2">
      <x v="22"/>
      <x v="394"/>
      <x v="3437"/>
      <x v="611"/>
    </i>
    <i r="3">
      <x v="397"/>
      <x v="3541"/>
      <x v="611"/>
    </i>
    <i r="3">
      <x v="399"/>
      <x v="3443"/>
      <x v="611"/>
    </i>
    <i r="3">
      <x v="416"/>
      <x v="2264"/>
      <x v="611"/>
    </i>
    <i r="3">
      <x v="433"/>
      <x v="3544"/>
      <x v="611"/>
    </i>
    <i r="3">
      <x v="434"/>
      <x v="3198"/>
      <x v="611"/>
    </i>
    <i r="3">
      <x v="443"/>
      <x v="3541"/>
      <x v="611"/>
    </i>
    <i r="3">
      <x v="445"/>
      <x v="3518"/>
      <x v="611"/>
    </i>
    <i r="2">
      <x v="37"/>
      <x v="273"/>
      <x v="1295"/>
      <x v="611"/>
    </i>
    <i r="4">
      <x v="1699"/>
      <x v="611"/>
    </i>
    <i r="4">
      <x v="2310"/>
      <x v="611"/>
    </i>
    <i r="4">
      <x v="2535"/>
      <x v="611"/>
    </i>
    <i r="4">
      <x v="2745"/>
      <x v="611"/>
    </i>
    <i>
      <x v="261"/>
      <x/>
      <x v="19"/>
      <x v="271"/>
      <x v="1410"/>
      <x v="611"/>
    </i>
    <i r="1">
      <x v="2"/>
      <x v="19"/>
      <x v="271"/>
      <x v="666"/>
      <x v="611"/>
    </i>
    <i r="1">
      <x v="3"/>
      <x v="2"/>
      <x v="271"/>
      <x v="3443"/>
      <x v="611"/>
    </i>
    <i r="1">
      <x v="16"/>
      <x v="68"/>
      <x v="271"/>
      <x v="2775"/>
      <x v="611"/>
    </i>
    <i r="1">
      <x v="24"/>
      <x v="68"/>
      <x v="271"/>
      <x v="1701"/>
      <x v="611"/>
    </i>
    <i r="1">
      <x v="27"/>
      <x v="2"/>
      <x v="271"/>
      <x v="2969"/>
      <x v="611"/>
    </i>
    <i r="4">
      <x v="3209"/>
      <x v="611"/>
    </i>
    <i r="1">
      <x v="28"/>
      <x v="19"/>
      <x v="271"/>
      <x v="2225"/>
      <x v="611"/>
    </i>
    <i r="1">
      <x v="37"/>
      <x v="19"/>
      <x v="271"/>
      <x v="1265"/>
      <x v="611"/>
    </i>
    <i r="1">
      <x v="38"/>
      <x v="19"/>
      <x v="271"/>
      <x v="368"/>
      <x v="611"/>
    </i>
    <i r="1">
      <x v="40"/>
      <x v="2"/>
      <x v="271"/>
      <x v="3443"/>
      <x v="611"/>
    </i>
    <i r="2">
      <x v="22"/>
      <x v="383"/>
      <x v="3418"/>
      <x v="611"/>
    </i>
    <i r="3">
      <x v="394"/>
      <x v="3418"/>
      <x v="611"/>
    </i>
    <i r="3">
      <x v="410"/>
      <x v="3198"/>
      <x v="611"/>
    </i>
    <i r="3">
      <x v="430"/>
      <x v="3546"/>
      <x v="611"/>
    </i>
    <i r="3">
      <x v="450"/>
      <x v="3509"/>
      <x v="611"/>
    </i>
    <i r="2">
      <x v="68"/>
      <x v="271"/>
      <x v="2400"/>
      <x v="611"/>
    </i>
    <i>
      <x v="262"/>
      <x v="40"/>
      <x v="22"/>
      <x v="395"/>
      <x v="3482"/>
      <x v="611"/>
    </i>
    <i r="3">
      <x v="418"/>
      <x v="2896"/>
      <x v="611"/>
    </i>
    <i r="3">
      <x v="422"/>
      <x v="3514"/>
      <x v="611"/>
    </i>
    <i>
      <x v="263"/>
      <x v="2"/>
      <x v="17"/>
      <x v="269"/>
      <x v="1792"/>
      <x v="611"/>
    </i>
    <i r="1">
      <x v="3"/>
      <x v="2"/>
      <x v="269"/>
      <x v="2969"/>
      <x v="611"/>
    </i>
    <i r="4">
      <x v="3443"/>
      <x v="611"/>
    </i>
    <i r="1">
      <x v="16"/>
      <x v="68"/>
      <x v="269"/>
      <x v="3443"/>
      <x v="611"/>
    </i>
    <i r="1">
      <x v="24"/>
      <x v="51"/>
      <x v="270"/>
      <x v="275"/>
      <x v="611"/>
    </i>
    <i r="1">
      <x v="27"/>
      <x v="2"/>
      <x v="269"/>
      <x v="2969"/>
      <x v="611"/>
    </i>
    <i r="4">
      <x v="3443"/>
      <x v="611"/>
    </i>
    <i r="1">
      <x v="32"/>
      <x v="19"/>
      <x v="269"/>
      <x v="2250"/>
      <x v="611"/>
    </i>
    <i r="1">
      <x v="37"/>
      <x v="68"/>
      <x v="269"/>
      <x v="3450"/>
      <x v="611"/>
    </i>
    <i r="1">
      <x v="40"/>
      <x v="17"/>
      <x v="269"/>
      <x v="2670"/>
      <x v="611"/>
    </i>
    <i r="2">
      <x v="18"/>
      <x v="269"/>
      <x v="1512"/>
      <x v="611"/>
    </i>
    <i r="4">
      <x v="1864"/>
      <x v="611"/>
    </i>
    <i r="4">
      <x v="1899"/>
      <x v="611"/>
    </i>
    <i r="4">
      <x v="2086"/>
      <x v="611"/>
    </i>
    <i r="4">
      <x v="2961"/>
      <x v="611"/>
    </i>
    <i r="4">
      <x v="2978"/>
      <x v="611"/>
    </i>
    <i r="4">
      <x v="3454"/>
      <x v="611"/>
    </i>
    <i r="2">
      <x v="68"/>
      <x v="269"/>
      <x v="2690"/>
      <x v="611"/>
    </i>
    <i r="4">
      <x v="3341"/>
      <x v="611"/>
    </i>
    <i>
      <x v="264"/>
      <x v="2"/>
      <x v="18"/>
      <x v="268"/>
      <x v="244"/>
      <x v="611"/>
    </i>
    <i r="1">
      <x v="24"/>
      <x v="62"/>
      <x v="268"/>
      <x v="18"/>
      <x v="611"/>
    </i>
    <i r="2">
      <x v="64"/>
      <x v="371"/>
      <x v="3564"/>
      <x v="41"/>
    </i>
    <i r="1">
      <x v="27"/>
      <x v="68"/>
      <x v="268"/>
      <x v="289"/>
      <x v="611"/>
    </i>
    <i r="4">
      <x v="1080"/>
      <x v="611"/>
    </i>
    <i r="4">
      <x v="1497"/>
      <x v="611"/>
    </i>
    <i r="1">
      <x v="30"/>
      <x v="62"/>
      <x v="268"/>
      <x v="170"/>
      <x v="611"/>
    </i>
    <i>
      <x v="265"/>
      <x v="3"/>
      <x v="2"/>
      <x v="267"/>
      <x v="3209"/>
      <x v="611"/>
    </i>
    <i r="4">
      <x v="3443"/>
      <x v="611"/>
    </i>
    <i r="1">
      <x v="5"/>
      <x v="68"/>
      <x v="267"/>
      <x v="3022"/>
      <x v="611"/>
    </i>
    <i r="1">
      <x v="10"/>
      <x v="68"/>
      <x v="267"/>
      <x v="3274"/>
      <x v="611"/>
    </i>
    <i r="1">
      <x v="15"/>
      <x v="14"/>
      <x v="267"/>
      <x v="1657"/>
      <x v="611"/>
    </i>
    <i r="1">
      <x v="16"/>
      <x v="68"/>
      <x v="267"/>
      <x v="3393"/>
      <x v="611"/>
    </i>
    <i r="1">
      <x v="20"/>
      <x v="14"/>
      <x v="267"/>
      <x v="2748"/>
      <x v="611"/>
    </i>
    <i r="1">
      <x v="24"/>
      <x v="62"/>
      <x v="267"/>
      <x v="2"/>
      <x v="611"/>
    </i>
    <i r="2">
      <x v="68"/>
      <x v="267"/>
      <x v="2738"/>
      <x v="611"/>
    </i>
    <i r="1">
      <x v="27"/>
      <x v="2"/>
      <x v="267"/>
      <x v="1701"/>
      <x v="611"/>
    </i>
    <i r="4">
      <x v="2969"/>
      <x v="611"/>
    </i>
    <i r="4">
      <x v="3209"/>
      <x v="611"/>
    </i>
    <i r="4">
      <x v="3443"/>
      <x v="611"/>
    </i>
    <i r="1">
      <x v="37"/>
      <x v="68"/>
      <x v="267"/>
      <x v="3450"/>
      <x v="611"/>
    </i>
    <i r="1">
      <x v="38"/>
      <x v="14"/>
      <x v="267"/>
      <x v="2342"/>
      <x v="611"/>
    </i>
    <i r="1">
      <x v="40"/>
      <x v="2"/>
      <x v="267"/>
      <x v="3443"/>
      <x v="611"/>
    </i>
    <i r="2">
      <x v="21"/>
      <x v="398"/>
      <x v="3509"/>
      <x v="611"/>
    </i>
    <i r="2">
      <x v="22"/>
      <x v="428"/>
      <x v="3393"/>
      <x v="611"/>
    </i>
    <i>
      <x v="266"/>
      <x v="3"/>
      <x v="2"/>
      <x v="266"/>
      <x v="3443"/>
      <x v="611"/>
    </i>
    <i r="1">
      <x v="5"/>
      <x v="17"/>
      <x v="266"/>
      <x v="2232"/>
      <x v="611"/>
    </i>
    <i r="1">
      <x v="10"/>
      <x v="68"/>
      <x v="266"/>
      <x v="1127"/>
      <x v="611"/>
    </i>
    <i r="1">
      <x v="16"/>
      <x v="68"/>
      <x v="266"/>
      <x v="53"/>
      <x v="611"/>
    </i>
    <i r="1">
      <x v="18"/>
      <x v="68"/>
      <x v="266"/>
      <x v="1227"/>
      <x v="611"/>
    </i>
    <i r="1">
      <x v="20"/>
      <x v="68"/>
      <x v="266"/>
      <x v="529"/>
      <x v="611"/>
    </i>
    <i r="1">
      <x v="24"/>
      <x v="2"/>
      <x v="266"/>
      <x v="2369"/>
      <x v="611"/>
    </i>
    <i r="2">
      <x v="17"/>
      <x v="266"/>
      <x v="1813"/>
      <x v="611"/>
    </i>
    <i r="2">
      <x v="68"/>
      <x v="266"/>
      <x v="910"/>
      <x v="611"/>
    </i>
    <i r="1">
      <x v="25"/>
      <x v="19"/>
      <x v="266"/>
      <x v="55"/>
      <x v="611"/>
    </i>
    <i r="2">
      <x v="68"/>
      <x v="266"/>
      <x v="480"/>
      <x v="611"/>
    </i>
    <i r="1">
      <x v="27"/>
      <x v="2"/>
      <x v="266"/>
      <x v="2690"/>
      <x v="611"/>
    </i>
    <i r="4">
      <x v="3209"/>
      <x v="611"/>
    </i>
    <i r="4">
      <x v="3443"/>
      <x v="611"/>
    </i>
    <i r="1">
      <x v="31"/>
      <x v="19"/>
      <x v="266"/>
      <x v="2572"/>
      <x v="611"/>
    </i>
    <i r="1">
      <x v="32"/>
      <x v="68"/>
      <x v="266"/>
      <x v="2528"/>
      <x v="611"/>
    </i>
    <i r="1">
      <x v="34"/>
      <x v="68"/>
      <x v="266"/>
      <x v="620"/>
      <x v="611"/>
    </i>
    <i r="1">
      <x v="35"/>
      <x v="2"/>
      <x v="266"/>
      <x v="2042"/>
      <x v="611"/>
    </i>
    <i r="2">
      <x v="67"/>
      <x v="266"/>
      <x v="1935"/>
      <x v="611"/>
    </i>
    <i r="2">
      <x v="68"/>
      <x v="266"/>
      <x v="105"/>
      <x v="611"/>
    </i>
    <i r="1">
      <x v="37"/>
      <x v="67"/>
      <x v="266"/>
      <x v="1935"/>
      <x v="611"/>
    </i>
    <i r="1">
      <x v="40"/>
      <x v="17"/>
      <x v="266"/>
      <x v="1164"/>
      <x v="611"/>
    </i>
    <i r="4">
      <x v="1429"/>
      <x v="611"/>
    </i>
    <i r="4">
      <x v="1621"/>
      <x v="611"/>
    </i>
    <i r="4">
      <x v="2970"/>
      <x v="611"/>
    </i>
    <i r="2">
      <x v="18"/>
      <x v="266"/>
      <x v="1364"/>
      <x v="611"/>
    </i>
    <i r="4">
      <x v="1752"/>
      <x v="611"/>
    </i>
    <i r="4">
      <x v="1799"/>
      <x v="611"/>
    </i>
    <i r="4">
      <x v="1841"/>
      <x v="611"/>
    </i>
    <i r="4">
      <x v="1987"/>
      <x v="611"/>
    </i>
    <i r="4">
      <x v="2032"/>
      <x v="611"/>
    </i>
    <i r="4">
      <x v="2656"/>
      <x v="611"/>
    </i>
    <i r="4">
      <x v="2814"/>
      <x v="611"/>
    </i>
    <i r="4">
      <x v="2981"/>
      <x v="611"/>
    </i>
    <i r="4">
      <x v="3041"/>
      <x v="611"/>
    </i>
    <i r="2">
      <x v="22"/>
      <x v="408"/>
      <x v="3530"/>
      <x v="611"/>
    </i>
    <i r="3">
      <x v="450"/>
      <x v="3546"/>
      <x v="611"/>
    </i>
    <i r="2">
      <x v="67"/>
      <x v="266"/>
      <x v="886"/>
      <x v="611"/>
    </i>
    <i r="2">
      <x v="68"/>
      <x v="266"/>
      <x v="3424"/>
      <x v="611"/>
    </i>
    <i>
      <x v="267"/>
      <x v="3"/>
      <x v="2"/>
      <x v="265"/>
      <x v="3209"/>
      <x v="611"/>
    </i>
    <i r="1">
      <x v="16"/>
      <x v="68"/>
      <x v="265"/>
      <x v="3272"/>
      <x v="611"/>
    </i>
    <i r="1">
      <x v="27"/>
      <x v="2"/>
      <x v="265"/>
      <x v="1621"/>
      <x v="611"/>
    </i>
    <i r="4">
      <x v="1814"/>
      <x v="611"/>
    </i>
    <i r="4">
      <x v="2305"/>
      <x v="611"/>
    </i>
    <i r="4">
      <x v="2486"/>
      <x v="611"/>
    </i>
    <i r="4">
      <x v="2690"/>
      <x v="611"/>
    </i>
    <i r="4">
      <x v="3209"/>
      <x v="611"/>
    </i>
    <i r="4">
      <x v="3443"/>
      <x v="611"/>
    </i>
    <i r="1">
      <x v="37"/>
      <x v="2"/>
      <x v="265"/>
      <x v="3393"/>
      <x v="611"/>
    </i>
    <i r="2">
      <x v="14"/>
      <x v="265"/>
      <x v="2900"/>
      <x v="611"/>
    </i>
    <i r="2">
      <x v="68"/>
      <x v="265"/>
      <x v="3517"/>
      <x v="611"/>
    </i>
    <i r="1">
      <x v="40"/>
      <x v="2"/>
      <x v="265"/>
      <x v="3443"/>
      <x v="611"/>
    </i>
    <i r="2">
      <x v="22"/>
      <x v="387"/>
      <x v="3542"/>
      <x v="611"/>
    </i>
    <i>
      <x v="268"/>
      <x v="4"/>
      <x v="68"/>
      <x v="264"/>
      <x v="2231"/>
      <x v="611"/>
    </i>
    <i r="1">
      <x v="12"/>
      <x v="14"/>
      <x v="264"/>
      <x v="780"/>
      <x v="611"/>
    </i>
    <i r="1">
      <x v="24"/>
      <x v="17"/>
      <x v="264"/>
      <x v="3072"/>
      <x v="611"/>
    </i>
    <i r="1">
      <x v="25"/>
      <x v="2"/>
      <x v="264"/>
      <x v="2271"/>
      <x v="611"/>
    </i>
    <i r="1">
      <x v="27"/>
      <x v="2"/>
      <x v="264"/>
      <x v="1701"/>
      <x v="611"/>
    </i>
    <i r="4">
      <x v="2027"/>
      <x v="611"/>
    </i>
    <i r="4">
      <x v="2150"/>
      <x v="611"/>
    </i>
    <i r="4">
      <x v="2486"/>
      <x v="611"/>
    </i>
    <i r="4">
      <x v="2690"/>
      <x v="611"/>
    </i>
    <i r="4">
      <x v="2969"/>
      <x v="611"/>
    </i>
    <i r="4">
      <x v="3209"/>
      <x v="611"/>
    </i>
    <i r="4">
      <x v="3443"/>
      <x v="611"/>
    </i>
    <i r="2">
      <x v="68"/>
      <x v="264"/>
      <x v="618"/>
      <x v="611"/>
    </i>
    <i r="1">
      <x v="32"/>
      <x v="68"/>
      <x v="264"/>
      <x v="970"/>
      <x v="611"/>
    </i>
    <i r="1">
      <x v="34"/>
      <x v="68"/>
      <x v="264"/>
      <x v="1857"/>
      <x v="611"/>
    </i>
    <i r="1">
      <x v="37"/>
      <x v="68"/>
      <x v="264"/>
      <x v="3513"/>
      <x v="611"/>
    </i>
    <i r="1">
      <x v="40"/>
      <x v="2"/>
      <x v="264"/>
      <x v="3209"/>
      <x v="611"/>
    </i>
    <i r="2">
      <x v="18"/>
      <x v="264"/>
      <x v="1668"/>
      <x v="611"/>
    </i>
    <i r="4">
      <x v="1978"/>
      <x v="611"/>
    </i>
    <i r="4">
      <x v="2156"/>
      <x v="611"/>
    </i>
    <i r="4">
      <x v="2289"/>
      <x v="611"/>
    </i>
    <i r="4">
      <x v="2716"/>
      <x v="611"/>
    </i>
    <i r="4">
      <x v="2947"/>
      <x v="611"/>
    </i>
    <i r="4">
      <x v="3398"/>
      <x v="611"/>
    </i>
    <i r="2">
      <x v="22"/>
      <x v="401"/>
      <x v="3535"/>
      <x v="611"/>
    </i>
    <i r="3">
      <x v="403"/>
      <x v="3039"/>
      <x v="611"/>
    </i>
    <i r="3">
      <x v="425"/>
      <x v="3537"/>
      <x v="611"/>
    </i>
    <i>
      <x v="269"/>
      <x v="2"/>
      <x v="2"/>
      <x v="262"/>
      <x v="1171"/>
      <x v="611"/>
    </i>
    <i r="1">
      <x v="3"/>
      <x v="2"/>
      <x v="262"/>
      <x v="3443"/>
      <x v="611"/>
    </i>
    <i r="1">
      <x v="5"/>
      <x v="14"/>
      <x v="262"/>
      <x v="2748"/>
      <x v="611"/>
    </i>
    <i r="1">
      <x v="15"/>
      <x v="2"/>
      <x v="262"/>
      <x v="3069"/>
      <x v="611"/>
    </i>
    <i r="1">
      <x v="20"/>
      <x v="16"/>
      <x v="262"/>
      <x v="1749"/>
      <x v="611"/>
    </i>
    <i r="2">
      <x v="68"/>
      <x v="262"/>
      <x v="3002"/>
      <x v="611"/>
    </i>
    <i r="1">
      <x v="25"/>
      <x v="68"/>
      <x v="262"/>
      <x v="2886"/>
      <x v="611"/>
    </i>
    <i r="1">
      <x v="27"/>
      <x v="2"/>
      <x v="262"/>
      <x v="1814"/>
      <x v="611"/>
    </i>
    <i r="4">
      <x v="2150"/>
      <x v="611"/>
    </i>
    <i r="4">
      <x v="2969"/>
      <x v="611"/>
    </i>
    <i r="4">
      <x v="3209"/>
      <x v="611"/>
    </i>
    <i r="4">
      <x v="3443"/>
      <x v="611"/>
    </i>
    <i r="2">
      <x v="59"/>
      <x v="263"/>
      <x v="1460"/>
      <x v="611"/>
    </i>
    <i r="2">
      <x v="68"/>
      <x v="262"/>
      <x v="1240"/>
      <x v="611"/>
    </i>
    <i r="1">
      <x v="28"/>
      <x v="17"/>
      <x v="262"/>
      <x v="3506"/>
      <x v="611"/>
    </i>
    <i r="1">
      <x v="32"/>
      <x v="68"/>
      <x v="262"/>
      <x v="652"/>
      <x v="611"/>
    </i>
    <i r="1">
      <x v="38"/>
      <x v="17"/>
      <x v="262"/>
      <x v="1267"/>
      <x v="611"/>
    </i>
    <i r="1">
      <x v="40"/>
      <x v="17"/>
      <x v="262"/>
      <x v="2590"/>
      <x v="611"/>
    </i>
    <i r="2">
      <x v="18"/>
      <x v="262"/>
      <x v="1154"/>
      <x v="611"/>
    </i>
    <i r="4">
      <x v="2022"/>
      <x v="611"/>
    </i>
    <i r="4">
      <x v="2192"/>
      <x v="611"/>
    </i>
    <i r="4">
      <x v="2433"/>
      <x v="611"/>
    </i>
    <i r="4">
      <x v="2568"/>
      <x v="611"/>
    </i>
    <i r="4">
      <x v="2912"/>
      <x v="611"/>
    </i>
    <i r="2">
      <x v="21"/>
      <x v="398"/>
      <x v="3393"/>
      <x v="611"/>
    </i>
    <i r="2">
      <x v="22"/>
      <x v="403"/>
      <x v="3039"/>
      <x v="611"/>
    </i>
    <i>
      <x v="270"/>
      <x v="15"/>
      <x v="14"/>
      <x v="261"/>
      <x v="1735"/>
      <x v="611"/>
    </i>
    <i r="1">
      <x v="27"/>
      <x v="2"/>
      <x v="261"/>
      <x v="2969"/>
      <x v="611"/>
    </i>
    <i r="4">
      <x v="3209"/>
      <x v="611"/>
    </i>
    <i r="4">
      <x v="3443"/>
      <x v="611"/>
    </i>
    <i r="1">
      <x v="34"/>
      <x v="68"/>
      <x v="261"/>
      <x v="2536"/>
      <x v="611"/>
    </i>
    <i r="1">
      <x v="37"/>
      <x v="68"/>
      <x v="261"/>
      <x v="2969"/>
      <x v="611"/>
    </i>
    <i r="1">
      <x v="38"/>
      <x v="2"/>
      <x v="261"/>
      <x v="3324"/>
      <x v="611"/>
    </i>
    <i r="2">
      <x v="17"/>
      <x v="261"/>
      <x v="3564"/>
      <x v="393"/>
    </i>
    <i r="1">
      <x v="40"/>
      <x v="22"/>
      <x v="378"/>
      <x v="3512"/>
      <x v="611"/>
    </i>
    <i r="3">
      <x v="419"/>
      <x v="3200"/>
      <x v="611"/>
    </i>
    <i r="3">
      <x v="427"/>
      <x v="3528"/>
      <x v="611"/>
    </i>
    <i r="2">
      <x v="68"/>
      <x v="261"/>
      <x v="3341"/>
      <x v="611"/>
    </i>
    <i>
      <x v="271"/>
      <x v="2"/>
      <x v="2"/>
      <x v="260"/>
      <x v="3253"/>
      <x v="611"/>
    </i>
    <i r="1">
      <x v="3"/>
      <x v="2"/>
      <x v="260"/>
      <x v="3443"/>
      <x v="611"/>
    </i>
    <i r="1">
      <x v="15"/>
      <x v="19"/>
      <x v="260"/>
      <x v="2788"/>
      <x v="611"/>
    </i>
    <i r="1">
      <x v="18"/>
      <x v="68"/>
      <x v="260"/>
      <x v="3443"/>
      <x v="611"/>
    </i>
    <i r="1">
      <x v="24"/>
      <x v="17"/>
      <x v="260"/>
      <x v="2766"/>
      <x v="611"/>
    </i>
    <i r="1">
      <x v="27"/>
      <x v="2"/>
      <x v="260"/>
      <x v="2150"/>
      <x v="611"/>
    </i>
    <i r="4">
      <x v="3209"/>
      <x v="611"/>
    </i>
    <i r="4">
      <x v="3443"/>
      <x v="611"/>
    </i>
    <i r="1">
      <x v="38"/>
      <x v="62"/>
      <x v="260"/>
      <x v="1673"/>
      <x v="611"/>
    </i>
    <i r="1">
      <x v="40"/>
      <x v="2"/>
      <x v="260"/>
      <x v="2969"/>
      <x v="611"/>
    </i>
    <i r="2">
      <x v="18"/>
      <x v="260"/>
      <x v="2402"/>
      <x v="611"/>
    </i>
    <i r="4">
      <x v="2499"/>
      <x v="611"/>
    </i>
    <i r="4">
      <x v="2669"/>
      <x v="611"/>
    </i>
    <i r="4">
      <x v="2670"/>
      <x v="611"/>
    </i>
    <i r="4">
      <x v="3084"/>
      <x v="611"/>
    </i>
    <i r="2">
      <x v="22"/>
      <x v="412"/>
      <x v="3550"/>
      <x v="611"/>
    </i>
    <i r="3">
      <x v="431"/>
      <x v="3499"/>
      <x v="611"/>
    </i>
    <i r="2">
      <x v="68"/>
      <x v="260"/>
      <x v="2086"/>
      <x v="611"/>
    </i>
    <i r="4">
      <x v="3501"/>
      <x v="611"/>
    </i>
    <i>
      <x v="272"/>
      <x v="1"/>
      <x v="68"/>
      <x v="258"/>
      <x v="3387"/>
      <x v="611"/>
    </i>
    <i r="1">
      <x v="2"/>
      <x v="17"/>
      <x v="258"/>
      <x v="256"/>
      <x v="611"/>
    </i>
    <i r="2">
      <x v="18"/>
      <x v="258"/>
      <x v="3507"/>
      <x v="611"/>
    </i>
    <i r="1">
      <x v="3"/>
      <x v="2"/>
      <x v="258"/>
      <x v="3443"/>
      <x v="611"/>
    </i>
    <i r="2">
      <x v="33"/>
      <x v="259"/>
      <x v="694"/>
      <x v="611"/>
    </i>
    <i r="4">
      <x v="715"/>
      <x v="611"/>
    </i>
    <i r="4">
      <x v="1263"/>
      <x v="611"/>
    </i>
    <i r="4">
      <x v="1508"/>
      <x v="611"/>
    </i>
    <i r="4">
      <x v="1514"/>
      <x v="611"/>
    </i>
    <i r="4">
      <x v="2084"/>
      <x v="611"/>
    </i>
    <i r="4">
      <x v="2417"/>
      <x v="611"/>
    </i>
    <i r="4">
      <x v="2485"/>
      <x v="611"/>
    </i>
    <i r="4">
      <x v="2539"/>
      <x v="611"/>
    </i>
    <i r="4">
      <x v="2680"/>
      <x v="611"/>
    </i>
    <i r="4">
      <x v="2689"/>
      <x v="611"/>
    </i>
    <i r="4">
      <x v="2841"/>
      <x v="611"/>
    </i>
    <i r="4">
      <x v="2856"/>
      <x v="611"/>
    </i>
    <i r="4">
      <x v="2914"/>
      <x v="611"/>
    </i>
    <i r="4">
      <x v="3266"/>
      <x v="611"/>
    </i>
    <i r="4">
      <x v="3325"/>
      <x v="611"/>
    </i>
    <i r="4">
      <x v="3404"/>
      <x v="611"/>
    </i>
    <i r="1">
      <x v="13"/>
      <x v="33"/>
      <x v="259"/>
      <x v="2522"/>
      <x v="611"/>
    </i>
    <i r="1">
      <x v="15"/>
      <x v="33"/>
      <x v="259"/>
      <x v="398"/>
      <x v="611"/>
    </i>
    <i r="1">
      <x v="16"/>
      <x v="14"/>
      <x v="258"/>
      <x v="1788"/>
      <x v="611"/>
    </i>
    <i r="2">
      <x v="33"/>
      <x v="259"/>
      <x v="48"/>
      <x v="611"/>
    </i>
    <i r="2">
      <x v="68"/>
      <x v="258"/>
      <x v="2977"/>
      <x v="611"/>
    </i>
    <i r="1">
      <x v="18"/>
      <x v="14"/>
      <x v="258"/>
      <x v="1995"/>
      <x v="611"/>
    </i>
    <i r="2">
      <x v="33"/>
      <x v="259"/>
      <x v="97"/>
      <x v="611"/>
    </i>
    <i r="1">
      <x v="22"/>
      <x v="33"/>
      <x v="259"/>
      <x v="3028"/>
      <x v="611"/>
    </i>
    <i r="1">
      <x v="24"/>
      <x v="33"/>
      <x v="259"/>
      <x v="45"/>
      <x v="611"/>
    </i>
    <i r="1">
      <x v="27"/>
      <x v="2"/>
      <x v="258"/>
      <x v="3209"/>
      <x v="611"/>
    </i>
    <i r="2">
      <x v="33"/>
      <x v="259"/>
      <x v="135"/>
      <x v="611"/>
    </i>
    <i r="4">
      <x v="285"/>
      <x v="611"/>
    </i>
    <i r="4">
      <x v="292"/>
      <x v="611"/>
    </i>
    <i r="4">
      <x v="346"/>
      <x v="611"/>
    </i>
    <i r="4">
      <x v="347"/>
      <x v="611"/>
    </i>
    <i r="4">
      <x v="367"/>
      <x v="611"/>
    </i>
    <i r="4">
      <x v="507"/>
      <x v="611"/>
    </i>
    <i r="4">
      <x v="519"/>
      <x v="611"/>
    </i>
    <i r="4">
      <x v="633"/>
      <x v="611"/>
    </i>
    <i r="4">
      <x v="640"/>
      <x v="611"/>
    </i>
    <i r="4">
      <x v="642"/>
      <x v="611"/>
    </i>
    <i r="4">
      <x v="651"/>
      <x v="611"/>
    </i>
    <i r="4">
      <x v="660"/>
      <x v="611"/>
    </i>
    <i r="4">
      <x v="752"/>
      <x v="611"/>
    </i>
    <i r="4">
      <x v="842"/>
      <x v="611"/>
    </i>
    <i r="4">
      <x v="866"/>
      <x v="611"/>
    </i>
    <i r="4">
      <x v="961"/>
      <x v="611"/>
    </i>
    <i r="4">
      <x v="1072"/>
      <x v="611"/>
    </i>
    <i r="4">
      <x v="1330"/>
      <x v="611"/>
    </i>
    <i r="4">
      <x v="1380"/>
      <x v="611"/>
    </i>
    <i r="4">
      <x v="1690"/>
      <x v="611"/>
    </i>
    <i r="4">
      <x v="2932"/>
      <x v="611"/>
    </i>
    <i r="4">
      <x v="3391"/>
      <x v="611"/>
    </i>
    <i r="4">
      <x v="3405"/>
      <x v="611"/>
    </i>
    <i r="1">
      <x v="28"/>
      <x v="17"/>
      <x v="258"/>
      <x v="1663"/>
      <x v="611"/>
    </i>
    <i r="1">
      <x v="30"/>
      <x v="33"/>
      <x v="259"/>
      <x v="672"/>
      <x v="611"/>
    </i>
    <i r="1">
      <x v="37"/>
      <x v="33"/>
      <x v="259"/>
      <x v="3135"/>
      <x v="611"/>
    </i>
    <i r="2">
      <x v="68"/>
      <x v="258"/>
      <x v="3272"/>
      <x v="611"/>
    </i>
    <i r="1">
      <x v="38"/>
      <x v="33"/>
      <x v="259"/>
      <x v="156"/>
      <x v="611"/>
    </i>
    <i r="1">
      <x v="40"/>
      <x v="2"/>
      <x v="258"/>
      <x v="2690"/>
      <x v="611"/>
    </i>
    <i r="2">
      <x v="14"/>
      <x v="258"/>
      <x v="2748"/>
      <x v="611"/>
    </i>
    <i r="4">
      <x v="2928"/>
      <x v="611"/>
    </i>
    <i r="2">
      <x v="17"/>
      <x v="258"/>
      <x v="3410"/>
      <x v="611"/>
    </i>
    <i r="2">
      <x v="18"/>
      <x v="258"/>
      <x v="1635"/>
      <x v="611"/>
    </i>
    <i r="4">
      <x v="1915"/>
      <x v="611"/>
    </i>
    <i r="4">
      <x v="2363"/>
      <x v="611"/>
    </i>
    <i r="4">
      <x v="3064"/>
      <x v="611"/>
    </i>
    <i r="4">
      <x v="3125"/>
      <x v="611"/>
    </i>
    <i r="4">
      <x v="3275"/>
      <x v="611"/>
    </i>
    <i r="2">
      <x v="22"/>
      <x v="416"/>
      <x v="3239"/>
      <x v="611"/>
    </i>
    <i r="3">
      <x v="434"/>
      <x v="3409"/>
      <x v="611"/>
    </i>
    <i r="3">
      <x v="435"/>
      <x v="3341"/>
      <x v="611"/>
    </i>
    <i r="2">
      <x v="33"/>
      <x v="259"/>
      <x v="570"/>
      <x v="611"/>
    </i>
    <i r="4">
      <x v="1720"/>
      <x v="611"/>
    </i>
    <i r="4">
      <x v="1743"/>
      <x v="611"/>
    </i>
    <i r="4">
      <x v="1759"/>
      <x v="611"/>
    </i>
    <i r="4">
      <x v="1880"/>
      <x v="611"/>
    </i>
    <i r="4">
      <x v="1977"/>
      <x v="611"/>
    </i>
    <i r="4">
      <x v="2199"/>
      <x v="611"/>
    </i>
    <i r="4">
      <x v="2535"/>
      <x v="611"/>
    </i>
    <i r="2">
      <x v="68"/>
      <x v="258"/>
      <x v="3341"/>
      <x v="611"/>
    </i>
    <i>
      <x v="273"/>
      <x v="40"/>
      <x v="22"/>
      <x v="425"/>
      <x v="3485"/>
      <x v="611"/>
    </i>
    <i>
      <x v="274"/>
      <x v="3"/>
      <x v="2"/>
      <x v="257"/>
      <x v="2969"/>
      <x v="611"/>
    </i>
    <i r="4">
      <x v="3443"/>
      <x v="611"/>
    </i>
    <i r="1">
      <x v="24"/>
      <x v="16"/>
      <x v="257"/>
      <x v="2264"/>
      <x v="611"/>
    </i>
    <i r="2">
      <x v="17"/>
      <x v="257"/>
      <x v="2014"/>
      <x v="611"/>
    </i>
    <i r="1">
      <x v="27"/>
      <x v="2"/>
      <x v="257"/>
      <x v="2305"/>
      <x v="611"/>
    </i>
    <i r="4">
      <x v="2486"/>
      <x v="611"/>
    </i>
    <i r="4">
      <x v="3209"/>
      <x v="611"/>
    </i>
    <i r="4">
      <x v="3443"/>
      <x v="611"/>
    </i>
    <i r="1">
      <x v="37"/>
      <x v="68"/>
      <x v="257"/>
      <x v="3360"/>
      <x v="611"/>
    </i>
    <i r="1">
      <x v="40"/>
      <x v="2"/>
      <x v="257"/>
      <x v="3443"/>
      <x v="611"/>
    </i>
    <i r="2">
      <x v="18"/>
      <x v="257"/>
      <x v="2617"/>
      <x v="611"/>
    </i>
    <i r="4">
      <x v="2940"/>
      <x v="611"/>
    </i>
    <i r="2">
      <x v="22"/>
      <x v="418"/>
      <x v="2896"/>
      <x v="611"/>
    </i>
    <i r="3">
      <x v="434"/>
      <x v="3523"/>
      <x v="611"/>
    </i>
    <i r="3">
      <x v="450"/>
      <x v="3537"/>
      <x v="611"/>
    </i>
    <i>
      <x v="275"/>
      <x v="13"/>
      <x v="68"/>
      <x v="256"/>
      <x v="2930"/>
      <x v="611"/>
    </i>
    <i r="1">
      <x v="37"/>
      <x v="68"/>
      <x v="256"/>
      <x v="3150"/>
      <x v="611"/>
    </i>
    <i r="1">
      <x v="40"/>
      <x v="2"/>
      <x v="256"/>
      <x v="3443"/>
      <x v="611"/>
    </i>
    <i r="2">
      <x v="18"/>
      <x v="256"/>
      <x v="3564"/>
      <x v="603"/>
    </i>
    <i r="2">
      <x v="22"/>
      <x v="418"/>
      <x v="2896"/>
      <x v="611"/>
    </i>
    <i r="3">
      <x v="420"/>
      <x v="3537"/>
      <x v="611"/>
    </i>
    <i r="2">
      <x v="68"/>
      <x v="256"/>
      <x v="3341"/>
      <x v="611"/>
    </i>
    <i>
      <x v="276"/>
      <x v="2"/>
      <x v="16"/>
      <x v="255"/>
      <x v="797"/>
      <x v="611"/>
    </i>
    <i r="2">
      <x v="68"/>
      <x v="255"/>
      <x v="3371"/>
      <x v="611"/>
    </i>
    <i r="1">
      <x v="9"/>
      <x v="68"/>
      <x v="255"/>
      <x v="846"/>
      <x v="611"/>
    </i>
    <i r="1">
      <x v="24"/>
      <x v="18"/>
      <x v="255"/>
      <x v="3010"/>
      <x v="611"/>
    </i>
    <i r="1">
      <x v="25"/>
      <x v="2"/>
      <x v="255"/>
      <x v="1289"/>
      <x v="611"/>
    </i>
    <i r="1">
      <x v="27"/>
      <x v="2"/>
      <x v="255"/>
      <x v="2027"/>
      <x v="611"/>
    </i>
    <i r="4">
      <x v="2486"/>
      <x v="611"/>
    </i>
    <i r="4">
      <x v="3209"/>
      <x v="611"/>
    </i>
    <i r="4">
      <x v="3443"/>
      <x v="611"/>
    </i>
    <i r="2">
      <x v="68"/>
      <x v="255"/>
      <x v="1218"/>
      <x v="611"/>
    </i>
    <i r="1">
      <x v="33"/>
      <x v="68"/>
      <x v="255"/>
      <x v="1373"/>
      <x v="611"/>
    </i>
    <i r="1">
      <x v="37"/>
      <x v="2"/>
      <x v="255"/>
      <x v="3393"/>
      <x v="611"/>
    </i>
    <i r="1">
      <x v="40"/>
      <x v="2"/>
      <x v="255"/>
      <x v="1356"/>
      <x v="611"/>
    </i>
    <i r="2">
      <x v="16"/>
      <x v="255"/>
      <x v="2264"/>
      <x v="611"/>
    </i>
    <i r="2">
      <x v="17"/>
      <x v="255"/>
      <x v="2009"/>
      <x v="611"/>
    </i>
    <i r="2">
      <x v="18"/>
      <x v="255"/>
      <x v="1268"/>
      <x v="611"/>
    </i>
    <i r="4">
      <x v="1405"/>
      <x v="611"/>
    </i>
    <i r="4">
      <x v="1653"/>
      <x v="611"/>
    </i>
    <i r="4">
      <x v="2712"/>
      <x v="611"/>
    </i>
    <i r="4">
      <x v="3016"/>
      <x v="611"/>
    </i>
    <i r="4">
      <x v="3117"/>
      <x v="611"/>
    </i>
    <i r="4">
      <x v="3432"/>
      <x v="611"/>
    </i>
    <i r="2">
      <x v="22"/>
      <x v="387"/>
      <x v="3432"/>
      <x v="611"/>
    </i>
    <i r="3">
      <x v="444"/>
      <x v="3537"/>
      <x v="611"/>
    </i>
    <i>
      <x v="277"/>
      <x/>
      <x v="19"/>
      <x v="254"/>
      <x v="3564"/>
      <x v="431"/>
    </i>
    <i r="1">
      <x v="2"/>
      <x v="19"/>
      <x v="254"/>
      <x v="3564"/>
      <x v="268"/>
    </i>
    <i r="1">
      <x v="3"/>
      <x v="2"/>
      <x v="254"/>
      <x v="3443"/>
      <x v="611"/>
    </i>
    <i r="2">
      <x v="68"/>
      <x v="254"/>
      <x v="1080"/>
      <x v="611"/>
    </i>
    <i r="1">
      <x v="16"/>
      <x v="68"/>
      <x v="254"/>
      <x v="3070"/>
      <x v="611"/>
    </i>
    <i r="1">
      <x v="20"/>
      <x v="14"/>
      <x v="254"/>
      <x v="2486"/>
      <x v="611"/>
    </i>
    <i r="1">
      <x v="25"/>
      <x v="2"/>
      <x v="254"/>
      <x v="1172"/>
      <x v="611"/>
    </i>
    <i r="1">
      <x v="27"/>
      <x v="2"/>
      <x v="254"/>
      <x v="2305"/>
      <x v="611"/>
    </i>
    <i r="4">
      <x v="2486"/>
      <x v="611"/>
    </i>
    <i r="4">
      <x v="2969"/>
      <x v="611"/>
    </i>
    <i r="4">
      <x v="3209"/>
      <x v="611"/>
    </i>
    <i r="4">
      <x v="3443"/>
      <x v="611"/>
    </i>
    <i r="2">
      <x v="68"/>
      <x v="254"/>
      <x v="289"/>
      <x v="611"/>
    </i>
    <i r="1">
      <x v="28"/>
      <x v="19"/>
      <x v="254"/>
      <x v="3564"/>
      <x v="608"/>
    </i>
    <i r="1">
      <x v="31"/>
      <x v="19"/>
      <x v="254"/>
      <x v="3564"/>
      <x v="566"/>
    </i>
    <i r="1">
      <x v="34"/>
      <x v="68"/>
      <x v="254"/>
      <x v="2264"/>
      <x v="611"/>
    </i>
    <i r="1">
      <x v="37"/>
      <x v="19"/>
      <x v="254"/>
      <x v="3564"/>
      <x v="360"/>
    </i>
    <i r="1">
      <x v="38"/>
      <x v="19"/>
      <x v="254"/>
      <x v="3564"/>
      <x v="190"/>
    </i>
    <i r="1">
      <x v="40"/>
      <x v="17"/>
      <x v="254"/>
      <x v="1486"/>
      <x v="611"/>
    </i>
    <i r="2">
      <x v="22"/>
      <x v="389"/>
      <x v="3509"/>
      <x v="611"/>
    </i>
    <i r="3">
      <x v="404"/>
      <x v="3022"/>
      <x v="611"/>
    </i>
    <i r="3">
      <x v="430"/>
      <x v="3537"/>
      <x v="611"/>
    </i>
    <i r="2">
      <x v="68"/>
      <x v="254"/>
      <x v="1497"/>
      <x v="611"/>
    </i>
    <i>
      <x v="278"/>
      <x/>
      <x v="19"/>
      <x v="252"/>
      <x v="1069"/>
      <x v="611"/>
    </i>
    <i r="1">
      <x v="2"/>
      <x v="19"/>
      <x v="252"/>
      <x v="280"/>
      <x v="611"/>
    </i>
    <i r="1">
      <x v="13"/>
      <x v="68"/>
      <x v="252"/>
      <x v="2038"/>
      <x v="611"/>
    </i>
    <i r="1">
      <x v="15"/>
      <x v="68"/>
      <x v="252"/>
      <x v="2969"/>
      <x v="611"/>
    </i>
    <i r="1">
      <x v="18"/>
      <x v="68"/>
      <x v="252"/>
      <x v="1544"/>
      <x v="611"/>
    </i>
    <i r="1">
      <x v="20"/>
      <x v="67"/>
      <x v="252"/>
      <x v="2868"/>
      <x v="611"/>
    </i>
    <i r="1">
      <x v="22"/>
      <x v="68"/>
      <x v="252"/>
      <x v="2318"/>
      <x v="611"/>
    </i>
    <i r="1">
      <x v="24"/>
      <x v="68"/>
      <x v="252"/>
      <x v="2969"/>
      <x v="611"/>
    </i>
    <i r="1">
      <x v="28"/>
      <x v="19"/>
      <x v="252"/>
      <x v="3556"/>
      <x v="611"/>
    </i>
    <i r="1">
      <x v="31"/>
      <x v="2"/>
      <x v="252"/>
      <x v="1883"/>
      <x v="611"/>
    </i>
    <i r="2">
      <x v="19"/>
      <x v="252"/>
      <x v="2347"/>
      <x v="611"/>
    </i>
    <i r="1">
      <x v="37"/>
      <x v="19"/>
      <x v="252"/>
      <x v="613"/>
      <x v="611"/>
    </i>
    <i r="2">
      <x v="68"/>
      <x v="252"/>
      <x v="3093"/>
      <x v="611"/>
    </i>
    <i r="1">
      <x v="38"/>
      <x v="19"/>
      <x v="252"/>
      <x v="119"/>
      <x v="611"/>
    </i>
    <i r="2">
      <x v="59"/>
      <x v="253"/>
      <x v="3545"/>
      <x v="611"/>
    </i>
    <i r="1">
      <x v="40"/>
      <x v="22"/>
      <x v="404"/>
      <x v="3022"/>
      <x v="611"/>
    </i>
    <i r="3">
      <x v="445"/>
      <x v="3422"/>
      <x v="611"/>
    </i>
    <i>
      <x v="279"/>
      <x v="10"/>
      <x v="14"/>
      <x v="251"/>
      <x v="412"/>
      <x v="611"/>
    </i>
    <i r="1">
      <x v="11"/>
      <x v="2"/>
      <x v="251"/>
      <x v="3329"/>
      <x v="611"/>
    </i>
    <i r="1">
      <x v="18"/>
      <x v="68"/>
      <x v="251"/>
      <x v="2924"/>
      <x v="611"/>
    </i>
    <i r="1">
      <x v="24"/>
      <x v="14"/>
      <x v="251"/>
      <x v="1998"/>
      <x v="611"/>
    </i>
    <i r="1">
      <x v="27"/>
      <x v="2"/>
      <x v="251"/>
      <x v="1621"/>
      <x v="611"/>
    </i>
    <i r="4">
      <x v="1814"/>
      <x v="611"/>
    </i>
    <i r="4">
      <x v="2027"/>
      <x v="611"/>
    </i>
    <i r="4">
      <x v="2150"/>
      <x v="611"/>
    </i>
    <i r="4">
      <x v="2486"/>
      <x v="611"/>
    </i>
    <i r="4">
      <x v="2690"/>
      <x v="611"/>
    </i>
    <i r="4">
      <x v="2969"/>
      <x v="611"/>
    </i>
    <i r="4">
      <x v="3209"/>
      <x v="611"/>
    </i>
    <i r="4">
      <x v="3443"/>
      <x v="611"/>
    </i>
    <i r="1">
      <x v="40"/>
      <x v="68"/>
      <x v="251"/>
      <x v="2486"/>
      <x v="611"/>
    </i>
    <i r="4">
      <x v="3341"/>
      <x v="611"/>
    </i>
    <i>
      <x v="280"/>
      <x v="13"/>
      <x v="19"/>
      <x v="250"/>
      <x v="3564"/>
      <x v="597"/>
    </i>
    <i r="1">
      <x v="27"/>
      <x v="2"/>
      <x v="250"/>
      <x v="2150"/>
      <x v="611"/>
    </i>
    <i r="1">
      <x v="40"/>
      <x v="68"/>
      <x v="250"/>
      <x v="3123"/>
      <x v="611"/>
    </i>
    <i>
      <x v="281"/>
      <x v="1"/>
      <x v="17"/>
      <x v="249"/>
      <x v="2012"/>
      <x v="611"/>
    </i>
    <i r="1">
      <x v="3"/>
      <x v="2"/>
      <x v="249"/>
      <x v="3443"/>
      <x v="611"/>
    </i>
    <i r="1">
      <x v="16"/>
      <x v="68"/>
      <x v="249"/>
      <x v="2164"/>
      <x v="611"/>
    </i>
    <i r="1">
      <x v="24"/>
      <x v="14"/>
      <x v="249"/>
      <x v="2673"/>
      <x v="611"/>
    </i>
    <i r="2">
      <x v="17"/>
      <x v="249"/>
      <x v="3564"/>
      <x v="531"/>
    </i>
    <i r="2">
      <x v="18"/>
      <x v="249"/>
      <x v="2686"/>
      <x v="611"/>
    </i>
    <i r="1">
      <x v="27"/>
      <x v="2"/>
      <x v="249"/>
      <x v="1909"/>
      <x v="611"/>
    </i>
    <i r="4">
      <x v="2150"/>
      <x v="611"/>
    </i>
    <i r="4">
      <x v="2969"/>
      <x v="611"/>
    </i>
    <i r="4">
      <x v="3209"/>
      <x v="611"/>
    </i>
    <i r="4">
      <x v="3443"/>
      <x v="611"/>
    </i>
    <i r="1">
      <x v="32"/>
      <x v="19"/>
      <x v="249"/>
      <x v="2617"/>
      <x v="611"/>
    </i>
    <i r="1">
      <x v="33"/>
      <x v="18"/>
      <x v="249"/>
      <x v="2996"/>
      <x v="611"/>
    </i>
    <i r="1">
      <x v="35"/>
      <x v="17"/>
      <x v="249"/>
      <x v="3051"/>
      <x v="611"/>
    </i>
    <i r="2">
      <x v="19"/>
      <x v="249"/>
      <x v="1018"/>
      <x v="611"/>
    </i>
    <i r="1">
      <x v="37"/>
      <x v="68"/>
      <x v="249"/>
      <x v="2735"/>
      <x v="611"/>
    </i>
    <i r="1">
      <x v="40"/>
      <x v="2"/>
      <x v="249"/>
      <x v="3443"/>
      <x v="611"/>
    </i>
    <i r="2">
      <x v="17"/>
      <x v="249"/>
      <x v="2452"/>
      <x v="611"/>
    </i>
    <i r="2">
      <x v="18"/>
      <x v="249"/>
      <x v="1734"/>
      <x v="611"/>
    </i>
    <i r="4">
      <x v="1778"/>
      <x v="611"/>
    </i>
    <i r="4">
      <x v="2141"/>
      <x v="611"/>
    </i>
    <i r="4">
      <x v="2435"/>
      <x v="611"/>
    </i>
    <i r="4">
      <x v="2554"/>
      <x v="611"/>
    </i>
    <i r="4">
      <x v="2704"/>
      <x v="611"/>
    </i>
    <i r="4">
      <x v="3361"/>
      <x v="611"/>
    </i>
    <i r="2">
      <x v="19"/>
      <x v="249"/>
      <x v="2817"/>
      <x v="611"/>
    </i>
    <i r="2">
      <x v="22"/>
      <x v="403"/>
      <x v="3039"/>
      <x v="611"/>
    </i>
    <i r="3">
      <x v="412"/>
      <x v="3387"/>
      <x v="611"/>
    </i>
    <i r="3">
      <x v="450"/>
      <x v="3549"/>
      <x v="611"/>
    </i>
    <i r="2">
      <x v="68"/>
      <x v="249"/>
      <x v="2725"/>
      <x v="611"/>
    </i>
    <i>
      <x v="282"/>
      <x v="3"/>
      <x v="2"/>
      <x v="248"/>
      <x v="2969"/>
      <x v="611"/>
    </i>
    <i r="4">
      <x v="3443"/>
      <x v="611"/>
    </i>
    <i r="1">
      <x v="16"/>
      <x v="68"/>
      <x v="248"/>
      <x v="3448"/>
      <x v="611"/>
    </i>
    <i r="1">
      <x v="18"/>
      <x v="62"/>
      <x v="248"/>
      <x v="2264"/>
      <x v="611"/>
    </i>
    <i r="1">
      <x v="19"/>
      <x v="14"/>
      <x v="248"/>
      <x v="343"/>
      <x v="611"/>
    </i>
    <i r="1">
      <x v="27"/>
      <x v="2"/>
      <x v="248"/>
      <x v="3209"/>
      <x v="611"/>
    </i>
    <i r="4">
      <x v="3443"/>
      <x v="611"/>
    </i>
    <i r="1">
      <x v="37"/>
      <x v="2"/>
      <x v="248"/>
      <x v="2090"/>
      <x v="611"/>
    </i>
    <i r="2">
      <x v="14"/>
      <x v="248"/>
      <x v="2665"/>
      <x v="611"/>
    </i>
    <i r="2">
      <x v="68"/>
      <x v="248"/>
      <x v="3393"/>
      <x v="611"/>
    </i>
    <i r="1">
      <x v="40"/>
      <x v="22"/>
      <x v="394"/>
      <x v="3418"/>
      <x v="611"/>
    </i>
    <i r="3">
      <x v="396"/>
      <x v="3186"/>
      <x v="611"/>
    </i>
    <i r="3">
      <x v="414"/>
      <x v="2622"/>
      <x v="611"/>
    </i>
    <i r="3">
      <x v="419"/>
      <x v="3198"/>
      <x v="611"/>
    </i>
    <i r="3">
      <x v="427"/>
      <x v="3050"/>
      <x v="611"/>
    </i>
    <i r="3">
      <x v="434"/>
      <x v="3198"/>
      <x v="611"/>
    </i>
    <i r="2">
      <x v="68"/>
      <x v="248"/>
      <x v="2513"/>
      <x v="611"/>
    </i>
    <i r="4">
      <x v="2748"/>
      <x v="611"/>
    </i>
    <i>
      <x v="283"/>
      <x v="3"/>
      <x v="2"/>
      <x v="247"/>
      <x v="2150"/>
      <x v="611"/>
    </i>
    <i r="1">
      <x v="10"/>
      <x v="19"/>
      <x v="247"/>
      <x v="3564"/>
      <x v="586"/>
    </i>
    <i r="1">
      <x v="12"/>
      <x v="19"/>
      <x v="247"/>
      <x v="3274"/>
      <x v="611"/>
    </i>
    <i r="1">
      <x v="27"/>
      <x v="2"/>
      <x v="247"/>
      <x v="2486"/>
      <x v="611"/>
    </i>
    <i r="4">
      <x v="3209"/>
      <x v="611"/>
    </i>
    <i r="4">
      <x v="3443"/>
      <x v="611"/>
    </i>
    <i r="1">
      <x v="32"/>
      <x v="68"/>
      <x v="247"/>
      <x v="2153"/>
      <x v="611"/>
    </i>
    <i r="1">
      <x v="40"/>
      <x v="17"/>
      <x v="247"/>
      <x v="3564"/>
      <x v="599"/>
    </i>
    <i r="2">
      <x v="22"/>
      <x v="410"/>
      <x v="3198"/>
      <x v="611"/>
    </i>
    <i>
      <x v="284"/>
      <x v="3"/>
      <x v="2"/>
      <x v="246"/>
      <x v="3443"/>
      <x v="611"/>
    </i>
    <i r="1">
      <x v="10"/>
      <x v="68"/>
      <x v="246"/>
      <x v="580"/>
      <x v="611"/>
    </i>
    <i r="1">
      <x v="12"/>
      <x v="68"/>
      <x v="246"/>
      <x v="3509"/>
      <x v="611"/>
    </i>
    <i r="1">
      <x v="13"/>
      <x v="68"/>
      <x v="246"/>
      <x v="3393"/>
      <x v="611"/>
    </i>
    <i r="1">
      <x v="15"/>
      <x v="68"/>
      <x v="246"/>
      <x v="235"/>
      <x v="611"/>
    </i>
    <i r="1">
      <x v="16"/>
      <x v="16"/>
      <x v="246"/>
      <x v="2930"/>
      <x v="611"/>
    </i>
    <i r="1">
      <x v="18"/>
      <x v="68"/>
      <x v="246"/>
      <x v="2251"/>
      <x v="611"/>
    </i>
    <i r="1">
      <x v="24"/>
      <x v="17"/>
      <x v="246"/>
      <x v="3160"/>
      <x v="611"/>
    </i>
    <i r="2">
      <x v="68"/>
      <x v="246"/>
      <x v="1136"/>
      <x v="611"/>
    </i>
    <i r="1">
      <x v="25"/>
      <x v="68"/>
      <x v="246"/>
      <x v="3393"/>
      <x v="611"/>
    </i>
    <i r="1">
      <x v="27"/>
      <x v="2"/>
      <x v="246"/>
      <x v="3443"/>
      <x v="611"/>
    </i>
    <i r="1">
      <x v="31"/>
      <x v="17"/>
      <x v="246"/>
      <x v="2704"/>
      <x v="611"/>
    </i>
    <i r="1">
      <x v="34"/>
      <x v="67"/>
      <x v="246"/>
      <x v="2390"/>
      <x v="611"/>
    </i>
    <i r="1">
      <x v="35"/>
      <x v="68"/>
      <x v="246"/>
      <x v="435"/>
      <x v="611"/>
    </i>
    <i r="1">
      <x v="40"/>
      <x v="17"/>
      <x v="246"/>
      <x v="1238"/>
      <x v="611"/>
    </i>
    <i r="4">
      <x v="1892"/>
      <x v="611"/>
    </i>
    <i r="4">
      <x v="2908"/>
      <x v="611"/>
    </i>
    <i r="4">
      <x v="2970"/>
      <x v="611"/>
    </i>
    <i r="4">
      <x v="2973"/>
      <x v="611"/>
    </i>
    <i r="2">
      <x v="18"/>
      <x v="246"/>
      <x v="1585"/>
      <x v="611"/>
    </i>
    <i r="4">
      <x v="1605"/>
      <x v="611"/>
    </i>
    <i r="4">
      <x v="2393"/>
      <x v="611"/>
    </i>
    <i r="4">
      <x v="2899"/>
      <x v="611"/>
    </i>
    <i>
      <x v="285"/>
      <x v="1"/>
      <x v="47"/>
      <x v="245"/>
      <x v="428"/>
      <x v="611"/>
    </i>
    <i r="1">
      <x v="3"/>
      <x v="2"/>
      <x v="244"/>
      <x v="3443"/>
      <x v="611"/>
    </i>
    <i r="2">
      <x v="47"/>
      <x v="245"/>
      <x v="817"/>
      <x v="611"/>
    </i>
    <i r="4">
      <x v="1014"/>
      <x v="611"/>
    </i>
    <i r="4">
      <x v="1225"/>
      <x v="611"/>
    </i>
    <i r="4">
      <x v="1381"/>
      <x v="611"/>
    </i>
    <i r="4">
      <x v="1757"/>
      <x v="611"/>
    </i>
    <i r="4">
      <x v="1852"/>
      <x v="611"/>
    </i>
    <i r="4">
      <x v="1884"/>
      <x v="611"/>
    </i>
    <i r="4">
      <x v="2238"/>
      <x v="611"/>
    </i>
    <i r="4">
      <x v="2533"/>
      <x v="611"/>
    </i>
    <i r="4">
      <x v="2545"/>
      <x v="611"/>
    </i>
    <i r="4">
      <x v="2685"/>
      <x v="611"/>
    </i>
    <i r="4">
      <x v="2709"/>
      <x v="611"/>
    </i>
    <i r="4">
      <x v="3115"/>
      <x v="611"/>
    </i>
    <i r="4">
      <x v="3357"/>
      <x v="611"/>
    </i>
    <i r="4">
      <x v="3386"/>
      <x v="611"/>
    </i>
    <i r="1">
      <x v="9"/>
      <x v="14"/>
      <x v="244"/>
      <x v="79"/>
      <x v="611"/>
    </i>
    <i r="1">
      <x v="10"/>
      <x v="67"/>
      <x v="244"/>
      <x v="2259"/>
      <x v="611"/>
    </i>
    <i r="1">
      <x v="13"/>
      <x v="68"/>
      <x v="244"/>
      <x v="3393"/>
      <x v="611"/>
    </i>
    <i r="1">
      <x v="15"/>
      <x v="47"/>
      <x v="245"/>
      <x v="709"/>
      <x v="611"/>
    </i>
    <i r="1">
      <x v="16"/>
      <x v="47"/>
      <x v="245"/>
      <x v="6"/>
      <x v="611"/>
    </i>
    <i r="1">
      <x v="27"/>
      <x v="2"/>
      <x v="244"/>
      <x v="2486"/>
      <x v="611"/>
    </i>
    <i r="4">
      <x v="2969"/>
      <x v="611"/>
    </i>
    <i r="4">
      <x v="3443"/>
      <x v="611"/>
    </i>
    <i r="2">
      <x v="17"/>
      <x v="244"/>
      <x v="3564"/>
      <x v="580"/>
    </i>
    <i r="2">
      <x v="47"/>
      <x v="245"/>
      <x v="104"/>
      <x v="611"/>
    </i>
    <i r="4">
      <x v="162"/>
      <x v="611"/>
    </i>
    <i r="4">
      <x v="177"/>
      <x v="611"/>
    </i>
    <i r="4">
      <x v="191"/>
      <x v="611"/>
    </i>
    <i r="4">
      <x v="232"/>
      <x v="611"/>
    </i>
    <i r="4">
      <x v="271"/>
      <x v="611"/>
    </i>
    <i r="4">
      <x v="314"/>
      <x v="611"/>
    </i>
    <i r="4">
      <x v="385"/>
      <x v="611"/>
    </i>
    <i r="4">
      <x v="422"/>
      <x v="611"/>
    </i>
    <i r="4">
      <x v="466"/>
      <x v="611"/>
    </i>
    <i r="4">
      <x v="483"/>
      <x v="611"/>
    </i>
    <i r="4">
      <x v="641"/>
      <x v="611"/>
    </i>
    <i r="4">
      <x v="747"/>
      <x v="611"/>
    </i>
    <i r="4">
      <x v="806"/>
      <x v="611"/>
    </i>
    <i r="4">
      <x v="870"/>
      <x v="611"/>
    </i>
    <i r="4">
      <x v="871"/>
      <x v="611"/>
    </i>
    <i r="4">
      <x v="932"/>
      <x v="611"/>
    </i>
    <i r="4">
      <x v="968"/>
      <x v="611"/>
    </i>
    <i r="4">
      <x v="980"/>
      <x v="611"/>
    </i>
    <i r="4">
      <x v="1173"/>
      <x v="611"/>
    </i>
    <i r="4">
      <x v="1404"/>
      <x v="611"/>
    </i>
    <i r="4">
      <x v="2076"/>
      <x v="611"/>
    </i>
    <i r="4">
      <x v="2102"/>
      <x v="611"/>
    </i>
    <i r="4">
      <x v="2701"/>
      <x v="611"/>
    </i>
    <i r="4">
      <x v="2796"/>
      <x v="611"/>
    </i>
    <i r="4">
      <x v="2919"/>
      <x v="611"/>
    </i>
    <i r="4">
      <x v="3111"/>
      <x v="611"/>
    </i>
    <i r="2">
      <x v="68"/>
      <x v="244"/>
      <x v="2969"/>
      <x v="611"/>
    </i>
    <i r="1">
      <x v="30"/>
      <x v="2"/>
      <x v="244"/>
      <x v="772"/>
      <x v="611"/>
    </i>
    <i r="1">
      <x v="37"/>
      <x v="47"/>
      <x v="245"/>
      <x v="3276"/>
      <x v="611"/>
    </i>
    <i r="2">
      <x v="68"/>
      <x v="244"/>
      <x v="3233"/>
      <x v="611"/>
    </i>
    <i r="1">
      <x v="38"/>
      <x v="47"/>
      <x v="245"/>
      <x v="301"/>
      <x v="611"/>
    </i>
    <i r="1">
      <x v="40"/>
      <x v="22"/>
      <x v="387"/>
      <x v="3451"/>
      <x v="611"/>
    </i>
    <i r="2">
      <x v="47"/>
      <x v="245"/>
      <x v="682"/>
      <x v="611"/>
    </i>
    <i r="4">
      <x v="1560"/>
      <x v="611"/>
    </i>
    <i r="4">
      <x v="1660"/>
      <x v="611"/>
    </i>
    <i r="4">
      <x v="2107"/>
      <x v="611"/>
    </i>
    <i r="4">
      <x v="2255"/>
      <x v="611"/>
    </i>
    <i r="4">
      <x v="2498"/>
      <x v="611"/>
    </i>
    <i r="2">
      <x v="68"/>
      <x v="244"/>
      <x v="3341"/>
      <x v="611"/>
    </i>
    <i>
      <x v="286"/>
      <x v="13"/>
      <x v="68"/>
      <x v="243"/>
      <x v="2969"/>
      <x v="611"/>
    </i>
    <i r="1">
      <x v="24"/>
      <x v="17"/>
      <x v="243"/>
      <x v="2969"/>
      <x v="611"/>
    </i>
    <i r="2">
      <x v="68"/>
      <x v="243"/>
      <x v="2104"/>
      <x v="611"/>
    </i>
    <i r="1">
      <x v="27"/>
      <x v="2"/>
      <x v="243"/>
      <x v="3209"/>
      <x v="611"/>
    </i>
    <i r="1">
      <x v="28"/>
      <x v="18"/>
      <x v="243"/>
      <x v="1561"/>
      <x v="611"/>
    </i>
    <i r="1">
      <x v="33"/>
      <x v="19"/>
      <x v="243"/>
      <x v="1979"/>
      <x v="611"/>
    </i>
    <i r="1">
      <x v="40"/>
      <x v="14"/>
      <x v="243"/>
      <x v="1055"/>
      <x v="611"/>
    </i>
    <i r="2">
      <x v="16"/>
      <x v="243"/>
      <x v="2748"/>
      <x v="611"/>
    </i>
    <i r="4">
      <x v="3143"/>
      <x v="611"/>
    </i>
    <i r="2">
      <x v="17"/>
      <x v="243"/>
      <x v="2154"/>
      <x v="611"/>
    </i>
    <i r="4">
      <x v="2469"/>
      <x v="611"/>
    </i>
    <i r="4">
      <x v="2588"/>
      <x v="611"/>
    </i>
    <i r="4">
      <x v="3388"/>
      <x v="611"/>
    </i>
    <i r="2">
      <x v="18"/>
      <x v="243"/>
      <x v="1170"/>
      <x v="611"/>
    </i>
    <i r="4">
      <x v="1446"/>
      <x v="611"/>
    </i>
    <i r="4">
      <x v="1638"/>
      <x v="611"/>
    </i>
    <i r="4">
      <x v="2299"/>
      <x v="611"/>
    </i>
    <i r="4">
      <x v="2803"/>
      <x v="611"/>
    </i>
    <i r="4">
      <x v="3380"/>
      <x v="611"/>
    </i>
    <i r="2">
      <x v="22"/>
      <x v="389"/>
      <x v="3341"/>
      <x v="611"/>
    </i>
    <i r="3">
      <x v="391"/>
      <x v="3544"/>
      <x v="611"/>
    </i>
    <i r="3">
      <x v="420"/>
      <x v="3541"/>
      <x v="611"/>
    </i>
    <i r="2">
      <x v="68"/>
      <x v="243"/>
      <x v="2725"/>
      <x v="611"/>
    </i>
    <i>
      <x v="287"/>
      <x v="16"/>
      <x v="16"/>
      <x v="242"/>
      <x v="1102"/>
      <x v="611"/>
    </i>
    <i r="1">
      <x v="20"/>
      <x v="2"/>
      <x v="242"/>
      <x v="1440"/>
      <x v="611"/>
    </i>
    <i r="1">
      <x v="24"/>
      <x v="68"/>
      <x v="242"/>
      <x v="1356"/>
      <x v="611"/>
    </i>
    <i r="1">
      <x v="25"/>
      <x v="2"/>
      <x v="242"/>
      <x v="2169"/>
      <x v="611"/>
    </i>
    <i r="2">
      <x v="68"/>
      <x v="242"/>
      <x v="3249"/>
      <x v="611"/>
    </i>
    <i r="1">
      <x v="27"/>
      <x v="2"/>
      <x v="242"/>
      <x v="3209"/>
      <x v="611"/>
    </i>
    <i r="4">
      <x v="3443"/>
      <x v="611"/>
    </i>
    <i r="1">
      <x v="32"/>
      <x v="68"/>
      <x v="242"/>
      <x v="931"/>
      <x v="611"/>
    </i>
    <i r="1">
      <x v="35"/>
      <x v="68"/>
      <x v="242"/>
      <x v="1420"/>
      <x v="611"/>
    </i>
    <i r="1">
      <x v="40"/>
      <x v="2"/>
      <x v="242"/>
      <x v="3443"/>
      <x v="611"/>
    </i>
    <i r="2">
      <x v="17"/>
      <x v="242"/>
      <x v="3222"/>
      <x v="611"/>
    </i>
    <i r="2">
      <x v="19"/>
      <x v="242"/>
      <x v="2644"/>
      <x v="611"/>
    </i>
    <i r="2">
      <x v="22"/>
      <x v="399"/>
      <x v="2969"/>
      <x v="611"/>
    </i>
    <i r="3">
      <x v="427"/>
      <x v="3518"/>
      <x v="611"/>
    </i>
    <i>
      <x v="288"/>
      <x v="3"/>
      <x v="2"/>
      <x v="241"/>
      <x v="3443"/>
      <x v="611"/>
    </i>
    <i r="1">
      <x v="12"/>
      <x v="19"/>
      <x v="241"/>
      <x v="2817"/>
      <x v="611"/>
    </i>
    <i r="1">
      <x v="15"/>
      <x v="2"/>
      <x v="241"/>
      <x v="3420"/>
      <x v="611"/>
    </i>
    <i r="1">
      <x v="24"/>
      <x v="65"/>
      <x v="371"/>
      <x v="3564"/>
      <x v="20"/>
    </i>
    <i r="1">
      <x v="27"/>
      <x v="2"/>
      <x v="241"/>
      <x v="3209"/>
      <x v="611"/>
    </i>
    <i r="4">
      <x v="3443"/>
      <x v="611"/>
    </i>
    <i r="1">
      <x v="30"/>
      <x v="14"/>
      <x v="241"/>
      <x v="21"/>
      <x v="611"/>
    </i>
    <i r="1">
      <x v="33"/>
      <x v="68"/>
      <x v="241"/>
      <x v="2434"/>
      <x v="611"/>
    </i>
    <i r="1">
      <x v="37"/>
      <x v="68"/>
      <x v="241"/>
      <x v="3509"/>
      <x v="611"/>
    </i>
    <i r="1">
      <x v="40"/>
      <x v="2"/>
      <x v="241"/>
      <x v="3443"/>
      <x v="611"/>
    </i>
    <i r="2">
      <x v="19"/>
      <x v="241"/>
      <x v="3564"/>
      <x v="485"/>
    </i>
    <i r="5">
      <x v="536"/>
    </i>
    <i r="2">
      <x v="22"/>
      <x v="418"/>
      <x v="3422"/>
      <x v="611"/>
    </i>
    <i r="3">
      <x v="427"/>
      <x v="3518"/>
      <x v="611"/>
    </i>
    <i r="2">
      <x v="68"/>
      <x v="241"/>
      <x v="3123"/>
      <x v="611"/>
    </i>
    <i>
      <x v="289"/>
      <x v="1"/>
      <x v="68"/>
      <x v="240"/>
      <x v="1628"/>
      <x v="611"/>
    </i>
    <i r="1">
      <x v="13"/>
      <x v="67"/>
      <x v="240"/>
      <x v="3098"/>
      <x v="611"/>
    </i>
    <i r="1">
      <x v="27"/>
      <x v="2"/>
      <x v="240"/>
      <x v="2690"/>
      <x v="611"/>
    </i>
    <i r="4">
      <x v="2969"/>
      <x v="611"/>
    </i>
    <i r="4">
      <x v="3209"/>
      <x v="611"/>
    </i>
    <i r="4">
      <x v="3443"/>
      <x v="611"/>
    </i>
    <i r="1">
      <x v="40"/>
      <x v="2"/>
      <x v="240"/>
      <x v="3443"/>
      <x v="611"/>
    </i>
    <i r="2">
      <x v="22"/>
      <x v="418"/>
      <x v="3422"/>
      <x v="611"/>
    </i>
    <i r="2">
      <x v="68"/>
      <x v="240"/>
      <x v="3123"/>
      <x v="611"/>
    </i>
    <i>
      <x v="290"/>
      <x v="40"/>
      <x v="22"/>
      <x v="377"/>
      <x v="3542"/>
      <x v="611"/>
    </i>
    <i r="3">
      <x v="384"/>
      <x v="3546"/>
      <x v="611"/>
    </i>
    <i r="3">
      <x v="397"/>
      <x v="3478"/>
      <x v="611"/>
    </i>
    <i>
      <x v="291"/>
      <x v="3"/>
      <x v="2"/>
      <x v="238"/>
      <x v="3209"/>
      <x v="611"/>
    </i>
    <i r="4">
      <x v="3443"/>
      <x v="611"/>
    </i>
    <i r="2">
      <x v="68"/>
      <x v="238"/>
      <x v="822"/>
      <x v="611"/>
    </i>
    <i r="1">
      <x v="12"/>
      <x v="68"/>
      <x v="238"/>
      <x v="3393"/>
      <x v="611"/>
    </i>
    <i r="1">
      <x v="16"/>
      <x v="14"/>
      <x v="238"/>
      <x v="3100"/>
      <x v="611"/>
    </i>
    <i r="1">
      <x v="27"/>
      <x v="2"/>
      <x v="238"/>
      <x v="1701"/>
      <x v="611"/>
    </i>
    <i r="4">
      <x v="1909"/>
      <x v="611"/>
    </i>
    <i r="4">
      <x v="2150"/>
      <x v="611"/>
    </i>
    <i r="4">
      <x v="2690"/>
      <x v="611"/>
    </i>
    <i r="4">
      <x v="3209"/>
      <x v="611"/>
    </i>
    <i r="2">
      <x v="68"/>
      <x v="238"/>
      <x v="691"/>
      <x v="611"/>
    </i>
    <i r="4">
      <x v="912"/>
      <x v="611"/>
    </i>
    <i r="1">
      <x v="32"/>
      <x v="68"/>
      <x v="238"/>
      <x v="1153"/>
      <x v="611"/>
    </i>
    <i r="1">
      <x v="33"/>
      <x v="68"/>
      <x v="238"/>
      <x v="2617"/>
      <x v="611"/>
    </i>
    <i r="1">
      <x v="35"/>
      <x v="68"/>
      <x v="238"/>
      <x v="3098"/>
      <x v="611"/>
    </i>
    <i r="1">
      <x v="37"/>
      <x v="68"/>
      <x v="238"/>
      <x v="3393"/>
      <x v="611"/>
    </i>
    <i r="1">
      <x v="38"/>
      <x v="2"/>
      <x v="238"/>
      <x v="1805"/>
      <x v="611"/>
    </i>
    <i r="2">
      <x v="19"/>
      <x v="238"/>
      <x v="120"/>
      <x v="611"/>
    </i>
    <i r="1">
      <x v="40"/>
      <x v="2"/>
      <x v="238"/>
      <x v="3443"/>
      <x v="611"/>
    </i>
    <i r="2">
      <x v="14"/>
      <x v="238"/>
      <x v="2748"/>
      <x v="611"/>
    </i>
    <i r="2">
      <x v="68"/>
      <x v="238"/>
      <x v="1261"/>
      <x v="611"/>
    </i>
    <i>
      <x v="292"/>
      <x v="2"/>
      <x v="18"/>
      <x v="236"/>
      <x v="2093"/>
      <x v="611"/>
    </i>
    <i r="1">
      <x v="3"/>
      <x v="2"/>
      <x v="236"/>
      <x v="3443"/>
      <x v="611"/>
    </i>
    <i r="1">
      <x v="14"/>
      <x v="18"/>
      <x v="236"/>
      <x v="1616"/>
      <x v="611"/>
    </i>
    <i r="1">
      <x v="16"/>
      <x v="16"/>
      <x v="236"/>
      <x v="1577"/>
      <x v="611"/>
    </i>
    <i r="2">
      <x v="18"/>
      <x v="236"/>
      <x v="1075"/>
      <x v="611"/>
    </i>
    <i r="1">
      <x v="20"/>
      <x v="19"/>
      <x v="236"/>
      <x v="3564"/>
      <x v="551"/>
    </i>
    <i r="1">
      <x v="22"/>
      <x v="14"/>
      <x v="236"/>
      <x v="176"/>
      <x v="611"/>
    </i>
    <i r="2">
      <x v="18"/>
      <x v="236"/>
      <x v="2755"/>
      <x v="611"/>
    </i>
    <i r="1">
      <x v="24"/>
      <x v="17"/>
      <x v="236"/>
      <x v="1637"/>
      <x v="611"/>
    </i>
    <i r="2">
      <x v="18"/>
      <x v="236"/>
      <x v="3142"/>
      <x v="611"/>
    </i>
    <i r="2">
      <x v="68"/>
      <x v="236"/>
      <x v="1675"/>
      <x v="611"/>
    </i>
    <i r="1">
      <x v="27"/>
      <x v="2"/>
      <x v="236"/>
      <x v="2305"/>
      <x v="611"/>
    </i>
    <i r="4">
      <x v="2969"/>
      <x v="611"/>
    </i>
    <i r="4">
      <x v="3443"/>
      <x v="611"/>
    </i>
    <i r="1">
      <x v="28"/>
      <x v="17"/>
      <x v="236"/>
      <x v="2006"/>
      <x v="611"/>
    </i>
    <i r="1">
      <x v="35"/>
      <x v="68"/>
      <x v="236"/>
      <x v="2129"/>
      <x v="611"/>
    </i>
    <i r="1">
      <x v="38"/>
      <x v="17"/>
      <x v="236"/>
      <x v="2530"/>
      <x v="611"/>
    </i>
    <i r="1">
      <x v="40"/>
      <x v="17"/>
      <x v="236"/>
      <x v="1539"/>
      <x v="611"/>
    </i>
    <i r="4">
      <x v="2966"/>
      <x v="611"/>
    </i>
    <i r="4">
      <x v="2970"/>
      <x v="611"/>
    </i>
    <i r="4">
      <x v="3306"/>
      <x v="611"/>
    </i>
    <i r="4">
      <x v="3406"/>
      <x v="611"/>
    </i>
    <i r="2">
      <x v="18"/>
      <x v="236"/>
      <x v="1126"/>
      <x v="611"/>
    </i>
    <i r="4">
      <x v="1646"/>
      <x v="611"/>
    </i>
    <i r="4">
      <x v="1812"/>
      <x v="611"/>
    </i>
    <i r="4">
      <x v="1833"/>
      <x v="611"/>
    </i>
    <i r="4">
      <x v="1895"/>
      <x v="611"/>
    </i>
    <i r="4">
      <x v="1974"/>
      <x v="611"/>
    </i>
    <i r="4">
      <x v="2040"/>
      <x v="611"/>
    </i>
    <i r="4">
      <x v="2513"/>
      <x v="611"/>
    </i>
    <i r="4">
      <x v="2707"/>
      <x v="611"/>
    </i>
    <i r="4">
      <x v="2795"/>
      <x v="611"/>
    </i>
    <i r="4">
      <x v="2842"/>
      <x v="611"/>
    </i>
    <i r="4">
      <x v="2915"/>
      <x v="611"/>
    </i>
    <i r="4">
      <x v="3088"/>
      <x v="611"/>
    </i>
    <i r="2">
      <x v="22"/>
      <x v="407"/>
      <x v="3546"/>
      <x v="611"/>
    </i>
    <i>
      <x v="293"/>
      <x v="6"/>
      <x v="14"/>
      <x v="234"/>
      <x v="16"/>
      <x v="611"/>
    </i>
    <i r="1">
      <x v="16"/>
      <x v="68"/>
      <x v="234"/>
      <x v="3510"/>
      <x v="611"/>
    </i>
    <i r="1">
      <x v="20"/>
      <x v="14"/>
      <x v="234"/>
      <x v="1192"/>
      <x v="611"/>
    </i>
    <i r="1">
      <x v="21"/>
      <x v="68"/>
      <x v="234"/>
      <x v="1087"/>
      <x v="611"/>
    </i>
    <i r="1">
      <x v="22"/>
      <x v="14"/>
      <x v="234"/>
      <x v="492"/>
      <x v="611"/>
    </i>
    <i r="1">
      <x v="27"/>
      <x v="2"/>
      <x v="234"/>
      <x v="1539"/>
      <x v="611"/>
    </i>
    <i r="4">
      <x v="1909"/>
      <x v="611"/>
    </i>
    <i r="4">
      <x v="2305"/>
      <x v="611"/>
    </i>
    <i r="4">
      <x v="3209"/>
      <x v="611"/>
    </i>
    <i r="4">
      <x v="3443"/>
      <x v="611"/>
    </i>
    <i r="1">
      <x v="32"/>
      <x v="68"/>
      <x v="234"/>
      <x v="1480"/>
      <x v="611"/>
    </i>
    <i r="1">
      <x v="33"/>
      <x v="14"/>
      <x v="234"/>
      <x v="2264"/>
      <x v="611"/>
    </i>
    <i r="1">
      <x v="40"/>
      <x v="19"/>
      <x v="234"/>
      <x v="3564"/>
      <x v="556"/>
    </i>
    <i r="2">
      <x v="22"/>
      <x v="408"/>
      <x v="3460"/>
      <x v="611"/>
    </i>
    <i r="3">
      <x v="420"/>
      <x v="3544"/>
      <x v="611"/>
    </i>
    <i>
      <x v="294"/>
      <x v="1"/>
      <x v="19"/>
      <x v="231"/>
      <x v="1127"/>
      <x v="611"/>
    </i>
    <i r="1">
      <x v="3"/>
      <x v="2"/>
      <x v="231"/>
      <x v="3443"/>
      <x v="611"/>
    </i>
    <i r="1">
      <x v="10"/>
      <x v="19"/>
      <x v="231"/>
      <x v="86"/>
      <x v="611"/>
    </i>
    <i r="1">
      <x v="12"/>
      <x v="14"/>
      <x v="231"/>
      <x v="678"/>
      <x v="611"/>
    </i>
    <i r="1">
      <x v="24"/>
      <x v="19"/>
      <x v="231"/>
      <x v="3520"/>
      <x v="611"/>
    </i>
    <i r="1">
      <x v="25"/>
      <x v="2"/>
      <x v="231"/>
      <x v="2490"/>
      <x v="611"/>
    </i>
    <i r="2">
      <x v="18"/>
      <x v="231"/>
      <x v="3564"/>
      <x v="78"/>
    </i>
    <i r="1">
      <x v="27"/>
      <x v="2"/>
      <x v="231"/>
      <x v="2969"/>
      <x v="611"/>
    </i>
    <i r="4">
      <x v="3443"/>
      <x v="611"/>
    </i>
    <i r="1">
      <x v="34"/>
      <x v="68"/>
      <x v="231"/>
      <x v="1784"/>
      <x v="611"/>
    </i>
    <i r="1">
      <x v="35"/>
      <x v="67"/>
      <x v="231"/>
      <x v="110"/>
      <x v="611"/>
    </i>
    <i>
      <x v="295"/>
      <x v="2"/>
      <x v="68"/>
      <x v="229"/>
      <x v="3322"/>
      <x v="611"/>
    </i>
    <i r="1">
      <x v="3"/>
      <x v="2"/>
      <x v="229"/>
      <x v="3443"/>
      <x v="611"/>
    </i>
    <i r="1">
      <x v="16"/>
      <x v="68"/>
      <x v="229"/>
      <x v="57"/>
      <x v="611"/>
    </i>
    <i r="1">
      <x v="18"/>
      <x v="68"/>
      <x v="229"/>
      <x v="1227"/>
      <x v="611"/>
    </i>
    <i r="1">
      <x v="27"/>
      <x v="2"/>
      <x v="229"/>
      <x v="2690"/>
      <x v="611"/>
    </i>
    <i r="4">
      <x v="3209"/>
      <x v="611"/>
    </i>
    <i r="4">
      <x v="3443"/>
      <x v="611"/>
    </i>
    <i r="2">
      <x v="8"/>
      <x v="455"/>
      <x v="3443"/>
      <x v="611"/>
    </i>
    <i r="2">
      <x v="11"/>
      <x v="455"/>
      <x v="1814"/>
      <x v="611"/>
    </i>
    <i r="4">
      <x v="2690"/>
      <x v="611"/>
    </i>
    <i r="4">
      <x v="2969"/>
      <x v="611"/>
    </i>
    <i r="1">
      <x v="34"/>
      <x v="68"/>
      <x v="229"/>
      <x v="2567"/>
      <x v="611"/>
    </i>
    <i r="1">
      <x v="38"/>
      <x v="14"/>
      <x v="229"/>
      <x v="1084"/>
      <x v="611"/>
    </i>
    <i r="1">
      <x v="40"/>
      <x v="22"/>
      <x v="385"/>
      <x v="3484"/>
      <x v="611"/>
    </i>
    <i r="3">
      <x v="412"/>
      <x v="3544"/>
      <x v="611"/>
    </i>
    <i r="2">
      <x v="68"/>
      <x v="229"/>
      <x v="3341"/>
      <x v="611"/>
    </i>
    <i>
      <x v="296"/>
      <x v="3"/>
      <x v="2"/>
      <x v="227"/>
      <x v="3443"/>
      <x v="611"/>
    </i>
    <i r="1">
      <x v="10"/>
      <x v="19"/>
      <x v="227"/>
      <x v="542"/>
      <x v="611"/>
    </i>
    <i r="1">
      <x v="13"/>
      <x v="68"/>
      <x v="227"/>
      <x v="2969"/>
      <x v="611"/>
    </i>
    <i r="1">
      <x v="15"/>
      <x v="68"/>
      <x v="227"/>
      <x v="3412"/>
      <x v="611"/>
    </i>
    <i r="1">
      <x v="16"/>
      <x v="68"/>
      <x v="227"/>
      <x v="3430"/>
      <x v="611"/>
    </i>
    <i r="1">
      <x v="18"/>
      <x v="68"/>
      <x v="227"/>
      <x v="2197"/>
      <x v="611"/>
    </i>
    <i r="1">
      <x v="25"/>
      <x v="68"/>
      <x v="227"/>
      <x v="878"/>
      <x v="611"/>
    </i>
    <i r="1">
      <x v="27"/>
      <x v="2"/>
      <x v="227"/>
      <x v="2305"/>
      <x v="611"/>
    </i>
    <i r="4">
      <x v="2690"/>
      <x v="611"/>
    </i>
    <i r="4">
      <x v="3209"/>
      <x v="611"/>
    </i>
    <i r="4">
      <x v="3443"/>
      <x v="611"/>
    </i>
    <i r="1">
      <x v="35"/>
      <x v="19"/>
      <x v="227"/>
      <x v="1103"/>
      <x v="611"/>
    </i>
    <i r="1">
      <x v="40"/>
      <x v="22"/>
      <x v="392"/>
      <x v="3550"/>
      <x v="611"/>
    </i>
    <i r="3">
      <x v="425"/>
      <x v="3527"/>
      <x v="611"/>
    </i>
    <i>
      <x v="297"/>
      <x v="3"/>
      <x v="2"/>
      <x v="225"/>
      <x v="3443"/>
      <x v="611"/>
    </i>
    <i r="2">
      <x v="17"/>
      <x v="225"/>
      <x v="3443"/>
      <x v="611"/>
    </i>
    <i r="1">
      <x v="10"/>
      <x v="68"/>
      <x v="225"/>
      <x v="1423"/>
      <x v="611"/>
    </i>
    <i r="1">
      <x v="13"/>
      <x v="68"/>
      <x v="225"/>
      <x v="3098"/>
      <x v="611"/>
    </i>
    <i r="1">
      <x v="24"/>
      <x v="68"/>
      <x v="225"/>
      <x v="2086"/>
      <x v="611"/>
    </i>
    <i r="1">
      <x v="27"/>
      <x v="2"/>
      <x v="225"/>
      <x v="2486"/>
      <x v="611"/>
    </i>
    <i r="4">
      <x v="3209"/>
      <x v="611"/>
    </i>
    <i r="4">
      <x v="3443"/>
      <x v="611"/>
    </i>
    <i r="2">
      <x v="17"/>
      <x v="225"/>
      <x v="1814"/>
      <x v="611"/>
    </i>
    <i r="4">
      <x v="2690"/>
      <x v="611"/>
    </i>
    <i r="4">
      <x v="2969"/>
      <x v="611"/>
    </i>
    <i r="4">
      <x v="3443"/>
      <x v="611"/>
    </i>
    <i r="1">
      <x v="40"/>
      <x v="22"/>
      <x v="412"/>
      <x v="3537"/>
      <x v="611"/>
    </i>
    <i>
      <x v="298"/>
      <x v="3"/>
      <x v="2"/>
      <x v="222"/>
      <x v="3443"/>
      <x v="611"/>
    </i>
    <i r="2">
      <x v="31"/>
      <x v="223"/>
      <x v="1304"/>
      <x v="611"/>
    </i>
    <i r="4">
      <x v="1898"/>
      <x v="611"/>
    </i>
    <i r="4">
      <x v="2151"/>
      <x v="611"/>
    </i>
    <i r="4">
      <x v="2286"/>
      <x v="611"/>
    </i>
    <i r="4">
      <x v="2287"/>
      <x v="611"/>
    </i>
    <i r="4">
      <x v="2696"/>
      <x v="611"/>
    </i>
    <i r="4">
      <x v="2805"/>
      <x v="611"/>
    </i>
    <i r="4">
      <x v="3009"/>
      <x v="611"/>
    </i>
    <i r="4">
      <x v="3313"/>
      <x v="611"/>
    </i>
    <i r="1">
      <x v="5"/>
      <x v="68"/>
      <x v="222"/>
      <x v="2874"/>
      <x v="611"/>
    </i>
    <i r="1">
      <x v="12"/>
      <x v="31"/>
      <x v="223"/>
      <x v="2780"/>
      <x v="611"/>
    </i>
    <i r="1">
      <x v="15"/>
      <x v="31"/>
      <x v="223"/>
      <x v="736"/>
      <x v="611"/>
    </i>
    <i r="1">
      <x v="16"/>
      <x v="31"/>
      <x v="223"/>
      <x v="404"/>
      <x v="611"/>
    </i>
    <i r="1">
      <x v="18"/>
      <x v="31"/>
      <x v="223"/>
      <x v="707"/>
      <x v="611"/>
    </i>
    <i r="1">
      <x v="20"/>
      <x v="18"/>
      <x v="222"/>
      <x v="2486"/>
      <x v="611"/>
    </i>
    <i r="1">
      <x v="22"/>
      <x v="31"/>
      <x v="223"/>
      <x v="2956"/>
      <x v="611"/>
    </i>
    <i r="1">
      <x v="24"/>
      <x v="68"/>
      <x v="222"/>
      <x v="832"/>
      <x v="611"/>
    </i>
    <i r="1">
      <x v="25"/>
      <x v="31"/>
      <x v="223"/>
      <x v="1334"/>
      <x v="611"/>
    </i>
    <i r="1">
      <x v="27"/>
      <x v="2"/>
      <x v="222"/>
      <x v="3209"/>
      <x v="611"/>
    </i>
    <i r="4">
      <x v="3443"/>
      <x v="611"/>
    </i>
    <i r="2">
      <x v="5"/>
      <x v="373"/>
      <x v="3564"/>
      <x v="439"/>
    </i>
    <i r="5">
      <x v="534"/>
    </i>
    <i r="5">
      <x v="563"/>
    </i>
    <i r="5">
      <x v="599"/>
    </i>
    <i r="2">
      <x v="31"/>
      <x v="223"/>
      <x v="69"/>
      <x v="611"/>
    </i>
    <i r="4">
      <x v="129"/>
      <x v="611"/>
    </i>
    <i r="4">
      <x v="153"/>
      <x v="611"/>
    </i>
    <i r="4">
      <x v="173"/>
      <x v="611"/>
    </i>
    <i r="4">
      <x v="209"/>
      <x v="611"/>
    </i>
    <i r="4">
      <x v="273"/>
      <x v="611"/>
    </i>
    <i r="4">
      <x v="284"/>
      <x v="611"/>
    </i>
    <i r="4">
      <x v="425"/>
      <x v="611"/>
    </i>
    <i r="4">
      <x v="436"/>
      <x v="611"/>
    </i>
    <i r="4">
      <x v="578"/>
      <x v="611"/>
    </i>
    <i r="4">
      <x v="596"/>
      <x v="611"/>
    </i>
    <i r="4">
      <x v="693"/>
      <x v="611"/>
    </i>
    <i r="4">
      <x v="706"/>
      <x v="611"/>
    </i>
    <i r="4">
      <x v="743"/>
      <x v="611"/>
    </i>
    <i r="4">
      <x v="744"/>
      <x v="611"/>
    </i>
    <i r="4">
      <x v="778"/>
      <x v="611"/>
    </i>
    <i r="4">
      <x v="957"/>
      <x v="611"/>
    </i>
    <i r="4">
      <x v="990"/>
      <x v="611"/>
    </i>
    <i r="4">
      <x v="1001"/>
      <x v="611"/>
    </i>
    <i r="4">
      <x v="1280"/>
      <x v="611"/>
    </i>
    <i r="4">
      <x v="1521"/>
      <x v="611"/>
    </i>
    <i r="4">
      <x v="1866"/>
      <x v="611"/>
    </i>
    <i r="4">
      <x v="2694"/>
      <x v="611"/>
    </i>
    <i r="4">
      <x v="3335"/>
      <x v="611"/>
    </i>
    <i r="4">
      <x v="3401"/>
      <x v="611"/>
    </i>
    <i r="4">
      <x v="3409"/>
      <x v="611"/>
    </i>
    <i r="1">
      <x v="30"/>
      <x v="19"/>
      <x v="222"/>
      <x v="43"/>
      <x v="611"/>
    </i>
    <i r="1">
      <x v="32"/>
      <x v="19"/>
      <x v="222"/>
      <x v="771"/>
      <x v="611"/>
    </i>
    <i r="1">
      <x v="33"/>
      <x v="19"/>
      <x v="222"/>
      <x v="814"/>
      <x v="611"/>
    </i>
    <i r="2">
      <x v="68"/>
      <x v="222"/>
      <x v="3333"/>
      <x v="611"/>
    </i>
    <i r="1">
      <x v="35"/>
      <x v="17"/>
      <x v="222"/>
      <x v="1548"/>
      <x v="611"/>
    </i>
    <i r="1">
      <x v="38"/>
      <x v="31"/>
      <x v="223"/>
      <x v="27"/>
      <x v="611"/>
    </i>
    <i r="1">
      <x v="40"/>
      <x v="2"/>
      <x v="222"/>
      <x v="3443"/>
      <x v="611"/>
    </i>
    <i r="2">
      <x v="17"/>
      <x v="222"/>
      <x v="1771"/>
      <x v="611"/>
    </i>
    <i r="4">
      <x v="1970"/>
      <x v="611"/>
    </i>
    <i r="4">
      <x v="2739"/>
      <x v="611"/>
    </i>
    <i r="2">
      <x v="18"/>
      <x v="222"/>
      <x v="885"/>
      <x v="611"/>
    </i>
    <i r="4">
      <x v="1590"/>
      <x v="611"/>
    </i>
    <i r="4">
      <x v="2244"/>
      <x v="611"/>
    </i>
    <i r="4">
      <x v="2431"/>
      <x v="611"/>
    </i>
    <i r="4">
      <x v="2619"/>
      <x v="611"/>
    </i>
    <i r="4">
      <x v="2761"/>
      <x v="611"/>
    </i>
    <i r="4">
      <x v="3122"/>
      <x v="611"/>
    </i>
    <i r="4">
      <x v="3170"/>
      <x v="611"/>
    </i>
    <i r="4">
      <x v="3562"/>
      <x v="611"/>
    </i>
    <i r="2">
      <x v="22"/>
      <x v="429"/>
      <x v="3537"/>
      <x v="611"/>
    </i>
    <i r="3">
      <x v="430"/>
      <x v="3544"/>
      <x v="611"/>
    </i>
    <i r="2">
      <x v="31"/>
      <x v="223"/>
      <x v="308"/>
      <x v="611"/>
    </i>
    <i r="4">
      <x v="1627"/>
      <x v="611"/>
    </i>
    <i r="4">
      <x v="2023"/>
      <x v="611"/>
    </i>
    <i r="4">
      <x v="2425"/>
      <x v="611"/>
    </i>
    <i r="4">
      <x v="2833"/>
      <x v="611"/>
    </i>
    <i r="4">
      <x v="2852"/>
      <x v="611"/>
    </i>
    <i r="4">
      <x v="2918"/>
      <x v="611"/>
    </i>
    <i>
      <x v="299"/>
      <x v="3"/>
      <x v="2"/>
      <x v="220"/>
      <x v="3443"/>
      <x v="611"/>
    </i>
    <i r="1">
      <x v="27"/>
      <x v="2"/>
      <x v="220"/>
      <x v="3209"/>
      <x v="611"/>
    </i>
    <i r="1">
      <x v="30"/>
      <x v="68"/>
      <x v="220"/>
      <x v="614"/>
      <x v="611"/>
    </i>
    <i r="1">
      <x v="32"/>
      <x v="68"/>
      <x v="220"/>
      <x v="2095"/>
      <x v="611"/>
    </i>
    <i r="1">
      <x v="40"/>
      <x v="68"/>
      <x v="220"/>
      <x v="2896"/>
      <x v="611"/>
    </i>
    <i>
      <x v="300"/>
      <x v="2"/>
      <x v="14"/>
      <x v="218"/>
      <x v="2900"/>
      <x v="611"/>
    </i>
    <i r="1">
      <x v="4"/>
      <x v="68"/>
      <x v="218"/>
      <x v="3178"/>
      <x v="611"/>
    </i>
    <i r="1">
      <x v="12"/>
      <x v="68"/>
      <x v="218"/>
      <x v="2434"/>
      <x v="611"/>
    </i>
    <i r="1">
      <x v="20"/>
      <x v="14"/>
      <x v="218"/>
      <x v="1567"/>
      <x v="611"/>
    </i>
    <i r="1">
      <x v="24"/>
      <x v="14"/>
      <x v="218"/>
      <x v="2513"/>
      <x v="611"/>
    </i>
    <i r="1">
      <x v="25"/>
      <x v="2"/>
      <x v="218"/>
      <x v="1249"/>
      <x v="611"/>
    </i>
    <i r="1">
      <x v="27"/>
      <x v="2"/>
      <x v="218"/>
      <x v="3209"/>
      <x v="611"/>
    </i>
    <i r="4">
      <x v="3443"/>
      <x v="611"/>
    </i>
    <i r="1">
      <x v="32"/>
      <x v="68"/>
      <x v="218"/>
      <x v="3296"/>
      <x v="611"/>
    </i>
    <i r="1">
      <x v="40"/>
      <x v="22"/>
      <x v="411"/>
      <x v="3274"/>
      <x v="611"/>
    </i>
    <i r="3">
      <x v="436"/>
      <x v="3537"/>
      <x v="611"/>
    </i>
    <i>
      <x v="301"/>
      <x v="3"/>
      <x v="2"/>
      <x v="216"/>
      <x v="2969"/>
      <x v="611"/>
    </i>
    <i r="1">
      <x v="5"/>
      <x v="68"/>
      <x v="216"/>
      <x v="3426"/>
      <x v="611"/>
    </i>
    <i r="1">
      <x v="10"/>
      <x v="19"/>
      <x v="216"/>
      <x v="1903"/>
      <x v="611"/>
    </i>
    <i r="1">
      <x v="13"/>
      <x v="68"/>
      <x v="216"/>
      <x v="3035"/>
      <x v="611"/>
    </i>
    <i r="1">
      <x v="16"/>
      <x v="68"/>
      <x v="216"/>
      <x v="1916"/>
      <x v="611"/>
    </i>
    <i r="1">
      <x v="24"/>
      <x v="68"/>
      <x v="216"/>
      <x v="2536"/>
      <x v="611"/>
    </i>
    <i r="1">
      <x v="27"/>
      <x v="2"/>
      <x v="216"/>
      <x v="3209"/>
      <x v="611"/>
    </i>
    <i r="4">
      <x v="3443"/>
      <x v="611"/>
    </i>
    <i r="1">
      <x v="35"/>
      <x v="19"/>
      <x v="216"/>
      <x v="668"/>
      <x v="611"/>
    </i>
    <i r="1">
      <x v="40"/>
      <x v="22"/>
      <x v="385"/>
      <x v="3491"/>
      <x v="611"/>
    </i>
    <i r="3">
      <x v="415"/>
      <x v="3540"/>
      <x v="611"/>
    </i>
    <i r="3">
      <x v="425"/>
      <x v="3535"/>
      <x v="611"/>
    </i>
    <i r="3">
      <x v="428"/>
      <x v="3387"/>
      <x v="611"/>
    </i>
    <i r="2">
      <x v="68"/>
      <x v="216"/>
      <x v="3341"/>
      <x v="611"/>
    </i>
    <i>
      <x v="302"/>
      <x v="2"/>
      <x v="68"/>
      <x v="214"/>
      <x v="3208"/>
      <x v="611"/>
    </i>
    <i r="1">
      <x v="3"/>
      <x v="2"/>
      <x v="214"/>
      <x v="2690"/>
      <x v="611"/>
    </i>
    <i r="4">
      <x v="3443"/>
      <x v="611"/>
    </i>
    <i r="1">
      <x v="16"/>
      <x v="68"/>
      <x v="214"/>
      <x v="2930"/>
      <x v="611"/>
    </i>
    <i r="1">
      <x v="27"/>
      <x v="2"/>
      <x v="214"/>
      <x v="2305"/>
      <x v="611"/>
    </i>
    <i r="4">
      <x v="2969"/>
      <x v="611"/>
    </i>
    <i r="4">
      <x v="3209"/>
      <x v="611"/>
    </i>
    <i r="4">
      <x v="3443"/>
      <x v="611"/>
    </i>
    <i r="1">
      <x v="34"/>
      <x v="2"/>
      <x v="214"/>
      <x v="3029"/>
      <x v="611"/>
    </i>
    <i r="1">
      <x v="35"/>
      <x v="68"/>
      <x v="214"/>
      <x v="1607"/>
      <x v="611"/>
    </i>
    <i r="1">
      <x v="40"/>
      <x v="22"/>
      <x v="420"/>
      <x v="3439"/>
      <x v="611"/>
    </i>
    <i r="3">
      <x v="428"/>
      <x v="3544"/>
      <x v="611"/>
    </i>
    <i r="2">
      <x v="68"/>
      <x v="214"/>
      <x v="1346"/>
      <x v="611"/>
    </i>
    <i r="4">
      <x v="2817"/>
      <x v="611"/>
    </i>
    <i r="4">
      <x v="3341"/>
      <x v="611"/>
    </i>
    <i>
      <x v="303"/>
      <x v="3"/>
      <x v="2"/>
      <x v="212"/>
      <x v="3443"/>
      <x v="611"/>
    </i>
    <i r="1">
      <x v="5"/>
      <x v="68"/>
      <x v="212"/>
      <x v="2343"/>
      <x v="611"/>
    </i>
    <i r="1">
      <x v="22"/>
      <x v="14"/>
      <x v="212"/>
      <x v="3112"/>
      <x v="611"/>
    </i>
    <i r="1">
      <x v="27"/>
      <x v="2"/>
      <x v="212"/>
      <x v="2305"/>
      <x v="611"/>
    </i>
    <i r="4">
      <x v="2486"/>
      <x v="611"/>
    </i>
    <i r="4">
      <x v="3443"/>
      <x v="611"/>
    </i>
    <i r="2">
      <x v="68"/>
      <x v="212"/>
      <x v="531"/>
      <x v="611"/>
    </i>
    <i r="4">
      <x v="958"/>
      <x v="611"/>
    </i>
    <i r="1">
      <x v="34"/>
      <x v="68"/>
      <x v="212"/>
      <x v="972"/>
      <x v="611"/>
    </i>
    <i r="1">
      <x v="37"/>
      <x v="68"/>
      <x v="212"/>
      <x v="1888"/>
      <x v="611"/>
    </i>
    <i r="1">
      <x v="40"/>
      <x v="68"/>
      <x v="212"/>
      <x v="656"/>
      <x v="611"/>
    </i>
    <i r="4">
      <x v="738"/>
      <x v="611"/>
    </i>
    <i r="4">
      <x v="3341"/>
      <x v="611"/>
    </i>
    <i>
      <x v="304"/>
      <x v="1"/>
      <x v="17"/>
      <x v="210"/>
      <x v="1111"/>
      <x v="611"/>
    </i>
    <i r="2">
      <x v="18"/>
      <x v="210"/>
      <x v="1187"/>
      <x v="611"/>
    </i>
    <i r="1">
      <x v="10"/>
      <x v="19"/>
      <x v="210"/>
      <x v="838"/>
      <x v="611"/>
    </i>
    <i r="1">
      <x v="24"/>
      <x v="17"/>
      <x v="210"/>
      <x v="2121"/>
      <x v="611"/>
    </i>
    <i r="1">
      <x v="27"/>
      <x v="2"/>
      <x v="210"/>
      <x v="2027"/>
      <x v="611"/>
    </i>
    <i r="4">
      <x v="2969"/>
      <x v="611"/>
    </i>
    <i r="1">
      <x v="28"/>
      <x v="18"/>
      <x v="210"/>
      <x v="2858"/>
      <x v="611"/>
    </i>
    <i r="1">
      <x v="32"/>
      <x v="19"/>
      <x v="210"/>
      <x v="2148"/>
      <x v="611"/>
    </i>
    <i r="1">
      <x v="35"/>
      <x v="17"/>
      <x v="210"/>
      <x v="1206"/>
      <x v="611"/>
    </i>
    <i r="1">
      <x v="40"/>
      <x v="17"/>
      <x v="210"/>
      <x v="1290"/>
      <x v="611"/>
    </i>
    <i r="4">
      <x v="1569"/>
      <x v="611"/>
    </i>
    <i r="4">
      <x v="2307"/>
      <x v="611"/>
    </i>
    <i r="4">
      <x v="3037"/>
      <x v="611"/>
    </i>
    <i r="4">
      <x v="3364"/>
      <x v="611"/>
    </i>
    <i r="2">
      <x v="18"/>
      <x v="210"/>
      <x v="1279"/>
      <x v="611"/>
    </i>
    <i r="4">
      <x v="1486"/>
      <x v="611"/>
    </i>
    <i r="4">
      <x v="1780"/>
      <x v="611"/>
    </i>
    <i r="4">
      <x v="1819"/>
      <x v="611"/>
    </i>
    <i r="4">
      <x v="1832"/>
      <x v="611"/>
    </i>
    <i r="4">
      <x v="1889"/>
      <x v="611"/>
    </i>
    <i r="4">
      <x v="2329"/>
      <x v="611"/>
    </i>
    <i r="4">
      <x v="2438"/>
      <x v="611"/>
    </i>
    <i r="4">
      <x v="2615"/>
      <x v="611"/>
    </i>
    <i r="4">
      <x v="2659"/>
      <x v="611"/>
    </i>
    <i r="4">
      <x v="3078"/>
      <x v="611"/>
    </i>
    <i r="4">
      <x v="3469"/>
      <x v="611"/>
    </i>
    <i r="2">
      <x v="22"/>
      <x v="393"/>
      <x v="3523"/>
      <x v="611"/>
    </i>
    <i r="3">
      <x v="399"/>
      <x v="3142"/>
      <x v="611"/>
    </i>
    <i>
      <x v="305"/>
      <x v="2"/>
      <x v="14"/>
      <x v="208"/>
      <x v="2543"/>
      <x v="611"/>
    </i>
    <i r="1">
      <x v="10"/>
      <x v="19"/>
      <x v="208"/>
      <x v="551"/>
      <x v="611"/>
    </i>
    <i r="1">
      <x v="16"/>
      <x v="68"/>
      <x v="208"/>
      <x v="3536"/>
      <x v="611"/>
    </i>
    <i r="1">
      <x v="19"/>
      <x v="19"/>
      <x v="208"/>
      <x v="35"/>
      <x v="611"/>
    </i>
    <i r="1">
      <x v="25"/>
      <x v="14"/>
      <x v="208"/>
      <x v="1489"/>
      <x v="611"/>
    </i>
    <i r="1">
      <x v="27"/>
      <x v="2"/>
      <x v="208"/>
      <x v="2486"/>
      <x v="611"/>
    </i>
    <i r="4">
      <x v="2690"/>
      <x v="611"/>
    </i>
    <i r="4">
      <x v="2969"/>
      <x v="611"/>
    </i>
    <i r="4">
      <x v="3209"/>
      <x v="611"/>
    </i>
    <i r="4">
      <x v="3443"/>
      <x v="611"/>
    </i>
    <i r="1">
      <x v="34"/>
      <x v="68"/>
      <x v="208"/>
      <x v="2513"/>
      <x v="611"/>
    </i>
    <i r="1">
      <x v="40"/>
      <x v="2"/>
      <x v="208"/>
      <x v="3443"/>
      <x v="611"/>
    </i>
    <i r="2">
      <x v="14"/>
      <x v="208"/>
      <x v="2930"/>
      <x v="611"/>
    </i>
    <i r="2">
      <x v="22"/>
      <x v="425"/>
      <x v="3535"/>
      <x v="611"/>
    </i>
    <i r="3">
      <x v="434"/>
      <x v="3409"/>
      <x v="611"/>
    </i>
    <i r="3">
      <x v="435"/>
      <x v="2999"/>
      <x v="611"/>
    </i>
    <i r="3">
      <x v="441"/>
      <x v="3341"/>
      <x v="611"/>
    </i>
    <i r="2">
      <x v="68"/>
      <x v="208"/>
      <x v="3341"/>
      <x v="611"/>
    </i>
    <i>
      <x v="306"/>
      <x v="5"/>
      <x v="68"/>
      <x v="206"/>
      <x v="3140"/>
      <x v="611"/>
    </i>
    <i r="1">
      <x v="22"/>
      <x v="14"/>
      <x v="206"/>
      <x v="446"/>
      <x v="611"/>
    </i>
    <i r="1">
      <x v="27"/>
      <x v="2"/>
      <x v="206"/>
      <x v="1814"/>
      <x v="611"/>
    </i>
    <i r="4">
      <x v="2150"/>
      <x v="611"/>
    </i>
    <i r="4">
      <x v="2969"/>
      <x v="611"/>
    </i>
    <i r="4">
      <x v="3209"/>
      <x v="611"/>
    </i>
    <i r="4">
      <x v="3443"/>
      <x v="611"/>
    </i>
    <i r="1">
      <x v="34"/>
      <x v="68"/>
      <x v="206"/>
      <x v="2460"/>
      <x v="611"/>
    </i>
    <i r="1">
      <x v="35"/>
      <x v="67"/>
      <x v="206"/>
      <x v="1354"/>
      <x v="611"/>
    </i>
    <i r="1">
      <x v="40"/>
      <x v="22"/>
      <x v="397"/>
      <x v="3453"/>
      <x v="611"/>
    </i>
    <i r="3">
      <x v="399"/>
      <x v="2969"/>
      <x v="611"/>
    </i>
    <i r="3">
      <x v="412"/>
      <x v="3544"/>
      <x v="611"/>
    </i>
    <i r="3">
      <x v="416"/>
      <x v="3022"/>
      <x v="611"/>
    </i>
    <i r="3">
      <x v="433"/>
      <x v="3537"/>
      <x v="611"/>
    </i>
    <i>
      <x v="307"/>
      <x/>
      <x v="19"/>
      <x v="204"/>
      <x v="1224"/>
      <x v="611"/>
    </i>
    <i r="1">
      <x v="2"/>
      <x v="19"/>
      <x v="204"/>
      <x v="590"/>
      <x v="611"/>
    </i>
    <i r="1">
      <x v="3"/>
      <x v="2"/>
      <x v="204"/>
      <x v="3443"/>
      <x v="611"/>
    </i>
    <i r="1">
      <x v="16"/>
      <x v="68"/>
      <x v="204"/>
      <x v="3521"/>
      <x v="611"/>
    </i>
    <i r="1">
      <x v="17"/>
      <x v="68"/>
      <x v="204"/>
      <x v="841"/>
      <x v="611"/>
    </i>
    <i r="1">
      <x v="20"/>
      <x v="14"/>
      <x v="204"/>
      <x v="2817"/>
      <x v="611"/>
    </i>
    <i r="1">
      <x v="21"/>
      <x v="19"/>
      <x v="204"/>
      <x v="17"/>
      <x v="611"/>
    </i>
    <i r="1">
      <x v="24"/>
      <x v="17"/>
      <x v="204"/>
      <x v="1530"/>
      <x v="611"/>
    </i>
    <i r="1">
      <x v="27"/>
      <x v="2"/>
      <x v="204"/>
      <x v="3209"/>
      <x v="611"/>
    </i>
    <i r="4">
      <x v="3443"/>
      <x v="611"/>
    </i>
    <i r="1">
      <x v="31"/>
      <x v="19"/>
      <x v="204"/>
      <x v="3517"/>
      <x v="611"/>
    </i>
    <i r="1">
      <x v="32"/>
      <x v="19"/>
      <x v="204"/>
      <x v="634"/>
      <x v="611"/>
    </i>
    <i r="1">
      <x v="37"/>
      <x v="19"/>
      <x v="204"/>
      <x v="1056"/>
      <x v="611"/>
    </i>
    <i r="1">
      <x v="38"/>
      <x v="19"/>
      <x v="204"/>
      <x v="252"/>
      <x v="611"/>
    </i>
    <i r="1">
      <x v="40"/>
      <x v="16"/>
      <x v="204"/>
      <x v="3004"/>
      <x v="611"/>
    </i>
    <i r="2">
      <x v="17"/>
      <x v="204"/>
      <x v="3143"/>
      <x v="611"/>
    </i>
    <i r="2">
      <x v="18"/>
      <x v="204"/>
      <x v="1750"/>
      <x v="611"/>
    </i>
    <i r="4">
      <x v="2482"/>
      <x v="611"/>
    </i>
    <i r="4">
      <x v="2602"/>
      <x v="611"/>
    </i>
    <i r="4">
      <x v="2746"/>
      <x v="611"/>
    </i>
    <i r="4">
      <x v="2777"/>
      <x v="611"/>
    </i>
    <i r="4">
      <x v="3045"/>
      <x v="611"/>
    </i>
    <i r="2">
      <x v="22"/>
      <x v="386"/>
      <x v="3550"/>
      <x v="611"/>
    </i>
    <i r="2">
      <x v="68"/>
      <x v="204"/>
      <x v="3341"/>
      <x v="611"/>
    </i>
    <i>
      <x v="308"/>
      <x v="3"/>
      <x v="2"/>
      <x v="202"/>
      <x v="3209"/>
      <x v="611"/>
    </i>
    <i r="1">
      <x v="5"/>
      <x v="68"/>
      <x v="202"/>
      <x v="1214"/>
      <x v="611"/>
    </i>
    <i r="1">
      <x v="13"/>
      <x v="68"/>
      <x v="202"/>
      <x v="2930"/>
      <x v="611"/>
    </i>
    <i r="1">
      <x v="15"/>
      <x v="68"/>
      <x v="202"/>
      <x v="563"/>
      <x v="611"/>
    </i>
    <i r="1">
      <x v="22"/>
      <x v="68"/>
      <x v="202"/>
      <x v="841"/>
      <x v="611"/>
    </i>
    <i r="1">
      <x v="24"/>
      <x v="67"/>
      <x v="202"/>
      <x v="1935"/>
      <x v="611"/>
    </i>
    <i r="2">
      <x v="68"/>
      <x v="202"/>
      <x v="2486"/>
      <x v="611"/>
    </i>
    <i r="1">
      <x v="25"/>
      <x v="2"/>
      <x v="202"/>
      <x v="1424"/>
      <x v="611"/>
    </i>
    <i r="1">
      <x v="27"/>
      <x v="2"/>
      <x v="202"/>
      <x v="2027"/>
      <x v="611"/>
    </i>
    <i r="4">
      <x v="2690"/>
      <x v="611"/>
    </i>
    <i r="4">
      <x v="3209"/>
      <x v="611"/>
    </i>
    <i r="4">
      <x v="3443"/>
      <x v="611"/>
    </i>
    <i r="1">
      <x v="32"/>
      <x v="68"/>
      <x v="202"/>
      <x v="2625"/>
      <x v="611"/>
    </i>
    <i r="1">
      <x v="34"/>
      <x v="68"/>
      <x v="202"/>
      <x v="1850"/>
      <x v="611"/>
    </i>
    <i r="1">
      <x v="35"/>
      <x v="67"/>
      <x v="202"/>
      <x v="99"/>
      <x v="611"/>
    </i>
    <i r="2">
      <x v="68"/>
      <x v="202"/>
      <x v="339"/>
      <x v="611"/>
    </i>
    <i r="1">
      <x v="37"/>
      <x v="68"/>
      <x v="202"/>
      <x v="2567"/>
      <x v="611"/>
    </i>
    <i r="1">
      <x v="40"/>
      <x v="22"/>
      <x v="378"/>
      <x v="3340"/>
      <x v="611"/>
    </i>
    <i r="3">
      <x v="418"/>
      <x v="2220"/>
      <x v="611"/>
    </i>
    <i r="3">
      <x v="427"/>
      <x v="3530"/>
      <x v="611"/>
    </i>
    <i r="3">
      <x v="430"/>
      <x v="3247"/>
      <x v="611"/>
    </i>
    <i>
      <x v="309"/>
      <x v="2"/>
      <x v="14"/>
      <x v="200"/>
      <x v="2870"/>
      <x v="611"/>
    </i>
    <i r="2">
      <x v="68"/>
      <x v="200"/>
      <x v="2552"/>
      <x v="611"/>
    </i>
    <i r="1">
      <x v="3"/>
      <x v="2"/>
      <x v="200"/>
      <x v="3443"/>
      <x v="611"/>
    </i>
    <i r="1">
      <x v="5"/>
      <x v="14"/>
      <x v="200"/>
      <x v="2748"/>
      <x v="611"/>
    </i>
    <i r="1">
      <x v="16"/>
      <x v="68"/>
      <x v="200"/>
      <x v="1387"/>
      <x v="611"/>
    </i>
    <i r="1">
      <x v="24"/>
      <x v="68"/>
      <x v="200"/>
      <x v="2748"/>
      <x v="611"/>
    </i>
    <i r="1">
      <x v="27"/>
      <x v="2"/>
      <x v="200"/>
      <x v="3209"/>
      <x v="611"/>
    </i>
    <i r="4">
      <x v="3443"/>
      <x v="611"/>
    </i>
    <i r="2">
      <x v="68"/>
      <x v="200"/>
      <x v="1625"/>
      <x v="611"/>
    </i>
    <i>
      <x v="310"/>
      <x v="2"/>
      <x v="68"/>
      <x v="198"/>
      <x v="3371"/>
      <x v="611"/>
    </i>
    <i r="1">
      <x v="3"/>
      <x v="2"/>
      <x v="198"/>
      <x v="2969"/>
      <x v="611"/>
    </i>
    <i r="4">
      <x v="3209"/>
      <x v="611"/>
    </i>
    <i r="1">
      <x v="27"/>
      <x v="2"/>
      <x v="198"/>
      <x v="2969"/>
      <x v="611"/>
    </i>
    <i r="1">
      <x v="40"/>
      <x v="22"/>
      <x v="393"/>
      <x v="3550"/>
      <x v="611"/>
    </i>
    <i r="3">
      <x v="412"/>
      <x v="3546"/>
      <x v="611"/>
    </i>
    <i>
      <x v="311"/>
      <x v="1"/>
      <x v="45"/>
      <x v="195"/>
      <x v="1769"/>
      <x v="611"/>
    </i>
    <i r="1">
      <x v="2"/>
      <x v="18"/>
      <x v="194"/>
      <x v="1358"/>
      <x v="611"/>
    </i>
    <i r="1">
      <x v="3"/>
      <x v="2"/>
      <x v="194"/>
      <x v="3443"/>
      <x v="611"/>
    </i>
    <i r="2">
      <x v="45"/>
      <x v="195"/>
      <x v="808"/>
      <x v="611"/>
    </i>
    <i r="4">
      <x v="1426"/>
      <x v="611"/>
    </i>
    <i r="4">
      <x v="1796"/>
      <x v="611"/>
    </i>
    <i r="4">
      <x v="2114"/>
      <x v="611"/>
    </i>
    <i r="4">
      <x v="2258"/>
      <x v="611"/>
    </i>
    <i r="4">
      <x v="2621"/>
      <x v="611"/>
    </i>
    <i r="4">
      <x v="2727"/>
      <x v="611"/>
    </i>
    <i r="4">
      <x v="2781"/>
      <x v="611"/>
    </i>
    <i r="4">
      <x v="2784"/>
      <x v="611"/>
    </i>
    <i r="4">
      <x v="2959"/>
      <x v="611"/>
    </i>
    <i r="4">
      <x v="3034"/>
      <x v="611"/>
    </i>
    <i r="4">
      <x v="3228"/>
      <x v="611"/>
    </i>
    <i r="4">
      <x v="3337"/>
      <x v="611"/>
    </i>
    <i r="1">
      <x v="10"/>
      <x v="68"/>
      <x v="194"/>
      <x v="221"/>
      <x v="611"/>
    </i>
    <i r="1">
      <x v="13"/>
      <x v="68"/>
      <x v="194"/>
      <x v="993"/>
      <x v="611"/>
    </i>
    <i r="1">
      <x v="15"/>
      <x v="45"/>
      <x v="195"/>
      <x v="283"/>
      <x v="611"/>
    </i>
    <i r="1">
      <x v="16"/>
      <x v="45"/>
      <x v="195"/>
      <x v="196"/>
      <x v="611"/>
    </i>
    <i r="1">
      <x v="18"/>
      <x v="45"/>
      <x v="195"/>
      <x v="74"/>
      <x v="611"/>
    </i>
    <i r="1">
      <x v="22"/>
      <x v="14"/>
      <x v="194"/>
      <x v="96"/>
      <x v="611"/>
    </i>
    <i r="1">
      <x v="24"/>
      <x v="17"/>
      <x v="194"/>
      <x v="3283"/>
      <x v="611"/>
    </i>
    <i r="2">
      <x v="45"/>
      <x v="195"/>
      <x v="423"/>
      <x v="611"/>
    </i>
    <i r="2">
      <x v="68"/>
      <x v="194"/>
      <x v="159"/>
      <x v="611"/>
    </i>
    <i r="1">
      <x v="25"/>
      <x v="68"/>
      <x v="194"/>
      <x v="2844"/>
      <x v="611"/>
    </i>
    <i r="1">
      <x v="27"/>
      <x v="2"/>
      <x v="194"/>
      <x v="1814"/>
      <x v="611"/>
    </i>
    <i r="4">
      <x v="2305"/>
      <x v="611"/>
    </i>
    <i r="4">
      <x v="2690"/>
      <x v="611"/>
    </i>
    <i r="4">
      <x v="3209"/>
      <x v="611"/>
    </i>
    <i r="4">
      <x v="3443"/>
      <x v="611"/>
    </i>
    <i r="2">
      <x v="45"/>
      <x v="195"/>
      <x v="87"/>
      <x v="611"/>
    </i>
    <i r="4">
      <x v="101"/>
      <x v="611"/>
    </i>
    <i r="4">
      <x v="125"/>
      <x v="611"/>
    </i>
    <i r="4">
      <x v="202"/>
      <x v="611"/>
    </i>
    <i r="4">
      <x v="282"/>
      <x v="611"/>
    </i>
    <i r="4">
      <x v="316"/>
      <x v="611"/>
    </i>
    <i r="4">
      <x v="331"/>
      <x v="611"/>
    </i>
    <i r="4">
      <x v="348"/>
      <x v="611"/>
    </i>
    <i r="4">
      <x v="354"/>
      <x v="611"/>
    </i>
    <i r="4">
      <x v="444"/>
      <x v="611"/>
    </i>
    <i r="4">
      <x v="475"/>
      <x v="611"/>
    </i>
    <i r="4">
      <x v="557"/>
      <x v="611"/>
    </i>
    <i r="4">
      <x v="577"/>
      <x v="611"/>
    </i>
    <i r="4">
      <x v="664"/>
      <x v="611"/>
    </i>
    <i r="4">
      <x v="702"/>
      <x v="611"/>
    </i>
    <i r="4">
      <x v="729"/>
      <x v="611"/>
    </i>
    <i r="4">
      <x v="731"/>
      <x v="611"/>
    </i>
    <i r="4">
      <x v="897"/>
      <x v="611"/>
    </i>
    <i r="4">
      <x v="1076"/>
      <x v="611"/>
    </i>
    <i r="4">
      <x v="1228"/>
      <x v="611"/>
    </i>
    <i r="4">
      <x v="1396"/>
      <x v="611"/>
    </i>
    <i r="4">
      <x v="2677"/>
      <x v="611"/>
    </i>
    <i r="4">
      <x v="2789"/>
      <x v="611"/>
    </i>
    <i r="4">
      <x v="3477"/>
      <x v="611"/>
    </i>
    <i r="2">
      <x v="68"/>
      <x v="194"/>
      <x v="1945"/>
      <x v="611"/>
    </i>
    <i r="1">
      <x v="35"/>
      <x v="68"/>
      <x v="194"/>
      <x v="396"/>
      <x v="611"/>
    </i>
    <i r="1">
      <x v="37"/>
      <x v="45"/>
      <x v="195"/>
      <x v="3002"/>
      <x v="611"/>
    </i>
    <i r="1">
      <x v="38"/>
      <x v="18"/>
      <x v="194"/>
      <x v="2372"/>
      <x v="611"/>
    </i>
    <i r="2">
      <x v="45"/>
      <x v="195"/>
      <x v="186"/>
      <x v="611"/>
    </i>
    <i r="1">
      <x v="40"/>
      <x v="14"/>
      <x v="194"/>
      <x v="1873"/>
      <x v="611"/>
    </i>
    <i r="4">
      <x v="1904"/>
      <x v="611"/>
    </i>
    <i r="2">
      <x v="17"/>
      <x v="194"/>
      <x v="2588"/>
      <x v="611"/>
    </i>
    <i r="4">
      <x v="3142"/>
      <x v="611"/>
    </i>
    <i r="2">
      <x v="18"/>
      <x v="194"/>
      <x v="1612"/>
      <x v="611"/>
    </i>
    <i r="4">
      <x v="1624"/>
      <x v="611"/>
    </i>
    <i r="4">
      <x v="2217"/>
      <x v="611"/>
    </i>
    <i r="4">
      <x v="2327"/>
      <x v="611"/>
    </i>
    <i r="4">
      <x v="2477"/>
      <x v="611"/>
    </i>
    <i r="4">
      <x v="3031"/>
      <x v="611"/>
    </i>
    <i r="4">
      <x v="3142"/>
      <x v="611"/>
    </i>
    <i r="4">
      <x v="3347"/>
      <x v="611"/>
    </i>
    <i r="2">
      <x v="45"/>
      <x v="195"/>
      <x v="1363"/>
      <x v="611"/>
    </i>
    <i r="4">
      <x v="1527"/>
      <x v="611"/>
    </i>
    <i r="4">
      <x v="2000"/>
      <x v="611"/>
    </i>
    <i r="4">
      <x v="2044"/>
      <x v="611"/>
    </i>
    <i r="4">
      <x v="3077"/>
      <x v="611"/>
    </i>
    <i>
      <x v="312"/>
      <x v="12"/>
      <x v="68"/>
      <x v="192"/>
      <x v="477"/>
      <x v="611"/>
    </i>
    <i r="1">
      <x v="27"/>
      <x v="2"/>
      <x v="192"/>
      <x v="2969"/>
      <x v="611"/>
    </i>
    <i r="4">
      <x v="3443"/>
      <x v="611"/>
    </i>
    <i r="1">
      <x v="28"/>
      <x v="17"/>
      <x v="192"/>
      <x v="1299"/>
      <x v="611"/>
    </i>
    <i r="1">
      <x v="30"/>
      <x v="68"/>
      <x v="192"/>
      <x v="47"/>
      <x v="611"/>
    </i>
    <i r="1">
      <x v="40"/>
      <x v="18"/>
      <x v="192"/>
      <x v="2079"/>
      <x v="611"/>
    </i>
    <i r="4">
      <x v="2089"/>
      <x v="611"/>
    </i>
    <i r="4">
      <x v="2970"/>
      <x v="611"/>
    </i>
    <i r="2">
      <x v="22"/>
      <x v="397"/>
      <x v="3514"/>
      <x v="611"/>
    </i>
    <i r="3">
      <x v="426"/>
      <x v="3274"/>
      <x v="611"/>
    </i>
    <i>
      <x v="313"/>
      <x/>
      <x v="68"/>
      <x v="189"/>
      <x v="2690"/>
      <x v="611"/>
    </i>
    <i r="1">
      <x v="3"/>
      <x v="2"/>
      <x v="189"/>
      <x v="3209"/>
      <x v="611"/>
    </i>
    <i r="4">
      <x v="3443"/>
      <x v="611"/>
    </i>
    <i r="2">
      <x v="68"/>
      <x v="189"/>
      <x v="2027"/>
      <x v="611"/>
    </i>
    <i r="1">
      <x v="4"/>
      <x v="68"/>
      <x v="189"/>
      <x v="3509"/>
      <x v="611"/>
    </i>
    <i r="1">
      <x v="13"/>
      <x v="68"/>
      <x v="189"/>
      <x v="2930"/>
      <x v="611"/>
    </i>
    <i r="1">
      <x v="16"/>
      <x v="68"/>
      <x v="189"/>
      <x v="3413"/>
      <x v="611"/>
    </i>
    <i r="1">
      <x v="24"/>
      <x v="68"/>
      <x v="189"/>
      <x v="1132"/>
      <x v="611"/>
    </i>
    <i r="1">
      <x v="27"/>
      <x v="2"/>
      <x v="189"/>
      <x v="2969"/>
      <x v="611"/>
    </i>
    <i r="4">
      <x v="3209"/>
      <x v="611"/>
    </i>
    <i r="4">
      <x v="3443"/>
      <x v="611"/>
    </i>
    <i r="2">
      <x v="68"/>
      <x v="189"/>
      <x v="2690"/>
      <x v="611"/>
    </i>
    <i r="4">
      <x v="3098"/>
      <x v="611"/>
    </i>
    <i r="1">
      <x v="30"/>
      <x v="68"/>
      <x v="189"/>
      <x v="262"/>
      <x v="611"/>
    </i>
    <i r="1">
      <x v="32"/>
      <x v="19"/>
      <x v="189"/>
      <x v="3564"/>
      <x v="166"/>
    </i>
    <i r="1">
      <x v="33"/>
      <x v="68"/>
      <x v="189"/>
      <x v="2142"/>
      <x v="611"/>
    </i>
    <i r="1">
      <x v="38"/>
      <x v="2"/>
      <x v="189"/>
      <x v="3129"/>
      <x v="611"/>
    </i>
    <i r="2">
      <x v="14"/>
      <x v="189"/>
      <x v="3022"/>
      <x v="611"/>
    </i>
    <i r="1">
      <x v="40"/>
      <x v="14"/>
      <x v="189"/>
      <x v="1875"/>
      <x v="611"/>
    </i>
    <i r="2">
      <x v="22"/>
      <x v="386"/>
      <x v="3550"/>
      <x v="611"/>
    </i>
    <i r="3">
      <x v="401"/>
      <x v="3485"/>
      <x v="611"/>
    </i>
    <i r="3">
      <x v="403"/>
      <x v="3039"/>
      <x v="611"/>
    </i>
    <i r="3">
      <x v="428"/>
      <x v="3387"/>
      <x v="611"/>
    </i>
    <i r="3">
      <x v="440"/>
      <x v="3341"/>
      <x v="611"/>
    </i>
    <i r="2">
      <x v="68"/>
      <x v="189"/>
      <x v="1464"/>
      <x v="611"/>
    </i>
    <i r="4">
      <x v="1577"/>
      <x v="611"/>
    </i>
    <i r="4">
      <x v="1859"/>
      <x v="611"/>
    </i>
    <i r="4">
      <x v="2690"/>
      <x v="611"/>
    </i>
    <i r="4">
      <x v="3393"/>
      <x v="611"/>
    </i>
    <i>
      <x v="314"/>
      <x v="6"/>
      <x v="18"/>
      <x v="187"/>
      <x v="170"/>
      <x v="611"/>
    </i>
    <i r="1">
      <x v="25"/>
      <x v="67"/>
      <x v="187"/>
      <x v="1401"/>
      <x v="611"/>
    </i>
    <i r="1">
      <x v="30"/>
      <x v="19"/>
      <x v="187"/>
      <x v="3564"/>
      <x v="253"/>
    </i>
    <i r="1">
      <x v="40"/>
      <x v="22"/>
      <x v="399"/>
      <x v="3142"/>
      <x v="611"/>
    </i>
    <i r="3">
      <x v="409"/>
      <x v="3209"/>
      <x v="611"/>
    </i>
    <i>
      <x v="315"/>
      <x v="40"/>
      <x v="22"/>
      <x v="387"/>
      <x v="3432"/>
      <x v="611"/>
    </i>
    <i r="3">
      <x v="444"/>
      <x v="3422"/>
      <x v="611"/>
    </i>
    <i>
      <x v="316"/>
      <x v="3"/>
      <x v="2"/>
      <x v="184"/>
      <x v="2027"/>
      <x v="611"/>
    </i>
    <i r="4">
      <x v="3443"/>
      <x v="611"/>
    </i>
    <i r="1">
      <x v="12"/>
      <x v="68"/>
      <x v="184"/>
      <x v="3509"/>
      <x v="611"/>
    </i>
    <i r="1">
      <x v="24"/>
      <x v="68"/>
      <x v="184"/>
      <x v="2220"/>
      <x v="611"/>
    </i>
    <i r="1">
      <x v="27"/>
      <x v="2"/>
      <x v="184"/>
      <x v="2150"/>
      <x v="611"/>
    </i>
    <i r="4">
      <x v="2486"/>
      <x v="611"/>
    </i>
    <i r="4">
      <x v="2690"/>
      <x v="611"/>
    </i>
    <i r="4">
      <x v="3209"/>
      <x v="611"/>
    </i>
    <i r="2">
      <x v="68"/>
      <x v="184"/>
      <x v="691"/>
      <x v="611"/>
    </i>
    <i r="4">
      <x v="1080"/>
      <x v="611"/>
    </i>
    <i r="1">
      <x v="32"/>
      <x v="68"/>
      <x v="184"/>
      <x v="2420"/>
      <x v="611"/>
    </i>
    <i r="1">
      <x v="33"/>
      <x v="14"/>
      <x v="184"/>
      <x v="2617"/>
      <x v="611"/>
    </i>
    <i r="1">
      <x v="37"/>
      <x v="68"/>
      <x v="184"/>
      <x v="3397"/>
      <x v="611"/>
    </i>
    <i r="1">
      <x v="40"/>
      <x v="2"/>
      <x v="184"/>
      <x v="3443"/>
      <x v="611"/>
    </i>
    <i r="2">
      <x v="14"/>
      <x v="184"/>
      <x v="2748"/>
      <x v="611"/>
    </i>
    <i r="2">
      <x v="21"/>
      <x v="437"/>
      <x v="3209"/>
      <x v="611"/>
    </i>
    <i r="2">
      <x v="22"/>
      <x v="416"/>
      <x v="2264"/>
      <x v="611"/>
    </i>
    <i r="3">
      <x v="432"/>
      <x v="3514"/>
      <x v="611"/>
    </i>
    <i r="2">
      <x v="68"/>
      <x v="184"/>
      <x v="1423"/>
      <x v="611"/>
    </i>
    <i>
      <x v="317"/>
      <x v="2"/>
      <x v="17"/>
      <x v="182"/>
      <x v="826"/>
      <x v="611"/>
    </i>
    <i r="2">
      <x v="18"/>
      <x v="182"/>
      <x v="1028"/>
      <x v="611"/>
    </i>
    <i r="2">
      <x v="68"/>
      <x v="182"/>
      <x v="3208"/>
      <x v="611"/>
    </i>
    <i r="1">
      <x v="3"/>
      <x v="2"/>
      <x v="182"/>
      <x v="2690"/>
      <x v="611"/>
    </i>
    <i r="4">
      <x v="3443"/>
      <x v="611"/>
    </i>
    <i r="1">
      <x v="4"/>
      <x v="68"/>
      <x v="182"/>
      <x v="1427"/>
      <x v="611"/>
    </i>
    <i r="1">
      <x v="5"/>
      <x v="68"/>
      <x v="182"/>
      <x v="2285"/>
      <x v="611"/>
    </i>
    <i r="1">
      <x v="16"/>
      <x v="14"/>
      <x v="182"/>
      <x v="3022"/>
      <x v="611"/>
    </i>
    <i r="1">
      <x v="20"/>
      <x v="14"/>
      <x v="182"/>
      <x v="2617"/>
      <x v="611"/>
    </i>
    <i r="1">
      <x v="22"/>
      <x v="14"/>
      <x v="182"/>
      <x v="364"/>
      <x v="611"/>
    </i>
    <i r="2">
      <x v="18"/>
      <x v="182"/>
      <x v="873"/>
      <x v="611"/>
    </i>
    <i r="1">
      <x v="27"/>
      <x v="2"/>
      <x v="182"/>
      <x v="2150"/>
      <x v="611"/>
    </i>
    <i r="4">
      <x v="2305"/>
      <x v="611"/>
    </i>
    <i r="4">
      <x v="2486"/>
      <x v="611"/>
    </i>
    <i r="4">
      <x v="2690"/>
      <x v="611"/>
    </i>
    <i r="4">
      <x v="2969"/>
      <x v="611"/>
    </i>
    <i r="4">
      <x v="3443"/>
      <x v="611"/>
    </i>
    <i r="1">
      <x v="30"/>
      <x v="19"/>
      <x v="182"/>
      <x v="73"/>
      <x v="611"/>
    </i>
    <i r="1">
      <x v="32"/>
      <x v="68"/>
      <x v="182"/>
      <x v="967"/>
      <x v="611"/>
    </i>
    <i r="1">
      <x v="34"/>
      <x v="68"/>
      <x v="182"/>
      <x v="1306"/>
      <x v="611"/>
    </i>
    <i r="1">
      <x v="40"/>
      <x v="17"/>
      <x v="182"/>
      <x v="1701"/>
      <x v="611"/>
    </i>
    <i r="2">
      <x v="18"/>
      <x v="182"/>
      <x v="1359"/>
      <x v="611"/>
    </i>
    <i r="4">
      <x v="1553"/>
      <x v="611"/>
    </i>
    <i r="4">
      <x v="1586"/>
      <x v="611"/>
    </i>
    <i r="4">
      <x v="1639"/>
      <x v="611"/>
    </i>
    <i r="4">
      <x v="1686"/>
      <x v="611"/>
    </i>
    <i r="4">
      <x v="2062"/>
      <x v="611"/>
    </i>
    <i r="4">
      <x v="3114"/>
      <x v="611"/>
    </i>
    <i r="4">
      <x v="3129"/>
      <x v="611"/>
    </i>
    <i r="4">
      <x v="3361"/>
      <x v="611"/>
    </i>
    <i r="2">
      <x v="22"/>
      <x v="426"/>
      <x v="3482"/>
      <x v="611"/>
    </i>
    <i>
      <x v="318"/>
      <x v="2"/>
      <x v="14"/>
      <x v="180"/>
      <x v="2038"/>
      <x v="611"/>
    </i>
    <i r="1">
      <x v="3"/>
      <x v="2"/>
      <x v="180"/>
      <x v="3443"/>
      <x v="611"/>
    </i>
    <i r="1">
      <x v="10"/>
      <x v="14"/>
      <x v="180"/>
      <x v="1835"/>
      <x v="611"/>
    </i>
    <i r="1">
      <x v="19"/>
      <x v="19"/>
      <x v="180"/>
      <x v="3564"/>
      <x v="77"/>
    </i>
    <i r="1">
      <x v="27"/>
      <x v="2"/>
      <x v="180"/>
      <x v="2969"/>
      <x v="611"/>
    </i>
    <i r="4">
      <x v="3209"/>
      <x v="611"/>
    </i>
    <i r="4">
      <x v="3443"/>
      <x v="611"/>
    </i>
    <i r="1">
      <x v="35"/>
      <x v="67"/>
      <x v="180"/>
      <x v="1824"/>
      <x v="611"/>
    </i>
    <i r="1">
      <x v="39"/>
      <x v="67"/>
      <x v="180"/>
      <x v="62"/>
      <x v="611"/>
    </i>
    <i r="1">
      <x v="40"/>
      <x v="22"/>
      <x v="394"/>
      <x v="3527"/>
      <x v="611"/>
    </i>
    <i r="3">
      <x v="425"/>
      <x v="3527"/>
      <x v="611"/>
    </i>
    <i r="3">
      <x v="448"/>
      <x v="3455"/>
      <x v="611"/>
    </i>
    <i>
      <x v="319"/>
      <x v="1"/>
      <x v="17"/>
      <x v="178"/>
      <x v="3010"/>
      <x v="611"/>
    </i>
    <i r="2">
      <x v="18"/>
      <x v="178"/>
      <x v="854"/>
      <x v="611"/>
    </i>
    <i r="1">
      <x v="2"/>
      <x v="17"/>
      <x v="178"/>
      <x v="1538"/>
      <x v="611"/>
    </i>
    <i r="1">
      <x v="3"/>
      <x v="68"/>
      <x v="178"/>
      <x v="1231"/>
      <x v="611"/>
    </i>
    <i r="1">
      <x v="6"/>
      <x v="18"/>
      <x v="178"/>
      <x v="3564"/>
      <x v="78"/>
    </i>
    <i r="1">
      <x v="7"/>
      <x v="18"/>
      <x v="178"/>
      <x v="42"/>
      <x v="611"/>
    </i>
    <i r="1">
      <x v="12"/>
      <x v="14"/>
      <x v="178"/>
      <x v="498"/>
      <x v="611"/>
    </i>
    <i r="1">
      <x v="13"/>
      <x v="68"/>
      <x v="178"/>
      <x v="3393"/>
      <x v="611"/>
    </i>
    <i r="1">
      <x v="16"/>
      <x v="68"/>
      <x v="178"/>
      <x v="3435"/>
      <x v="611"/>
    </i>
    <i r="1">
      <x v="22"/>
      <x v="16"/>
      <x v="178"/>
      <x v="1332"/>
      <x v="611"/>
    </i>
    <i r="2">
      <x v="19"/>
      <x v="178"/>
      <x v="61"/>
      <x v="611"/>
    </i>
    <i r="1">
      <x v="24"/>
      <x v="17"/>
      <x v="178"/>
      <x v="3185"/>
      <x v="611"/>
    </i>
    <i r="2">
      <x v="18"/>
      <x v="178"/>
      <x v="3352"/>
      <x v="611"/>
    </i>
    <i r="1">
      <x v="27"/>
      <x v="2"/>
      <x v="178"/>
      <x v="2486"/>
      <x v="611"/>
    </i>
    <i r="4">
      <x v="2690"/>
      <x v="611"/>
    </i>
    <i r="4">
      <x v="2969"/>
      <x v="611"/>
    </i>
    <i r="4">
      <x v="3209"/>
      <x v="611"/>
    </i>
    <i r="4">
      <x v="3443"/>
      <x v="611"/>
    </i>
    <i r="1">
      <x v="31"/>
      <x v="17"/>
      <x v="178"/>
      <x v="2338"/>
      <x v="611"/>
    </i>
    <i r="1">
      <x v="32"/>
      <x v="68"/>
      <x v="178"/>
      <x v="1932"/>
      <x v="611"/>
    </i>
    <i r="1">
      <x v="35"/>
      <x v="68"/>
      <x v="178"/>
      <x v="421"/>
      <x v="611"/>
    </i>
    <i r="1">
      <x v="40"/>
      <x v="2"/>
      <x v="178"/>
      <x v="3443"/>
      <x v="611"/>
    </i>
    <i r="2">
      <x v="14"/>
      <x v="178"/>
      <x v="2748"/>
      <x v="611"/>
    </i>
    <i r="2">
      <x v="17"/>
      <x v="178"/>
      <x v="1391"/>
      <x v="611"/>
    </i>
    <i r="4">
      <x v="2339"/>
      <x v="611"/>
    </i>
    <i r="2">
      <x v="18"/>
      <x v="178"/>
      <x v="1350"/>
      <x v="611"/>
    </i>
    <i r="4">
      <x v="1825"/>
      <x v="611"/>
    </i>
    <i r="4">
      <x v="1895"/>
      <x v="611"/>
    </i>
    <i r="4">
      <x v="1902"/>
      <x v="611"/>
    </i>
    <i r="4">
      <x v="2699"/>
      <x v="611"/>
    </i>
    <i r="4">
      <x v="2828"/>
      <x v="611"/>
    </i>
    <i r="4">
      <x v="2985"/>
      <x v="611"/>
    </i>
    <i r="2">
      <x v="22"/>
      <x v="415"/>
      <x v="3525"/>
      <x v="611"/>
    </i>
    <i r="3">
      <x v="420"/>
      <x v="3418"/>
      <x v="611"/>
    </i>
    <i r="3">
      <x v="422"/>
      <x v="3356"/>
      <x v="611"/>
    </i>
    <i r="3">
      <x v="445"/>
      <x v="3261"/>
      <x v="611"/>
    </i>
    <i r="2">
      <x v="68"/>
      <x v="178"/>
      <x v="746"/>
      <x v="611"/>
    </i>
    <i>
      <x v="320"/>
      <x v="3"/>
      <x v="2"/>
      <x v="176"/>
      <x v="2690"/>
      <x v="611"/>
    </i>
    <i r="4">
      <x v="2969"/>
      <x v="611"/>
    </i>
    <i r="4">
      <x v="3443"/>
      <x v="611"/>
    </i>
    <i r="1">
      <x v="5"/>
      <x v="18"/>
      <x v="176"/>
      <x v="1621"/>
      <x v="611"/>
    </i>
    <i r="2">
      <x v="68"/>
      <x v="176"/>
      <x v="2021"/>
      <x v="611"/>
    </i>
    <i r="1">
      <x v="13"/>
      <x v="68"/>
      <x v="176"/>
      <x v="3098"/>
      <x v="611"/>
    </i>
    <i r="1">
      <x v="16"/>
      <x v="16"/>
      <x v="176"/>
      <x v="2930"/>
      <x v="611"/>
    </i>
    <i r="2">
      <x v="18"/>
      <x v="176"/>
      <x v="730"/>
      <x v="611"/>
    </i>
    <i r="2">
      <x v="68"/>
      <x v="176"/>
      <x v="56"/>
      <x v="611"/>
    </i>
    <i r="1">
      <x v="18"/>
      <x v="68"/>
      <x v="176"/>
      <x v="1227"/>
      <x v="611"/>
    </i>
    <i r="1">
      <x v="24"/>
      <x v="68"/>
      <x v="176"/>
      <x v="1087"/>
      <x v="611"/>
    </i>
    <i r="1">
      <x v="27"/>
      <x v="2"/>
      <x v="176"/>
      <x v="2486"/>
      <x v="611"/>
    </i>
    <i r="4">
      <x v="2690"/>
      <x v="611"/>
    </i>
    <i r="4">
      <x v="2969"/>
      <x v="611"/>
    </i>
    <i r="4">
      <x v="3443"/>
      <x v="611"/>
    </i>
    <i r="1">
      <x v="34"/>
      <x v="68"/>
      <x v="176"/>
      <x v="1897"/>
      <x v="611"/>
    </i>
    <i r="1">
      <x v="35"/>
      <x v="19"/>
      <x v="176"/>
      <x v="1041"/>
      <x v="611"/>
    </i>
    <i r="2">
      <x v="68"/>
      <x v="176"/>
      <x v="2930"/>
      <x v="611"/>
    </i>
    <i r="1">
      <x v="37"/>
      <x v="68"/>
      <x v="176"/>
      <x v="3393"/>
      <x v="611"/>
    </i>
    <i r="1">
      <x v="40"/>
      <x v="2"/>
      <x v="176"/>
      <x v="3443"/>
      <x v="611"/>
    </i>
    <i r="2">
      <x v="18"/>
      <x v="176"/>
      <x v="1781"/>
      <x v="611"/>
    </i>
    <i r="4">
      <x v="2596"/>
      <x v="611"/>
    </i>
    <i r="4">
      <x v="2617"/>
      <x v="611"/>
    </i>
    <i r="2">
      <x v="22"/>
      <x v="432"/>
      <x v="3527"/>
      <x v="611"/>
    </i>
    <i r="3">
      <x v="435"/>
      <x v="3422"/>
      <x v="611"/>
    </i>
    <i>
      <x v="321"/>
      <x v="24"/>
      <x v="14"/>
      <x v="174"/>
      <x v="2752"/>
      <x v="611"/>
    </i>
    <i r="2">
      <x v="67"/>
      <x v="174"/>
      <x v="132"/>
      <x v="611"/>
    </i>
    <i r="2">
      <x v="68"/>
      <x v="174"/>
      <x v="1539"/>
      <x v="611"/>
    </i>
    <i r="1">
      <x v="25"/>
      <x v="17"/>
      <x v="174"/>
      <x v="3564"/>
      <x v="401"/>
    </i>
    <i r="2">
      <x v="18"/>
      <x v="174"/>
      <x v="1424"/>
      <x v="611"/>
    </i>
    <i r="1">
      <x v="27"/>
      <x v="2"/>
      <x v="174"/>
      <x v="3209"/>
      <x v="611"/>
    </i>
    <i r="4">
      <x v="3443"/>
      <x v="611"/>
    </i>
    <i r="2">
      <x v="68"/>
      <x v="174"/>
      <x v="1284"/>
      <x v="611"/>
    </i>
    <i r="1">
      <x v="28"/>
      <x v="16"/>
      <x v="174"/>
      <x v="3040"/>
      <x v="611"/>
    </i>
    <i r="2">
      <x v="17"/>
      <x v="174"/>
      <x v="3564"/>
      <x v="570"/>
    </i>
    <i r="1">
      <x v="31"/>
      <x v="2"/>
      <x v="174"/>
      <x v="3456"/>
      <x v="611"/>
    </i>
    <i r="1">
      <x v="32"/>
      <x v="68"/>
      <x v="174"/>
      <x v="1989"/>
      <x v="611"/>
    </i>
    <i r="1">
      <x v="40"/>
      <x v="17"/>
      <x v="174"/>
      <x v="3564"/>
      <x v="293"/>
    </i>
    <i r="5">
      <x v="473"/>
    </i>
    <i r="2">
      <x v="18"/>
      <x v="174"/>
      <x v="763"/>
      <x v="611"/>
    </i>
    <i r="4">
      <x v="2061"/>
      <x v="611"/>
    </i>
    <i r="2">
      <x v="19"/>
      <x v="174"/>
      <x v="3564"/>
      <x v="525"/>
    </i>
    <i r="2">
      <x v="22"/>
      <x v="392"/>
      <x v="3544"/>
      <x v="611"/>
    </i>
    <i>
      <x v="322"/>
      <x v="1"/>
      <x v="68"/>
      <x v="170"/>
      <x v="1383"/>
      <x v="611"/>
    </i>
    <i r="1">
      <x v="3"/>
      <x v="2"/>
      <x v="170"/>
      <x v="2969"/>
      <x v="611"/>
    </i>
    <i r="4">
      <x v="3443"/>
      <x v="611"/>
    </i>
    <i r="2">
      <x v="29"/>
      <x v="171"/>
      <x v="1310"/>
      <x v="611"/>
    </i>
    <i r="4">
      <x v="1403"/>
      <x v="611"/>
    </i>
    <i r="4">
      <x v="1441"/>
      <x v="611"/>
    </i>
    <i r="4">
      <x v="2125"/>
      <x v="611"/>
    </i>
    <i r="4">
      <x v="2175"/>
      <x v="611"/>
    </i>
    <i r="4">
      <x v="2664"/>
      <x v="611"/>
    </i>
    <i r="4">
      <x v="2695"/>
      <x v="611"/>
    </i>
    <i r="4">
      <x v="2758"/>
      <x v="611"/>
    </i>
    <i r="4">
      <x v="2776"/>
      <x v="611"/>
    </i>
    <i r="4">
      <x v="2818"/>
      <x v="611"/>
    </i>
    <i r="4">
      <x v="2894"/>
      <x v="611"/>
    </i>
    <i r="4">
      <x v="2984"/>
      <x v="611"/>
    </i>
    <i r="4">
      <x v="3094"/>
      <x v="611"/>
    </i>
    <i r="4">
      <x v="3101"/>
      <x v="611"/>
    </i>
    <i r="4">
      <x v="3157"/>
      <x v="611"/>
    </i>
    <i r="4">
      <x v="3295"/>
      <x v="611"/>
    </i>
    <i r="4">
      <x v="3465"/>
      <x v="611"/>
    </i>
    <i r="1">
      <x v="10"/>
      <x v="14"/>
      <x v="170"/>
      <x v="3329"/>
      <x v="611"/>
    </i>
    <i r="1">
      <x v="15"/>
      <x v="29"/>
      <x v="171"/>
      <x v="857"/>
      <x v="611"/>
    </i>
    <i r="1">
      <x v="16"/>
      <x v="29"/>
      <x v="171"/>
      <x v="192"/>
      <x v="611"/>
    </i>
    <i r="2">
      <x v="68"/>
      <x v="170"/>
      <x v="994"/>
      <x v="611"/>
    </i>
    <i r="1">
      <x v="18"/>
      <x v="29"/>
      <x v="171"/>
      <x v="1152"/>
      <x v="611"/>
    </i>
    <i r="1">
      <x v="20"/>
      <x v="68"/>
      <x v="170"/>
      <x v="3078"/>
      <x v="611"/>
    </i>
    <i r="1">
      <x v="24"/>
      <x v="29"/>
      <x v="171"/>
      <x v="2926"/>
      <x v="611"/>
    </i>
    <i r="1">
      <x v="25"/>
      <x v="29"/>
      <x v="171"/>
      <x v="3396"/>
      <x v="611"/>
    </i>
    <i r="2">
      <x v="68"/>
      <x v="170"/>
      <x v="1353"/>
      <x v="611"/>
    </i>
    <i r="1">
      <x v="27"/>
      <x v="2"/>
      <x v="170"/>
      <x v="2969"/>
      <x v="611"/>
    </i>
    <i r="4">
      <x v="3209"/>
      <x v="611"/>
    </i>
    <i r="4">
      <x v="3443"/>
      <x v="611"/>
    </i>
    <i r="2">
      <x v="29"/>
      <x v="171"/>
      <x v="70"/>
      <x v="611"/>
    </i>
    <i r="4">
      <x v="217"/>
      <x v="611"/>
    </i>
    <i r="4">
      <x v="222"/>
      <x v="611"/>
    </i>
    <i r="4">
      <x v="247"/>
      <x v="611"/>
    </i>
    <i r="4">
      <x v="270"/>
      <x v="611"/>
    </i>
    <i r="4">
      <x v="361"/>
      <x v="611"/>
    </i>
    <i r="4">
      <x v="377"/>
      <x v="611"/>
    </i>
    <i r="4">
      <x v="388"/>
      <x v="611"/>
    </i>
    <i r="4">
      <x v="410"/>
      <x v="611"/>
    </i>
    <i r="4">
      <x v="478"/>
      <x v="611"/>
    </i>
    <i r="4">
      <x v="500"/>
      <x v="611"/>
    </i>
    <i r="4">
      <x v="595"/>
      <x v="611"/>
    </i>
    <i r="4">
      <x v="688"/>
      <x v="611"/>
    </i>
    <i r="4">
      <x v="806"/>
      <x v="611"/>
    </i>
    <i r="4">
      <x v="954"/>
      <x v="611"/>
    </i>
    <i r="4">
      <x v="1063"/>
      <x v="611"/>
    </i>
    <i r="4">
      <x v="1107"/>
      <x v="611"/>
    </i>
    <i r="4">
      <x v="1108"/>
      <x v="611"/>
    </i>
    <i r="4">
      <x v="1123"/>
      <x v="611"/>
    </i>
    <i r="4">
      <x v="1331"/>
      <x v="611"/>
    </i>
    <i r="4">
      <x v="1414"/>
      <x v="611"/>
    </i>
    <i r="4">
      <x v="2763"/>
      <x v="611"/>
    </i>
    <i r="4">
      <x v="2816"/>
      <x v="611"/>
    </i>
    <i r="1">
      <x v="35"/>
      <x v="68"/>
      <x v="170"/>
      <x v="206"/>
      <x v="611"/>
    </i>
    <i r="1">
      <x v="37"/>
      <x v="29"/>
      <x v="171"/>
      <x v="2733"/>
      <x v="611"/>
    </i>
    <i r="2">
      <x v="68"/>
      <x v="170"/>
      <x v="3341"/>
      <x v="611"/>
    </i>
    <i r="1">
      <x v="38"/>
      <x v="29"/>
      <x v="171"/>
      <x v="234"/>
      <x v="611"/>
    </i>
    <i r="1">
      <x v="40"/>
      <x v="22"/>
      <x v="421"/>
      <x v="3544"/>
      <x v="611"/>
    </i>
    <i r="2">
      <x v="29"/>
      <x v="171"/>
      <x v="1294"/>
      <x v="611"/>
    </i>
    <i r="4">
      <x v="2083"/>
      <x v="611"/>
    </i>
    <i r="4">
      <x v="2130"/>
      <x v="611"/>
    </i>
    <i r="4">
      <x v="2430"/>
      <x v="611"/>
    </i>
    <i>
      <x v="323"/>
      <x v="1"/>
      <x v="17"/>
      <x v="168"/>
      <x v="3564"/>
      <x v="573"/>
    </i>
    <i r="2">
      <x v="19"/>
      <x v="168"/>
      <x v="3091"/>
      <x v="611"/>
    </i>
    <i r="1">
      <x v="3"/>
      <x v="2"/>
      <x v="168"/>
      <x v="2690"/>
      <x v="611"/>
    </i>
    <i r="4">
      <x v="3443"/>
      <x v="611"/>
    </i>
    <i r="1">
      <x v="11"/>
      <x v="17"/>
      <x v="168"/>
      <x v="3564"/>
      <x v="429"/>
    </i>
    <i r="2">
      <x v="19"/>
      <x v="168"/>
      <x v="1649"/>
      <x v="611"/>
    </i>
    <i r="1">
      <x v="15"/>
      <x v="14"/>
      <x v="168"/>
      <x v="2074"/>
      <x v="611"/>
    </i>
    <i r="2">
      <x v="17"/>
      <x v="168"/>
      <x v="3564"/>
      <x v="596"/>
    </i>
    <i r="2">
      <x v="19"/>
      <x v="168"/>
      <x v="3393"/>
      <x v="611"/>
    </i>
    <i r="1">
      <x v="16"/>
      <x v="68"/>
      <x v="168"/>
      <x v="3098"/>
      <x v="611"/>
    </i>
    <i r="1">
      <x v="20"/>
      <x v="68"/>
      <x v="168"/>
      <x v="3314"/>
      <x v="611"/>
    </i>
    <i r="1">
      <x v="22"/>
      <x v="68"/>
      <x v="168"/>
      <x v="2748"/>
      <x v="611"/>
    </i>
    <i r="1">
      <x v="25"/>
      <x v="17"/>
      <x v="168"/>
      <x v="3564"/>
      <x v="596"/>
    </i>
    <i r="2">
      <x v="19"/>
      <x v="168"/>
      <x v="3393"/>
      <x v="611"/>
    </i>
    <i r="1">
      <x v="26"/>
      <x v="62"/>
      <x v="168"/>
      <x v="3319"/>
      <x v="611"/>
    </i>
    <i r="1">
      <x v="27"/>
      <x v="2"/>
      <x v="168"/>
      <x v="3209"/>
      <x v="611"/>
    </i>
    <i r="4">
      <x v="3443"/>
      <x v="611"/>
    </i>
    <i r="1">
      <x v="30"/>
      <x v="14"/>
      <x v="168"/>
      <x v="1243"/>
      <x v="611"/>
    </i>
    <i r="1">
      <x v="33"/>
      <x v="17"/>
      <x v="168"/>
      <x v="3564"/>
      <x v="462"/>
    </i>
    <i r="2">
      <x v="19"/>
      <x v="168"/>
      <x v="1957"/>
      <x v="611"/>
    </i>
    <i r="2">
      <x v="68"/>
      <x v="168"/>
      <x v="2116"/>
      <x v="611"/>
    </i>
    <i r="1">
      <x v="37"/>
      <x v="17"/>
      <x v="168"/>
      <x v="3564"/>
      <x v="538"/>
    </i>
    <i r="2">
      <x v="19"/>
      <x v="168"/>
      <x v="2748"/>
      <x v="611"/>
    </i>
    <i r="1">
      <x v="40"/>
      <x v="22"/>
      <x v="392"/>
      <x v="3544"/>
      <x v="611"/>
    </i>
    <i r="3">
      <x v="399"/>
      <x v="3509"/>
      <x v="611"/>
    </i>
    <i r="3">
      <x v="408"/>
      <x v="3550"/>
      <x v="611"/>
    </i>
    <i>
      <x v="324"/>
      <x/>
      <x v="19"/>
      <x v="166"/>
      <x v="1729"/>
      <x v="611"/>
    </i>
    <i r="1">
      <x v="2"/>
      <x v="19"/>
      <x v="166"/>
      <x v="674"/>
      <x v="611"/>
    </i>
    <i r="1">
      <x v="3"/>
      <x v="2"/>
      <x v="166"/>
      <x v="3209"/>
      <x v="611"/>
    </i>
    <i r="1">
      <x v="13"/>
      <x v="68"/>
      <x v="166"/>
      <x v="2930"/>
      <x v="611"/>
    </i>
    <i r="1">
      <x v="15"/>
      <x v="18"/>
      <x v="166"/>
      <x v="1061"/>
      <x v="611"/>
    </i>
    <i r="2">
      <x v="19"/>
      <x v="166"/>
      <x v="3084"/>
      <x v="611"/>
    </i>
    <i r="1">
      <x v="21"/>
      <x v="17"/>
      <x v="166"/>
      <x v="2051"/>
      <x v="611"/>
    </i>
    <i r="1">
      <x v="22"/>
      <x v="19"/>
      <x v="166"/>
      <x v="201"/>
      <x v="611"/>
    </i>
    <i r="1">
      <x v="24"/>
      <x v="17"/>
      <x v="166"/>
      <x v="1966"/>
      <x v="611"/>
    </i>
    <i r="1">
      <x v="31"/>
      <x v="17"/>
      <x v="166"/>
      <x v="2836"/>
      <x v="611"/>
    </i>
    <i r="2">
      <x v="19"/>
      <x v="166"/>
      <x v="3474"/>
      <x v="611"/>
    </i>
    <i r="1">
      <x v="33"/>
      <x v="17"/>
      <x v="166"/>
      <x v="2275"/>
      <x v="611"/>
    </i>
    <i r="2">
      <x v="18"/>
      <x v="166"/>
      <x v="3508"/>
      <x v="611"/>
    </i>
    <i r="1">
      <x v="37"/>
      <x v="19"/>
      <x v="166"/>
      <x v="943"/>
      <x v="611"/>
    </i>
    <i r="1">
      <x v="38"/>
      <x v="19"/>
      <x v="166"/>
      <x v="242"/>
      <x v="611"/>
    </i>
    <i r="1">
      <x v="40"/>
      <x v="17"/>
      <x v="166"/>
      <x v="1450"/>
      <x v="611"/>
    </i>
    <i r="2">
      <x v="18"/>
      <x v="166"/>
      <x v="1865"/>
      <x v="611"/>
    </i>
    <i r="4">
      <x v="2122"/>
      <x v="611"/>
    </i>
    <i r="4">
      <x v="2490"/>
      <x v="611"/>
    </i>
    <i r="4">
      <x v="2817"/>
      <x v="611"/>
    </i>
    <i r="4">
      <x v="2930"/>
      <x v="611"/>
    </i>
    <i r="2">
      <x v="22"/>
      <x v="378"/>
      <x v="3512"/>
      <x v="611"/>
    </i>
    <i r="3">
      <x v="432"/>
      <x v="3499"/>
      <x v="611"/>
    </i>
    <i r="3">
      <x v="434"/>
      <x v="3409"/>
      <x v="611"/>
    </i>
    <i>
      <x v="325"/>
      <x v="2"/>
      <x v="68"/>
      <x v="164"/>
      <x v="3208"/>
      <x v="611"/>
    </i>
    <i r="1">
      <x v="3"/>
      <x v="2"/>
      <x v="164"/>
      <x v="2969"/>
      <x v="611"/>
    </i>
    <i r="4">
      <x v="3209"/>
      <x v="611"/>
    </i>
    <i r="4">
      <x v="3443"/>
      <x v="611"/>
    </i>
    <i r="1">
      <x v="5"/>
      <x v="67"/>
      <x v="164"/>
      <x v="1935"/>
      <x v="611"/>
    </i>
    <i r="2">
      <x v="68"/>
      <x v="164"/>
      <x v="2878"/>
      <x v="611"/>
    </i>
    <i r="1">
      <x v="16"/>
      <x v="68"/>
      <x v="164"/>
      <x v="537"/>
      <x v="611"/>
    </i>
    <i r="1">
      <x v="22"/>
      <x v="68"/>
      <x v="164"/>
      <x v="2944"/>
      <x v="611"/>
    </i>
    <i r="1">
      <x v="27"/>
      <x v="2"/>
      <x v="164"/>
      <x v="2969"/>
      <x v="611"/>
    </i>
    <i r="4">
      <x v="3209"/>
      <x v="611"/>
    </i>
    <i r="4">
      <x v="3443"/>
      <x v="611"/>
    </i>
    <i r="1">
      <x v="40"/>
      <x v="22"/>
      <x v="378"/>
      <x v="3544"/>
      <x v="611"/>
    </i>
    <i r="2">
      <x v="68"/>
      <x v="164"/>
      <x v="2896"/>
      <x v="611"/>
    </i>
    <i r="4">
      <x v="3341"/>
      <x v="611"/>
    </i>
    <i r="4">
      <x v="3424"/>
      <x v="611"/>
    </i>
    <i>
      <x v="326"/>
      <x v="3"/>
      <x v="2"/>
      <x v="162"/>
      <x v="3443"/>
      <x v="611"/>
    </i>
    <i r="1">
      <x v="5"/>
      <x v="68"/>
      <x v="162"/>
      <x v="3167"/>
      <x v="611"/>
    </i>
    <i r="1">
      <x v="27"/>
      <x v="2"/>
      <x v="162"/>
      <x v="2969"/>
      <x v="611"/>
    </i>
    <i r="4">
      <x v="3209"/>
      <x v="611"/>
    </i>
    <i r="4">
      <x v="3443"/>
      <x v="611"/>
    </i>
    <i r="1">
      <x v="34"/>
      <x v="68"/>
      <x v="162"/>
      <x v="1054"/>
      <x v="611"/>
    </i>
    <i r="1">
      <x v="40"/>
      <x v="22"/>
      <x v="411"/>
      <x v="3274"/>
      <x v="611"/>
    </i>
    <i r="3">
      <x v="432"/>
      <x v="3514"/>
      <x v="611"/>
    </i>
    <i r="3">
      <x v="441"/>
      <x v="3379"/>
      <x v="611"/>
    </i>
    <i r="3">
      <x v="450"/>
      <x v="3543"/>
      <x v="611"/>
    </i>
    <i r="2">
      <x v="68"/>
      <x v="162"/>
      <x v="1408"/>
      <x v="611"/>
    </i>
    <i>
      <x v="327"/>
      <x v="2"/>
      <x v="68"/>
      <x v="160"/>
      <x v="3208"/>
      <x v="611"/>
    </i>
    <i r="1">
      <x v="3"/>
      <x v="2"/>
      <x v="160"/>
      <x v="3443"/>
      <x v="611"/>
    </i>
    <i r="1">
      <x v="7"/>
      <x v="14"/>
      <x v="160"/>
      <x v="170"/>
      <x v="611"/>
    </i>
    <i r="1">
      <x v="27"/>
      <x v="2"/>
      <x v="160"/>
      <x v="2486"/>
      <x v="611"/>
    </i>
    <i r="4">
      <x v="2690"/>
      <x v="611"/>
    </i>
    <i r="4">
      <x v="3209"/>
      <x v="611"/>
    </i>
    <i r="4">
      <x v="3443"/>
      <x v="611"/>
    </i>
    <i r="2">
      <x v="68"/>
      <x v="160"/>
      <x v="691"/>
      <x v="611"/>
    </i>
    <i r="4">
      <x v="1080"/>
      <x v="611"/>
    </i>
    <i r="4">
      <x v="1231"/>
      <x v="611"/>
    </i>
    <i r="1">
      <x v="34"/>
      <x v="68"/>
      <x v="160"/>
      <x v="2536"/>
      <x v="611"/>
    </i>
    <i r="1">
      <x v="40"/>
      <x v="22"/>
      <x v="412"/>
      <x v="3550"/>
      <x v="611"/>
    </i>
    <i r="3">
      <x v="418"/>
      <x v="2896"/>
      <x v="611"/>
    </i>
    <i r="3">
      <x v="450"/>
      <x v="3509"/>
      <x v="611"/>
    </i>
    <i r="2">
      <x v="68"/>
      <x v="160"/>
      <x v="3341"/>
      <x v="611"/>
    </i>
    <i>
      <x v="328"/>
      <x v="3"/>
      <x v="2"/>
      <x v="158"/>
      <x v="3443"/>
      <x v="611"/>
    </i>
    <i r="1">
      <x v="22"/>
      <x v="68"/>
      <x v="158"/>
      <x v="336"/>
      <x v="611"/>
    </i>
    <i r="1">
      <x v="27"/>
      <x v="2"/>
      <x v="158"/>
      <x v="1814"/>
      <x v="611"/>
    </i>
    <i r="4">
      <x v="2150"/>
      <x v="611"/>
    </i>
    <i r="4">
      <x v="2969"/>
      <x v="611"/>
    </i>
    <i r="4">
      <x v="3209"/>
      <x v="611"/>
    </i>
    <i r="4">
      <x v="3443"/>
      <x v="611"/>
    </i>
    <i r="1">
      <x v="33"/>
      <x v="68"/>
      <x v="158"/>
      <x v="212"/>
      <x v="611"/>
    </i>
    <i r="1">
      <x v="37"/>
      <x v="68"/>
      <x v="158"/>
      <x v="1620"/>
      <x v="611"/>
    </i>
    <i r="1">
      <x v="38"/>
      <x v="2"/>
      <x v="158"/>
      <x v="1204"/>
      <x v="611"/>
    </i>
    <i r="2">
      <x v="14"/>
      <x v="158"/>
      <x v="1911"/>
      <x v="611"/>
    </i>
    <i r="1">
      <x v="40"/>
      <x v="68"/>
      <x v="158"/>
      <x v="2644"/>
      <x v="611"/>
    </i>
    <i r="4">
      <x v="3341"/>
      <x v="611"/>
    </i>
    <i>
      <x v="329"/>
      <x v="3"/>
      <x v="2"/>
      <x v="156"/>
      <x v="3443"/>
      <x v="611"/>
    </i>
    <i r="1">
      <x v="15"/>
      <x v="14"/>
      <x v="156"/>
      <x v="1235"/>
      <x v="611"/>
    </i>
    <i r="1">
      <x v="16"/>
      <x v="2"/>
      <x v="156"/>
      <x v="2266"/>
      <x v="611"/>
    </i>
    <i r="1">
      <x v="20"/>
      <x v="14"/>
      <x v="156"/>
      <x v="1924"/>
      <x v="611"/>
    </i>
    <i r="1">
      <x v="24"/>
      <x v="19"/>
      <x v="156"/>
      <x v="148"/>
      <x v="611"/>
    </i>
    <i r="2">
      <x v="68"/>
      <x v="156"/>
      <x v="2486"/>
      <x v="611"/>
    </i>
    <i r="1">
      <x v="27"/>
      <x v="2"/>
      <x v="156"/>
      <x v="2150"/>
      <x v="611"/>
    </i>
    <i r="4">
      <x v="2305"/>
      <x v="611"/>
    </i>
    <i r="4">
      <x v="2486"/>
      <x v="611"/>
    </i>
    <i r="4">
      <x v="2690"/>
      <x v="611"/>
    </i>
    <i r="4">
      <x v="2969"/>
      <x v="611"/>
    </i>
    <i r="4">
      <x v="3209"/>
      <x v="611"/>
    </i>
    <i r="1">
      <x v="31"/>
      <x v="19"/>
      <x v="156"/>
      <x v="3280"/>
      <x v="611"/>
    </i>
    <i r="1">
      <x v="35"/>
      <x v="19"/>
      <x v="156"/>
      <x v="1089"/>
      <x v="611"/>
    </i>
    <i r="1">
      <x v="40"/>
      <x v="22"/>
      <x v="392"/>
      <x v="3550"/>
      <x v="611"/>
    </i>
    <i r="3">
      <x v="397"/>
      <x v="3546"/>
      <x v="611"/>
    </i>
    <i>
      <x v="330"/>
      <x v="1"/>
      <x v="68"/>
      <x v="152"/>
      <x v="3130"/>
      <x v="611"/>
    </i>
    <i r="1">
      <x v="3"/>
      <x v="2"/>
      <x v="152"/>
      <x v="3209"/>
      <x v="611"/>
    </i>
    <i r="4">
      <x v="3443"/>
      <x v="611"/>
    </i>
    <i r="1">
      <x v="5"/>
      <x v="14"/>
      <x v="152"/>
      <x v="2748"/>
      <x v="611"/>
    </i>
    <i r="2">
      <x v="68"/>
      <x v="152"/>
      <x v="3437"/>
      <x v="611"/>
    </i>
    <i r="1">
      <x v="20"/>
      <x v="14"/>
      <x v="152"/>
      <x v="2036"/>
      <x v="611"/>
    </i>
    <i r="1">
      <x v="24"/>
      <x v="19"/>
      <x v="152"/>
      <x v="942"/>
      <x v="611"/>
    </i>
    <i r="1">
      <x v="27"/>
      <x v="2"/>
      <x v="152"/>
      <x v="2150"/>
      <x v="611"/>
    </i>
    <i r="4">
      <x v="2690"/>
      <x v="611"/>
    </i>
    <i r="4">
      <x v="3209"/>
      <x v="611"/>
    </i>
    <i r="4">
      <x v="3443"/>
      <x v="611"/>
    </i>
    <i r="2">
      <x v="17"/>
      <x v="152"/>
      <x v="3564"/>
      <x v="599"/>
    </i>
    <i r="2">
      <x v="56"/>
      <x v="153"/>
      <x v="3188"/>
      <x v="611"/>
    </i>
    <i r="1">
      <x v="40"/>
      <x v="14"/>
      <x v="152"/>
      <x v="1077"/>
      <x v="611"/>
    </i>
    <i r="4">
      <x v="2748"/>
      <x v="611"/>
    </i>
    <i r="2">
      <x v="18"/>
      <x v="152"/>
      <x v="1911"/>
      <x v="611"/>
    </i>
    <i r="4">
      <x v="2490"/>
      <x v="611"/>
    </i>
    <i r="2">
      <x v="22"/>
      <x v="385"/>
      <x v="3460"/>
      <x v="611"/>
    </i>
    <i>
      <x v="331"/>
      <x v="3"/>
      <x v="2"/>
      <x v="150"/>
      <x v="3443"/>
      <x v="611"/>
    </i>
    <i r="1">
      <x v="16"/>
      <x v="68"/>
      <x v="150"/>
      <x v="1801"/>
      <x v="611"/>
    </i>
    <i r="1">
      <x v="24"/>
      <x v="68"/>
      <x v="150"/>
      <x v="3209"/>
      <x v="611"/>
    </i>
    <i r="1">
      <x v="27"/>
      <x v="2"/>
      <x v="150"/>
      <x v="2690"/>
      <x v="611"/>
    </i>
    <i r="4">
      <x v="2969"/>
      <x v="611"/>
    </i>
    <i r="4">
      <x v="3209"/>
      <x v="611"/>
    </i>
    <i r="4">
      <x v="3443"/>
      <x v="611"/>
    </i>
    <i r="1">
      <x v="40"/>
      <x v="68"/>
      <x v="150"/>
      <x v="2486"/>
      <x v="611"/>
    </i>
    <i>
      <x v="332"/>
      <x v="3"/>
      <x v="2"/>
      <x v="148"/>
      <x v="3209"/>
      <x v="611"/>
    </i>
    <i r="1">
      <x v="25"/>
      <x v="14"/>
      <x v="148"/>
      <x v="20"/>
      <x v="611"/>
    </i>
    <i r="1">
      <x v="27"/>
      <x v="2"/>
      <x v="148"/>
      <x v="3209"/>
      <x v="611"/>
    </i>
    <i r="4">
      <x v="3443"/>
      <x v="611"/>
    </i>
    <i r="1">
      <x v="40"/>
      <x v="22"/>
      <x v="391"/>
      <x v="3550"/>
      <x v="611"/>
    </i>
    <i r="3">
      <x v="420"/>
      <x v="3550"/>
      <x v="611"/>
    </i>
    <i r="3">
      <x v="431"/>
      <x v="2239"/>
      <x v="611"/>
    </i>
    <i r="3">
      <x v="439"/>
      <x v="3239"/>
      <x v="611"/>
    </i>
    <i>
      <x v="333"/>
      <x v="2"/>
      <x v="17"/>
      <x v="146"/>
      <x v="2765"/>
      <x v="611"/>
    </i>
    <i r="1">
      <x v="3"/>
      <x v="2"/>
      <x v="146"/>
      <x v="3443"/>
      <x v="611"/>
    </i>
    <i r="1">
      <x v="5"/>
      <x v="17"/>
      <x v="146"/>
      <x v="1601"/>
      <x v="611"/>
    </i>
    <i r="2">
      <x v="18"/>
      <x v="146"/>
      <x v="2690"/>
      <x v="611"/>
    </i>
    <i r="1">
      <x v="10"/>
      <x v="67"/>
      <x v="146"/>
      <x v="2259"/>
      <x v="611"/>
    </i>
    <i r="1">
      <x v="16"/>
      <x v="14"/>
      <x v="146"/>
      <x v="3098"/>
      <x v="611"/>
    </i>
    <i r="1">
      <x v="22"/>
      <x v="16"/>
      <x v="146"/>
      <x v="3102"/>
      <x v="611"/>
    </i>
    <i r="2">
      <x v="17"/>
      <x v="146"/>
      <x v="1619"/>
      <x v="611"/>
    </i>
    <i r="1">
      <x v="24"/>
      <x v="16"/>
      <x v="146"/>
      <x v="3227"/>
      <x v="611"/>
    </i>
    <i r="2">
      <x v="17"/>
      <x v="146"/>
      <x v="2960"/>
      <x v="611"/>
    </i>
    <i r="2">
      <x v="68"/>
      <x v="146"/>
      <x v="2027"/>
      <x v="611"/>
    </i>
    <i r="1">
      <x v="25"/>
      <x v="68"/>
      <x v="146"/>
      <x v="3278"/>
      <x v="611"/>
    </i>
    <i r="1">
      <x v="27"/>
      <x v="2"/>
      <x v="146"/>
      <x v="2969"/>
      <x v="611"/>
    </i>
    <i r="4">
      <x v="3209"/>
      <x v="611"/>
    </i>
    <i r="4">
      <x v="3443"/>
      <x v="611"/>
    </i>
    <i r="1">
      <x v="28"/>
      <x v="18"/>
      <x v="146"/>
      <x v="2858"/>
      <x v="611"/>
    </i>
    <i r="1">
      <x v="31"/>
      <x v="17"/>
      <x v="146"/>
      <x v="3219"/>
      <x v="611"/>
    </i>
    <i r="1">
      <x v="33"/>
      <x v="68"/>
      <x v="146"/>
      <x v="3055"/>
      <x v="611"/>
    </i>
    <i r="1">
      <x v="35"/>
      <x v="67"/>
      <x v="146"/>
      <x v="1621"/>
      <x v="611"/>
    </i>
    <i r="1">
      <x v="37"/>
      <x v="17"/>
      <x v="146"/>
      <x v="1994"/>
      <x v="611"/>
    </i>
    <i r="2">
      <x v="67"/>
      <x v="146"/>
      <x v="1621"/>
      <x v="611"/>
    </i>
    <i r="2">
      <x v="68"/>
      <x v="146"/>
      <x v="3393"/>
      <x v="611"/>
    </i>
    <i r="1">
      <x v="40"/>
      <x v="14"/>
      <x v="146"/>
      <x v="2996"/>
      <x v="611"/>
    </i>
    <i r="2">
      <x v="17"/>
      <x v="146"/>
      <x v="1910"/>
      <x v="611"/>
    </i>
    <i r="4">
      <x v="2027"/>
      <x v="611"/>
    </i>
    <i r="4">
      <x v="3454"/>
      <x v="611"/>
    </i>
    <i r="2">
      <x v="18"/>
      <x v="146"/>
      <x v="1702"/>
      <x v="611"/>
    </i>
    <i r="4">
      <x v="1745"/>
      <x v="611"/>
    </i>
    <i r="4">
      <x v="2587"/>
      <x v="611"/>
    </i>
    <i r="4">
      <x v="2604"/>
      <x v="611"/>
    </i>
    <i r="4">
      <x v="2644"/>
      <x v="611"/>
    </i>
    <i r="4">
      <x v="2685"/>
      <x v="611"/>
    </i>
    <i r="4">
      <x v="3058"/>
      <x v="611"/>
    </i>
    <i r="4">
      <x v="3232"/>
      <x v="611"/>
    </i>
    <i r="4">
      <x v="3252"/>
      <x v="611"/>
    </i>
    <i r="4">
      <x v="3371"/>
      <x v="611"/>
    </i>
    <i>
      <x v="334"/>
      <x v="5"/>
      <x v="68"/>
      <x v="144"/>
      <x v="3387"/>
      <x v="611"/>
    </i>
    <i r="1">
      <x v="20"/>
      <x v="67"/>
      <x v="144"/>
      <x v="824"/>
      <x v="611"/>
    </i>
    <i r="1">
      <x v="27"/>
      <x v="2"/>
      <x v="144"/>
      <x v="2969"/>
      <x v="611"/>
    </i>
    <i r="4">
      <x v="3443"/>
      <x v="611"/>
    </i>
    <i r="1">
      <x v="34"/>
      <x v="68"/>
      <x v="144"/>
      <x v="1802"/>
      <x v="611"/>
    </i>
    <i r="1">
      <x v="40"/>
      <x v="17"/>
      <x v="144"/>
      <x v="3564"/>
      <x v="468"/>
    </i>
    <i r="2">
      <x v="22"/>
      <x v="390"/>
      <x v="3451"/>
      <x v="611"/>
    </i>
    <i r="3">
      <x v="391"/>
      <x v="3550"/>
      <x v="611"/>
    </i>
    <i r="3">
      <x v="403"/>
      <x v="2390"/>
      <x v="611"/>
    </i>
    <i r="3">
      <x v="428"/>
      <x v="3528"/>
      <x v="611"/>
    </i>
    <i>
      <x v="335"/>
      <x v="3"/>
      <x v="43"/>
      <x v="141"/>
      <x v="566"/>
      <x v="611"/>
    </i>
    <i r="4">
      <x v="1260"/>
      <x v="611"/>
    </i>
    <i r="4">
      <x v="1336"/>
      <x v="611"/>
    </i>
    <i r="4">
      <x v="1352"/>
      <x v="611"/>
    </i>
    <i r="4">
      <x v="1511"/>
      <x v="611"/>
    </i>
    <i r="4">
      <x v="1732"/>
      <x v="611"/>
    </i>
    <i r="4">
      <x v="1806"/>
      <x v="611"/>
    </i>
    <i r="4">
      <x v="2001"/>
      <x v="611"/>
    </i>
    <i r="4">
      <x v="2033"/>
      <x v="611"/>
    </i>
    <i r="4">
      <x v="2074"/>
      <x v="611"/>
    </i>
    <i r="4">
      <x v="2286"/>
      <x v="611"/>
    </i>
    <i r="4">
      <x v="2346"/>
      <x v="611"/>
    </i>
    <i r="4">
      <x v="2387"/>
      <x v="611"/>
    </i>
    <i r="4">
      <x v="2843"/>
      <x v="611"/>
    </i>
    <i r="4">
      <x v="2909"/>
      <x v="611"/>
    </i>
    <i r="4">
      <x v="2983"/>
      <x v="611"/>
    </i>
    <i r="4">
      <x v="2993"/>
      <x v="611"/>
    </i>
    <i r="4">
      <x v="3091"/>
      <x v="611"/>
    </i>
    <i r="4">
      <x v="3112"/>
      <x v="611"/>
    </i>
    <i r="4">
      <x v="3269"/>
      <x v="611"/>
    </i>
    <i r="4">
      <x v="3498"/>
      <x v="611"/>
    </i>
    <i r="1">
      <x v="5"/>
      <x v="68"/>
      <x v="140"/>
      <x v="2613"/>
      <x v="611"/>
    </i>
    <i r="1">
      <x v="15"/>
      <x v="43"/>
      <x v="141"/>
      <x v="874"/>
      <x v="611"/>
    </i>
    <i r="1">
      <x v="16"/>
      <x v="43"/>
      <x v="141"/>
      <x v="136"/>
      <x v="611"/>
    </i>
    <i r="2">
      <x v="68"/>
      <x v="140"/>
      <x v="3303"/>
      <x v="611"/>
    </i>
    <i r="1">
      <x v="24"/>
      <x v="43"/>
      <x v="141"/>
      <x v="81"/>
      <x v="611"/>
    </i>
    <i r="2">
      <x v="68"/>
      <x v="140"/>
      <x v="504"/>
      <x v="611"/>
    </i>
    <i r="1">
      <x v="25"/>
      <x v="2"/>
      <x v="140"/>
      <x v="2495"/>
      <x v="611"/>
    </i>
    <i r="2">
      <x v="43"/>
      <x v="141"/>
      <x v="3076"/>
      <x v="611"/>
    </i>
    <i r="1">
      <x v="27"/>
      <x v="2"/>
      <x v="140"/>
      <x v="3443"/>
      <x v="611"/>
    </i>
    <i r="2">
      <x v="43"/>
      <x v="141"/>
      <x v="141"/>
      <x v="611"/>
    </i>
    <i r="4">
      <x v="204"/>
      <x v="611"/>
    </i>
    <i r="4">
      <x v="219"/>
      <x v="611"/>
    </i>
    <i r="4">
      <x v="231"/>
      <x v="611"/>
    </i>
    <i r="4">
      <x v="317"/>
      <x v="611"/>
    </i>
    <i r="4">
      <x v="371"/>
      <x v="611"/>
    </i>
    <i r="4">
      <x v="400"/>
      <x v="611"/>
    </i>
    <i r="4">
      <x v="460"/>
      <x v="611"/>
    </i>
    <i r="4">
      <x v="471"/>
      <x v="611"/>
    </i>
    <i r="4">
      <x v="479"/>
      <x v="611"/>
    </i>
    <i r="4">
      <x v="533"/>
      <x v="611"/>
    </i>
    <i r="4">
      <x v="539"/>
      <x v="611"/>
    </i>
    <i r="4">
      <x v="576"/>
      <x v="611"/>
    </i>
    <i r="4">
      <x v="784"/>
      <x v="611"/>
    </i>
    <i r="4">
      <x v="834"/>
      <x v="611"/>
    </i>
    <i r="4">
      <x v="847"/>
      <x v="611"/>
    </i>
    <i r="4">
      <x v="861"/>
      <x v="611"/>
    </i>
    <i r="4">
      <x v="869"/>
      <x v="611"/>
    </i>
    <i r="4">
      <x v="879"/>
      <x v="611"/>
    </i>
    <i r="4">
      <x v="1107"/>
      <x v="611"/>
    </i>
    <i r="4">
      <x v="1733"/>
      <x v="611"/>
    </i>
    <i r="4">
      <x v="1767"/>
      <x v="611"/>
    </i>
    <i r="4">
      <x v="2428"/>
      <x v="611"/>
    </i>
    <i r="4">
      <x v="2486"/>
      <x v="611"/>
    </i>
    <i r="4">
      <x v="2895"/>
      <x v="611"/>
    </i>
    <i r="4">
      <x v="2987"/>
      <x v="611"/>
    </i>
    <i r="4">
      <x v="3184"/>
      <x v="611"/>
    </i>
    <i r="4">
      <x v="3254"/>
      <x v="611"/>
    </i>
    <i r="4">
      <x v="3259"/>
      <x v="611"/>
    </i>
    <i r="4">
      <x v="3287"/>
      <x v="611"/>
    </i>
    <i r="2">
      <x v="68"/>
      <x v="140"/>
      <x v="3550"/>
      <x v="611"/>
    </i>
    <i r="1">
      <x v="37"/>
      <x v="14"/>
      <x v="140"/>
      <x v="2900"/>
      <x v="611"/>
    </i>
    <i r="2">
      <x v="43"/>
      <x v="141"/>
      <x v="2246"/>
      <x v="611"/>
    </i>
    <i r="2">
      <x v="68"/>
      <x v="140"/>
      <x v="3280"/>
      <x v="611"/>
    </i>
    <i r="1">
      <x v="38"/>
      <x v="43"/>
      <x v="141"/>
      <x v="91"/>
      <x v="611"/>
    </i>
    <i r="1">
      <x v="40"/>
      <x v="22"/>
      <x v="378"/>
      <x v="3544"/>
      <x v="611"/>
    </i>
    <i r="3">
      <x v="381"/>
      <x v="3351"/>
      <x v="611"/>
    </i>
    <i r="3">
      <x v="394"/>
      <x v="3418"/>
      <x v="611"/>
    </i>
    <i r="3">
      <x v="397"/>
      <x v="3546"/>
      <x v="611"/>
    </i>
    <i r="3">
      <x v="410"/>
      <x v="3198"/>
      <x v="611"/>
    </i>
    <i r="3">
      <x v="430"/>
      <x v="3043"/>
      <x v="611"/>
    </i>
    <i r="3">
      <x v="433"/>
      <x v="3418"/>
      <x v="611"/>
    </i>
    <i r="3">
      <x v="438"/>
      <x v="3339"/>
      <x v="611"/>
    </i>
    <i r="2">
      <x v="43"/>
      <x v="141"/>
      <x v="1893"/>
      <x v="611"/>
    </i>
    <i r="4">
      <x v="1965"/>
      <x v="611"/>
    </i>
    <i r="4">
      <x v="2034"/>
      <x v="611"/>
    </i>
    <i r="4">
      <x v="2200"/>
      <x v="611"/>
    </i>
    <i r="4">
      <x v="2236"/>
      <x v="611"/>
    </i>
    <i r="4">
      <x v="2294"/>
      <x v="611"/>
    </i>
    <i r="2">
      <x v="68"/>
      <x v="140"/>
      <x v="3123"/>
      <x v="611"/>
    </i>
    <i>
      <x v="336"/>
      <x v="3"/>
      <x v="2"/>
      <x v="137"/>
      <x v="2969"/>
      <x v="611"/>
    </i>
    <i r="4">
      <x v="3209"/>
      <x v="611"/>
    </i>
    <i r="1">
      <x v="11"/>
      <x v="2"/>
      <x v="137"/>
      <x v="3139"/>
      <x v="611"/>
    </i>
    <i r="1">
      <x v="24"/>
      <x v="14"/>
      <x v="137"/>
      <x v="2858"/>
      <x v="611"/>
    </i>
    <i r="2">
      <x v="18"/>
      <x v="137"/>
      <x v="1664"/>
      <x v="611"/>
    </i>
    <i r="2">
      <x v="68"/>
      <x v="137"/>
      <x v="1526"/>
      <x v="611"/>
    </i>
    <i r="1">
      <x v="25"/>
      <x v="68"/>
      <x v="137"/>
      <x v="1868"/>
      <x v="611"/>
    </i>
    <i r="1">
      <x v="27"/>
      <x v="2"/>
      <x v="137"/>
      <x v="2690"/>
      <x v="611"/>
    </i>
    <i r="4">
      <x v="3209"/>
      <x v="611"/>
    </i>
    <i r="4">
      <x v="3443"/>
      <x v="611"/>
    </i>
    <i r="2">
      <x v="68"/>
      <x v="137"/>
      <x v="3491"/>
      <x v="611"/>
    </i>
    <i r="4">
      <x v="3550"/>
      <x v="611"/>
    </i>
    <i r="1">
      <x v="34"/>
      <x v="68"/>
      <x v="137"/>
      <x v="2174"/>
      <x v="611"/>
    </i>
    <i r="1">
      <x v="38"/>
      <x v="14"/>
      <x v="137"/>
      <x v="2375"/>
      <x v="611"/>
    </i>
    <i r="1">
      <x v="40"/>
      <x v="2"/>
      <x v="137"/>
      <x v="3209"/>
      <x v="611"/>
    </i>
    <i r="2">
      <x v="17"/>
      <x v="137"/>
      <x v="1449"/>
      <x v="611"/>
    </i>
    <i r="4">
      <x v="2490"/>
      <x v="611"/>
    </i>
    <i r="4">
      <x v="2588"/>
      <x v="611"/>
    </i>
    <i r="4">
      <x v="2862"/>
      <x v="611"/>
    </i>
    <i r="4">
      <x v="2886"/>
      <x v="611"/>
    </i>
    <i r="4">
      <x v="3032"/>
      <x v="611"/>
    </i>
    <i r="2">
      <x v="18"/>
      <x v="137"/>
      <x v="1297"/>
      <x v="611"/>
    </i>
    <i r="4">
      <x v="1518"/>
      <x v="611"/>
    </i>
    <i r="4">
      <x v="1675"/>
      <x v="611"/>
    </i>
    <i r="4">
      <x v="1853"/>
      <x v="611"/>
    </i>
    <i r="4">
      <x v="1946"/>
      <x v="611"/>
    </i>
    <i r="4">
      <x v="1991"/>
      <x v="611"/>
    </i>
    <i r="4">
      <x v="2748"/>
      <x v="611"/>
    </i>
    <i r="4">
      <x v="3142"/>
      <x v="611"/>
    </i>
    <i r="2">
      <x v="22"/>
      <x v="408"/>
      <x v="3460"/>
      <x v="611"/>
    </i>
    <i r="3">
      <x v="432"/>
      <x v="3259"/>
      <x v="611"/>
    </i>
    <i r="3">
      <x v="440"/>
      <x v="3341"/>
      <x v="611"/>
    </i>
    <i r="3">
      <x v="442"/>
      <x v="3437"/>
      <x v="611"/>
    </i>
    <i r="2">
      <x v="68"/>
      <x v="137"/>
      <x v="102"/>
      <x v="611"/>
    </i>
    <i r="4">
      <x v="2347"/>
      <x v="611"/>
    </i>
    <i r="4">
      <x v="3341"/>
      <x v="611"/>
    </i>
    <i r="4">
      <x v="3550"/>
      <x v="611"/>
    </i>
    <i>
      <x v="337"/>
      <x v="3"/>
      <x v="2"/>
      <x v="135"/>
      <x v="3443"/>
      <x v="611"/>
    </i>
    <i r="1">
      <x v="27"/>
      <x v="2"/>
      <x v="135"/>
      <x v="2969"/>
      <x v="611"/>
    </i>
    <i r="4">
      <x v="3209"/>
      <x v="611"/>
    </i>
    <i r="4">
      <x v="3443"/>
      <x v="611"/>
    </i>
    <i r="1">
      <x v="40"/>
      <x v="22"/>
      <x v="393"/>
      <x v="3460"/>
      <x v="611"/>
    </i>
    <i r="3">
      <x v="445"/>
      <x v="3422"/>
      <x v="611"/>
    </i>
    <i>
      <x v="338"/>
      <x v="3"/>
      <x v="2"/>
      <x v="132"/>
      <x v="3443"/>
      <x v="611"/>
    </i>
    <i r="1">
      <x v="5"/>
      <x v="67"/>
      <x v="132"/>
      <x v="1353"/>
      <x v="611"/>
    </i>
    <i r="1">
      <x v="24"/>
      <x v="19"/>
      <x v="132"/>
      <x v="3564"/>
      <x v="519"/>
    </i>
    <i r="1">
      <x v="25"/>
      <x v="14"/>
      <x v="132"/>
      <x v="171"/>
      <x v="611"/>
    </i>
    <i r="2">
      <x v="56"/>
      <x v="133"/>
      <x v="1400"/>
      <x v="611"/>
    </i>
    <i r="1">
      <x v="27"/>
      <x v="2"/>
      <x v="132"/>
      <x v="3443"/>
      <x v="611"/>
    </i>
    <i r="1">
      <x v="34"/>
      <x v="68"/>
      <x v="132"/>
      <x v="2587"/>
      <x v="611"/>
    </i>
    <i r="1">
      <x v="35"/>
      <x v="67"/>
      <x v="132"/>
      <x v="1232"/>
      <x v="611"/>
    </i>
    <i r="2">
      <x v="68"/>
      <x v="132"/>
      <x v="2486"/>
      <x v="611"/>
    </i>
    <i r="1">
      <x v="40"/>
      <x v="17"/>
      <x v="132"/>
      <x v="1367"/>
      <x v="611"/>
    </i>
    <i r="2">
      <x v="19"/>
      <x v="132"/>
      <x v="3564"/>
      <x v="519"/>
    </i>
    <i r="2">
      <x v="22"/>
      <x v="392"/>
      <x v="3460"/>
      <x v="611"/>
    </i>
    <i r="3">
      <x v="411"/>
      <x v="3471"/>
      <x v="611"/>
    </i>
    <i r="3">
      <x v="420"/>
      <x v="3550"/>
      <x v="611"/>
    </i>
    <i r="3">
      <x v="424"/>
      <x v="3418"/>
      <x v="611"/>
    </i>
    <i r="3">
      <x v="435"/>
      <x v="3341"/>
      <x v="611"/>
    </i>
    <i r="3">
      <x v="445"/>
      <x v="3422"/>
      <x v="611"/>
    </i>
    <i>
      <x v="339"/>
      <x v="13"/>
      <x v="68"/>
      <x v="129"/>
      <x v="2264"/>
      <x v="611"/>
    </i>
    <i r="1">
      <x v="24"/>
      <x v="62"/>
      <x v="129"/>
      <x v="1786"/>
      <x v="611"/>
    </i>
    <i r="2">
      <x v="68"/>
      <x v="129"/>
      <x v="2690"/>
      <x v="611"/>
    </i>
    <i r="1">
      <x v="25"/>
      <x v="14"/>
      <x v="129"/>
      <x v="171"/>
      <x v="611"/>
    </i>
    <i r="2">
      <x v="18"/>
      <x v="129"/>
      <x v="3564"/>
      <x v="127"/>
    </i>
    <i r="2">
      <x v="56"/>
      <x v="130"/>
      <x v="1292"/>
      <x v="611"/>
    </i>
    <i r="1">
      <x v="27"/>
      <x v="2"/>
      <x v="129"/>
      <x v="2486"/>
      <x v="611"/>
    </i>
    <i r="4">
      <x v="2690"/>
      <x v="611"/>
    </i>
    <i r="4">
      <x v="2969"/>
      <x v="611"/>
    </i>
    <i r="4">
      <x v="3209"/>
      <x v="611"/>
    </i>
    <i r="4">
      <x v="3443"/>
      <x v="611"/>
    </i>
    <i r="2">
      <x v="68"/>
      <x v="129"/>
      <x v="363"/>
      <x v="611"/>
    </i>
    <i r="1">
      <x v="37"/>
      <x v="68"/>
      <x v="129"/>
      <x v="1503"/>
      <x v="611"/>
    </i>
    <i r="1">
      <x v="40"/>
      <x v="2"/>
      <x v="129"/>
      <x v="3443"/>
      <x v="611"/>
    </i>
    <i r="2">
      <x v="21"/>
      <x v="398"/>
      <x v="2434"/>
      <x v="611"/>
    </i>
    <i r="2">
      <x v="22"/>
      <x v="392"/>
      <x v="3250"/>
      <x v="611"/>
    </i>
    <i r="3">
      <x v="394"/>
      <x v="3418"/>
      <x v="611"/>
    </i>
    <i r="3">
      <x v="412"/>
      <x v="3387"/>
      <x v="611"/>
    </i>
    <i r="3">
      <x v="439"/>
      <x v="3509"/>
      <x v="611"/>
    </i>
    <i r="2">
      <x v="68"/>
      <x v="129"/>
      <x v="1080"/>
      <x v="611"/>
    </i>
    <i r="4">
      <x v="1497"/>
      <x v="611"/>
    </i>
    <i r="4">
      <x v="3123"/>
      <x v="611"/>
    </i>
    <i>
      <x v="340"/>
      <x v="40"/>
      <x v="22"/>
      <x v="387"/>
      <x v="3439"/>
      <x v="611"/>
    </i>
    <i r="3">
      <x v="388"/>
      <x v="3038"/>
      <x v="611"/>
    </i>
    <i r="3">
      <x v="445"/>
      <x v="3518"/>
      <x v="611"/>
    </i>
  </rowItems>
  <colItems count="1">
    <i/>
  </colItems>
  <pageFields count="3">
    <pageField fld="4" hier="-1"/>
    <pageField fld="3" hier="-1"/>
    <pageField fld="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location ref="B7:D13" firstHeaderRow="0" firstDataRow="1" firstDataCol="1" rowPageCount="2" colPageCount="1"/>
  <pivotFields count="6">
    <pivotField axis="axisPage" showAl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t="default"/>
      </items>
    </pivotField>
    <pivotField showAll="0"/>
    <pivotField axis="axisRow" showAll="0" sortType="descending">
      <items count="7">
        <item x="2"/>
        <item x="5"/>
        <item x="1"/>
        <item x="3"/>
        <item x="0"/>
        <item x="4"/>
        <item t="default"/>
      </items>
    </pivotField>
    <pivotField dataField="1" showAll="0"/>
    <pivotField dataField="1" showAll="0"/>
    <pivotField axis="axisPage" showAll="0">
      <items count="2">
        <item x="0"/>
        <item t="default"/>
      </items>
    </pivotField>
  </pivotFields>
  <rowFields count="1">
    <field x="2"/>
  </rowFields>
  <rowItems count="6">
    <i>
      <x/>
    </i>
    <i>
      <x v="1"/>
    </i>
    <i>
      <x v="2"/>
    </i>
    <i>
      <x v="3"/>
    </i>
    <i>
      <x v="4"/>
    </i>
    <i>
      <x v="5"/>
    </i>
  </rowItems>
  <colFields count="1">
    <field x="-2"/>
  </colFields>
  <colItems count="2">
    <i>
      <x/>
    </i>
    <i i="1">
      <x v="1"/>
    </i>
  </colItems>
  <pageFields count="2">
    <pageField fld="5" hier="-1"/>
    <pageField fld="0" hier="-1"/>
  </pageFields>
  <dataFields count="2">
    <dataField name="Suma de Balance" fld="3" baseField="2" baseItem="0" numFmtId="168"/>
    <dataField name="Suma de Plan" fld="4" baseField="2" baseItem="0"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T2" cacheId="1" applyNumberFormats="0" applyBorderFormats="0" applyFontFormats="0" applyPatternFormats="0" applyAlignmentFormats="0" applyWidthHeightFormats="1" dataCaption="Valores" updatedVersion="5" minRefreshableVersion="3" rowGrandTotals="0" itemPrintTitles="1" createdVersion="5" indent="0" compact="0" compactData="0" multipleFieldFilters="0" fieldListSortAscending="1">
  <location ref="H27:N36" firstHeaderRow="0" firstDataRow="1" firstDataCol="5" rowPageCount="2" colPageCount="1"/>
  <pivotFields count="15">
    <pivotField axis="axisRow" compact="0" numFmtId="166" outline="0" showAll="0" defaultSubtotal="0">
      <items count="368">
        <item x="305"/>
        <item x="152"/>
        <item x="91"/>
        <item x="213"/>
        <item x="31"/>
        <item x="366"/>
        <item x="244"/>
        <item x="274"/>
        <item x="304"/>
        <item x="335"/>
        <item x="151"/>
        <item x="90"/>
        <item x="182"/>
        <item x="212"/>
        <item x="30"/>
        <item x="365"/>
        <item x="243"/>
        <item x="121"/>
        <item x="273"/>
        <item x="303"/>
        <item x="334"/>
        <item x="150"/>
        <item x="89"/>
        <item x="181"/>
        <item x="211"/>
        <item x="60"/>
        <item x="29"/>
        <item x="364"/>
        <item x="242"/>
        <item x="120"/>
        <item x="272"/>
        <item x="302"/>
        <item x="333"/>
        <item x="149"/>
        <item x="88"/>
        <item x="180"/>
        <item x="210"/>
        <item x="59"/>
        <item x="28"/>
        <item x="363"/>
        <item x="241"/>
        <item x="119"/>
        <item x="271"/>
        <item x="301"/>
        <item x="332"/>
        <item x="148"/>
        <item x="87"/>
        <item x="179"/>
        <item x="209"/>
        <item x="58"/>
        <item x="27"/>
        <item x="362"/>
        <item x="240"/>
        <item x="118"/>
        <item x="270"/>
        <item x="300"/>
        <item x="331"/>
        <item x="147"/>
        <item x="86"/>
        <item x="178"/>
        <item x="208"/>
        <item x="57"/>
        <item x="26"/>
        <item x="361"/>
        <item x="239"/>
        <item x="117"/>
        <item x="269"/>
        <item x="299"/>
        <item x="330"/>
        <item x="146"/>
        <item x="85"/>
        <item x="177"/>
        <item x="207"/>
        <item x="56"/>
        <item x="25"/>
        <item x="360"/>
        <item x="238"/>
        <item x="116"/>
        <item x="268"/>
        <item x="298"/>
        <item x="329"/>
        <item x="145"/>
        <item x="84"/>
        <item x="176"/>
        <item x="206"/>
        <item x="55"/>
        <item x="24"/>
        <item x="359"/>
        <item x="237"/>
        <item x="115"/>
        <item x="267"/>
        <item x="297"/>
        <item x="328"/>
        <item x="144"/>
        <item x="83"/>
        <item x="175"/>
        <item x="205"/>
        <item x="54"/>
        <item x="23"/>
        <item x="358"/>
        <item x="236"/>
        <item x="114"/>
        <item x="266"/>
        <item x="296"/>
        <item x="327"/>
        <item x="143"/>
        <item x="82"/>
        <item x="174"/>
        <item x="204"/>
        <item x="53"/>
        <item x="22"/>
        <item x="357"/>
        <item x="235"/>
        <item x="113"/>
        <item x="265"/>
        <item x="295"/>
        <item x="326"/>
        <item x="142"/>
        <item x="81"/>
        <item x="173"/>
        <item x="203"/>
        <item x="52"/>
        <item x="21"/>
        <item x="356"/>
        <item x="234"/>
        <item x="112"/>
        <item x="264"/>
        <item x="294"/>
        <item x="325"/>
        <item x="141"/>
        <item x="80"/>
        <item x="172"/>
        <item x="202"/>
        <item x="51"/>
        <item x="20"/>
        <item x="355"/>
        <item x="233"/>
        <item x="111"/>
        <item x="263"/>
        <item x="293"/>
        <item x="324"/>
        <item x="140"/>
        <item x="79"/>
        <item x="171"/>
        <item x="201"/>
        <item x="50"/>
        <item x="19"/>
        <item x="354"/>
        <item x="232"/>
        <item x="110"/>
        <item x="262"/>
        <item x="292"/>
        <item x="323"/>
        <item x="139"/>
        <item x="78"/>
        <item x="170"/>
        <item x="200"/>
        <item x="49"/>
        <item x="18"/>
        <item x="353"/>
        <item x="231"/>
        <item x="109"/>
        <item x="261"/>
        <item x="291"/>
        <item x="322"/>
        <item x="138"/>
        <item x="77"/>
        <item x="169"/>
        <item x="199"/>
        <item x="48"/>
        <item x="17"/>
        <item x="352"/>
        <item x="230"/>
        <item x="108"/>
        <item x="260"/>
        <item x="290"/>
        <item x="321"/>
        <item x="137"/>
        <item x="76"/>
        <item x="168"/>
        <item x="198"/>
        <item x="47"/>
        <item x="16"/>
        <item x="351"/>
        <item x="229"/>
        <item x="107"/>
        <item x="259"/>
        <item x="289"/>
        <item x="320"/>
        <item x="136"/>
        <item x="75"/>
        <item x="167"/>
        <item x="197"/>
        <item x="46"/>
        <item x="15"/>
        <item x="350"/>
        <item x="228"/>
        <item x="106"/>
        <item x="258"/>
        <item x="288"/>
        <item x="319"/>
        <item x="135"/>
        <item x="74"/>
        <item x="166"/>
        <item x="196"/>
        <item x="45"/>
        <item x="14"/>
        <item x="349"/>
        <item x="227"/>
        <item x="105"/>
        <item x="257"/>
        <item x="287"/>
        <item x="318"/>
        <item x="134"/>
        <item x="73"/>
        <item x="165"/>
        <item x="195"/>
        <item x="44"/>
        <item x="13"/>
        <item x="348"/>
        <item x="226"/>
        <item x="104"/>
        <item x="256"/>
        <item x="286"/>
        <item x="317"/>
        <item x="133"/>
        <item x="72"/>
        <item x="164"/>
        <item x="194"/>
        <item x="43"/>
        <item x="12"/>
        <item x="347"/>
        <item x="225"/>
        <item x="103"/>
        <item x="255"/>
        <item x="285"/>
        <item x="316"/>
        <item x="132"/>
        <item x="71"/>
        <item x="163"/>
        <item x="193"/>
        <item x="42"/>
        <item x="11"/>
        <item x="346"/>
        <item x="224"/>
        <item x="102"/>
        <item x="254"/>
        <item x="284"/>
        <item x="315"/>
        <item x="131"/>
        <item x="70"/>
        <item x="162"/>
        <item x="192"/>
        <item x="41"/>
        <item x="10"/>
        <item x="345"/>
        <item x="223"/>
        <item x="101"/>
        <item x="253"/>
        <item x="283"/>
        <item x="314"/>
        <item x="130"/>
        <item x="69"/>
        <item x="161"/>
        <item x="191"/>
        <item x="40"/>
        <item x="9"/>
        <item x="344"/>
        <item x="222"/>
        <item x="100"/>
        <item x="252"/>
        <item x="282"/>
        <item x="313"/>
        <item x="129"/>
        <item x="68"/>
        <item x="160"/>
        <item x="190"/>
        <item x="39"/>
        <item x="8"/>
        <item x="343"/>
        <item x="221"/>
        <item x="99"/>
        <item x="251"/>
        <item x="281"/>
        <item x="312"/>
        <item x="128"/>
        <item x="67"/>
        <item x="159"/>
        <item x="189"/>
        <item x="38"/>
        <item x="7"/>
        <item x="342"/>
        <item x="220"/>
        <item x="98"/>
        <item x="250"/>
        <item x="280"/>
        <item x="311"/>
        <item x="127"/>
        <item x="66"/>
        <item x="158"/>
        <item x="188"/>
        <item x="37"/>
        <item x="6"/>
        <item x="341"/>
        <item x="219"/>
        <item x="97"/>
        <item x="249"/>
        <item x="279"/>
        <item x="310"/>
        <item x="126"/>
        <item x="65"/>
        <item x="157"/>
        <item x="187"/>
        <item x="36"/>
        <item x="5"/>
        <item x="340"/>
        <item x="218"/>
        <item x="96"/>
        <item x="248"/>
        <item x="278"/>
        <item x="309"/>
        <item x="125"/>
        <item x="64"/>
        <item x="156"/>
        <item x="186"/>
        <item x="35"/>
        <item x="4"/>
        <item x="339"/>
        <item x="217"/>
        <item x="95"/>
        <item x="247"/>
        <item x="277"/>
        <item x="308"/>
        <item x="124"/>
        <item x="63"/>
        <item x="155"/>
        <item x="185"/>
        <item x="34"/>
        <item x="3"/>
        <item x="338"/>
        <item x="216"/>
        <item x="94"/>
        <item x="246"/>
        <item x="276"/>
        <item x="307"/>
        <item x="123"/>
        <item x="62"/>
        <item x="154"/>
        <item x="184"/>
        <item x="33"/>
        <item x="2"/>
        <item x="337"/>
        <item x="215"/>
        <item x="93"/>
        <item x="245"/>
        <item x="275"/>
        <item x="306"/>
        <item x="122"/>
        <item x="61"/>
        <item x="153"/>
        <item x="183"/>
        <item x="32"/>
        <item x="1"/>
        <item x="336"/>
        <item x="214"/>
        <item x="92"/>
        <item x="367"/>
        <item x="0"/>
      </items>
    </pivotField>
    <pivotField compact="0" outline="0" showAll="0"/>
    <pivotField axis="axisRow" compact="0" outline="0" showAll="0" defaultSubtotal="0">
      <items count="242">
        <item x="32"/>
        <item x="42"/>
        <item x="122"/>
        <item x="221"/>
        <item x="56"/>
        <item x="138"/>
        <item x="126"/>
        <item x="240"/>
        <item x="151"/>
        <item x="121"/>
        <item x="0"/>
        <item x="224"/>
        <item x="131"/>
        <item x="137"/>
        <item x="227"/>
        <item x="225"/>
        <item x="1"/>
        <item x="124"/>
        <item x="125"/>
        <item x="127"/>
        <item x="235"/>
        <item x="2"/>
        <item x="228"/>
        <item x="3"/>
        <item x="165"/>
        <item x="136"/>
        <item x="103"/>
        <item x="142"/>
        <item x="143"/>
        <item x="108"/>
        <item x="109"/>
        <item x="233"/>
        <item x="189"/>
        <item x="197"/>
        <item x="123"/>
        <item x="141"/>
        <item x="105"/>
        <item x="4"/>
        <item x="129"/>
        <item x="241"/>
        <item x="128"/>
        <item x="170"/>
        <item x="106"/>
        <item x="159"/>
        <item x="118"/>
        <item x="111"/>
        <item x="104"/>
        <item x="175"/>
        <item x="167"/>
        <item x="182"/>
        <item x="236"/>
        <item x="204"/>
        <item x="156"/>
        <item x="180"/>
        <item x="155"/>
        <item x="133"/>
        <item x="226"/>
        <item x="132"/>
        <item x="5"/>
        <item x="169"/>
        <item x="139"/>
        <item x="6"/>
        <item x="223"/>
        <item x="144"/>
        <item x="112"/>
        <item x="7"/>
        <item x="134"/>
        <item x="116"/>
        <item x="114"/>
        <item x="8"/>
        <item x="202"/>
        <item x="149"/>
        <item x="130"/>
        <item x="9"/>
        <item x="140"/>
        <item x="107"/>
        <item x="222"/>
        <item x="110"/>
        <item x="117"/>
        <item x="146"/>
        <item x="145"/>
        <item x="147"/>
        <item x="10"/>
        <item x="172"/>
        <item x="113"/>
        <item x="174"/>
        <item x="230"/>
        <item x="176"/>
        <item x="181"/>
        <item x="115"/>
        <item x="11"/>
        <item x="135"/>
        <item x="12"/>
        <item x="13"/>
        <item x="14"/>
        <item x="190"/>
        <item x="198"/>
        <item x="199"/>
        <item x="177"/>
        <item x="15"/>
        <item x="161"/>
        <item x="16"/>
        <item x="232"/>
        <item x="154"/>
        <item x="17"/>
        <item x="18"/>
        <item x="160"/>
        <item x="164"/>
        <item x="19"/>
        <item x="162"/>
        <item x="217"/>
        <item x="168"/>
        <item x="239"/>
        <item x="173"/>
        <item x="188"/>
        <item x="194"/>
        <item x="196"/>
        <item x="191"/>
        <item x="216"/>
        <item x="178"/>
        <item x="229"/>
        <item x="158"/>
        <item x="183"/>
        <item x="185"/>
        <item x="148"/>
        <item x="119"/>
        <item x="166"/>
        <item x="20"/>
        <item x="231"/>
        <item x="186"/>
        <item x="21"/>
        <item x="171"/>
        <item x="22"/>
        <item x="23"/>
        <item x="24"/>
        <item x="215"/>
        <item x="25"/>
        <item x="192"/>
        <item x="200"/>
        <item x="150"/>
        <item x="203"/>
        <item x="205"/>
        <item x="201"/>
        <item x="152"/>
        <item x="153"/>
        <item x="237"/>
        <item x="209"/>
        <item x="26"/>
        <item x="27"/>
        <item x="28"/>
        <item x="206"/>
        <item x="29"/>
        <item x="30"/>
        <item x="31"/>
        <item x="33"/>
        <item x="218"/>
        <item x="34"/>
        <item x="35"/>
        <item x="36"/>
        <item x="37"/>
        <item x="38"/>
        <item x="157"/>
        <item x="208"/>
        <item x="163"/>
        <item x="39"/>
        <item x="40"/>
        <item x="41"/>
        <item x="43"/>
        <item x="44"/>
        <item x="45"/>
        <item x="46"/>
        <item x="179"/>
        <item x="47"/>
        <item x="48"/>
        <item x="49"/>
        <item x="238"/>
        <item x="210"/>
        <item x="184"/>
        <item x="50"/>
        <item x="51"/>
        <item x="52"/>
        <item x="53"/>
        <item x="187"/>
        <item x="234"/>
        <item x="54"/>
        <item x="211"/>
        <item x="193"/>
        <item x="195"/>
        <item x="55"/>
        <item x="212"/>
        <item x="57"/>
        <item x="59"/>
        <item x="58"/>
        <item x="61"/>
        <item x="60"/>
        <item x="62"/>
        <item x="64"/>
        <item x="63"/>
        <item x="65"/>
        <item x="213"/>
        <item x="219"/>
        <item x="67"/>
        <item x="66"/>
        <item x="69"/>
        <item x="68"/>
        <item x="70"/>
        <item x="71"/>
        <item x="73"/>
        <item x="72"/>
        <item x="74"/>
        <item x="207"/>
        <item x="76"/>
        <item x="75"/>
        <item x="77"/>
        <item x="78"/>
        <item x="79"/>
        <item x="80"/>
        <item x="82"/>
        <item x="81"/>
        <item x="83"/>
        <item x="84"/>
        <item x="86"/>
        <item x="85"/>
        <item x="88"/>
        <item x="87"/>
        <item x="89"/>
        <item x="90"/>
        <item x="214"/>
        <item x="220"/>
        <item x="120"/>
        <item x="92"/>
        <item x="91"/>
        <item x="94"/>
        <item x="93"/>
        <item x="96"/>
        <item x="95"/>
        <item x="98"/>
        <item x="97"/>
        <item x="100"/>
        <item x="99"/>
        <item x="101"/>
        <item x="102"/>
      </items>
    </pivotField>
    <pivotField compact="0" outline="0" showAll="0"/>
    <pivotField axis="axisPage" compact="0" outline="0" showAll="0">
      <items count="67">
        <item x="0"/>
        <item x="1"/>
        <item x="2"/>
        <item x="42"/>
        <item x="3"/>
        <item x="4"/>
        <item x="43"/>
        <item x="5"/>
        <item x="6"/>
        <item x="7"/>
        <item x="8"/>
        <item x="64"/>
        <item x="44"/>
        <item x="9"/>
        <item x="10"/>
        <item x="11"/>
        <item x="45"/>
        <item x="12"/>
        <item x="13"/>
        <item x="14"/>
        <item x="46"/>
        <item x="47"/>
        <item x="15"/>
        <item x="16"/>
        <item x="17"/>
        <item x="48"/>
        <item x="18"/>
        <item x="19"/>
        <item x="49"/>
        <item x="20"/>
        <item x="21"/>
        <item x="50"/>
        <item x="22"/>
        <item x="23"/>
        <item x="24"/>
        <item x="25"/>
        <item x="26"/>
        <item x="27"/>
        <item x="28"/>
        <item x="51"/>
        <item x="52"/>
        <item x="29"/>
        <item x="61"/>
        <item x="30"/>
        <item x="31"/>
        <item x="32"/>
        <item x="33"/>
        <item x="34"/>
        <item x="62"/>
        <item x="35"/>
        <item x="53"/>
        <item x="36"/>
        <item x="37"/>
        <item x="38"/>
        <item x="39"/>
        <item x="63"/>
        <item x="54"/>
        <item x="40"/>
        <item x="55"/>
        <item x="65"/>
        <item x="56"/>
        <item x="57"/>
        <item x="58"/>
        <item x="41"/>
        <item x="59"/>
        <item x="60"/>
        <item t="default"/>
      </items>
    </pivotField>
    <pivotField compact="0" outline="0" showAll="0">
      <items count="4">
        <item x="1"/>
        <item x="2"/>
        <item x="0"/>
        <item t="default"/>
      </items>
    </pivotField>
    <pivotField dataField="1" compact="0" outline="0" showAll="0"/>
    <pivotField dataField="1" compact="0" outline="0" showAll="0"/>
    <pivotField axis="axisRow" compact="0" outline="0" showAll="0" defaultSubtotal="0">
      <items count="21">
        <item x="16"/>
        <item x="10"/>
        <item x="5"/>
        <item x="13"/>
        <item x="6"/>
        <item x="11"/>
        <item x="20"/>
        <item x="14"/>
        <item x="18"/>
        <item x="15"/>
        <item x="19"/>
        <item x="8"/>
        <item x="12"/>
        <item x="3"/>
        <item x="1"/>
        <item x="0"/>
        <item x="2"/>
        <item x="17"/>
        <item x="9"/>
        <item x="4"/>
        <item x="7"/>
      </items>
    </pivotField>
    <pivotField compact="0" outline="0" showAll="0"/>
    <pivotField compact="0" outline="0" showAll="0"/>
    <pivotField axis="axisRow" compact="0" outline="0" showAll="0">
      <items count="74">
        <item x="58"/>
        <item x="4"/>
        <item x="12"/>
        <item x="53"/>
        <item x="54"/>
        <item x="56"/>
        <item x="13"/>
        <item x="57"/>
        <item x="14"/>
        <item x="60"/>
        <item x="61"/>
        <item x="16"/>
        <item x="62"/>
        <item x="17"/>
        <item x="19"/>
        <item x="20"/>
        <item x="22"/>
        <item x="24"/>
        <item x="5"/>
        <item x="27"/>
        <item x="28"/>
        <item x="31"/>
        <item x="32"/>
        <item x="33"/>
        <item x="34"/>
        <item x="35"/>
        <item x="6"/>
        <item x="36"/>
        <item x="37"/>
        <item x="38"/>
        <item x="40"/>
        <item x="7"/>
        <item x="42"/>
        <item x="43"/>
        <item x="8"/>
        <item x="9"/>
        <item x="46"/>
        <item x="47"/>
        <item x="48"/>
        <item x="49"/>
        <item x="50"/>
        <item x="51"/>
        <item x="10"/>
        <item x="11"/>
        <item x="59"/>
        <item x="23"/>
        <item x="18"/>
        <item x="72"/>
        <item x="39"/>
        <item x="69"/>
        <item x="66"/>
        <item x="3"/>
        <item x="25"/>
        <item x="21"/>
        <item x="26"/>
        <item x="1"/>
        <item x="44"/>
        <item x="15"/>
        <item x="55"/>
        <item x="2"/>
        <item x="70"/>
        <item x="30"/>
        <item x="29"/>
        <item x="67"/>
        <item x="45"/>
        <item x="64"/>
        <item x="63"/>
        <item x="52"/>
        <item x="0"/>
        <item x="65"/>
        <item x="68"/>
        <item x="41"/>
        <item x="71"/>
        <item t="default"/>
      </items>
    </pivotField>
    <pivotField compact="0" outline="0" showAll="0"/>
    <pivotField axis="axisRow" compact="0" outline="0" showAll="0" sortType="ascending" defaultSubtotal="0">
      <items count="3">
        <item x="1"/>
        <item x="2"/>
        <item x="0"/>
      </items>
    </pivotField>
    <pivotField axis="axisPage" compact="0" outline="0" showAll="0" defaultSubtotal="0">
      <items count="3">
        <item x="0"/>
        <item x="1"/>
        <item x="2"/>
      </items>
    </pivotField>
  </pivotFields>
  <rowFields count="5">
    <field x="2"/>
    <field x="0"/>
    <field x="13"/>
    <field x="8"/>
    <field x="11"/>
  </rowFields>
  <rowItems count="9">
    <i>
      <x/>
      <x v="52"/>
      <x/>
      <x v="13"/>
      <x v="24"/>
    </i>
    <i>
      <x v="23"/>
      <x v="208"/>
      <x v="1"/>
      <x/>
      <x v="58"/>
    </i>
    <i>
      <x v="42"/>
      <x v="292"/>
      <x v="1"/>
      <x/>
      <x v="52"/>
    </i>
    <i>
      <x v="52"/>
      <x v="220"/>
      <x v="1"/>
      <x/>
      <x v="57"/>
    </i>
    <i>
      <x v="64"/>
      <x v="280"/>
      <x v="1"/>
      <x v="19"/>
      <x v="53"/>
    </i>
    <i>
      <x v="161"/>
      <x v="88"/>
      <x v="1"/>
      <x/>
      <x v="67"/>
    </i>
    <i>
      <x v="178"/>
      <x v="256"/>
      <x v="1"/>
      <x v="14"/>
      <x v="55"/>
    </i>
    <i>
      <x v="179"/>
      <x v="76"/>
      <x v="1"/>
      <x v="15"/>
      <x v="68"/>
    </i>
    <i>
      <x v="180"/>
      <x v="256"/>
      <x v="2"/>
      <x v="14"/>
      <x v="55"/>
    </i>
  </rowItems>
  <colFields count="1">
    <field x="-2"/>
  </colFields>
  <colItems count="2">
    <i>
      <x/>
    </i>
    <i i="1">
      <x v="1"/>
    </i>
  </colItems>
  <pageFields count="2">
    <pageField fld="14" item="1" hier="-1"/>
    <pageField fld="4" item="29" hier="-1"/>
  </pageFields>
  <dataFields count="2">
    <dataField name="Suma de as_debito" fld="7" baseField="0" baseItem="0"/>
    <dataField name="Suma de as_credito"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abla dinámica2" cacheId="0" applyNumberFormats="0" applyBorderFormats="0" applyFontFormats="0" applyPatternFormats="0" applyAlignmentFormats="0" applyWidthHeightFormats="1" dataCaption="Valores" errorCaption="0" showError="1" missingCaption="0" updatedVersion="5" minRefreshableVersion="3" rowGrandTotals="0" itemPrintTitles="1" createdVersion="5" indent="0" outline="1" outlineData="1" multipleFieldFilters="0" fieldListSortAscending="1">
  <location ref="B27:D33" firstHeaderRow="0" firstDataRow="1" firstDataCol="1" rowPageCount="2" colPageCount="1"/>
  <pivotFields count="6">
    <pivotField axis="axisPage" showAll="0" defaultSubtotal="0">
      <items count="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s>
    </pivotField>
    <pivotField showAll="0"/>
    <pivotField axis="axisRow" showAll="0" defaultSubtotal="0">
      <items count="6">
        <item x="4"/>
        <item n="BRINDIS PARTICIPACIÓN" x="0"/>
        <item n="CELEBRACIONES" x="3"/>
        <item x="1"/>
        <item n="RECONOCIMIENTOS" x="5"/>
        <item n="VIÁTICOS" x="2"/>
      </items>
    </pivotField>
    <pivotField dataField="1" showAll="0" defaultSubtotal="0"/>
    <pivotField dataField="1" showAll="0" defaultSubtotal="0"/>
    <pivotField axis="axisPage" showAll="0" defaultSubtotal="0">
      <items count="1">
        <item x="0"/>
      </items>
    </pivotField>
  </pivotFields>
  <rowFields count="1">
    <field x="2"/>
  </rowFields>
  <rowItems count="6">
    <i>
      <x/>
    </i>
    <i>
      <x v="1"/>
    </i>
    <i>
      <x v="2"/>
    </i>
    <i>
      <x v="3"/>
    </i>
    <i>
      <x v="4"/>
    </i>
    <i>
      <x v="5"/>
    </i>
  </rowItems>
  <colFields count="1">
    <field x="-2"/>
  </colFields>
  <colItems count="2">
    <i>
      <x/>
    </i>
    <i i="1">
      <x v="1"/>
    </i>
  </colItems>
  <pageFields count="2">
    <pageField fld="0" item="33" hier="-1"/>
    <pageField fld="5" item="0" hier="-1"/>
  </pageFields>
  <dataFields count="2">
    <dataField name="Suma de BALANCE" fld="3" baseField="0" baseItem="0"/>
    <dataField name="Suma de PLAN"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B2:N39"/>
  <sheetViews>
    <sheetView showGridLines="0" tabSelected="1" topLeftCell="A7" zoomScale="115" zoomScaleNormal="115" workbookViewId="0">
      <selection activeCell="N2" sqref="N2"/>
    </sheetView>
  </sheetViews>
  <sheetFormatPr baseColWidth="10" defaultRowHeight="12.75" x14ac:dyDescent="0.2"/>
  <cols>
    <col min="1" max="1" width="1.42578125" style="52" customWidth="1"/>
    <col min="2" max="13" width="11.42578125" style="52"/>
    <col min="14" max="14" width="19.85546875" style="52" customWidth="1"/>
    <col min="15" max="256" width="11.42578125" style="52"/>
    <col min="257" max="257" width="1.42578125" style="52" customWidth="1"/>
    <col min="258" max="269" width="11.42578125" style="52"/>
    <col min="270" max="270" width="19.85546875" style="52" customWidth="1"/>
    <col min="271" max="512" width="11.42578125" style="52"/>
    <col min="513" max="513" width="1.42578125" style="52" customWidth="1"/>
    <col min="514" max="525" width="11.42578125" style="52"/>
    <col min="526" max="526" width="19.85546875" style="52" customWidth="1"/>
    <col min="527" max="768" width="11.42578125" style="52"/>
    <col min="769" max="769" width="1.42578125" style="52" customWidth="1"/>
    <col min="770" max="781" width="11.42578125" style="52"/>
    <col min="782" max="782" width="19.85546875" style="52" customWidth="1"/>
    <col min="783" max="1024" width="11.42578125" style="52"/>
    <col min="1025" max="1025" width="1.42578125" style="52" customWidth="1"/>
    <col min="1026" max="1037" width="11.42578125" style="52"/>
    <col min="1038" max="1038" width="19.85546875" style="52" customWidth="1"/>
    <col min="1039" max="1280" width="11.42578125" style="52"/>
    <col min="1281" max="1281" width="1.42578125" style="52" customWidth="1"/>
    <col min="1282" max="1293" width="11.42578125" style="52"/>
    <col min="1294" max="1294" width="19.85546875" style="52" customWidth="1"/>
    <col min="1295" max="1536" width="11.42578125" style="52"/>
    <col min="1537" max="1537" width="1.42578125" style="52" customWidth="1"/>
    <col min="1538" max="1549" width="11.42578125" style="52"/>
    <col min="1550" max="1550" width="19.85546875" style="52" customWidth="1"/>
    <col min="1551" max="1792" width="11.42578125" style="52"/>
    <col min="1793" max="1793" width="1.42578125" style="52" customWidth="1"/>
    <col min="1794" max="1805" width="11.42578125" style="52"/>
    <col min="1806" max="1806" width="19.85546875" style="52" customWidth="1"/>
    <col min="1807" max="2048" width="11.42578125" style="52"/>
    <col min="2049" max="2049" width="1.42578125" style="52" customWidth="1"/>
    <col min="2050" max="2061" width="11.42578125" style="52"/>
    <col min="2062" max="2062" width="19.85546875" style="52" customWidth="1"/>
    <col min="2063" max="2304" width="11.42578125" style="52"/>
    <col min="2305" max="2305" width="1.42578125" style="52" customWidth="1"/>
    <col min="2306" max="2317" width="11.42578125" style="52"/>
    <col min="2318" max="2318" width="19.85546875" style="52" customWidth="1"/>
    <col min="2319" max="2560" width="11.42578125" style="52"/>
    <col min="2561" max="2561" width="1.42578125" style="52" customWidth="1"/>
    <col min="2562" max="2573" width="11.42578125" style="52"/>
    <col min="2574" max="2574" width="19.85546875" style="52" customWidth="1"/>
    <col min="2575" max="2816" width="11.42578125" style="52"/>
    <col min="2817" max="2817" width="1.42578125" style="52" customWidth="1"/>
    <col min="2818" max="2829" width="11.42578125" style="52"/>
    <col min="2830" max="2830" width="19.85546875" style="52" customWidth="1"/>
    <col min="2831" max="3072" width="11.42578125" style="52"/>
    <col min="3073" max="3073" width="1.42578125" style="52" customWidth="1"/>
    <col min="3074" max="3085" width="11.42578125" style="52"/>
    <col min="3086" max="3086" width="19.85546875" style="52" customWidth="1"/>
    <col min="3087" max="3328" width="11.42578125" style="52"/>
    <col min="3329" max="3329" width="1.42578125" style="52" customWidth="1"/>
    <col min="3330" max="3341" width="11.42578125" style="52"/>
    <col min="3342" max="3342" width="19.85546875" style="52" customWidth="1"/>
    <col min="3343" max="3584" width="11.42578125" style="52"/>
    <col min="3585" max="3585" width="1.42578125" style="52" customWidth="1"/>
    <col min="3586" max="3597" width="11.42578125" style="52"/>
    <col min="3598" max="3598" width="19.85546875" style="52" customWidth="1"/>
    <col min="3599" max="3840" width="11.42578125" style="52"/>
    <col min="3841" max="3841" width="1.42578125" style="52" customWidth="1"/>
    <col min="3842" max="3853" width="11.42578125" style="52"/>
    <col min="3854" max="3854" width="19.85546875" style="52" customWidth="1"/>
    <col min="3855" max="4096" width="11.42578125" style="52"/>
    <col min="4097" max="4097" width="1.42578125" style="52" customWidth="1"/>
    <col min="4098" max="4109" width="11.42578125" style="52"/>
    <col min="4110" max="4110" width="19.85546875" style="52" customWidth="1"/>
    <col min="4111" max="4352" width="11.42578125" style="52"/>
    <col min="4353" max="4353" width="1.42578125" style="52" customWidth="1"/>
    <col min="4354" max="4365" width="11.42578125" style="52"/>
    <col min="4366" max="4366" width="19.85546875" style="52" customWidth="1"/>
    <col min="4367" max="4608" width="11.42578125" style="52"/>
    <col min="4609" max="4609" width="1.42578125" style="52" customWidth="1"/>
    <col min="4610" max="4621" width="11.42578125" style="52"/>
    <col min="4622" max="4622" width="19.85546875" style="52" customWidth="1"/>
    <col min="4623" max="4864" width="11.42578125" style="52"/>
    <col min="4865" max="4865" width="1.42578125" style="52" customWidth="1"/>
    <col min="4866" max="4877" width="11.42578125" style="52"/>
    <col min="4878" max="4878" width="19.85546875" style="52" customWidth="1"/>
    <col min="4879" max="5120" width="11.42578125" style="52"/>
    <col min="5121" max="5121" width="1.42578125" style="52" customWidth="1"/>
    <col min="5122" max="5133" width="11.42578125" style="52"/>
    <col min="5134" max="5134" width="19.85546875" style="52" customWidth="1"/>
    <col min="5135" max="5376" width="11.42578125" style="52"/>
    <col min="5377" max="5377" width="1.42578125" style="52" customWidth="1"/>
    <col min="5378" max="5389" width="11.42578125" style="52"/>
    <col min="5390" max="5390" width="19.85546875" style="52" customWidth="1"/>
    <col min="5391" max="5632" width="11.42578125" style="52"/>
    <col min="5633" max="5633" width="1.42578125" style="52" customWidth="1"/>
    <col min="5634" max="5645" width="11.42578125" style="52"/>
    <col min="5646" max="5646" width="19.85546875" style="52" customWidth="1"/>
    <col min="5647" max="5888" width="11.42578125" style="52"/>
    <col min="5889" max="5889" width="1.42578125" style="52" customWidth="1"/>
    <col min="5890" max="5901" width="11.42578125" style="52"/>
    <col min="5902" max="5902" width="19.85546875" style="52" customWidth="1"/>
    <col min="5903" max="6144" width="11.42578125" style="52"/>
    <col min="6145" max="6145" width="1.42578125" style="52" customWidth="1"/>
    <col min="6146" max="6157" width="11.42578125" style="52"/>
    <col min="6158" max="6158" width="19.85546875" style="52" customWidth="1"/>
    <col min="6159" max="6400" width="11.42578125" style="52"/>
    <col min="6401" max="6401" width="1.42578125" style="52" customWidth="1"/>
    <col min="6402" max="6413" width="11.42578125" style="52"/>
    <col min="6414" max="6414" width="19.85546875" style="52" customWidth="1"/>
    <col min="6415" max="6656" width="11.42578125" style="52"/>
    <col min="6657" max="6657" width="1.42578125" style="52" customWidth="1"/>
    <col min="6658" max="6669" width="11.42578125" style="52"/>
    <col min="6670" max="6670" width="19.85546875" style="52" customWidth="1"/>
    <col min="6671" max="6912" width="11.42578125" style="52"/>
    <col min="6913" max="6913" width="1.42578125" style="52" customWidth="1"/>
    <col min="6914" max="6925" width="11.42578125" style="52"/>
    <col min="6926" max="6926" width="19.85546875" style="52" customWidth="1"/>
    <col min="6927" max="7168" width="11.42578125" style="52"/>
    <col min="7169" max="7169" width="1.42578125" style="52" customWidth="1"/>
    <col min="7170" max="7181" width="11.42578125" style="52"/>
    <col min="7182" max="7182" width="19.85546875" style="52" customWidth="1"/>
    <col min="7183" max="7424" width="11.42578125" style="52"/>
    <col min="7425" max="7425" width="1.42578125" style="52" customWidth="1"/>
    <col min="7426" max="7437" width="11.42578125" style="52"/>
    <col min="7438" max="7438" width="19.85546875" style="52" customWidth="1"/>
    <col min="7439" max="7680" width="11.42578125" style="52"/>
    <col min="7681" max="7681" width="1.42578125" style="52" customWidth="1"/>
    <col min="7682" max="7693" width="11.42578125" style="52"/>
    <col min="7694" max="7694" width="19.85546875" style="52" customWidth="1"/>
    <col min="7695" max="7936" width="11.42578125" style="52"/>
    <col min="7937" max="7937" width="1.42578125" style="52" customWidth="1"/>
    <col min="7938" max="7949" width="11.42578125" style="52"/>
    <col min="7950" max="7950" width="19.85546875" style="52" customWidth="1"/>
    <col min="7951" max="8192" width="11.42578125" style="52"/>
    <col min="8193" max="8193" width="1.42578125" style="52" customWidth="1"/>
    <col min="8194" max="8205" width="11.42578125" style="52"/>
    <col min="8206" max="8206" width="19.85546875" style="52" customWidth="1"/>
    <col min="8207" max="8448" width="11.42578125" style="52"/>
    <col min="8449" max="8449" width="1.42578125" style="52" customWidth="1"/>
    <col min="8450" max="8461" width="11.42578125" style="52"/>
    <col min="8462" max="8462" width="19.85546875" style="52" customWidth="1"/>
    <col min="8463" max="8704" width="11.42578125" style="52"/>
    <col min="8705" max="8705" width="1.42578125" style="52" customWidth="1"/>
    <col min="8706" max="8717" width="11.42578125" style="52"/>
    <col min="8718" max="8718" width="19.85546875" style="52" customWidth="1"/>
    <col min="8719" max="8960" width="11.42578125" style="52"/>
    <col min="8961" max="8961" width="1.42578125" style="52" customWidth="1"/>
    <col min="8962" max="8973" width="11.42578125" style="52"/>
    <col min="8974" max="8974" width="19.85546875" style="52" customWidth="1"/>
    <col min="8975" max="9216" width="11.42578125" style="52"/>
    <col min="9217" max="9217" width="1.42578125" style="52" customWidth="1"/>
    <col min="9218" max="9229" width="11.42578125" style="52"/>
    <col min="9230" max="9230" width="19.85546875" style="52" customWidth="1"/>
    <col min="9231" max="9472" width="11.42578125" style="52"/>
    <col min="9473" max="9473" width="1.42578125" style="52" customWidth="1"/>
    <col min="9474" max="9485" width="11.42578125" style="52"/>
    <col min="9486" max="9486" width="19.85546875" style="52" customWidth="1"/>
    <col min="9487" max="9728" width="11.42578125" style="52"/>
    <col min="9729" max="9729" width="1.42578125" style="52" customWidth="1"/>
    <col min="9730" max="9741" width="11.42578125" style="52"/>
    <col min="9742" max="9742" width="19.85546875" style="52" customWidth="1"/>
    <col min="9743" max="9984" width="11.42578125" style="52"/>
    <col min="9985" max="9985" width="1.42578125" style="52" customWidth="1"/>
    <col min="9986" max="9997" width="11.42578125" style="52"/>
    <col min="9998" max="9998" width="19.85546875" style="52" customWidth="1"/>
    <col min="9999" max="10240" width="11.42578125" style="52"/>
    <col min="10241" max="10241" width="1.42578125" style="52" customWidth="1"/>
    <col min="10242" max="10253" width="11.42578125" style="52"/>
    <col min="10254" max="10254" width="19.85546875" style="52" customWidth="1"/>
    <col min="10255" max="10496" width="11.42578125" style="52"/>
    <col min="10497" max="10497" width="1.42578125" style="52" customWidth="1"/>
    <col min="10498" max="10509" width="11.42578125" style="52"/>
    <col min="10510" max="10510" width="19.85546875" style="52" customWidth="1"/>
    <col min="10511" max="10752" width="11.42578125" style="52"/>
    <col min="10753" max="10753" width="1.42578125" style="52" customWidth="1"/>
    <col min="10754" max="10765" width="11.42578125" style="52"/>
    <col min="10766" max="10766" width="19.85546875" style="52" customWidth="1"/>
    <col min="10767" max="11008" width="11.42578125" style="52"/>
    <col min="11009" max="11009" width="1.42578125" style="52" customWidth="1"/>
    <col min="11010" max="11021" width="11.42578125" style="52"/>
    <col min="11022" max="11022" width="19.85546875" style="52" customWidth="1"/>
    <col min="11023" max="11264" width="11.42578125" style="52"/>
    <col min="11265" max="11265" width="1.42578125" style="52" customWidth="1"/>
    <col min="11266" max="11277" width="11.42578125" style="52"/>
    <col min="11278" max="11278" width="19.85546875" style="52" customWidth="1"/>
    <col min="11279" max="11520" width="11.42578125" style="52"/>
    <col min="11521" max="11521" width="1.42578125" style="52" customWidth="1"/>
    <col min="11522" max="11533" width="11.42578125" style="52"/>
    <col min="11534" max="11534" width="19.85546875" style="52" customWidth="1"/>
    <col min="11535" max="11776" width="11.42578125" style="52"/>
    <col min="11777" max="11777" width="1.42578125" style="52" customWidth="1"/>
    <col min="11778" max="11789" width="11.42578125" style="52"/>
    <col min="11790" max="11790" width="19.85546875" style="52" customWidth="1"/>
    <col min="11791" max="12032" width="11.42578125" style="52"/>
    <col min="12033" max="12033" width="1.42578125" style="52" customWidth="1"/>
    <col min="12034" max="12045" width="11.42578125" style="52"/>
    <col min="12046" max="12046" width="19.85546875" style="52" customWidth="1"/>
    <col min="12047" max="12288" width="11.42578125" style="52"/>
    <col min="12289" max="12289" width="1.42578125" style="52" customWidth="1"/>
    <col min="12290" max="12301" width="11.42578125" style="52"/>
    <col min="12302" max="12302" width="19.85546875" style="52" customWidth="1"/>
    <col min="12303" max="12544" width="11.42578125" style="52"/>
    <col min="12545" max="12545" width="1.42578125" style="52" customWidth="1"/>
    <col min="12546" max="12557" width="11.42578125" style="52"/>
    <col min="12558" max="12558" width="19.85546875" style="52" customWidth="1"/>
    <col min="12559" max="12800" width="11.42578125" style="52"/>
    <col min="12801" max="12801" width="1.42578125" style="52" customWidth="1"/>
    <col min="12802" max="12813" width="11.42578125" style="52"/>
    <col min="12814" max="12814" width="19.85546875" style="52" customWidth="1"/>
    <col min="12815" max="13056" width="11.42578125" style="52"/>
    <col min="13057" max="13057" width="1.42578125" style="52" customWidth="1"/>
    <col min="13058" max="13069" width="11.42578125" style="52"/>
    <col min="13070" max="13070" width="19.85546875" style="52" customWidth="1"/>
    <col min="13071" max="13312" width="11.42578125" style="52"/>
    <col min="13313" max="13313" width="1.42578125" style="52" customWidth="1"/>
    <col min="13314" max="13325" width="11.42578125" style="52"/>
    <col min="13326" max="13326" width="19.85546875" style="52" customWidth="1"/>
    <col min="13327" max="13568" width="11.42578125" style="52"/>
    <col min="13569" max="13569" width="1.42578125" style="52" customWidth="1"/>
    <col min="13570" max="13581" width="11.42578125" style="52"/>
    <col min="13582" max="13582" width="19.85546875" style="52" customWidth="1"/>
    <col min="13583" max="13824" width="11.42578125" style="52"/>
    <col min="13825" max="13825" width="1.42578125" style="52" customWidth="1"/>
    <col min="13826" max="13837" width="11.42578125" style="52"/>
    <col min="13838" max="13838" width="19.85546875" style="52" customWidth="1"/>
    <col min="13839" max="14080" width="11.42578125" style="52"/>
    <col min="14081" max="14081" width="1.42578125" style="52" customWidth="1"/>
    <col min="14082" max="14093" width="11.42578125" style="52"/>
    <col min="14094" max="14094" width="19.85546875" style="52" customWidth="1"/>
    <col min="14095" max="14336" width="11.42578125" style="52"/>
    <col min="14337" max="14337" width="1.42578125" style="52" customWidth="1"/>
    <col min="14338" max="14349" width="11.42578125" style="52"/>
    <col min="14350" max="14350" width="19.85546875" style="52" customWidth="1"/>
    <col min="14351" max="14592" width="11.42578125" style="52"/>
    <col min="14593" max="14593" width="1.42578125" style="52" customWidth="1"/>
    <col min="14594" max="14605" width="11.42578125" style="52"/>
    <col min="14606" max="14606" width="19.85546875" style="52" customWidth="1"/>
    <col min="14607" max="14848" width="11.42578125" style="52"/>
    <col min="14849" max="14849" width="1.42578125" style="52" customWidth="1"/>
    <col min="14850" max="14861" width="11.42578125" style="52"/>
    <col min="14862" max="14862" width="19.85546875" style="52" customWidth="1"/>
    <col min="14863" max="15104" width="11.42578125" style="52"/>
    <col min="15105" max="15105" width="1.42578125" style="52" customWidth="1"/>
    <col min="15106" max="15117" width="11.42578125" style="52"/>
    <col min="15118" max="15118" width="19.85546875" style="52" customWidth="1"/>
    <col min="15119" max="15360" width="11.42578125" style="52"/>
    <col min="15361" max="15361" width="1.42578125" style="52" customWidth="1"/>
    <col min="15362" max="15373" width="11.42578125" style="52"/>
    <col min="15374" max="15374" width="19.85546875" style="52" customWidth="1"/>
    <col min="15375" max="15616" width="11.42578125" style="52"/>
    <col min="15617" max="15617" width="1.42578125" style="52" customWidth="1"/>
    <col min="15618" max="15629" width="11.42578125" style="52"/>
    <col min="15630" max="15630" width="19.85546875" style="52" customWidth="1"/>
    <col min="15631" max="15872" width="11.42578125" style="52"/>
    <col min="15873" max="15873" width="1.42578125" style="52" customWidth="1"/>
    <col min="15874" max="15885" width="11.42578125" style="52"/>
    <col min="15886" max="15886" width="19.85546875" style="52" customWidth="1"/>
    <col min="15887" max="16128" width="11.42578125" style="52"/>
    <col min="16129" max="16129" width="1.42578125" style="52" customWidth="1"/>
    <col min="16130" max="16141" width="11.42578125" style="52"/>
    <col min="16142" max="16142" width="19.85546875" style="52" customWidth="1"/>
    <col min="16143" max="16384" width="11.42578125" style="52"/>
  </cols>
  <sheetData>
    <row r="2" spans="2:14" ht="32.25" customHeight="1" x14ac:dyDescent="0.25">
      <c r="B2" s="71" t="s">
        <v>89</v>
      </c>
      <c r="M2" s="70" t="s">
        <v>88</v>
      </c>
      <c r="N2" s="69">
        <f ca="1">VALUE(INFO("RELEASE"))</f>
        <v>15</v>
      </c>
    </row>
    <row r="3" spans="2:14" ht="26.25" customHeight="1" x14ac:dyDescent="0.2">
      <c r="B3" s="68" t="s">
        <v>87</v>
      </c>
      <c r="C3" s="67"/>
    </row>
    <row r="4" spans="2:14" ht="14.25" x14ac:dyDescent="0.2">
      <c r="B4" s="66" t="s">
        <v>86</v>
      </c>
    </row>
    <row r="5" spans="2:14" ht="14.25" x14ac:dyDescent="0.2">
      <c r="B5" s="66" t="s">
        <v>85</v>
      </c>
    </row>
    <row r="6" spans="2:14" ht="14.25" x14ac:dyDescent="0.2">
      <c r="B6" s="65"/>
    </row>
    <row r="7" spans="2:14" ht="14.25" x14ac:dyDescent="0.2">
      <c r="B7" s="64" t="str">
        <f ca="1">"Su versión actual de Microsoft Office Excel es "&amp;IF(VALUE(INFO("RELEASE"))&gt;=12,"2007","97-2003")</f>
        <v>Su versión actual de Microsoft Office Excel es 2007</v>
      </c>
    </row>
    <row r="8" spans="2:14" ht="14.25" x14ac:dyDescent="0.2">
      <c r="B8" s="64"/>
    </row>
    <row r="9" spans="2:14" ht="14.25" x14ac:dyDescent="0.2">
      <c r="B9" s="103" t="s">
        <v>84</v>
      </c>
      <c r="C9" s="104"/>
      <c r="D9" s="104"/>
      <c r="E9" s="104"/>
      <c r="F9" s="104"/>
      <c r="G9" s="104"/>
      <c r="H9" s="105"/>
      <c r="I9" s="103" t="s">
        <v>83</v>
      </c>
      <c r="J9" s="104"/>
      <c r="K9" s="104"/>
      <c r="L9" s="104"/>
      <c r="M9" s="104"/>
      <c r="N9" s="104"/>
    </row>
    <row r="10" spans="2:14" ht="10.5" customHeight="1" x14ac:dyDescent="0.2">
      <c r="B10" s="63"/>
      <c r="C10" s="57"/>
      <c r="D10" s="57"/>
      <c r="E10" s="57"/>
      <c r="F10" s="57"/>
      <c r="G10" s="57"/>
      <c r="H10" s="57"/>
      <c r="I10" s="62"/>
      <c r="J10" s="61"/>
      <c r="K10" s="57"/>
      <c r="L10" s="57"/>
      <c r="M10" s="57"/>
      <c r="N10" s="56"/>
    </row>
    <row r="11" spans="2:14" ht="14.25" x14ac:dyDescent="0.2">
      <c r="B11" s="60" t="s">
        <v>82</v>
      </c>
      <c r="C11" s="57"/>
      <c r="D11" s="57"/>
      <c r="E11" s="57"/>
      <c r="F11" s="57"/>
      <c r="G11" s="57"/>
      <c r="H11" s="57"/>
      <c r="I11" s="60" t="s">
        <v>81</v>
      </c>
      <c r="J11" s="57"/>
      <c r="K11" s="57"/>
      <c r="L11" s="57"/>
      <c r="M11" s="57"/>
      <c r="N11" s="56"/>
    </row>
    <row r="12" spans="2:14" ht="14.25" x14ac:dyDescent="0.2">
      <c r="B12" s="60" t="s">
        <v>80</v>
      </c>
      <c r="C12" s="57"/>
      <c r="D12" s="57"/>
      <c r="E12" s="57"/>
      <c r="F12" s="57"/>
      <c r="G12" s="57"/>
      <c r="H12" s="57"/>
      <c r="I12" s="60" t="s">
        <v>79</v>
      </c>
      <c r="J12" s="57"/>
      <c r="K12" s="59"/>
      <c r="L12" s="57"/>
      <c r="M12" s="57"/>
      <c r="N12" s="56"/>
    </row>
    <row r="13" spans="2:14" x14ac:dyDescent="0.2">
      <c r="B13" s="58"/>
      <c r="C13" s="57"/>
      <c r="D13" s="57"/>
      <c r="E13" s="57"/>
      <c r="F13" s="57"/>
      <c r="G13" s="57"/>
      <c r="H13" s="57"/>
      <c r="I13" s="58"/>
      <c r="J13" s="57"/>
      <c r="K13" s="57"/>
      <c r="L13" s="57"/>
      <c r="M13" s="57"/>
      <c r="N13" s="56"/>
    </row>
    <row r="14" spans="2:14" x14ac:dyDescent="0.2">
      <c r="B14" s="58"/>
      <c r="C14" s="57"/>
      <c r="D14" s="57"/>
      <c r="E14" s="57"/>
      <c r="F14" s="57"/>
      <c r="G14" s="57"/>
      <c r="H14" s="57"/>
      <c r="I14" s="58"/>
      <c r="J14" s="57"/>
      <c r="K14" s="57"/>
      <c r="L14" s="57"/>
      <c r="M14" s="57"/>
      <c r="N14" s="56"/>
    </row>
    <row r="15" spans="2:14" x14ac:dyDescent="0.2">
      <c r="B15" s="58"/>
      <c r="C15" s="57"/>
      <c r="D15" s="57"/>
      <c r="E15" s="57"/>
      <c r="F15" s="57"/>
      <c r="G15" s="57"/>
      <c r="H15" s="57"/>
      <c r="I15" s="58"/>
      <c r="J15" s="57"/>
      <c r="K15" s="57"/>
      <c r="L15" s="57"/>
      <c r="M15" s="57"/>
      <c r="N15" s="56"/>
    </row>
    <row r="16" spans="2:14" x14ac:dyDescent="0.2">
      <c r="B16" s="58"/>
      <c r="C16" s="57"/>
      <c r="D16" s="57"/>
      <c r="E16" s="57"/>
      <c r="F16" s="57"/>
      <c r="G16" s="57"/>
      <c r="H16" s="57"/>
      <c r="I16" s="58"/>
      <c r="J16" s="57"/>
      <c r="K16" s="57"/>
      <c r="L16" s="57"/>
      <c r="M16" s="57"/>
      <c r="N16" s="56"/>
    </row>
    <row r="17" spans="2:14" x14ac:dyDescent="0.2">
      <c r="B17" s="58"/>
      <c r="C17" s="57"/>
      <c r="D17" s="57"/>
      <c r="E17" s="57"/>
      <c r="F17" s="57"/>
      <c r="G17" s="57"/>
      <c r="H17" s="57"/>
      <c r="I17" s="58"/>
      <c r="J17" s="57"/>
      <c r="K17" s="57"/>
      <c r="L17" s="57"/>
      <c r="M17" s="57"/>
      <c r="N17" s="56"/>
    </row>
    <row r="18" spans="2:14" x14ac:dyDescent="0.2">
      <c r="B18" s="58"/>
      <c r="C18" s="57"/>
      <c r="D18" s="57"/>
      <c r="E18" s="57"/>
      <c r="F18" s="57"/>
      <c r="G18" s="57"/>
      <c r="H18" s="57"/>
      <c r="I18" s="58"/>
      <c r="J18" s="57"/>
      <c r="K18" s="57"/>
      <c r="L18" s="57"/>
      <c r="M18" s="57"/>
      <c r="N18" s="56"/>
    </row>
    <row r="19" spans="2:14" x14ac:dyDescent="0.2">
      <c r="B19" s="58"/>
      <c r="C19" s="57"/>
      <c r="D19" s="57"/>
      <c r="E19" s="57"/>
      <c r="F19" s="57"/>
      <c r="G19" s="57"/>
      <c r="H19" s="57"/>
      <c r="I19" s="58"/>
      <c r="J19" s="57"/>
      <c r="K19" s="57"/>
      <c r="L19" s="57"/>
      <c r="M19" s="57"/>
      <c r="N19" s="56"/>
    </row>
    <row r="20" spans="2:14" x14ac:dyDescent="0.2">
      <c r="B20" s="58"/>
      <c r="C20" s="57"/>
      <c r="D20" s="57"/>
      <c r="E20" s="57"/>
      <c r="F20" s="57"/>
      <c r="G20" s="57"/>
      <c r="H20" s="57"/>
      <c r="I20" s="58"/>
      <c r="J20" s="57"/>
      <c r="K20" s="57"/>
      <c r="L20" s="57"/>
      <c r="M20" s="57"/>
      <c r="N20" s="56"/>
    </row>
    <row r="21" spans="2:14" x14ac:dyDescent="0.2">
      <c r="B21" s="58"/>
      <c r="C21" s="57"/>
      <c r="D21" s="57"/>
      <c r="E21" s="57"/>
      <c r="F21" s="57"/>
      <c r="G21" s="57"/>
      <c r="H21" s="57"/>
      <c r="I21" s="58"/>
      <c r="J21" s="57"/>
      <c r="K21" s="57"/>
      <c r="L21" s="57"/>
      <c r="M21" s="57"/>
      <c r="N21" s="56"/>
    </row>
    <row r="22" spans="2:14" x14ac:dyDescent="0.2">
      <c r="B22" s="58"/>
      <c r="C22" s="57"/>
      <c r="D22" s="57"/>
      <c r="E22" s="57"/>
      <c r="F22" s="57"/>
      <c r="G22" s="57"/>
      <c r="H22" s="57"/>
      <c r="I22" s="58"/>
      <c r="J22" s="57"/>
      <c r="K22" s="57"/>
      <c r="L22" s="57"/>
      <c r="M22" s="57"/>
      <c r="N22" s="56"/>
    </row>
    <row r="23" spans="2:14" x14ac:dyDescent="0.2">
      <c r="B23" s="58"/>
      <c r="C23" s="57"/>
      <c r="D23" s="57"/>
      <c r="E23" s="57"/>
      <c r="F23" s="57"/>
      <c r="G23" s="57"/>
      <c r="H23" s="57"/>
      <c r="I23" s="58"/>
      <c r="J23" s="57"/>
      <c r="K23" s="57"/>
      <c r="L23" s="57"/>
      <c r="M23" s="57"/>
      <c r="N23" s="56"/>
    </row>
    <row r="24" spans="2:14" x14ac:dyDescent="0.2">
      <c r="B24" s="58"/>
      <c r="C24" s="57"/>
      <c r="D24" s="57"/>
      <c r="E24" s="57"/>
      <c r="F24" s="57"/>
      <c r="G24" s="57"/>
      <c r="H24" s="57"/>
      <c r="I24" s="58"/>
      <c r="J24" s="57"/>
      <c r="K24" s="57"/>
      <c r="L24" s="57"/>
      <c r="M24" s="57"/>
      <c r="N24" s="56"/>
    </row>
    <row r="25" spans="2:14" x14ac:dyDescent="0.2">
      <c r="B25" s="58"/>
      <c r="C25" s="57"/>
      <c r="D25" s="57"/>
      <c r="E25" s="57"/>
      <c r="F25" s="57"/>
      <c r="G25" s="57"/>
      <c r="H25" s="57"/>
      <c r="I25" s="58"/>
      <c r="J25" s="57"/>
      <c r="K25" s="57"/>
      <c r="L25" s="57"/>
      <c r="M25" s="57"/>
      <c r="N25" s="56"/>
    </row>
    <row r="26" spans="2:14" x14ac:dyDescent="0.2">
      <c r="B26" s="58"/>
      <c r="C26" s="57"/>
      <c r="D26" s="57"/>
      <c r="E26" s="57"/>
      <c r="F26" s="57"/>
      <c r="G26" s="57"/>
      <c r="H26" s="57"/>
      <c r="I26" s="58"/>
      <c r="J26" s="57"/>
      <c r="K26" s="57"/>
      <c r="L26" s="57"/>
      <c r="M26" s="57"/>
      <c r="N26" s="56"/>
    </row>
    <row r="27" spans="2:14" x14ac:dyDescent="0.2">
      <c r="B27" s="58"/>
      <c r="C27" s="57"/>
      <c r="D27" s="57"/>
      <c r="E27" s="57"/>
      <c r="F27" s="57"/>
      <c r="G27" s="57"/>
      <c r="H27" s="57"/>
      <c r="I27" s="58"/>
      <c r="J27" s="57"/>
      <c r="K27" s="57"/>
      <c r="L27" s="57"/>
      <c r="M27" s="57"/>
      <c r="N27" s="56"/>
    </row>
    <row r="28" spans="2:14" x14ac:dyDescent="0.2">
      <c r="B28" s="58"/>
      <c r="C28" s="57"/>
      <c r="D28" s="57"/>
      <c r="E28" s="57"/>
      <c r="F28" s="57"/>
      <c r="G28" s="57"/>
      <c r="H28" s="57"/>
      <c r="I28" s="58"/>
      <c r="J28" s="57"/>
      <c r="K28" s="57"/>
      <c r="L28" s="57"/>
      <c r="M28" s="57"/>
      <c r="N28" s="56"/>
    </row>
    <row r="29" spans="2:14" x14ac:dyDescent="0.2">
      <c r="B29" s="58"/>
      <c r="C29" s="57"/>
      <c r="D29" s="57"/>
      <c r="E29" s="57"/>
      <c r="F29" s="57"/>
      <c r="G29" s="57"/>
      <c r="H29" s="57"/>
      <c r="I29" s="58"/>
      <c r="J29" s="57"/>
      <c r="K29" s="57"/>
      <c r="L29" s="57"/>
      <c r="M29" s="57"/>
      <c r="N29" s="56"/>
    </row>
    <row r="30" spans="2:14" x14ac:dyDescent="0.2">
      <c r="B30" s="58"/>
      <c r="C30" s="57"/>
      <c r="D30" s="57"/>
      <c r="E30" s="57"/>
      <c r="F30" s="57"/>
      <c r="G30" s="57"/>
      <c r="H30" s="57"/>
      <c r="I30" s="58"/>
      <c r="J30" s="57"/>
      <c r="K30" s="57"/>
      <c r="L30" s="57"/>
      <c r="M30" s="57"/>
      <c r="N30" s="56"/>
    </row>
    <row r="31" spans="2:14" x14ac:dyDescent="0.2">
      <c r="B31" s="58"/>
      <c r="C31" s="57"/>
      <c r="D31" s="57"/>
      <c r="E31" s="57"/>
      <c r="F31" s="57"/>
      <c r="G31" s="57"/>
      <c r="H31" s="57"/>
      <c r="I31" s="58"/>
      <c r="J31" s="57"/>
      <c r="K31" s="57"/>
      <c r="L31" s="57"/>
      <c r="M31" s="57"/>
      <c r="N31" s="56"/>
    </row>
    <row r="32" spans="2:14" x14ac:dyDescent="0.2">
      <c r="B32" s="58"/>
      <c r="C32" s="57"/>
      <c r="D32" s="57"/>
      <c r="E32" s="57"/>
      <c r="F32" s="57"/>
      <c r="G32" s="57"/>
      <c r="H32" s="57"/>
      <c r="I32" s="58"/>
      <c r="J32" s="57"/>
      <c r="K32" s="57"/>
      <c r="L32" s="57"/>
      <c r="M32" s="57"/>
      <c r="N32" s="56"/>
    </row>
    <row r="33" spans="2:14" x14ac:dyDescent="0.2">
      <c r="B33" s="58"/>
      <c r="C33" s="57"/>
      <c r="D33" s="57"/>
      <c r="E33" s="57"/>
      <c r="F33" s="57"/>
      <c r="G33" s="57"/>
      <c r="H33" s="57"/>
      <c r="I33" s="58"/>
      <c r="J33" s="57"/>
      <c r="K33" s="57"/>
      <c r="L33" s="57"/>
      <c r="M33" s="57"/>
      <c r="N33" s="56"/>
    </row>
    <row r="34" spans="2:14" x14ac:dyDescent="0.2">
      <c r="B34" s="58"/>
      <c r="C34" s="57"/>
      <c r="D34" s="57"/>
      <c r="E34" s="57"/>
      <c r="F34" s="57"/>
      <c r="G34" s="57"/>
      <c r="H34" s="57"/>
      <c r="I34" s="58"/>
      <c r="J34" s="57"/>
      <c r="K34" s="57"/>
      <c r="L34" s="57"/>
      <c r="M34" s="57"/>
      <c r="N34" s="56"/>
    </row>
    <row r="35" spans="2:14" x14ac:dyDescent="0.2">
      <c r="B35" s="58"/>
      <c r="C35" s="57"/>
      <c r="D35" s="57"/>
      <c r="E35" s="57"/>
      <c r="F35" s="57"/>
      <c r="G35" s="57"/>
      <c r="H35" s="57"/>
      <c r="I35" s="58"/>
      <c r="J35" s="57"/>
      <c r="K35" s="57"/>
      <c r="L35" s="57"/>
      <c r="M35" s="57"/>
      <c r="N35" s="56"/>
    </row>
    <row r="36" spans="2:14" x14ac:dyDescent="0.2">
      <c r="B36" s="58"/>
      <c r="C36" s="57"/>
      <c r="D36" s="57"/>
      <c r="E36" s="57"/>
      <c r="F36" s="57"/>
      <c r="G36" s="57"/>
      <c r="H36" s="57"/>
      <c r="I36" s="58"/>
      <c r="J36" s="57"/>
      <c r="K36" s="57"/>
      <c r="L36" s="57"/>
      <c r="M36" s="57"/>
      <c r="N36" s="56"/>
    </row>
    <row r="37" spans="2:14" x14ac:dyDescent="0.2">
      <c r="B37" s="58"/>
      <c r="C37" s="57"/>
      <c r="D37" s="57"/>
      <c r="E37" s="57"/>
      <c r="F37" s="57"/>
      <c r="G37" s="57"/>
      <c r="H37" s="57"/>
      <c r="I37" s="58"/>
      <c r="J37" s="57"/>
      <c r="K37" s="57"/>
      <c r="L37" s="57"/>
      <c r="M37" s="57"/>
      <c r="N37" s="56"/>
    </row>
    <row r="38" spans="2:14" x14ac:dyDescent="0.2">
      <c r="B38" s="58"/>
      <c r="C38" s="57"/>
      <c r="D38" s="57"/>
      <c r="E38" s="57"/>
      <c r="F38" s="57"/>
      <c r="G38" s="57"/>
      <c r="H38" s="57"/>
      <c r="I38" s="58"/>
      <c r="J38" s="57"/>
      <c r="K38" s="57"/>
      <c r="L38" s="57"/>
      <c r="M38" s="57"/>
      <c r="N38" s="56"/>
    </row>
    <row r="39" spans="2:14" x14ac:dyDescent="0.2">
      <c r="B39" s="55"/>
      <c r="C39" s="54"/>
      <c r="D39" s="54"/>
      <c r="E39" s="54"/>
      <c r="F39" s="54"/>
      <c r="G39" s="54"/>
      <c r="H39" s="54"/>
      <c r="I39" s="55"/>
      <c r="J39" s="54"/>
      <c r="K39" s="54"/>
      <c r="L39" s="54"/>
      <c r="M39" s="54"/>
      <c r="N39" s="53"/>
    </row>
  </sheetData>
  <sheetProtection password="CF7A" sheet="1" objects="1" scenarios="1" selectLockedCells="1" selectUnlockedCells="1"/>
  <mergeCells count="2">
    <mergeCell ref="B9:H9"/>
    <mergeCell ref="I9:N9"/>
  </mergeCells>
  <conditionalFormatting sqref="B9:H9">
    <cfRule type="expression" dxfId="7" priority="2" stopIfTrue="1">
      <formula>AND($N$2=12)</formula>
    </cfRule>
  </conditionalFormatting>
  <conditionalFormatting sqref="I9:N9">
    <cfRule type="expression" dxfId="6" priority="1" stopIfTrue="1">
      <formula>AND($N$2&lt;12)</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34"/>
  <sheetViews>
    <sheetView showGridLines="0" zoomScale="70" zoomScaleNormal="70" workbookViewId="0">
      <selection activeCell="AG28" sqref="AG28"/>
    </sheetView>
  </sheetViews>
  <sheetFormatPr baseColWidth="10" defaultColWidth="9.140625" defaultRowHeight="15" x14ac:dyDescent="0.25"/>
  <cols>
    <col min="1" max="1" width="2.5703125" customWidth="1"/>
    <col min="2" max="2" width="3.42578125" customWidth="1"/>
    <col min="3" max="3" width="9" customWidth="1"/>
    <col min="4" max="4" width="8.85546875" customWidth="1"/>
    <col min="5" max="5" width="6.85546875" customWidth="1"/>
    <col min="6" max="7" width="8" customWidth="1"/>
    <col min="8" max="9" width="6.85546875" customWidth="1"/>
    <col min="10" max="11" width="8" customWidth="1"/>
    <col min="12" max="13" width="6.85546875" customWidth="1"/>
    <col min="14" max="15" width="8" customWidth="1"/>
    <col min="16" max="17" width="6.85546875" customWidth="1"/>
    <col min="18" max="19" width="8" customWidth="1"/>
    <col min="20" max="21" width="6.85546875" customWidth="1"/>
    <col min="22" max="23" width="8" customWidth="1"/>
    <col min="24" max="25" width="6.85546875" customWidth="1"/>
    <col min="26" max="27" width="8" customWidth="1"/>
    <col min="28" max="28" width="7.42578125" customWidth="1"/>
    <col min="29" max="29" width="3.42578125" customWidth="1"/>
    <col min="30" max="30" width="2.7109375" customWidth="1"/>
  </cols>
  <sheetData>
    <row r="1" spans="1:16382" ht="7.5" customHeight="1" x14ac:dyDescent="0.25">
      <c r="A1" s="73"/>
      <c r="B1" s="73"/>
      <c r="C1" s="73"/>
      <c r="D1" s="73"/>
      <c r="E1" s="73"/>
      <c r="F1" s="73"/>
      <c r="G1" s="73"/>
      <c r="H1" s="73"/>
      <c r="I1" s="73"/>
      <c r="J1" s="73"/>
      <c r="K1" s="73"/>
      <c r="L1" s="73"/>
      <c r="M1" s="73"/>
      <c r="N1" s="73"/>
      <c r="O1" s="73"/>
      <c r="P1" s="73"/>
      <c r="Q1" s="73"/>
      <c r="R1" s="73"/>
      <c r="S1" s="73"/>
      <c r="T1" s="73"/>
      <c r="U1" s="73"/>
      <c r="V1" s="73"/>
      <c r="W1" s="73"/>
      <c r="X1" s="73"/>
      <c r="Y1" s="73"/>
      <c r="Z1" s="73"/>
      <c r="AA1" s="73"/>
      <c r="AB1" s="73"/>
      <c r="AC1" s="73"/>
      <c r="AD1" s="73"/>
    </row>
    <row r="2" spans="1:16382" ht="18" customHeight="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row>
    <row r="3" spans="1:16382" ht="7.5" customHeight="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row>
    <row r="4" spans="1:16382" ht="18" customHeight="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row>
    <row r="5" spans="1:16382" s="30" customFormat="1" ht="7.5" customHeight="1" x14ac:dyDescent="0.25">
      <c r="A5" s="72"/>
      <c r="B5" s="72"/>
      <c r="C5" s="72"/>
      <c r="D5" s="72"/>
      <c r="E5" s="72"/>
      <c r="F5" s="72"/>
      <c r="G5" s="72"/>
      <c r="H5" s="72"/>
      <c r="I5" s="72"/>
      <c r="J5" s="72"/>
      <c r="K5" s="72"/>
      <c r="L5" s="72"/>
      <c r="M5" s="72"/>
      <c r="N5" s="72"/>
      <c r="O5" s="72"/>
      <c r="P5" s="72"/>
      <c r="Q5" s="72"/>
      <c r="R5" s="72"/>
      <c r="S5" s="72"/>
      <c r="T5" s="72"/>
      <c r="U5" s="72"/>
      <c r="V5" s="72"/>
      <c r="W5" s="72"/>
      <c r="X5" s="72"/>
      <c r="Y5" s="72"/>
      <c r="Z5" s="72"/>
      <c r="AA5" s="72"/>
      <c r="AB5" s="72"/>
      <c r="AC5" s="72"/>
      <c r="AD5" s="72"/>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c r="XY5" s="11"/>
      <c r="XZ5" s="11"/>
      <c r="YA5" s="11"/>
      <c r="YB5" s="11"/>
      <c r="YC5" s="11"/>
      <c r="YD5" s="11"/>
      <c r="YE5" s="11"/>
      <c r="YF5" s="11"/>
      <c r="YG5" s="11"/>
      <c r="YH5" s="11"/>
      <c r="YI5" s="11"/>
      <c r="YJ5" s="11"/>
      <c r="YK5" s="11"/>
      <c r="YL5" s="11"/>
      <c r="YM5" s="11"/>
      <c r="YN5" s="11"/>
      <c r="YO5" s="11"/>
      <c r="YP5" s="11"/>
      <c r="YQ5" s="11"/>
      <c r="YR5" s="11"/>
      <c r="YS5" s="11"/>
      <c r="YT5" s="11"/>
      <c r="YU5" s="11"/>
      <c r="YV5" s="11"/>
      <c r="YW5" s="11"/>
      <c r="YX5" s="11"/>
      <c r="YY5" s="11"/>
      <c r="YZ5" s="11"/>
      <c r="ZA5" s="11"/>
      <c r="ZB5" s="11"/>
      <c r="ZC5" s="11"/>
      <c r="ZD5" s="11"/>
      <c r="ZE5" s="11"/>
      <c r="ZF5" s="11"/>
      <c r="ZG5" s="11"/>
      <c r="ZH5" s="11"/>
      <c r="ZI5" s="11"/>
      <c r="ZJ5" s="11"/>
      <c r="ZK5" s="11"/>
      <c r="ZL5" s="11"/>
      <c r="ZM5" s="11"/>
      <c r="ZN5" s="11"/>
      <c r="ZO5" s="11"/>
      <c r="ZP5" s="11"/>
      <c r="ZQ5" s="11"/>
      <c r="ZR5" s="11"/>
      <c r="ZS5" s="11"/>
      <c r="ZT5" s="11"/>
      <c r="ZU5" s="11"/>
      <c r="ZV5" s="11"/>
      <c r="ZW5" s="11"/>
      <c r="ZX5" s="11"/>
      <c r="ZY5" s="11"/>
      <c r="ZZ5" s="11"/>
      <c r="AAA5" s="11"/>
      <c r="AAB5" s="11"/>
      <c r="AAC5" s="11"/>
      <c r="AAD5" s="11"/>
      <c r="AAE5" s="11"/>
      <c r="AAF5" s="11"/>
      <c r="AAG5" s="11"/>
      <c r="AAH5" s="11"/>
      <c r="AAI5" s="11"/>
      <c r="AAJ5" s="11"/>
      <c r="AAK5" s="11"/>
      <c r="AAL5" s="11"/>
      <c r="AAM5" s="11"/>
      <c r="AAN5" s="11"/>
      <c r="AAO5" s="11"/>
      <c r="AAP5" s="11"/>
      <c r="AAQ5" s="11"/>
      <c r="AAR5" s="11"/>
      <c r="AAS5" s="11"/>
      <c r="AAT5" s="11"/>
      <c r="AAU5" s="11"/>
      <c r="AAV5" s="11"/>
      <c r="AAW5" s="11"/>
      <c r="AAX5" s="11"/>
      <c r="AAY5" s="11"/>
      <c r="AAZ5" s="11"/>
      <c r="ABA5" s="11"/>
      <c r="ABB5" s="11"/>
      <c r="ABC5" s="11"/>
      <c r="ABD5" s="11"/>
      <c r="ABE5" s="11"/>
      <c r="ABF5" s="11"/>
      <c r="ABG5" s="11"/>
      <c r="ABH5" s="11"/>
      <c r="ABI5" s="11"/>
      <c r="ABJ5" s="11"/>
      <c r="ABK5" s="11"/>
      <c r="ABL5" s="11"/>
      <c r="ABM5" s="11"/>
      <c r="ABN5" s="11"/>
      <c r="ABO5" s="11"/>
      <c r="ABP5" s="11"/>
      <c r="ABQ5" s="11"/>
      <c r="ABR5" s="11"/>
      <c r="ABS5" s="11"/>
      <c r="ABT5" s="11"/>
      <c r="ABU5" s="11"/>
      <c r="ABV5" s="11"/>
      <c r="ABW5" s="11"/>
      <c r="ABX5" s="11"/>
      <c r="ABY5" s="11"/>
      <c r="ABZ5" s="11"/>
      <c r="ACA5" s="11"/>
      <c r="ACB5" s="11"/>
      <c r="ACC5" s="11"/>
      <c r="ACD5" s="11"/>
      <c r="ACE5" s="11"/>
      <c r="ACF5" s="11"/>
      <c r="ACG5" s="11"/>
      <c r="ACH5" s="11"/>
      <c r="ACI5" s="11"/>
      <c r="ACJ5" s="11"/>
      <c r="ACK5" s="11"/>
      <c r="ACL5" s="11"/>
      <c r="ACM5" s="11"/>
      <c r="ACN5" s="11"/>
      <c r="ACO5" s="11"/>
      <c r="ACP5" s="11"/>
      <c r="ACQ5" s="11"/>
      <c r="ACR5" s="11"/>
      <c r="ACS5" s="11"/>
      <c r="ACT5" s="11"/>
      <c r="ACU5" s="11"/>
      <c r="ACV5" s="11"/>
      <c r="ACW5" s="11"/>
      <c r="ACX5" s="11"/>
      <c r="ACY5" s="11"/>
      <c r="ACZ5" s="11"/>
      <c r="ADA5" s="11"/>
      <c r="ADB5" s="11"/>
      <c r="ADC5" s="11"/>
      <c r="ADD5" s="11"/>
      <c r="ADE5" s="11"/>
      <c r="ADF5" s="11"/>
      <c r="ADG5" s="11"/>
      <c r="ADH5" s="11"/>
      <c r="ADI5" s="11"/>
      <c r="ADJ5" s="11"/>
      <c r="ADK5" s="11"/>
      <c r="ADL5" s="11"/>
      <c r="ADM5" s="11"/>
      <c r="ADN5" s="11"/>
      <c r="ADO5" s="11"/>
      <c r="ADP5" s="11"/>
      <c r="ADQ5" s="11"/>
      <c r="ADR5" s="11"/>
      <c r="ADS5" s="11"/>
      <c r="ADT5" s="11"/>
      <c r="ADU5" s="11"/>
      <c r="ADV5" s="11"/>
      <c r="ADW5" s="11"/>
      <c r="ADX5" s="11"/>
      <c r="ADY5" s="11"/>
      <c r="ADZ5" s="11"/>
      <c r="AEA5" s="11"/>
      <c r="AEB5" s="11"/>
      <c r="AEC5" s="11"/>
      <c r="AED5" s="11"/>
      <c r="AEE5" s="11"/>
      <c r="AEF5" s="11"/>
      <c r="AEG5" s="11"/>
      <c r="AEH5" s="11"/>
      <c r="AEI5" s="11"/>
      <c r="AEJ5" s="11"/>
      <c r="AEK5" s="11"/>
      <c r="AEL5" s="11"/>
      <c r="AEM5" s="11"/>
      <c r="AEN5" s="11"/>
      <c r="AEO5" s="11"/>
      <c r="AEP5" s="11"/>
      <c r="AEQ5" s="11"/>
      <c r="AER5" s="11"/>
      <c r="AES5" s="11"/>
      <c r="AET5" s="11"/>
      <c r="AEU5" s="11"/>
      <c r="AEV5" s="11"/>
      <c r="AEW5" s="11"/>
      <c r="AEX5" s="11"/>
      <c r="AEY5" s="11"/>
      <c r="AEZ5" s="11"/>
      <c r="AFA5" s="11"/>
      <c r="AFB5" s="11"/>
      <c r="AFC5" s="11"/>
      <c r="AFD5" s="11"/>
      <c r="AFE5" s="11"/>
      <c r="AFF5" s="11"/>
      <c r="AFG5" s="11"/>
      <c r="AFH5" s="11"/>
      <c r="AFI5" s="11"/>
      <c r="AFJ5" s="11"/>
      <c r="AFK5" s="11"/>
      <c r="AFL5" s="11"/>
      <c r="AFM5" s="11"/>
      <c r="AFN5" s="11"/>
      <c r="AFO5" s="11"/>
      <c r="AFP5" s="11"/>
      <c r="AFQ5" s="11"/>
      <c r="AFR5" s="11"/>
      <c r="AFS5" s="11"/>
      <c r="AFT5" s="11"/>
      <c r="AFU5" s="11"/>
      <c r="AFV5" s="11"/>
      <c r="AFW5" s="11"/>
      <c r="AFX5" s="11"/>
      <c r="AFY5" s="11"/>
      <c r="AFZ5" s="11"/>
      <c r="AGA5" s="11"/>
      <c r="AGB5" s="11"/>
      <c r="AGC5" s="11"/>
      <c r="AGD5" s="11"/>
      <c r="AGE5" s="11"/>
      <c r="AGF5" s="11"/>
      <c r="AGG5" s="11"/>
      <c r="AGH5" s="11"/>
      <c r="AGI5" s="11"/>
      <c r="AGJ5" s="11"/>
      <c r="AGK5" s="11"/>
      <c r="AGL5" s="11"/>
      <c r="AGM5" s="11"/>
      <c r="AGN5" s="11"/>
      <c r="AGO5" s="11"/>
      <c r="AGP5" s="11"/>
      <c r="AGQ5" s="11"/>
      <c r="AGR5" s="11"/>
      <c r="AGS5" s="11"/>
      <c r="AGT5" s="11"/>
      <c r="AGU5" s="11"/>
      <c r="AGV5" s="11"/>
      <c r="AGW5" s="11"/>
      <c r="AGX5" s="11"/>
      <c r="AGY5" s="11"/>
      <c r="AGZ5" s="11"/>
      <c r="AHA5" s="11"/>
      <c r="AHB5" s="11"/>
      <c r="AHC5" s="11"/>
      <c r="AHD5" s="11"/>
      <c r="AHE5" s="11"/>
      <c r="AHF5" s="11"/>
      <c r="AHG5" s="11"/>
      <c r="AHH5" s="11"/>
      <c r="AHI5" s="11"/>
      <c r="AHJ5" s="11"/>
      <c r="AHK5" s="11"/>
      <c r="AHL5" s="11"/>
      <c r="AHM5" s="11"/>
      <c r="AHN5" s="11"/>
      <c r="AHO5" s="11"/>
      <c r="AHP5" s="11"/>
      <c r="AHQ5" s="11"/>
      <c r="AHR5" s="11"/>
      <c r="AHS5" s="11"/>
      <c r="AHT5" s="11"/>
      <c r="AHU5" s="11"/>
      <c r="AHV5" s="11"/>
      <c r="AHW5" s="11"/>
      <c r="AHX5" s="11"/>
      <c r="AHY5" s="11"/>
      <c r="AHZ5" s="11"/>
      <c r="AIA5" s="11"/>
      <c r="AIB5" s="11"/>
      <c r="AIC5" s="11"/>
      <c r="AID5" s="11"/>
      <c r="AIE5" s="11"/>
      <c r="AIF5" s="11"/>
      <c r="AIG5" s="11"/>
      <c r="AIH5" s="11"/>
      <c r="AII5" s="11"/>
      <c r="AIJ5" s="11"/>
      <c r="AIK5" s="11"/>
      <c r="AIL5" s="11"/>
      <c r="AIM5" s="11"/>
      <c r="AIN5" s="11"/>
      <c r="AIO5" s="11"/>
      <c r="AIP5" s="11"/>
      <c r="AIQ5" s="11"/>
      <c r="AIR5" s="11"/>
      <c r="AIS5" s="11"/>
      <c r="AIT5" s="11"/>
      <c r="AIU5" s="11"/>
      <c r="AIV5" s="11"/>
      <c r="AIW5" s="11"/>
      <c r="AIX5" s="11"/>
      <c r="AIY5" s="11"/>
      <c r="AIZ5" s="11"/>
      <c r="AJA5" s="11"/>
      <c r="AJB5" s="11"/>
      <c r="AJC5" s="11"/>
      <c r="AJD5" s="11"/>
      <c r="AJE5" s="11"/>
      <c r="AJF5" s="11"/>
      <c r="AJG5" s="11"/>
      <c r="AJH5" s="11"/>
      <c r="AJI5" s="11"/>
      <c r="AJJ5" s="11"/>
      <c r="AJK5" s="11"/>
      <c r="AJL5" s="11"/>
      <c r="AJM5" s="11"/>
      <c r="AJN5" s="11"/>
      <c r="AJO5" s="11"/>
      <c r="AJP5" s="11"/>
      <c r="AJQ5" s="11"/>
      <c r="AJR5" s="11"/>
      <c r="AJS5" s="11"/>
      <c r="AJT5" s="11"/>
      <c r="AJU5" s="11"/>
      <c r="AJV5" s="11"/>
      <c r="AJW5" s="11"/>
      <c r="AJX5" s="11"/>
      <c r="AJY5" s="11"/>
      <c r="AJZ5" s="11"/>
      <c r="AKA5" s="11"/>
      <c r="AKB5" s="11"/>
      <c r="AKC5" s="11"/>
      <c r="AKD5" s="11"/>
      <c r="AKE5" s="11"/>
      <c r="AKF5" s="11"/>
      <c r="AKG5" s="11"/>
      <c r="AKH5" s="11"/>
      <c r="AKI5" s="11"/>
      <c r="AKJ5" s="11"/>
      <c r="AKK5" s="11"/>
      <c r="AKL5" s="11"/>
      <c r="AKM5" s="11"/>
      <c r="AKN5" s="11"/>
      <c r="AKO5" s="11"/>
      <c r="AKP5" s="11"/>
      <c r="AKQ5" s="11"/>
      <c r="AKR5" s="11"/>
      <c r="AKS5" s="11"/>
      <c r="AKT5" s="11"/>
      <c r="AKU5" s="11"/>
      <c r="AKV5" s="11"/>
      <c r="AKW5" s="11"/>
      <c r="AKX5" s="11"/>
      <c r="AKY5" s="11"/>
      <c r="AKZ5" s="11"/>
      <c r="ALA5" s="11"/>
      <c r="ALB5" s="11"/>
      <c r="ALC5" s="11"/>
      <c r="ALD5" s="11"/>
      <c r="ALE5" s="11"/>
      <c r="ALF5" s="11"/>
      <c r="ALG5" s="11"/>
      <c r="ALH5" s="11"/>
      <c r="ALI5" s="11"/>
      <c r="ALJ5" s="11"/>
      <c r="ALK5" s="11"/>
      <c r="ALL5" s="11"/>
      <c r="ALM5" s="11"/>
      <c r="ALN5" s="11"/>
      <c r="ALO5" s="11"/>
      <c r="ALP5" s="11"/>
      <c r="ALQ5" s="11"/>
      <c r="ALR5" s="11"/>
      <c r="ALS5" s="11"/>
      <c r="ALT5" s="11"/>
      <c r="ALU5" s="11"/>
      <c r="ALV5" s="11"/>
      <c r="ALW5" s="11"/>
      <c r="ALX5" s="11"/>
      <c r="ALY5" s="11"/>
      <c r="ALZ5" s="11"/>
      <c r="AMA5" s="11"/>
      <c r="AMB5" s="11"/>
      <c r="AMC5" s="11"/>
      <c r="AMD5" s="11"/>
      <c r="AME5" s="11"/>
      <c r="AMF5" s="11"/>
      <c r="AMG5" s="11"/>
      <c r="AMH5" s="11"/>
      <c r="AMI5" s="11"/>
      <c r="AMJ5" s="11"/>
      <c r="AMK5" s="11"/>
      <c r="AML5" s="11"/>
      <c r="AMM5" s="11"/>
      <c r="AMN5" s="11"/>
      <c r="AMO5" s="11"/>
      <c r="AMP5" s="11"/>
      <c r="AMQ5" s="11"/>
      <c r="AMR5" s="11"/>
      <c r="AMS5" s="11"/>
      <c r="AMT5" s="11"/>
      <c r="AMU5" s="11"/>
      <c r="AMV5" s="11"/>
      <c r="AMW5" s="11"/>
      <c r="AMX5" s="11"/>
      <c r="AMY5" s="11"/>
      <c r="AMZ5" s="11"/>
      <c r="ANA5" s="11"/>
      <c r="ANB5" s="11"/>
      <c r="ANC5" s="11"/>
      <c r="AND5" s="11"/>
      <c r="ANE5" s="11"/>
      <c r="ANF5" s="11"/>
      <c r="ANG5" s="11"/>
      <c r="ANH5" s="11"/>
      <c r="ANI5" s="11"/>
      <c r="ANJ5" s="11"/>
      <c r="ANK5" s="11"/>
      <c r="ANL5" s="11"/>
      <c r="ANM5" s="11"/>
      <c r="ANN5" s="11"/>
      <c r="ANO5" s="11"/>
      <c r="ANP5" s="11"/>
      <c r="ANQ5" s="11"/>
      <c r="ANR5" s="11"/>
      <c r="ANS5" s="11"/>
      <c r="ANT5" s="11"/>
      <c r="ANU5" s="11"/>
      <c r="ANV5" s="11"/>
      <c r="ANW5" s="11"/>
      <c r="ANX5" s="11"/>
      <c r="ANY5" s="11"/>
      <c r="ANZ5" s="11"/>
      <c r="AOA5" s="11"/>
      <c r="AOB5" s="11"/>
      <c r="AOC5" s="11"/>
      <c r="AOD5" s="11"/>
      <c r="AOE5" s="11"/>
      <c r="AOF5" s="11"/>
      <c r="AOG5" s="11"/>
      <c r="AOH5" s="11"/>
      <c r="AOI5" s="11"/>
      <c r="AOJ5" s="11"/>
      <c r="AOK5" s="11"/>
      <c r="AOL5" s="11"/>
      <c r="AOM5" s="11"/>
      <c r="AON5" s="11"/>
      <c r="AOO5" s="11"/>
      <c r="AOP5" s="11"/>
      <c r="AOQ5" s="11"/>
      <c r="AOR5" s="11"/>
      <c r="AOS5" s="11"/>
      <c r="AOT5" s="11"/>
      <c r="AOU5" s="11"/>
      <c r="AOV5" s="11"/>
      <c r="AOW5" s="11"/>
      <c r="AOX5" s="11"/>
      <c r="AOY5" s="11"/>
      <c r="AOZ5" s="11"/>
      <c r="APA5" s="11"/>
      <c r="APB5" s="11"/>
      <c r="APC5" s="11"/>
      <c r="APD5" s="11"/>
      <c r="APE5" s="11"/>
      <c r="APF5" s="11"/>
      <c r="APG5" s="11"/>
      <c r="APH5" s="11"/>
      <c r="API5" s="11"/>
      <c r="APJ5" s="11"/>
      <c r="APK5" s="11"/>
      <c r="APL5" s="11"/>
      <c r="APM5" s="11"/>
      <c r="APN5" s="11"/>
      <c r="APO5" s="11"/>
      <c r="APP5" s="11"/>
      <c r="APQ5" s="11"/>
      <c r="APR5" s="11"/>
      <c r="APS5" s="11"/>
      <c r="APT5" s="11"/>
      <c r="APU5" s="11"/>
      <c r="APV5" s="11"/>
      <c r="APW5" s="11"/>
      <c r="APX5" s="11"/>
      <c r="APY5" s="11"/>
      <c r="APZ5" s="11"/>
      <c r="AQA5" s="11"/>
      <c r="AQB5" s="11"/>
      <c r="AQC5" s="11"/>
      <c r="AQD5" s="11"/>
      <c r="AQE5" s="11"/>
      <c r="AQF5" s="11"/>
      <c r="AQG5" s="11"/>
      <c r="AQH5" s="11"/>
      <c r="AQI5" s="11"/>
      <c r="AQJ5" s="11"/>
      <c r="AQK5" s="11"/>
      <c r="AQL5" s="11"/>
      <c r="AQM5" s="11"/>
      <c r="AQN5" s="11"/>
      <c r="AQO5" s="11"/>
      <c r="AQP5" s="11"/>
      <c r="AQQ5" s="11"/>
      <c r="AQR5" s="11"/>
      <c r="AQS5" s="11"/>
      <c r="AQT5" s="11"/>
      <c r="AQU5" s="11"/>
      <c r="AQV5" s="11"/>
      <c r="AQW5" s="11"/>
      <c r="AQX5" s="11"/>
      <c r="AQY5" s="11"/>
      <c r="AQZ5" s="11"/>
      <c r="ARA5" s="11"/>
      <c r="ARB5" s="11"/>
      <c r="ARC5" s="11"/>
      <c r="ARD5" s="11"/>
      <c r="ARE5" s="11"/>
      <c r="ARF5" s="11"/>
      <c r="ARG5" s="11"/>
      <c r="ARH5" s="11"/>
      <c r="ARI5" s="11"/>
      <c r="ARJ5" s="11"/>
      <c r="ARK5" s="11"/>
      <c r="ARL5" s="11"/>
      <c r="ARM5" s="11"/>
      <c r="ARN5" s="11"/>
      <c r="ARO5" s="11"/>
      <c r="ARP5" s="11"/>
      <c r="ARQ5" s="11"/>
      <c r="ARR5" s="11"/>
      <c r="ARS5" s="11"/>
      <c r="ART5" s="11"/>
      <c r="ARU5" s="11"/>
      <c r="ARV5" s="11"/>
      <c r="ARW5" s="11"/>
      <c r="ARX5" s="11"/>
      <c r="ARY5" s="11"/>
      <c r="ARZ5" s="11"/>
      <c r="ASA5" s="11"/>
      <c r="ASB5" s="11"/>
      <c r="ASC5" s="11"/>
      <c r="ASD5" s="11"/>
      <c r="ASE5" s="11"/>
      <c r="ASF5" s="11"/>
      <c r="ASG5" s="11"/>
      <c r="ASH5" s="11"/>
      <c r="ASI5" s="11"/>
      <c r="ASJ5" s="11"/>
      <c r="ASK5" s="11"/>
      <c r="ASL5" s="11"/>
      <c r="ASM5" s="11"/>
      <c r="ASN5" s="11"/>
      <c r="ASO5" s="11"/>
      <c r="ASP5" s="11"/>
      <c r="ASQ5" s="11"/>
      <c r="ASR5" s="11"/>
      <c r="ASS5" s="11"/>
      <c r="AST5" s="11"/>
      <c r="ASU5" s="11"/>
      <c r="ASV5" s="11"/>
      <c r="ASW5" s="11"/>
      <c r="ASX5" s="11"/>
      <c r="ASY5" s="11"/>
      <c r="ASZ5" s="11"/>
      <c r="ATA5" s="11"/>
      <c r="ATB5" s="11"/>
      <c r="ATC5" s="11"/>
      <c r="ATD5" s="11"/>
      <c r="ATE5" s="11"/>
      <c r="ATF5" s="11"/>
      <c r="ATG5" s="11"/>
      <c r="ATH5" s="11"/>
      <c r="ATI5" s="11"/>
      <c r="ATJ5" s="11"/>
      <c r="ATK5" s="11"/>
      <c r="ATL5" s="11"/>
      <c r="ATM5" s="11"/>
      <c r="ATN5" s="11"/>
      <c r="ATO5" s="11"/>
      <c r="ATP5" s="11"/>
      <c r="ATQ5" s="11"/>
      <c r="ATR5" s="11"/>
      <c r="ATS5" s="11"/>
      <c r="ATT5" s="11"/>
      <c r="ATU5" s="11"/>
      <c r="ATV5" s="11"/>
      <c r="ATW5" s="11"/>
      <c r="ATX5" s="11"/>
      <c r="ATY5" s="11"/>
      <c r="ATZ5" s="11"/>
      <c r="AUA5" s="11"/>
      <c r="AUB5" s="11"/>
      <c r="AUC5" s="11"/>
      <c r="AUD5" s="11"/>
      <c r="AUE5" s="11"/>
      <c r="AUF5" s="11"/>
      <c r="AUG5" s="11"/>
      <c r="AUH5" s="11"/>
      <c r="AUI5" s="11"/>
      <c r="AUJ5" s="11"/>
      <c r="AUK5" s="11"/>
      <c r="AUL5" s="11"/>
      <c r="AUM5" s="11"/>
      <c r="AUN5" s="11"/>
      <c r="AUO5" s="11"/>
      <c r="AUP5" s="11"/>
      <c r="AUQ5" s="11"/>
      <c r="AUR5" s="11"/>
      <c r="AUS5" s="11"/>
      <c r="AUT5" s="11"/>
      <c r="AUU5" s="11"/>
      <c r="AUV5" s="11"/>
      <c r="AUW5" s="11"/>
      <c r="AUX5" s="11"/>
      <c r="AUY5" s="11"/>
      <c r="AUZ5" s="11"/>
      <c r="AVA5" s="11"/>
      <c r="AVB5" s="11"/>
      <c r="AVC5" s="11"/>
      <c r="AVD5" s="11"/>
      <c r="AVE5" s="11"/>
      <c r="AVF5" s="11"/>
      <c r="AVG5" s="11"/>
      <c r="AVH5" s="11"/>
      <c r="AVI5" s="11"/>
      <c r="AVJ5" s="11"/>
      <c r="AVK5" s="11"/>
      <c r="AVL5" s="11"/>
      <c r="AVM5" s="11"/>
      <c r="AVN5" s="11"/>
      <c r="AVO5" s="11"/>
      <c r="AVP5" s="11"/>
      <c r="AVQ5" s="11"/>
      <c r="AVR5" s="11"/>
      <c r="AVS5" s="11"/>
      <c r="AVT5" s="11"/>
      <c r="AVU5" s="11"/>
      <c r="AVV5" s="11"/>
      <c r="AVW5" s="11"/>
      <c r="AVX5" s="11"/>
      <c r="AVY5" s="11"/>
      <c r="AVZ5" s="11"/>
      <c r="AWA5" s="11"/>
      <c r="AWB5" s="11"/>
      <c r="AWC5" s="11"/>
      <c r="AWD5" s="11"/>
      <c r="AWE5" s="11"/>
      <c r="AWF5" s="11"/>
      <c r="AWG5" s="11"/>
      <c r="AWH5" s="11"/>
      <c r="AWI5" s="11"/>
      <c r="AWJ5" s="11"/>
      <c r="AWK5" s="11"/>
      <c r="AWL5" s="11"/>
      <c r="AWM5" s="11"/>
      <c r="AWN5" s="11"/>
      <c r="AWO5" s="11"/>
      <c r="AWP5" s="11"/>
      <c r="AWQ5" s="11"/>
      <c r="AWR5" s="11"/>
      <c r="AWS5" s="11"/>
      <c r="AWT5" s="11"/>
      <c r="AWU5" s="11"/>
      <c r="AWV5" s="11"/>
      <c r="AWW5" s="11"/>
      <c r="AWX5" s="11"/>
      <c r="AWY5" s="11"/>
      <c r="AWZ5" s="11"/>
      <c r="AXA5" s="11"/>
      <c r="AXB5" s="11"/>
      <c r="AXC5" s="11"/>
      <c r="AXD5" s="11"/>
      <c r="AXE5" s="11"/>
      <c r="AXF5" s="11"/>
      <c r="AXG5" s="11"/>
      <c r="AXH5" s="11"/>
      <c r="AXI5" s="11"/>
      <c r="AXJ5" s="11"/>
      <c r="AXK5" s="11"/>
      <c r="AXL5" s="11"/>
      <c r="AXM5" s="11"/>
      <c r="AXN5" s="11"/>
      <c r="AXO5" s="11"/>
      <c r="AXP5" s="11"/>
      <c r="AXQ5" s="11"/>
      <c r="AXR5" s="11"/>
      <c r="AXS5" s="11"/>
      <c r="AXT5" s="11"/>
      <c r="AXU5" s="11"/>
      <c r="AXV5" s="11"/>
      <c r="AXW5" s="11"/>
      <c r="AXX5" s="11"/>
      <c r="AXY5" s="11"/>
      <c r="AXZ5" s="11"/>
      <c r="AYA5" s="11"/>
      <c r="AYB5" s="11"/>
      <c r="AYC5" s="11"/>
      <c r="AYD5" s="11"/>
      <c r="AYE5" s="11"/>
      <c r="AYF5" s="11"/>
      <c r="AYG5" s="11"/>
      <c r="AYH5" s="11"/>
      <c r="AYI5" s="11"/>
      <c r="AYJ5" s="11"/>
      <c r="AYK5" s="11"/>
      <c r="AYL5" s="11"/>
      <c r="AYM5" s="11"/>
      <c r="AYN5" s="11"/>
      <c r="AYO5" s="11"/>
      <c r="AYP5" s="11"/>
      <c r="AYQ5" s="11"/>
      <c r="AYR5" s="11"/>
      <c r="AYS5" s="11"/>
      <c r="AYT5" s="11"/>
      <c r="AYU5" s="11"/>
      <c r="AYV5" s="11"/>
      <c r="AYW5" s="11"/>
      <c r="AYX5" s="11"/>
      <c r="AYY5" s="11"/>
      <c r="AYZ5" s="11"/>
      <c r="AZA5" s="11"/>
      <c r="AZB5" s="11"/>
      <c r="AZC5" s="11"/>
      <c r="AZD5" s="11"/>
      <c r="AZE5" s="11"/>
      <c r="AZF5" s="11"/>
      <c r="AZG5" s="11"/>
      <c r="AZH5" s="11"/>
      <c r="AZI5" s="11"/>
      <c r="AZJ5" s="11"/>
      <c r="AZK5" s="11"/>
      <c r="AZL5" s="11"/>
      <c r="AZM5" s="11"/>
      <c r="AZN5" s="11"/>
      <c r="AZO5" s="11"/>
      <c r="AZP5" s="11"/>
      <c r="AZQ5" s="11"/>
      <c r="AZR5" s="11"/>
      <c r="AZS5" s="11"/>
      <c r="AZT5" s="11"/>
      <c r="AZU5" s="11"/>
      <c r="AZV5" s="11"/>
      <c r="AZW5" s="11"/>
      <c r="AZX5" s="11"/>
      <c r="AZY5" s="11"/>
      <c r="AZZ5" s="11"/>
      <c r="BAA5" s="11"/>
      <c r="BAB5" s="11"/>
      <c r="BAC5" s="11"/>
      <c r="BAD5" s="11"/>
      <c r="BAE5" s="11"/>
      <c r="BAF5" s="11"/>
      <c r="BAG5" s="11"/>
      <c r="BAH5" s="11"/>
      <c r="BAI5" s="11"/>
      <c r="BAJ5" s="11"/>
      <c r="BAK5" s="11"/>
      <c r="BAL5" s="11"/>
      <c r="BAM5" s="11"/>
      <c r="BAN5" s="11"/>
      <c r="BAO5" s="11"/>
      <c r="BAP5" s="11"/>
      <c r="BAQ5" s="11"/>
      <c r="BAR5" s="11"/>
      <c r="BAS5" s="11"/>
      <c r="BAT5" s="11"/>
      <c r="BAU5" s="11"/>
      <c r="BAV5" s="11"/>
      <c r="BAW5" s="11"/>
      <c r="BAX5" s="11"/>
      <c r="BAY5" s="11"/>
      <c r="BAZ5" s="11"/>
      <c r="BBA5" s="11"/>
      <c r="BBB5" s="11"/>
      <c r="BBC5" s="11"/>
      <c r="BBD5" s="11"/>
      <c r="BBE5" s="11"/>
      <c r="BBF5" s="11"/>
      <c r="BBG5" s="11"/>
      <c r="BBH5" s="11"/>
      <c r="BBI5" s="11"/>
      <c r="BBJ5" s="11"/>
      <c r="BBK5" s="11"/>
      <c r="BBL5" s="11"/>
      <c r="BBM5" s="11"/>
      <c r="BBN5" s="11"/>
      <c r="BBO5" s="11"/>
      <c r="BBP5" s="11"/>
      <c r="BBQ5" s="11"/>
      <c r="BBR5" s="11"/>
      <c r="BBS5" s="11"/>
      <c r="BBT5" s="11"/>
      <c r="BBU5" s="11"/>
      <c r="BBV5" s="11"/>
      <c r="BBW5" s="11"/>
      <c r="BBX5" s="11"/>
      <c r="BBY5" s="11"/>
      <c r="BBZ5" s="11"/>
      <c r="BCA5" s="11"/>
      <c r="BCB5" s="11"/>
      <c r="BCC5" s="11"/>
      <c r="BCD5" s="11"/>
      <c r="BCE5" s="11"/>
      <c r="BCF5" s="11"/>
      <c r="BCG5" s="11"/>
      <c r="BCH5" s="11"/>
      <c r="BCI5" s="11"/>
      <c r="BCJ5" s="11"/>
      <c r="BCK5" s="11"/>
      <c r="BCL5" s="11"/>
      <c r="BCM5" s="11"/>
      <c r="BCN5" s="11"/>
      <c r="BCO5" s="11"/>
      <c r="BCP5" s="11"/>
      <c r="BCQ5" s="11"/>
      <c r="BCR5" s="11"/>
      <c r="BCS5" s="11"/>
      <c r="BCT5" s="11"/>
      <c r="BCU5" s="11"/>
      <c r="BCV5" s="11"/>
      <c r="BCW5" s="11"/>
      <c r="BCX5" s="11"/>
      <c r="BCY5" s="11"/>
      <c r="BCZ5" s="11"/>
      <c r="BDA5" s="11"/>
      <c r="BDB5" s="11"/>
      <c r="BDC5" s="11"/>
      <c r="BDD5" s="11"/>
      <c r="BDE5" s="11"/>
      <c r="BDF5" s="11"/>
      <c r="BDG5" s="11"/>
      <c r="BDH5" s="11"/>
      <c r="BDI5" s="11"/>
      <c r="BDJ5" s="11"/>
      <c r="BDK5" s="11"/>
      <c r="BDL5" s="11"/>
      <c r="BDM5" s="11"/>
      <c r="BDN5" s="11"/>
      <c r="BDO5" s="11"/>
      <c r="BDP5" s="11"/>
      <c r="BDQ5" s="11"/>
      <c r="BDR5" s="11"/>
      <c r="BDS5" s="11"/>
      <c r="BDT5" s="11"/>
      <c r="BDU5" s="11"/>
      <c r="BDV5" s="11"/>
      <c r="BDW5" s="11"/>
      <c r="BDX5" s="11"/>
      <c r="BDY5" s="11"/>
      <c r="BDZ5" s="11"/>
      <c r="BEA5" s="11"/>
      <c r="BEB5" s="11"/>
      <c r="BEC5" s="11"/>
      <c r="BED5" s="11"/>
      <c r="BEE5" s="11"/>
      <c r="BEF5" s="11"/>
      <c r="BEG5" s="11"/>
      <c r="BEH5" s="11"/>
      <c r="BEI5" s="11"/>
      <c r="BEJ5" s="11"/>
      <c r="BEK5" s="11"/>
      <c r="BEL5" s="11"/>
      <c r="BEM5" s="11"/>
      <c r="BEN5" s="11"/>
      <c r="BEO5" s="11"/>
      <c r="BEP5" s="11"/>
      <c r="BEQ5" s="11"/>
      <c r="BER5" s="11"/>
      <c r="BES5" s="11"/>
      <c r="BET5" s="11"/>
      <c r="BEU5" s="11"/>
      <c r="BEV5" s="11"/>
      <c r="BEW5" s="11"/>
      <c r="BEX5" s="11"/>
      <c r="BEY5" s="11"/>
      <c r="BEZ5" s="11"/>
      <c r="BFA5" s="11"/>
      <c r="BFB5" s="11"/>
      <c r="BFC5" s="11"/>
      <c r="BFD5" s="11"/>
      <c r="BFE5" s="11"/>
      <c r="BFF5" s="11"/>
      <c r="BFG5" s="11"/>
      <c r="BFH5" s="11"/>
      <c r="BFI5" s="11"/>
      <c r="BFJ5" s="11"/>
      <c r="BFK5" s="11"/>
      <c r="BFL5" s="11"/>
      <c r="BFM5" s="11"/>
      <c r="BFN5" s="11"/>
      <c r="BFO5" s="11"/>
      <c r="BFP5" s="11"/>
      <c r="BFQ5" s="11"/>
      <c r="BFR5" s="11"/>
      <c r="BFS5" s="11"/>
      <c r="BFT5" s="11"/>
      <c r="BFU5" s="11"/>
      <c r="BFV5" s="11"/>
      <c r="BFW5" s="11"/>
      <c r="BFX5" s="11"/>
      <c r="BFY5" s="11"/>
      <c r="BFZ5" s="11"/>
      <c r="BGA5" s="11"/>
      <c r="BGB5" s="11"/>
      <c r="BGC5" s="11"/>
      <c r="BGD5" s="11"/>
      <c r="BGE5" s="11"/>
      <c r="BGF5" s="11"/>
      <c r="BGG5" s="11"/>
      <c r="BGH5" s="11"/>
      <c r="BGI5" s="11"/>
      <c r="BGJ5" s="11"/>
      <c r="BGK5" s="11"/>
      <c r="BGL5" s="11"/>
      <c r="BGM5" s="11"/>
      <c r="BGN5" s="11"/>
      <c r="BGO5" s="11"/>
      <c r="BGP5" s="11"/>
      <c r="BGQ5" s="11"/>
      <c r="BGR5" s="11"/>
      <c r="BGS5" s="11"/>
      <c r="BGT5" s="11"/>
      <c r="BGU5" s="11"/>
      <c r="BGV5" s="11"/>
      <c r="BGW5" s="11"/>
      <c r="BGX5" s="11"/>
      <c r="BGY5" s="11"/>
      <c r="BGZ5" s="11"/>
      <c r="BHA5" s="11"/>
      <c r="BHB5" s="11"/>
      <c r="BHC5" s="11"/>
      <c r="BHD5" s="11"/>
      <c r="BHE5" s="11"/>
      <c r="BHF5" s="11"/>
      <c r="BHG5" s="11"/>
      <c r="BHH5" s="11"/>
      <c r="BHI5" s="11"/>
      <c r="BHJ5" s="11"/>
      <c r="BHK5" s="11"/>
      <c r="BHL5" s="11"/>
      <c r="BHM5" s="11"/>
      <c r="BHN5" s="11"/>
      <c r="BHO5" s="11"/>
      <c r="BHP5" s="11"/>
      <c r="BHQ5" s="11"/>
      <c r="BHR5" s="11"/>
      <c r="BHS5" s="11"/>
      <c r="BHT5" s="11"/>
      <c r="BHU5" s="11"/>
      <c r="BHV5" s="11"/>
      <c r="BHW5" s="11"/>
      <c r="BHX5" s="11"/>
      <c r="BHY5" s="11"/>
      <c r="BHZ5" s="11"/>
      <c r="BIA5" s="11"/>
      <c r="BIB5" s="11"/>
      <c r="BIC5" s="11"/>
      <c r="BID5" s="11"/>
      <c r="BIE5" s="11"/>
      <c r="BIF5" s="11"/>
      <c r="BIG5" s="11"/>
      <c r="BIH5" s="11"/>
      <c r="BII5" s="11"/>
      <c r="BIJ5" s="11"/>
      <c r="BIK5" s="11"/>
      <c r="BIL5" s="11"/>
      <c r="BIM5" s="11"/>
      <c r="BIN5" s="11"/>
      <c r="BIO5" s="11"/>
      <c r="BIP5" s="11"/>
      <c r="BIQ5" s="11"/>
      <c r="BIR5" s="11"/>
      <c r="BIS5" s="11"/>
      <c r="BIT5" s="11"/>
      <c r="BIU5" s="11"/>
      <c r="BIV5" s="11"/>
      <c r="BIW5" s="11"/>
      <c r="BIX5" s="11"/>
      <c r="BIY5" s="11"/>
      <c r="BIZ5" s="11"/>
      <c r="BJA5" s="11"/>
      <c r="BJB5" s="11"/>
      <c r="BJC5" s="11"/>
      <c r="BJD5" s="11"/>
      <c r="BJE5" s="11"/>
      <c r="BJF5" s="11"/>
      <c r="BJG5" s="11"/>
      <c r="BJH5" s="11"/>
      <c r="BJI5" s="11"/>
      <c r="BJJ5" s="11"/>
      <c r="BJK5" s="11"/>
      <c r="BJL5" s="11"/>
      <c r="BJM5" s="11"/>
      <c r="BJN5" s="11"/>
      <c r="BJO5" s="11"/>
      <c r="BJP5" s="11"/>
      <c r="BJQ5" s="11"/>
      <c r="BJR5" s="11"/>
      <c r="BJS5" s="11"/>
      <c r="BJT5" s="11"/>
      <c r="BJU5" s="11"/>
      <c r="BJV5" s="11"/>
      <c r="BJW5" s="11"/>
      <c r="BJX5" s="11"/>
      <c r="BJY5" s="11"/>
      <c r="BJZ5" s="11"/>
      <c r="BKA5" s="11"/>
      <c r="BKB5" s="11"/>
      <c r="BKC5" s="11"/>
      <c r="BKD5" s="11"/>
      <c r="BKE5" s="11"/>
      <c r="BKF5" s="11"/>
      <c r="BKG5" s="11"/>
      <c r="BKH5" s="11"/>
      <c r="BKI5" s="11"/>
      <c r="BKJ5" s="11"/>
      <c r="BKK5" s="11"/>
      <c r="BKL5" s="11"/>
      <c r="BKM5" s="11"/>
      <c r="BKN5" s="11"/>
      <c r="BKO5" s="11"/>
      <c r="BKP5" s="11"/>
      <c r="BKQ5" s="11"/>
      <c r="BKR5" s="11"/>
      <c r="BKS5" s="11"/>
      <c r="BKT5" s="11"/>
      <c r="BKU5" s="11"/>
      <c r="BKV5" s="11"/>
      <c r="BKW5" s="11"/>
      <c r="BKX5" s="11"/>
      <c r="BKY5" s="11"/>
      <c r="BKZ5" s="11"/>
      <c r="BLA5" s="11"/>
      <c r="BLB5" s="11"/>
      <c r="BLC5" s="11"/>
      <c r="BLD5" s="11"/>
      <c r="BLE5" s="11"/>
      <c r="BLF5" s="11"/>
      <c r="BLG5" s="11"/>
      <c r="BLH5" s="11"/>
      <c r="BLI5" s="11"/>
      <c r="BLJ5" s="11"/>
      <c r="BLK5" s="11"/>
      <c r="BLL5" s="11"/>
      <c r="BLM5" s="11"/>
      <c r="BLN5" s="11"/>
      <c r="BLO5" s="11"/>
      <c r="BLP5" s="11"/>
      <c r="BLQ5" s="11"/>
      <c r="BLR5" s="11"/>
      <c r="BLS5" s="11"/>
      <c r="BLT5" s="11"/>
      <c r="BLU5" s="11"/>
      <c r="BLV5" s="11"/>
      <c r="BLW5" s="11"/>
      <c r="BLX5" s="11"/>
      <c r="BLY5" s="11"/>
      <c r="BLZ5" s="11"/>
      <c r="BMA5" s="11"/>
      <c r="BMB5" s="11"/>
      <c r="BMC5" s="11"/>
      <c r="BMD5" s="11"/>
      <c r="BME5" s="11"/>
      <c r="BMF5" s="11"/>
      <c r="BMG5" s="11"/>
      <c r="BMH5" s="11"/>
      <c r="BMI5" s="11"/>
      <c r="BMJ5" s="11"/>
      <c r="BMK5" s="11"/>
      <c r="BML5" s="11"/>
      <c r="BMM5" s="11"/>
      <c r="BMN5" s="11"/>
      <c r="BMO5" s="11"/>
      <c r="BMP5" s="11"/>
      <c r="BMQ5" s="11"/>
      <c r="BMR5" s="11"/>
      <c r="BMS5" s="11"/>
      <c r="BMT5" s="11"/>
      <c r="BMU5" s="11"/>
      <c r="BMV5" s="11"/>
      <c r="BMW5" s="11"/>
      <c r="BMX5" s="11"/>
      <c r="BMY5" s="11"/>
      <c r="BMZ5" s="11"/>
      <c r="BNA5" s="11"/>
      <c r="BNB5" s="11"/>
      <c r="BNC5" s="11"/>
      <c r="BND5" s="11"/>
      <c r="BNE5" s="11"/>
      <c r="BNF5" s="11"/>
      <c r="BNG5" s="11"/>
      <c r="BNH5" s="11"/>
      <c r="BNI5" s="11"/>
      <c r="BNJ5" s="11"/>
      <c r="BNK5" s="11"/>
      <c r="BNL5" s="11"/>
      <c r="BNM5" s="11"/>
      <c r="BNN5" s="11"/>
      <c r="BNO5" s="11"/>
      <c r="BNP5" s="11"/>
      <c r="BNQ5" s="11"/>
      <c r="BNR5" s="11"/>
      <c r="BNS5" s="11"/>
      <c r="BNT5" s="11"/>
      <c r="BNU5" s="11"/>
      <c r="BNV5" s="11"/>
      <c r="BNW5" s="11"/>
      <c r="BNX5" s="11"/>
      <c r="BNY5" s="11"/>
      <c r="BNZ5" s="11"/>
      <c r="BOA5" s="11"/>
      <c r="BOB5" s="11"/>
      <c r="BOC5" s="11"/>
      <c r="BOD5" s="11"/>
      <c r="BOE5" s="11"/>
      <c r="BOF5" s="11"/>
      <c r="BOG5" s="11"/>
      <c r="BOH5" s="11"/>
      <c r="BOI5" s="11"/>
      <c r="BOJ5" s="11"/>
      <c r="BOK5" s="11"/>
      <c r="BOL5" s="11"/>
      <c r="BOM5" s="11"/>
      <c r="BON5" s="11"/>
      <c r="BOO5" s="11"/>
      <c r="BOP5" s="11"/>
      <c r="BOQ5" s="11"/>
      <c r="BOR5" s="11"/>
      <c r="BOS5" s="11"/>
      <c r="BOT5" s="11"/>
      <c r="BOU5" s="11"/>
      <c r="BOV5" s="11"/>
      <c r="BOW5" s="11"/>
      <c r="BOX5" s="11"/>
      <c r="BOY5" s="11"/>
      <c r="BOZ5" s="11"/>
      <c r="BPA5" s="11"/>
      <c r="BPB5" s="11"/>
      <c r="BPC5" s="11"/>
      <c r="BPD5" s="11"/>
      <c r="BPE5" s="11"/>
      <c r="BPF5" s="11"/>
      <c r="BPG5" s="11"/>
      <c r="BPH5" s="11"/>
      <c r="BPI5" s="11"/>
      <c r="BPJ5" s="11"/>
      <c r="BPK5" s="11"/>
      <c r="BPL5" s="11"/>
      <c r="BPM5" s="11"/>
      <c r="BPN5" s="11"/>
      <c r="BPO5" s="11"/>
      <c r="BPP5" s="11"/>
      <c r="BPQ5" s="11"/>
      <c r="BPR5" s="11"/>
      <c r="BPS5" s="11"/>
      <c r="BPT5" s="11"/>
      <c r="BPU5" s="11"/>
      <c r="BPV5" s="11"/>
      <c r="BPW5" s="11"/>
      <c r="BPX5" s="11"/>
      <c r="BPY5" s="11"/>
      <c r="BPZ5" s="11"/>
      <c r="BQA5" s="11"/>
      <c r="BQB5" s="11"/>
      <c r="BQC5" s="11"/>
      <c r="BQD5" s="11"/>
      <c r="BQE5" s="11"/>
      <c r="BQF5" s="11"/>
      <c r="BQG5" s="11"/>
      <c r="BQH5" s="11"/>
      <c r="BQI5" s="11"/>
      <c r="BQJ5" s="11"/>
      <c r="BQK5" s="11"/>
      <c r="BQL5" s="11"/>
      <c r="BQM5" s="11"/>
      <c r="BQN5" s="11"/>
      <c r="BQO5" s="11"/>
      <c r="BQP5" s="11"/>
      <c r="BQQ5" s="11"/>
      <c r="BQR5" s="11"/>
      <c r="BQS5" s="11"/>
      <c r="BQT5" s="11"/>
      <c r="BQU5" s="11"/>
      <c r="BQV5" s="11"/>
      <c r="BQW5" s="11"/>
      <c r="BQX5" s="11"/>
      <c r="BQY5" s="11"/>
      <c r="BQZ5" s="11"/>
      <c r="BRA5" s="11"/>
      <c r="BRB5" s="11"/>
      <c r="BRC5" s="11"/>
      <c r="BRD5" s="11"/>
      <c r="BRE5" s="11"/>
      <c r="BRF5" s="11"/>
      <c r="BRG5" s="11"/>
      <c r="BRH5" s="11"/>
      <c r="BRI5" s="11"/>
      <c r="BRJ5" s="11"/>
      <c r="BRK5" s="11"/>
      <c r="BRL5" s="11"/>
      <c r="BRM5" s="11"/>
      <c r="BRN5" s="11"/>
      <c r="BRO5" s="11"/>
      <c r="BRP5" s="11"/>
      <c r="BRQ5" s="11"/>
      <c r="BRR5" s="11"/>
      <c r="BRS5" s="11"/>
      <c r="BRT5" s="11"/>
      <c r="BRU5" s="11"/>
      <c r="BRV5" s="11"/>
      <c r="BRW5" s="11"/>
      <c r="BRX5" s="11"/>
      <c r="BRY5" s="11"/>
      <c r="BRZ5" s="11"/>
      <c r="BSA5" s="11"/>
      <c r="BSB5" s="11"/>
      <c r="BSC5" s="11"/>
      <c r="BSD5" s="11"/>
      <c r="BSE5" s="11"/>
      <c r="BSF5" s="11"/>
      <c r="BSG5" s="11"/>
      <c r="BSH5" s="11"/>
      <c r="BSI5" s="11"/>
      <c r="BSJ5" s="11"/>
      <c r="BSK5" s="11"/>
      <c r="BSL5" s="11"/>
      <c r="BSM5" s="11"/>
      <c r="BSN5" s="11"/>
      <c r="BSO5" s="11"/>
      <c r="BSP5" s="11"/>
      <c r="BSQ5" s="11"/>
      <c r="BSR5" s="11"/>
      <c r="BSS5" s="11"/>
      <c r="BST5" s="11"/>
      <c r="BSU5" s="11"/>
      <c r="BSV5" s="11"/>
      <c r="BSW5" s="11"/>
      <c r="BSX5" s="11"/>
      <c r="BSY5" s="11"/>
      <c r="BSZ5" s="11"/>
      <c r="BTA5" s="11"/>
      <c r="BTB5" s="11"/>
      <c r="BTC5" s="11"/>
      <c r="BTD5" s="11"/>
      <c r="BTE5" s="11"/>
      <c r="BTF5" s="11"/>
      <c r="BTG5" s="11"/>
      <c r="BTH5" s="11"/>
      <c r="BTI5" s="11"/>
      <c r="BTJ5" s="11"/>
      <c r="BTK5" s="11"/>
      <c r="BTL5" s="11"/>
      <c r="BTM5" s="11"/>
      <c r="BTN5" s="11"/>
      <c r="BTO5" s="11"/>
      <c r="BTP5" s="11"/>
      <c r="BTQ5" s="11"/>
      <c r="BTR5" s="11"/>
      <c r="BTS5" s="11"/>
      <c r="BTT5" s="11"/>
      <c r="BTU5" s="11"/>
      <c r="BTV5" s="11"/>
      <c r="BTW5" s="11"/>
      <c r="BTX5" s="11"/>
      <c r="BTY5" s="11"/>
      <c r="BTZ5" s="11"/>
      <c r="BUA5" s="11"/>
      <c r="BUB5" s="11"/>
      <c r="BUC5" s="11"/>
      <c r="BUD5" s="11"/>
      <c r="BUE5" s="11"/>
      <c r="BUF5" s="11"/>
      <c r="BUG5" s="11"/>
      <c r="BUH5" s="11"/>
      <c r="BUI5" s="11"/>
      <c r="BUJ5" s="11"/>
      <c r="BUK5" s="11"/>
      <c r="BUL5" s="11"/>
      <c r="BUM5" s="11"/>
      <c r="BUN5" s="11"/>
      <c r="BUO5" s="11"/>
      <c r="BUP5" s="11"/>
      <c r="BUQ5" s="11"/>
      <c r="BUR5" s="11"/>
      <c r="BUS5" s="11"/>
      <c r="BUT5" s="11"/>
      <c r="BUU5" s="11"/>
      <c r="BUV5" s="11"/>
      <c r="BUW5" s="11"/>
      <c r="BUX5" s="11"/>
      <c r="BUY5" s="11"/>
      <c r="BUZ5" s="11"/>
      <c r="BVA5" s="11"/>
      <c r="BVB5" s="11"/>
      <c r="BVC5" s="11"/>
      <c r="BVD5" s="11"/>
      <c r="BVE5" s="11"/>
      <c r="BVF5" s="11"/>
      <c r="BVG5" s="11"/>
      <c r="BVH5" s="11"/>
      <c r="BVI5" s="11"/>
      <c r="BVJ5" s="11"/>
      <c r="BVK5" s="11"/>
      <c r="BVL5" s="11"/>
      <c r="BVM5" s="11"/>
      <c r="BVN5" s="11"/>
      <c r="BVO5" s="11"/>
      <c r="BVP5" s="11"/>
      <c r="BVQ5" s="11"/>
      <c r="BVR5" s="11"/>
      <c r="BVS5" s="11"/>
      <c r="BVT5" s="11"/>
      <c r="BVU5" s="11"/>
      <c r="BVV5" s="11"/>
      <c r="BVW5" s="11"/>
      <c r="BVX5" s="11"/>
      <c r="BVY5" s="11"/>
      <c r="BVZ5" s="11"/>
      <c r="BWA5" s="11"/>
      <c r="BWB5" s="11"/>
      <c r="BWC5" s="11"/>
      <c r="BWD5" s="11"/>
      <c r="BWE5" s="11"/>
      <c r="BWF5" s="11"/>
      <c r="BWG5" s="11"/>
      <c r="BWH5" s="11"/>
      <c r="BWI5" s="11"/>
      <c r="BWJ5" s="11"/>
      <c r="BWK5" s="11"/>
      <c r="BWL5" s="11"/>
      <c r="BWM5" s="11"/>
      <c r="BWN5" s="11"/>
      <c r="BWO5" s="11"/>
      <c r="BWP5" s="11"/>
      <c r="BWQ5" s="11"/>
      <c r="BWR5" s="11"/>
      <c r="BWS5" s="11"/>
      <c r="BWT5" s="11"/>
      <c r="BWU5" s="11"/>
      <c r="BWV5" s="11"/>
      <c r="BWW5" s="11"/>
      <c r="BWX5" s="11"/>
      <c r="BWY5" s="11"/>
      <c r="BWZ5" s="11"/>
      <c r="BXA5" s="11"/>
      <c r="BXB5" s="11"/>
      <c r="BXC5" s="11"/>
      <c r="BXD5" s="11"/>
      <c r="BXE5" s="11"/>
      <c r="BXF5" s="11"/>
      <c r="BXG5" s="11"/>
      <c r="BXH5" s="11"/>
      <c r="BXI5" s="11"/>
      <c r="BXJ5" s="11"/>
      <c r="BXK5" s="11"/>
      <c r="BXL5" s="11"/>
      <c r="BXM5" s="11"/>
      <c r="BXN5" s="11"/>
      <c r="BXO5" s="11"/>
      <c r="BXP5" s="11"/>
      <c r="BXQ5" s="11"/>
      <c r="BXR5" s="11"/>
      <c r="BXS5" s="11"/>
      <c r="BXT5" s="11"/>
      <c r="BXU5" s="11"/>
      <c r="BXV5" s="11"/>
      <c r="BXW5" s="11"/>
      <c r="BXX5" s="11"/>
      <c r="BXY5" s="11"/>
      <c r="BXZ5" s="11"/>
      <c r="BYA5" s="11"/>
      <c r="BYB5" s="11"/>
      <c r="BYC5" s="11"/>
      <c r="BYD5" s="11"/>
      <c r="BYE5" s="11"/>
      <c r="BYF5" s="11"/>
      <c r="BYG5" s="11"/>
      <c r="BYH5" s="11"/>
      <c r="BYI5" s="11"/>
      <c r="BYJ5" s="11"/>
      <c r="BYK5" s="11"/>
      <c r="BYL5" s="11"/>
      <c r="BYM5" s="11"/>
      <c r="BYN5" s="11"/>
      <c r="BYO5" s="11"/>
      <c r="BYP5" s="11"/>
      <c r="BYQ5" s="11"/>
      <c r="BYR5" s="11"/>
      <c r="BYS5" s="11"/>
      <c r="BYT5" s="11"/>
      <c r="BYU5" s="11"/>
      <c r="BYV5" s="11"/>
      <c r="BYW5" s="11"/>
      <c r="BYX5" s="11"/>
      <c r="BYY5" s="11"/>
      <c r="BYZ5" s="11"/>
      <c r="BZA5" s="11"/>
      <c r="BZB5" s="11"/>
      <c r="BZC5" s="11"/>
      <c r="BZD5" s="11"/>
      <c r="BZE5" s="11"/>
      <c r="BZF5" s="11"/>
      <c r="BZG5" s="11"/>
      <c r="BZH5" s="11"/>
      <c r="BZI5" s="11"/>
      <c r="BZJ5" s="11"/>
      <c r="BZK5" s="11"/>
      <c r="BZL5" s="11"/>
      <c r="BZM5" s="11"/>
      <c r="BZN5" s="11"/>
      <c r="BZO5" s="11"/>
      <c r="BZP5" s="11"/>
      <c r="BZQ5" s="11"/>
      <c r="BZR5" s="11"/>
      <c r="BZS5" s="11"/>
      <c r="BZT5" s="11"/>
      <c r="BZU5" s="11"/>
      <c r="BZV5" s="11"/>
      <c r="BZW5" s="11"/>
      <c r="BZX5" s="11"/>
      <c r="BZY5" s="11"/>
      <c r="BZZ5" s="11"/>
      <c r="CAA5" s="11"/>
      <c r="CAB5" s="11"/>
      <c r="CAC5" s="11"/>
      <c r="CAD5" s="11"/>
      <c r="CAE5" s="11"/>
      <c r="CAF5" s="11"/>
      <c r="CAG5" s="11"/>
      <c r="CAH5" s="11"/>
      <c r="CAI5" s="11"/>
      <c r="CAJ5" s="11"/>
      <c r="CAK5" s="11"/>
      <c r="CAL5" s="11"/>
      <c r="CAM5" s="11"/>
      <c r="CAN5" s="11"/>
      <c r="CAO5" s="11"/>
      <c r="CAP5" s="11"/>
      <c r="CAQ5" s="11"/>
      <c r="CAR5" s="11"/>
      <c r="CAS5" s="11"/>
      <c r="CAT5" s="11"/>
      <c r="CAU5" s="11"/>
      <c r="CAV5" s="11"/>
      <c r="CAW5" s="11"/>
      <c r="CAX5" s="11"/>
      <c r="CAY5" s="11"/>
      <c r="CAZ5" s="11"/>
      <c r="CBA5" s="11"/>
      <c r="CBB5" s="11"/>
      <c r="CBC5" s="11"/>
      <c r="CBD5" s="11"/>
      <c r="CBE5" s="11"/>
      <c r="CBF5" s="11"/>
      <c r="CBG5" s="11"/>
      <c r="CBH5" s="11"/>
      <c r="CBI5" s="11"/>
      <c r="CBJ5" s="11"/>
      <c r="CBK5" s="11"/>
      <c r="CBL5" s="11"/>
      <c r="CBM5" s="11"/>
      <c r="CBN5" s="11"/>
      <c r="CBO5" s="11"/>
      <c r="CBP5" s="11"/>
      <c r="CBQ5" s="11"/>
      <c r="CBR5" s="11"/>
      <c r="CBS5" s="11"/>
      <c r="CBT5" s="11"/>
      <c r="CBU5" s="11"/>
      <c r="CBV5" s="11"/>
      <c r="CBW5" s="11"/>
      <c r="CBX5" s="11"/>
      <c r="CBY5" s="11"/>
      <c r="CBZ5" s="11"/>
      <c r="CCA5" s="11"/>
      <c r="CCB5" s="11"/>
      <c r="CCC5" s="11"/>
      <c r="CCD5" s="11"/>
      <c r="CCE5" s="11"/>
      <c r="CCF5" s="11"/>
      <c r="CCG5" s="11"/>
      <c r="CCH5" s="11"/>
      <c r="CCI5" s="11"/>
      <c r="CCJ5" s="11"/>
      <c r="CCK5" s="11"/>
      <c r="CCL5" s="11"/>
      <c r="CCM5" s="11"/>
      <c r="CCN5" s="11"/>
      <c r="CCO5" s="11"/>
      <c r="CCP5" s="11"/>
      <c r="CCQ5" s="11"/>
      <c r="CCR5" s="11"/>
      <c r="CCS5" s="11"/>
      <c r="CCT5" s="11"/>
      <c r="CCU5" s="11"/>
      <c r="CCV5" s="11"/>
      <c r="CCW5" s="11"/>
      <c r="CCX5" s="11"/>
      <c r="CCY5" s="11"/>
      <c r="CCZ5" s="11"/>
      <c r="CDA5" s="11"/>
      <c r="CDB5" s="11"/>
      <c r="CDC5" s="11"/>
      <c r="CDD5" s="11"/>
      <c r="CDE5" s="11"/>
      <c r="CDF5" s="11"/>
      <c r="CDG5" s="11"/>
      <c r="CDH5" s="11"/>
      <c r="CDI5" s="11"/>
      <c r="CDJ5" s="11"/>
      <c r="CDK5" s="11"/>
      <c r="CDL5" s="11"/>
      <c r="CDM5" s="11"/>
      <c r="CDN5" s="11"/>
      <c r="CDO5" s="11"/>
      <c r="CDP5" s="11"/>
      <c r="CDQ5" s="11"/>
      <c r="CDR5" s="11"/>
      <c r="CDS5" s="11"/>
      <c r="CDT5" s="11"/>
      <c r="CDU5" s="11"/>
      <c r="CDV5" s="11"/>
      <c r="CDW5" s="11"/>
      <c r="CDX5" s="11"/>
      <c r="CDY5" s="11"/>
      <c r="CDZ5" s="11"/>
      <c r="CEA5" s="11"/>
      <c r="CEB5" s="11"/>
      <c r="CEC5" s="11"/>
      <c r="CED5" s="11"/>
      <c r="CEE5" s="11"/>
      <c r="CEF5" s="11"/>
      <c r="CEG5" s="11"/>
      <c r="CEH5" s="11"/>
      <c r="CEI5" s="11"/>
      <c r="CEJ5" s="11"/>
      <c r="CEK5" s="11"/>
      <c r="CEL5" s="11"/>
      <c r="CEM5" s="11"/>
      <c r="CEN5" s="11"/>
      <c r="CEO5" s="11"/>
      <c r="CEP5" s="11"/>
      <c r="CEQ5" s="11"/>
      <c r="CER5" s="11"/>
      <c r="CES5" s="11"/>
      <c r="CET5" s="11"/>
      <c r="CEU5" s="11"/>
      <c r="CEV5" s="11"/>
      <c r="CEW5" s="11"/>
      <c r="CEX5" s="11"/>
      <c r="CEY5" s="11"/>
      <c r="CEZ5" s="11"/>
      <c r="CFA5" s="11"/>
      <c r="CFB5" s="11"/>
      <c r="CFC5" s="11"/>
      <c r="CFD5" s="11"/>
      <c r="CFE5" s="11"/>
      <c r="CFF5" s="11"/>
      <c r="CFG5" s="11"/>
      <c r="CFH5" s="11"/>
      <c r="CFI5" s="11"/>
      <c r="CFJ5" s="11"/>
      <c r="CFK5" s="11"/>
      <c r="CFL5" s="11"/>
      <c r="CFM5" s="11"/>
      <c r="CFN5" s="11"/>
      <c r="CFO5" s="11"/>
      <c r="CFP5" s="11"/>
      <c r="CFQ5" s="11"/>
      <c r="CFR5" s="11"/>
      <c r="CFS5" s="11"/>
      <c r="CFT5" s="11"/>
      <c r="CFU5" s="11"/>
      <c r="CFV5" s="11"/>
      <c r="CFW5" s="11"/>
      <c r="CFX5" s="11"/>
      <c r="CFY5" s="11"/>
      <c r="CFZ5" s="11"/>
      <c r="CGA5" s="11"/>
      <c r="CGB5" s="11"/>
      <c r="CGC5" s="11"/>
      <c r="CGD5" s="11"/>
      <c r="CGE5" s="11"/>
      <c r="CGF5" s="11"/>
      <c r="CGG5" s="11"/>
      <c r="CGH5" s="11"/>
      <c r="CGI5" s="11"/>
      <c r="CGJ5" s="11"/>
      <c r="CGK5" s="11"/>
      <c r="CGL5" s="11"/>
      <c r="CGM5" s="11"/>
      <c r="CGN5" s="11"/>
      <c r="CGO5" s="11"/>
      <c r="CGP5" s="11"/>
      <c r="CGQ5" s="11"/>
      <c r="CGR5" s="11"/>
      <c r="CGS5" s="11"/>
      <c r="CGT5" s="11"/>
      <c r="CGU5" s="11"/>
      <c r="CGV5" s="11"/>
      <c r="CGW5" s="11"/>
      <c r="CGX5" s="11"/>
      <c r="CGY5" s="11"/>
      <c r="CGZ5" s="11"/>
      <c r="CHA5" s="11"/>
      <c r="CHB5" s="11"/>
      <c r="CHC5" s="11"/>
      <c r="CHD5" s="11"/>
      <c r="CHE5" s="11"/>
      <c r="CHF5" s="11"/>
      <c r="CHG5" s="11"/>
      <c r="CHH5" s="11"/>
      <c r="CHI5" s="11"/>
      <c r="CHJ5" s="11"/>
      <c r="CHK5" s="11"/>
      <c r="CHL5" s="11"/>
      <c r="CHM5" s="11"/>
      <c r="CHN5" s="11"/>
      <c r="CHO5" s="11"/>
      <c r="CHP5" s="11"/>
      <c r="CHQ5" s="11"/>
      <c r="CHR5" s="11"/>
      <c r="CHS5" s="11"/>
      <c r="CHT5" s="11"/>
      <c r="CHU5" s="11"/>
      <c r="CHV5" s="11"/>
      <c r="CHW5" s="11"/>
      <c r="CHX5" s="11"/>
      <c r="CHY5" s="11"/>
      <c r="CHZ5" s="11"/>
      <c r="CIA5" s="11"/>
      <c r="CIB5" s="11"/>
      <c r="CIC5" s="11"/>
      <c r="CID5" s="11"/>
      <c r="CIE5" s="11"/>
      <c r="CIF5" s="11"/>
      <c r="CIG5" s="11"/>
      <c r="CIH5" s="11"/>
      <c r="CII5" s="11"/>
      <c r="CIJ5" s="11"/>
      <c r="CIK5" s="11"/>
      <c r="CIL5" s="11"/>
      <c r="CIM5" s="11"/>
      <c r="CIN5" s="11"/>
      <c r="CIO5" s="11"/>
      <c r="CIP5" s="11"/>
      <c r="CIQ5" s="11"/>
      <c r="CIR5" s="11"/>
      <c r="CIS5" s="11"/>
      <c r="CIT5" s="11"/>
      <c r="CIU5" s="11"/>
      <c r="CIV5" s="11"/>
      <c r="CIW5" s="11"/>
      <c r="CIX5" s="11"/>
      <c r="CIY5" s="11"/>
      <c r="CIZ5" s="11"/>
      <c r="CJA5" s="11"/>
      <c r="CJB5" s="11"/>
      <c r="CJC5" s="11"/>
      <c r="CJD5" s="11"/>
      <c r="CJE5" s="11"/>
      <c r="CJF5" s="11"/>
      <c r="CJG5" s="11"/>
      <c r="CJH5" s="11"/>
      <c r="CJI5" s="11"/>
      <c r="CJJ5" s="11"/>
      <c r="CJK5" s="11"/>
      <c r="CJL5" s="11"/>
      <c r="CJM5" s="11"/>
      <c r="CJN5" s="11"/>
      <c r="CJO5" s="11"/>
      <c r="CJP5" s="11"/>
      <c r="CJQ5" s="11"/>
      <c r="CJR5" s="11"/>
      <c r="CJS5" s="11"/>
      <c r="CJT5" s="11"/>
      <c r="CJU5" s="11"/>
      <c r="CJV5" s="11"/>
      <c r="CJW5" s="11"/>
      <c r="CJX5" s="11"/>
      <c r="CJY5" s="11"/>
      <c r="CJZ5" s="11"/>
      <c r="CKA5" s="11"/>
      <c r="CKB5" s="11"/>
      <c r="CKC5" s="11"/>
      <c r="CKD5" s="11"/>
      <c r="CKE5" s="11"/>
      <c r="CKF5" s="11"/>
      <c r="CKG5" s="11"/>
      <c r="CKH5" s="11"/>
      <c r="CKI5" s="11"/>
      <c r="CKJ5" s="11"/>
      <c r="CKK5" s="11"/>
      <c r="CKL5" s="11"/>
      <c r="CKM5" s="11"/>
      <c r="CKN5" s="11"/>
      <c r="CKO5" s="11"/>
      <c r="CKP5" s="11"/>
      <c r="CKQ5" s="11"/>
      <c r="CKR5" s="11"/>
      <c r="CKS5" s="11"/>
      <c r="CKT5" s="11"/>
      <c r="CKU5" s="11"/>
      <c r="CKV5" s="11"/>
      <c r="CKW5" s="11"/>
      <c r="CKX5" s="11"/>
      <c r="CKY5" s="11"/>
      <c r="CKZ5" s="11"/>
      <c r="CLA5" s="11"/>
      <c r="CLB5" s="11"/>
      <c r="CLC5" s="11"/>
      <c r="CLD5" s="11"/>
      <c r="CLE5" s="11"/>
      <c r="CLF5" s="11"/>
      <c r="CLG5" s="11"/>
      <c r="CLH5" s="11"/>
      <c r="CLI5" s="11"/>
      <c r="CLJ5" s="11"/>
      <c r="CLK5" s="11"/>
      <c r="CLL5" s="11"/>
      <c r="CLM5" s="11"/>
      <c r="CLN5" s="11"/>
      <c r="CLO5" s="11"/>
      <c r="CLP5" s="11"/>
      <c r="CLQ5" s="11"/>
      <c r="CLR5" s="11"/>
      <c r="CLS5" s="11"/>
      <c r="CLT5" s="11"/>
      <c r="CLU5" s="11"/>
      <c r="CLV5" s="11"/>
      <c r="CLW5" s="11"/>
      <c r="CLX5" s="11"/>
      <c r="CLY5" s="11"/>
      <c r="CLZ5" s="11"/>
      <c r="CMA5" s="11"/>
      <c r="CMB5" s="11"/>
      <c r="CMC5" s="11"/>
      <c r="CMD5" s="11"/>
      <c r="CME5" s="11"/>
      <c r="CMF5" s="11"/>
      <c r="CMG5" s="11"/>
      <c r="CMH5" s="11"/>
      <c r="CMI5" s="11"/>
      <c r="CMJ5" s="11"/>
      <c r="CMK5" s="11"/>
      <c r="CML5" s="11"/>
      <c r="CMM5" s="11"/>
      <c r="CMN5" s="11"/>
      <c r="CMO5" s="11"/>
      <c r="CMP5" s="11"/>
      <c r="CMQ5" s="11"/>
      <c r="CMR5" s="11"/>
      <c r="CMS5" s="11"/>
      <c r="CMT5" s="11"/>
      <c r="CMU5" s="11"/>
      <c r="CMV5" s="11"/>
      <c r="CMW5" s="11"/>
      <c r="CMX5" s="11"/>
      <c r="CMY5" s="11"/>
      <c r="CMZ5" s="11"/>
      <c r="CNA5" s="11"/>
      <c r="CNB5" s="11"/>
      <c r="CNC5" s="11"/>
      <c r="CND5" s="11"/>
      <c r="CNE5" s="11"/>
      <c r="CNF5" s="11"/>
      <c r="CNG5" s="11"/>
      <c r="CNH5" s="11"/>
      <c r="CNI5" s="11"/>
      <c r="CNJ5" s="11"/>
      <c r="CNK5" s="11"/>
      <c r="CNL5" s="11"/>
      <c r="CNM5" s="11"/>
      <c r="CNN5" s="11"/>
      <c r="CNO5" s="11"/>
      <c r="CNP5" s="11"/>
      <c r="CNQ5" s="11"/>
      <c r="CNR5" s="11"/>
      <c r="CNS5" s="11"/>
      <c r="CNT5" s="11"/>
      <c r="CNU5" s="11"/>
      <c r="CNV5" s="11"/>
      <c r="CNW5" s="11"/>
      <c r="CNX5" s="11"/>
      <c r="CNY5" s="11"/>
      <c r="CNZ5" s="11"/>
      <c r="COA5" s="11"/>
      <c r="COB5" s="11"/>
      <c r="COC5" s="11"/>
      <c r="COD5" s="11"/>
      <c r="COE5" s="11"/>
      <c r="COF5" s="11"/>
      <c r="COG5" s="11"/>
      <c r="COH5" s="11"/>
      <c r="COI5" s="11"/>
      <c r="COJ5" s="11"/>
      <c r="COK5" s="11"/>
      <c r="COL5" s="11"/>
      <c r="COM5" s="11"/>
      <c r="CON5" s="11"/>
      <c r="COO5" s="11"/>
      <c r="COP5" s="11"/>
      <c r="COQ5" s="11"/>
      <c r="COR5" s="11"/>
      <c r="COS5" s="11"/>
      <c r="COT5" s="11"/>
      <c r="COU5" s="11"/>
      <c r="COV5" s="11"/>
      <c r="COW5" s="11"/>
      <c r="COX5" s="11"/>
      <c r="COY5" s="11"/>
      <c r="COZ5" s="11"/>
      <c r="CPA5" s="11"/>
      <c r="CPB5" s="11"/>
      <c r="CPC5" s="11"/>
      <c r="CPD5" s="11"/>
      <c r="CPE5" s="11"/>
      <c r="CPF5" s="11"/>
      <c r="CPG5" s="11"/>
      <c r="CPH5" s="11"/>
      <c r="CPI5" s="11"/>
      <c r="CPJ5" s="11"/>
      <c r="CPK5" s="11"/>
      <c r="CPL5" s="11"/>
      <c r="CPM5" s="11"/>
      <c r="CPN5" s="11"/>
      <c r="CPO5" s="11"/>
      <c r="CPP5" s="11"/>
      <c r="CPQ5" s="11"/>
      <c r="CPR5" s="11"/>
      <c r="CPS5" s="11"/>
      <c r="CPT5" s="11"/>
      <c r="CPU5" s="11"/>
      <c r="CPV5" s="11"/>
      <c r="CPW5" s="11"/>
      <c r="CPX5" s="11"/>
      <c r="CPY5" s="11"/>
      <c r="CPZ5" s="11"/>
      <c r="CQA5" s="11"/>
      <c r="CQB5" s="11"/>
      <c r="CQC5" s="11"/>
      <c r="CQD5" s="11"/>
      <c r="CQE5" s="11"/>
      <c r="CQF5" s="11"/>
      <c r="CQG5" s="11"/>
      <c r="CQH5" s="11"/>
      <c r="CQI5" s="11"/>
      <c r="CQJ5" s="11"/>
      <c r="CQK5" s="11"/>
      <c r="CQL5" s="11"/>
      <c r="CQM5" s="11"/>
      <c r="CQN5" s="11"/>
      <c r="CQO5" s="11"/>
      <c r="CQP5" s="11"/>
      <c r="CQQ5" s="11"/>
      <c r="CQR5" s="11"/>
      <c r="CQS5" s="11"/>
      <c r="CQT5" s="11"/>
      <c r="CQU5" s="11"/>
      <c r="CQV5" s="11"/>
      <c r="CQW5" s="11"/>
      <c r="CQX5" s="11"/>
      <c r="CQY5" s="11"/>
      <c r="CQZ5" s="11"/>
      <c r="CRA5" s="11"/>
      <c r="CRB5" s="11"/>
      <c r="CRC5" s="11"/>
      <c r="CRD5" s="11"/>
      <c r="CRE5" s="11"/>
      <c r="CRF5" s="11"/>
      <c r="CRG5" s="11"/>
      <c r="CRH5" s="11"/>
      <c r="CRI5" s="11"/>
      <c r="CRJ5" s="11"/>
      <c r="CRK5" s="11"/>
      <c r="CRL5" s="11"/>
      <c r="CRM5" s="11"/>
      <c r="CRN5" s="11"/>
      <c r="CRO5" s="11"/>
      <c r="CRP5" s="11"/>
      <c r="CRQ5" s="11"/>
      <c r="CRR5" s="11"/>
      <c r="CRS5" s="11"/>
      <c r="CRT5" s="11"/>
      <c r="CRU5" s="11"/>
      <c r="CRV5" s="11"/>
      <c r="CRW5" s="11"/>
      <c r="CRX5" s="11"/>
      <c r="CRY5" s="11"/>
      <c r="CRZ5" s="11"/>
      <c r="CSA5" s="11"/>
      <c r="CSB5" s="11"/>
      <c r="CSC5" s="11"/>
      <c r="CSD5" s="11"/>
      <c r="CSE5" s="11"/>
      <c r="CSF5" s="11"/>
      <c r="CSG5" s="11"/>
      <c r="CSH5" s="11"/>
      <c r="CSI5" s="11"/>
      <c r="CSJ5" s="11"/>
      <c r="CSK5" s="11"/>
      <c r="CSL5" s="11"/>
      <c r="CSM5" s="11"/>
      <c r="CSN5" s="11"/>
      <c r="CSO5" s="11"/>
      <c r="CSP5" s="11"/>
      <c r="CSQ5" s="11"/>
      <c r="CSR5" s="11"/>
      <c r="CSS5" s="11"/>
      <c r="CST5" s="11"/>
      <c r="CSU5" s="11"/>
      <c r="CSV5" s="11"/>
      <c r="CSW5" s="11"/>
      <c r="CSX5" s="11"/>
      <c r="CSY5" s="11"/>
      <c r="CSZ5" s="11"/>
      <c r="CTA5" s="11"/>
      <c r="CTB5" s="11"/>
      <c r="CTC5" s="11"/>
      <c r="CTD5" s="11"/>
      <c r="CTE5" s="11"/>
      <c r="CTF5" s="11"/>
      <c r="CTG5" s="11"/>
      <c r="CTH5" s="11"/>
      <c r="CTI5" s="11"/>
      <c r="CTJ5" s="11"/>
      <c r="CTK5" s="11"/>
      <c r="CTL5" s="11"/>
      <c r="CTM5" s="11"/>
      <c r="CTN5" s="11"/>
      <c r="CTO5" s="11"/>
      <c r="CTP5" s="11"/>
      <c r="CTQ5" s="11"/>
      <c r="CTR5" s="11"/>
      <c r="CTS5" s="11"/>
      <c r="CTT5" s="11"/>
      <c r="CTU5" s="11"/>
      <c r="CTV5" s="11"/>
      <c r="CTW5" s="11"/>
      <c r="CTX5" s="11"/>
      <c r="CTY5" s="11"/>
      <c r="CTZ5" s="11"/>
      <c r="CUA5" s="11"/>
      <c r="CUB5" s="11"/>
      <c r="CUC5" s="11"/>
      <c r="CUD5" s="11"/>
      <c r="CUE5" s="11"/>
      <c r="CUF5" s="11"/>
      <c r="CUG5" s="11"/>
      <c r="CUH5" s="11"/>
      <c r="CUI5" s="11"/>
      <c r="CUJ5" s="11"/>
      <c r="CUK5" s="11"/>
      <c r="CUL5" s="11"/>
      <c r="CUM5" s="11"/>
      <c r="CUN5" s="11"/>
      <c r="CUO5" s="11"/>
      <c r="CUP5" s="11"/>
      <c r="CUQ5" s="11"/>
      <c r="CUR5" s="11"/>
      <c r="CUS5" s="11"/>
      <c r="CUT5" s="11"/>
      <c r="CUU5" s="11"/>
      <c r="CUV5" s="11"/>
      <c r="CUW5" s="11"/>
      <c r="CUX5" s="11"/>
      <c r="CUY5" s="11"/>
      <c r="CUZ5" s="11"/>
      <c r="CVA5" s="11"/>
      <c r="CVB5" s="11"/>
      <c r="CVC5" s="11"/>
      <c r="CVD5" s="11"/>
      <c r="CVE5" s="11"/>
      <c r="CVF5" s="11"/>
      <c r="CVG5" s="11"/>
      <c r="CVH5" s="11"/>
      <c r="CVI5" s="11"/>
      <c r="CVJ5" s="11"/>
      <c r="CVK5" s="11"/>
      <c r="CVL5" s="11"/>
      <c r="CVM5" s="11"/>
      <c r="CVN5" s="11"/>
      <c r="CVO5" s="11"/>
      <c r="CVP5" s="11"/>
      <c r="CVQ5" s="11"/>
      <c r="CVR5" s="11"/>
      <c r="CVS5" s="11"/>
      <c r="CVT5" s="11"/>
      <c r="CVU5" s="11"/>
      <c r="CVV5" s="11"/>
      <c r="CVW5" s="11"/>
      <c r="CVX5" s="11"/>
      <c r="CVY5" s="11"/>
      <c r="CVZ5" s="11"/>
      <c r="CWA5" s="11"/>
      <c r="CWB5" s="11"/>
      <c r="CWC5" s="11"/>
      <c r="CWD5" s="11"/>
      <c r="CWE5" s="11"/>
      <c r="CWF5" s="11"/>
      <c r="CWG5" s="11"/>
      <c r="CWH5" s="11"/>
      <c r="CWI5" s="11"/>
      <c r="CWJ5" s="11"/>
      <c r="CWK5" s="11"/>
      <c r="CWL5" s="11"/>
      <c r="CWM5" s="11"/>
      <c r="CWN5" s="11"/>
      <c r="CWO5" s="11"/>
      <c r="CWP5" s="11"/>
      <c r="CWQ5" s="11"/>
      <c r="CWR5" s="11"/>
      <c r="CWS5" s="11"/>
      <c r="CWT5" s="11"/>
      <c r="CWU5" s="11"/>
      <c r="CWV5" s="11"/>
      <c r="CWW5" s="11"/>
      <c r="CWX5" s="11"/>
      <c r="CWY5" s="11"/>
      <c r="CWZ5" s="11"/>
      <c r="CXA5" s="11"/>
      <c r="CXB5" s="11"/>
      <c r="CXC5" s="11"/>
      <c r="CXD5" s="11"/>
      <c r="CXE5" s="11"/>
      <c r="CXF5" s="11"/>
      <c r="CXG5" s="11"/>
      <c r="CXH5" s="11"/>
      <c r="CXI5" s="11"/>
      <c r="CXJ5" s="11"/>
      <c r="CXK5" s="11"/>
      <c r="CXL5" s="11"/>
      <c r="CXM5" s="11"/>
      <c r="CXN5" s="11"/>
      <c r="CXO5" s="11"/>
      <c r="CXP5" s="11"/>
      <c r="CXQ5" s="11"/>
      <c r="CXR5" s="11"/>
      <c r="CXS5" s="11"/>
      <c r="CXT5" s="11"/>
      <c r="CXU5" s="11"/>
      <c r="CXV5" s="11"/>
      <c r="CXW5" s="11"/>
      <c r="CXX5" s="11"/>
      <c r="CXY5" s="11"/>
      <c r="CXZ5" s="11"/>
      <c r="CYA5" s="11"/>
      <c r="CYB5" s="11"/>
      <c r="CYC5" s="11"/>
      <c r="CYD5" s="11"/>
      <c r="CYE5" s="11"/>
      <c r="CYF5" s="11"/>
      <c r="CYG5" s="11"/>
      <c r="CYH5" s="11"/>
      <c r="CYI5" s="11"/>
      <c r="CYJ5" s="11"/>
      <c r="CYK5" s="11"/>
      <c r="CYL5" s="11"/>
      <c r="CYM5" s="11"/>
      <c r="CYN5" s="11"/>
      <c r="CYO5" s="11"/>
      <c r="CYP5" s="11"/>
      <c r="CYQ5" s="11"/>
      <c r="CYR5" s="11"/>
      <c r="CYS5" s="11"/>
      <c r="CYT5" s="11"/>
      <c r="CYU5" s="11"/>
      <c r="CYV5" s="11"/>
      <c r="CYW5" s="11"/>
      <c r="CYX5" s="11"/>
      <c r="CYY5" s="11"/>
      <c r="CYZ5" s="11"/>
      <c r="CZA5" s="11"/>
      <c r="CZB5" s="11"/>
      <c r="CZC5" s="11"/>
      <c r="CZD5" s="11"/>
      <c r="CZE5" s="11"/>
      <c r="CZF5" s="11"/>
      <c r="CZG5" s="11"/>
      <c r="CZH5" s="11"/>
      <c r="CZI5" s="11"/>
      <c r="CZJ5" s="11"/>
      <c r="CZK5" s="11"/>
      <c r="CZL5" s="11"/>
      <c r="CZM5" s="11"/>
      <c r="CZN5" s="11"/>
      <c r="CZO5" s="11"/>
      <c r="CZP5" s="11"/>
      <c r="CZQ5" s="11"/>
      <c r="CZR5" s="11"/>
      <c r="CZS5" s="11"/>
      <c r="CZT5" s="11"/>
      <c r="CZU5" s="11"/>
      <c r="CZV5" s="11"/>
      <c r="CZW5" s="11"/>
      <c r="CZX5" s="11"/>
      <c r="CZY5" s="11"/>
      <c r="CZZ5" s="11"/>
      <c r="DAA5" s="11"/>
      <c r="DAB5" s="11"/>
      <c r="DAC5" s="11"/>
      <c r="DAD5" s="11"/>
      <c r="DAE5" s="11"/>
      <c r="DAF5" s="11"/>
      <c r="DAG5" s="11"/>
      <c r="DAH5" s="11"/>
      <c r="DAI5" s="11"/>
      <c r="DAJ5" s="11"/>
      <c r="DAK5" s="11"/>
      <c r="DAL5" s="11"/>
      <c r="DAM5" s="11"/>
      <c r="DAN5" s="11"/>
      <c r="DAO5" s="11"/>
      <c r="DAP5" s="11"/>
      <c r="DAQ5" s="11"/>
      <c r="DAR5" s="11"/>
      <c r="DAS5" s="11"/>
      <c r="DAT5" s="11"/>
      <c r="DAU5" s="11"/>
      <c r="DAV5" s="11"/>
      <c r="DAW5" s="11"/>
      <c r="DAX5" s="11"/>
      <c r="DAY5" s="11"/>
      <c r="DAZ5" s="11"/>
      <c r="DBA5" s="11"/>
      <c r="DBB5" s="11"/>
      <c r="DBC5" s="11"/>
      <c r="DBD5" s="11"/>
      <c r="DBE5" s="11"/>
      <c r="DBF5" s="11"/>
      <c r="DBG5" s="11"/>
      <c r="DBH5" s="11"/>
      <c r="DBI5" s="11"/>
      <c r="DBJ5" s="11"/>
      <c r="DBK5" s="11"/>
      <c r="DBL5" s="11"/>
      <c r="DBM5" s="11"/>
      <c r="DBN5" s="11"/>
      <c r="DBO5" s="11"/>
      <c r="DBP5" s="11"/>
      <c r="DBQ5" s="11"/>
      <c r="DBR5" s="11"/>
      <c r="DBS5" s="11"/>
      <c r="DBT5" s="11"/>
      <c r="DBU5" s="11"/>
      <c r="DBV5" s="11"/>
      <c r="DBW5" s="11"/>
      <c r="DBX5" s="11"/>
      <c r="DBY5" s="11"/>
      <c r="DBZ5" s="11"/>
      <c r="DCA5" s="11"/>
      <c r="DCB5" s="11"/>
      <c r="DCC5" s="11"/>
      <c r="DCD5" s="11"/>
      <c r="DCE5" s="11"/>
      <c r="DCF5" s="11"/>
      <c r="DCG5" s="11"/>
      <c r="DCH5" s="11"/>
      <c r="DCI5" s="11"/>
      <c r="DCJ5" s="11"/>
      <c r="DCK5" s="11"/>
      <c r="DCL5" s="11"/>
      <c r="DCM5" s="11"/>
      <c r="DCN5" s="11"/>
      <c r="DCO5" s="11"/>
      <c r="DCP5" s="11"/>
      <c r="DCQ5" s="11"/>
      <c r="DCR5" s="11"/>
      <c r="DCS5" s="11"/>
      <c r="DCT5" s="11"/>
      <c r="DCU5" s="11"/>
      <c r="DCV5" s="11"/>
      <c r="DCW5" s="11"/>
      <c r="DCX5" s="11"/>
      <c r="DCY5" s="11"/>
      <c r="DCZ5" s="11"/>
      <c r="DDA5" s="11"/>
      <c r="DDB5" s="11"/>
      <c r="DDC5" s="11"/>
      <c r="DDD5" s="11"/>
      <c r="DDE5" s="11"/>
      <c r="DDF5" s="11"/>
      <c r="DDG5" s="11"/>
      <c r="DDH5" s="11"/>
      <c r="DDI5" s="11"/>
      <c r="DDJ5" s="11"/>
      <c r="DDK5" s="11"/>
      <c r="DDL5" s="11"/>
      <c r="DDM5" s="11"/>
      <c r="DDN5" s="11"/>
      <c r="DDO5" s="11"/>
      <c r="DDP5" s="11"/>
      <c r="DDQ5" s="11"/>
      <c r="DDR5" s="11"/>
      <c r="DDS5" s="11"/>
      <c r="DDT5" s="11"/>
      <c r="DDU5" s="11"/>
      <c r="DDV5" s="11"/>
      <c r="DDW5" s="11"/>
      <c r="DDX5" s="11"/>
      <c r="DDY5" s="11"/>
      <c r="DDZ5" s="11"/>
      <c r="DEA5" s="11"/>
      <c r="DEB5" s="11"/>
      <c r="DEC5" s="11"/>
      <c r="DED5" s="11"/>
      <c r="DEE5" s="11"/>
      <c r="DEF5" s="11"/>
      <c r="DEG5" s="11"/>
      <c r="DEH5" s="11"/>
      <c r="DEI5" s="11"/>
      <c r="DEJ5" s="11"/>
      <c r="DEK5" s="11"/>
      <c r="DEL5" s="11"/>
      <c r="DEM5" s="11"/>
      <c r="DEN5" s="11"/>
      <c r="DEO5" s="11"/>
      <c r="DEP5" s="11"/>
      <c r="DEQ5" s="11"/>
      <c r="DER5" s="11"/>
      <c r="DES5" s="11"/>
      <c r="DET5" s="11"/>
      <c r="DEU5" s="11"/>
      <c r="DEV5" s="11"/>
      <c r="DEW5" s="11"/>
      <c r="DEX5" s="11"/>
      <c r="DEY5" s="11"/>
      <c r="DEZ5" s="11"/>
      <c r="DFA5" s="11"/>
      <c r="DFB5" s="11"/>
      <c r="DFC5" s="11"/>
      <c r="DFD5" s="11"/>
      <c r="DFE5" s="11"/>
      <c r="DFF5" s="11"/>
      <c r="DFG5" s="11"/>
      <c r="DFH5" s="11"/>
      <c r="DFI5" s="11"/>
      <c r="DFJ5" s="11"/>
      <c r="DFK5" s="11"/>
      <c r="DFL5" s="11"/>
      <c r="DFM5" s="11"/>
      <c r="DFN5" s="11"/>
      <c r="DFO5" s="11"/>
      <c r="DFP5" s="11"/>
      <c r="DFQ5" s="11"/>
      <c r="DFR5" s="11"/>
      <c r="DFS5" s="11"/>
      <c r="DFT5" s="11"/>
      <c r="DFU5" s="11"/>
      <c r="DFV5" s="11"/>
      <c r="DFW5" s="11"/>
      <c r="DFX5" s="11"/>
      <c r="DFY5" s="11"/>
      <c r="DFZ5" s="11"/>
      <c r="DGA5" s="11"/>
      <c r="DGB5" s="11"/>
      <c r="DGC5" s="11"/>
      <c r="DGD5" s="11"/>
      <c r="DGE5" s="11"/>
      <c r="DGF5" s="11"/>
      <c r="DGG5" s="11"/>
      <c r="DGH5" s="11"/>
      <c r="DGI5" s="11"/>
      <c r="DGJ5" s="11"/>
      <c r="DGK5" s="11"/>
      <c r="DGL5" s="11"/>
      <c r="DGM5" s="11"/>
      <c r="DGN5" s="11"/>
      <c r="DGO5" s="11"/>
      <c r="DGP5" s="11"/>
      <c r="DGQ5" s="11"/>
      <c r="DGR5" s="11"/>
      <c r="DGS5" s="11"/>
      <c r="DGT5" s="11"/>
      <c r="DGU5" s="11"/>
      <c r="DGV5" s="11"/>
      <c r="DGW5" s="11"/>
      <c r="DGX5" s="11"/>
      <c r="DGY5" s="11"/>
      <c r="DGZ5" s="11"/>
      <c r="DHA5" s="11"/>
      <c r="DHB5" s="11"/>
      <c r="DHC5" s="11"/>
      <c r="DHD5" s="11"/>
      <c r="DHE5" s="11"/>
      <c r="DHF5" s="11"/>
      <c r="DHG5" s="11"/>
      <c r="DHH5" s="11"/>
      <c r="DHI5" s="11"/>
      <c r="DHJ5" s="11"/>
      <c r="DHK5" s="11"/>
      <c r="DHL5" s="11"/>
      <c r="DHM5" s="11"/>
      <c r="DHN5" s="11"/>
      <c r="DHO5" s="11"/>
      <c r="DHP5" s="11"/>
      <c r="DHQ5" s="11"/>
      <c r="DHR5" s="11"/>
      <c r="DHS5" s="11"/>
      <c r="DHT5" s="11"/>
      <c r="DHU5" s="11"/>
      <c r="DHV5" s="11"/>
      <c r="DHW5" s="11"/>
      <c r="DHX5" s="11"/>
      <c r="DHY5" s="11"/>
      <c r="DHZ5" s="11"/>
      <c r="DIA5" s="11"/>
      <c r="DIB5" s="11"/>
      <c r="DIC5" s="11"/>
      <c r="DID5" s="11"/>
      <c r="DIE5" s="11"/>
      <c r="DIF5" s="11"/>
      <c r="DIG5" s="11"/>
      <c r="DIH5" s="11"/>
      <c r="DII5" s="11"/>
      <c r="DIJ5" s="11"/>
      <c r="DIK5" s="11"/>
      <c r="DIL5" s="11"/>
      <c r="DIM5" s="11"/>
      <c r="DIN5" s="11"/>
      <c r="DIO5" s="11"/>
      <c r="DIP5" s="11"/>
      <c r="DIQ5" s="11"/>
      <c r="DIR5" s="11"/>
      <c r="DIS5" s="11"/>
      <c r="DIT5" s="11"/>
      <c r="DIU5" s="11"/>
      <c r="DIV5" s="11"/>
      <c r="DIW5" s="11"/>
      <c r="DIX5" s="11"/>
      <c r="DIY5" s="11"/>
      <c r="DIZ5" s="11"/>
      <c r="DJA5" s="11"/>
      <c r="DJB5" s="11"/>
      <c r="DJC5" s="11"/>
      <c r="DJD5" s="11"/>
      <c r="DJE5" s="11"/>
      <c r="DJF5" s="11"/>
      <c r="DJG5" s="11"/>
      <c r="DJH5" s="11"/>
      <c r="DJI5" s="11"/>
      <c r="DJJ5" s="11"/>
      <c r="DJK5" s="11"/>
      <c r="DJL5" s="11"/>
      <c r="DJM5" s="11"/>
      <c r="DJN5" s="11"/>
      <c r="DJO5" s="11"/>
      <c r="DJP5" s="11"/>
      <c r="DJQ5" s="11"/>
      <c r="DJR5" s="11"/>
      <c r="DJS5" s="11"/>
      <c r="DJT5" s="11"/>
      <c r="DJU5" s="11"/>
      <c r="DJV5" s="11"/>
      <c r="DJW5" s="11"/>
      <c r="DJX5" s="11"/>
      <c r="DJY5" s="11"/>
      <c r="DJZ5" s="11"/>
      <c r="DKA5" s="11"/>
      <c r="DKB5" s="11"/>
      <c r="DKC5" s="11"/>
      <c r="DKD5" s="11"/>
      <c r="DKE5" s="11"/>
      <c r="DKF5" s="11"/>
      <c r="DKG5" s="11"/>
      <c r="DKH5" s="11"/>
      <c r="DKI5" s="11"/>
      <c r="DKJ5" s="11"/>
      <c r="DKK5" s="11"/>
      <c r="DKL5" s="11"/>
      <c r="DKM5" s="11"/>
      <c r="DKN5" s="11"/>
      <c r="DKO5" s="11"/>
      <c r="DKP5" s="11"/>
      <c r="DKQ5" s="11"/>
      <c r="DKR5" s="11"/>
      <c r="DKS5" s="11"/>
      <c r="DKT5" s="11"/>
      <c r="DKU5" s="11"/>
      <c r="DKV5" s="11"/>
      <c r="DKW5" s="11"/>
      <c r="DKX5" s="11"/>
      <c r="DKY5" s="11"/>
      <c r="DKZ5" s="11"/>
      <c r="DLA5" s="11"/>
      <c r="DLB5" s="11"/>
      <c r="DLC5" s="11"/>
      <c r="DLD5" s="11"/>
      <c r="DLE5" s="11"/>
      <c r="DLF5" s="11"/>
      <c r="DLG5" s="11"/>
      <c r="DLH5" s="11"/>
      <c r="DLI5" s="11"/>
      <c r="DLJ5" s="11"/>
      <c r="DLK5" s="11"/>
      <c r="DLL5" s="11"/>
      <c r="DLM5" s="11"/>
      <c r="DLN5" s="11"/>
      <c r="DLO5" s="11"/>
      <c r="DLP5" s="11"/>
      <c r="DLQ5" s="11"/>
      <c r="DLR5" s="11"/>
      <c r="DLS5" s="11"/>
      <c r="DLT5" s="11"/>
      <c r="DLU5" s="11"/>
      <c r="DLV5" s="11"/>
      <c r="DLW5" s="11"/>
      <c r="DLX5" s="11"/>
      <c r="DLY5" s="11"/>
      <c r="DLZ5" s="11"/>
      <c r="DMA5" s="11"/>
      <c r="DMB5" s="11"/>
      <c r="DMC5" s="11"/>
      <c r="DMD5" s="11"/>
      <c r="DME5" s="11"/>
      <c r="DMF5" s="11"/>
      <c r="DMG5" s="11"/>
      <c r="DMH5" s="11"/>
      <c r="DMI5" s="11"/>
      <c r="DMJ5" s="11"/>
      <c r="DMK5" s="11"/>
      <c r="DML5" s="11"/>
      <c r="DMM5" s="11"/>
      <c r="DMN5" s="11"/>
      <c r="DMO5" s="11"/>
      <c r="DMP5" s="11"/>
      <c r="DMQ5" s="11"/>
      <c r="DMR5" s="11"/>
      <c r="DMS5" s="11"/>
      <c r="DMT5" s="11"/>
      <c r="DMU5" s="11"/>
      <c r="DMV5" s="11"/>
      <c r="DMW5" s="11"/>
      <c r="DMX5" s="11"/>
      <c r="DMY5" s="11"/>
      <c r="DMZ5" s="11"/>
      <c r="DNA5" s="11"/>
      <c r="DNB5" s="11"/>
      <c r="DNC5" s="11"/>
      <c r="DND5" s="11"/>
      <c r="DNE5" s="11"/>
      <c r="DNF5" s="11"/>
      <c r="DNG5" s="11"/>
      <c r="DNH5" s="11"/>
      <c r="DNI5" s="11"/>
      <c r="DNJ5" s="11"/>
      <c r="DNK5" s="11"/>
      <c r="DNL5" s="11"/>
      <c r="DNM5" s="11"/>
      <c r="DNN5" s="11"/>
      <c r="DNO5" s="11"/>
      <c r="DNP5" s="11"/>
      <c r="DNQ5" s="11"/>
      <c r="DNR5" s="11"/>
      <c r="DNS5" s="11"/>
      <c r="DNT5" s="11"/>
      <c r="DNU5" s="11"/>
      <c r="DNV5" s="11"/>
      <c r="DNW5" s="11"/>
      <c r="DNX5" s="11"/>
      <c r="DNY5" s="11"/>
      <c r="DNZ5" s="11"/>
      <c r="DOA5" s="11"/>
      <c r="DOB5" s="11"/>
      <c r="DOC5" s="11"/>
      <c r="DOD5" s="11"/>
      <c r="DOE5" s="11"/>
      <c r="DOF5" s="11"/>
      <c r="DOG5" s="11"/>
      <c r="DOH5" s="11"/>
      <c r="DOI5" s="11"/>
      <c r="DOJ5" s="11"/>
      <c r="DOK5" s="11"/>
      <c r="DOL5" s="11"/>
      <c r="DOM5" s="11"/>
      <c r="DON5" s="11"/>
      <c r="DOO5" s="11"/>
      <c r="DOP5" s="11"/>
      <c r="DOQ5" s="11"/>
      <c r="DOR5" s="11"/>
      <c r="DOS5" s="11"/>
      <c r="DOT5" s="11"/>
      <c r="DOU5" s="11"/>
      <c r="DOV5" s="11"/>
      <c r="DOW5" s="11"/>
      <c r="DOX5" s="11"/>
      <c r="DOY5" s="11"/>
      <c r="DOZ5" s="11"/>
      <c r="DPA5" s="11"/>
      <c r="DPB5" s="11"/>
      <c r="DPC5" s="11"/>
      <c r="DPD5" s="11"/>
      <c r="DPE5" s="11"/>
      <c r="DPF5" s="11"/>
      <c r="DPG5" s="11"/>
      <c r="DPH5" s="11"/>
      <c r="DPI5" s="11"/>
      <c r="DPJ5" s="11"/>
      <c r="DPK5" s="11"/>
      <c r="DPL5" s="11"/>
      <c r="DPM5" s="11"/>
      <c r="DPN5" s="11"/>
      <c r="DPO5" s="11"/>
      <c r="DPP5" s="11"/>
      <c r="DPQ5" s="11"/>
      <c r="DPR5" s="11"/>
      <c r="DPS5" s="11"/>
      <c r="DPT5" s="11"/>
      <c r="DPU5" s="11"/>
      <c r="DPV5" s="11"/>
      <c r="DPW5" s="11"/>
      <c r="DPX5" s="11"/>
      <c r="DPY5" s="11"/>
      <c r="DPZ5" s="11"/>
      <c r="DQA5" s="11"/>
      <c r="DQB5" s="11"/>
      <c r="DQC5" s="11"/>
      <c r="DQD5" s="11"/>
      <c r="DQE5" s="11"/>
      <c r="DQF5" s="11"/>
      <c r="DQG5" s="11"/>
      <c r="DQH5" s="11"/>
      <c r="DQI5" s="11"/>
      <c r="DQJ5" s="11"/>
      <c r="DQK5" s="11"/>
      <c r="DQL5" s="11"/>
      <c r="DQM5" s="11"/>
      <c r="DQN5" s="11"/>
      <c r="DQO5" s="11"/>
      <c r="DQP5" s="11"/>
      <c r="DQQ5" s="11"/>
      <c r="DQR5" s="11"/>
      <c r="DQS5" s="11"/>
      <c r="DQT5" s="11"/>
      <c r="DQU5" s="11"/>
      <c r="DQV5" s="11"/>
      <c r="DQW5" s="11"/>
      <c r="DQX5" s="11"/>
      <c r="DQY5" s="11"/>
      <c r="DQZ5" s="11"/>
      <c r="DRA5" s="11"/>
      <c r="DRB5" s="11"/>
      <c r="DRC5" s="11"/>
      <c r="DRD5" s="11"/>
      <c r="DRE5" s="11"/>
      <c r="DRF5" s="11"/>
      <c r="DRG5" s="11"/>
      <c r="DRH5" s="11"/>
      <c r="DRI5" s="11"/>
      <c r="DRJ5" s="11"/>
      <c r="DRK5" s="11"/>
      <c r="DRL5" s="11"/>
      <c r="DRM5" s="11"/>
      <c r="DRN5" s="11"/>
      <c r="DRO5" s="11"/>
      <c r="DRP5" s="11"/>
      <c r="DRQ5" s="11"/>
      <c r="DRR5" s="11"/>
      <c r="DRS5" s="11"/>
      <c r="DRT5" s="11"/>
      <c r="DRU5" s="11"/>
      <c r="DRV5" s="11"/>
      <c r="DRW5" s="11"/>
      <c r="DRX5" s="11"/>
      <c r="DRY5" s="11"/>
      <c r="DRZ5" s="11"/>
      <c r="DSA5" s="11"/>
      <c r="DSB5" s="11"/>
      <c r="DSC5" s="11"/>
      <c r="DSD5" s="11"/>
      <c r="DSE5" s="11"/>
      <c r="DSF5" s="11"/>
      <c r="DSG5" s="11"/>
      <c r="DSH5" s="11"/>
      <c r="DSI5" s="11"/>
      <c r="DSJ5" s="11"/>
      <c r="DSK5" s="11"/>
      <c r="DSL5" s="11"/>
      <c r="DSM5" s="11"/>
      <c r="DSN5" s="11"/>
      <c r="DSO5" s="11"/>
      <c r="DSP5" s="11"/>
      <c r="DSQ5" s="11"/>
      <c r="DSR5" s="11"/>
      <c r="DSS5" s="11"/>
      <c r="DST5" s="11"/>
      <c r="DSU5" s="11"/>
      <c r="DSV5" s="11"/>
      <c r="DSW5" s="11"/>
      <c r="DSX5" s="11"/>
      <c r="DSY5" s="11"/>
      <c r="DSZ5" s="11"/>
      <c r="DTA5" s="11"/>
      <c r="DTB5" s="11"/>
      <c r="DTC5" s="11"/>
      <c r="DTD5" s="11"/>
      <c r="DTE5" s="11"/>
      <c r="DTF5" s="11"/>
      <c r="DTG5" s="11"/>
      <c r="DTH5" s="11"/>
      <c r="DTI5" s="11"/>
      <c r="DTJ5" s="11"/>
      <c r="DTK5" s="11"/>
      <c r="DTL5" s="11"/>
      <c r="DTM5" s="11"/>
      <c r="DTN5" s="11"/>
      <c r="DTO5" s="11"/>
      <c r="DTP5" s="11"/>
      <c r="DTQ5" s="11"/>
      <c r="DTR5" s="11"/>
      <c r="DTS5" s="11"/>
      <c r="DTT5" s="11"/>
      <c r="DTU5" s="11"/>
      <c r="DTV5" s="11"/>
      <c r="DTW5" s="11"/>
      <c r="DTX5" s="11"/>
      <c r="DTY5" s="11"/>
      <c r="DTZ5" s="11"/>
      <c r="DUA5" s="11"/>
      <c r="DUB5" s="11"/>
      <c r="DUC5" s="11"/>
      <c r="DUD5" s="11"/>
      <c r="DUE5" s="11"/>
      <c r="DUF5" s="11"/>
      <c r="DUG5" s="11"/>
      <c r="DUH5" s="11"/>
      <c r="DUI5" s="11"/>
      <c r="DUJ5" s="11"/>
      <c r="DUK5" s="11"/>
      <c r="DUL5" s="11"/>
      <c r="DUM5" s="11"/>
      <c r="DUN5" s="11"/>
      <c r="DUO5" s="11"/>
      <c r="DUP5" s="11"/>
      <c r="DUQ5" s="11"/>
      <c r="DUR5" s="11"/>
      <c r="DUS5" s="11"/>
      <c r="DUT5" s="11"/>
      <c r="DUU5" s="11"/>
      <c r="DUV5" s="11"/>
      <c r="DUW5" s="11"/>
      <c r="DUX5" s="11"/>
      <c r="DUY5" s="11"/>
      <c r="DUZ5" s="11"/>
      <c r="DVA5" s="11"/>
      <c r="DVB5" s="11"/>
      <c r="DVC5" s="11"/>
      <c r="DVD5" s="11"/>
      <c r="DVE5" s="11"/>
      <c r="DVF5" s="11"/>
      <c r="DVG5" s="11"/>
      <c r="DVH5" s="11"/>
      <c r="DVI5" s="11"/>
      <c r="DVJ5" s="11"/>
      <c r="DVK5" s="11"/>
      <c r="DVL5" s="11"/>
      <c r="DVM5" s="11"/>
      <c r="DVN5" s="11"/>
      <c r="DVO5" s="11"/>
      <c r="DVP5" s="11"/>
      <c r="DVQ5" s="11"/>
      <c r="DVR5" s="11"/>
      <c r="DVS5" s="11"/>
      <c r="DVT5" s="11"/>
      <c r="DVU5" s="11"/>
      <c r="DVV5" s="11"/>
      <c r="DVW5" s="11"/>
      <c r="DVX5" s="11"/>
      <c r="DVY5" s="11"/>
      <c r="DVZ5" s="11"/>
      <c r="DWA5" s="11"/>
      <c r="DWB5" s="11"/>
      <c r="DWC5" s="11"/>
      <c r="DWD5" s="11"/>
      <c r="DWE5" s="11"/>
      <c r="DWF5" s="11"/>
      <c r="DWG5" s="11"/>
      <c r="DWH5" s="11"/>
      <c r="DWI5" s="11"/>
      <c r="DWJ5" s="11"/>
      <c r="DWK5" s="11"/>
      <c r="DWL5" s="11"/>
      <c r="DWM5" s="11"/>
      <c r="DWN5" s="11"/>
      <c r="DWO5" s="11"/>
      <c r="DWP5" s="11"/>
      <c r="DWQ5" s="11"/>
      <c r="DWR5" s="11"/>
      <c r="DWS5" s="11"/>
      <c r="DWT5" s="11"/>
      <c r="DWU5" s="11"/>
      <c r="DWV5" s="11"/>
      <c r="DWW5" s="11"/>
      <c r="DWX5" s="11"/>
      <c r="DWY5" s="11"/>
      <c r="DWZ5" s="11"/>
      <c r="DXA5" s="11"/>
      <c r="DXB5" s="11"/>
      <c r="DXC5" s="11"/>
      <c r="DXD5" s="11"/>
      <c r="DXE5" s="11"/>
      <c r="DXF5" s="11"/>
      <c r="DXG5" s="11"/>
      <c r="DXH5" s="11"/>
      <c r="DXI5" s="11"/>
      <c r="DXJ5" s="11"/>
      <c r="DXK5" s="11"/>
      <c r="DXL5" s="11"/>
      <c r="DXM5" s="11"/>
      <c r="DXN5" s="11"/>
      <c r="DXO5" s="11"/>
      <c r="DXP5" s="11"/>
      <c r="DXQ5" s="11"/>
      <c r="DXR5" s="11"/>
      <c r="DXS5" s="11"/>
      <c r="DXT5" s="11"/>
      <c r="DXU5" s="11"/>
      <c r="DXV5" s="11"/>
      <c r="DXW5" s="11"/>
      <c r="DXX5" s="11"/>
      <c r="DXY5" s="11"/>
      <c r="DXZ5" s="11"/>
      <c r="DYA5" s="11"/>
      <c r="DYB5" s="11"/>
      <c r="DYC5" s="11"/>
      <c r="DYD5" s="11"/>
      <c r="DYE5" s="11"/>
      <c r="DYF5" s="11"/>
      <c r="DYG5" s="11"/>
      <c r="DYH5" s="11"/>
      <c r="DYI5" s="11"/>
      <c r="DYJ5" s="11"/>
      <c r="DYK5" s="11"/>
      <c r="DYL5" s="11"/>
      <c r="DYM5" s="11"/>
      <c r="DYN5" s="11"/>
      <c r="DYO5" s="11"/>
      <c r="DYP5" s="11"/>
      <c r="DYQ5" s="11"/>
      <c r="DYR5" s="11"/>
      <c r="DYS5" s="11"/>
      <c r="DYT5" s="11"/>
      <c r="DYU5" s="11"/>
      <c r="DYV5" s="11"/>
      <c r="DYW5" s="11"/>
      <c r="DYX5" s="11"/>
      <c r="DYY5" s="11"/>
      <c r="DYZ5" s="11"/>
      <c r="DZA5" s="11"/>
      <c r="DZB5" s="11"/>
      <c r="DZC5" s="11"/>
      <c r="DZD5" s="11"/>
      <c r="DZE5" s="11"/>
      <c r="DZF5" s="11"/>
      <c r="DZG5" s="11"/>
      <c r="DZH5" s="11"/>
      <c r="DZI5" s="11"/>
      <c r="DZJ5" s="11"/>
      <c r="DZK5" s="11"/>
      <c r="DZL5" s="11"/>
      <c r="DZM5" s="11"/>
      <c r="DZN5" s="11"/>
      <c r="DZO5" s="11"/>
      <c r="DZP5" s="11"/>
      <c r="DZQ5" s="11"/>
      <c r="DZR5" s="11"/>
      <c r="DZS5" s="11"/>
      <c r="DZT5" s="11"/>
      <c r="DZU5" s="11"/>
      <c r="DZV5" s="11"/>
      <c r="DZW5" s="11"/>
      <c r="DZX5" s="11"/>
      <c r="DZY5" s="11"/>
      <c r="DZZ5" s="11"/>
      <c r="EAA5" s="11"/>
      <c r="EAB5" s="11"/>
      <c r="EAC5" s="11"/>
      <c r="EAD5" s="11"/>
      <c r="EAE5" s="11"/>
      <c r="EAF5" s="11"/>
      <c r="EAG5" s="11"/>
      <c r="EAH5" s="11"/>
      <c r="EAI5" s="11"/>
      <c r="EAJ5" s="11"/>
      <c r="EAK5" s="11"/>
      <c r="EAL5" s="11"/>
      <c r="EAM5" s="11"/>
      <c r="EAN5" s="11"/>
      <c r="EAO5" s="11"/>
      <c r="EAP5" s="11"/>
      <c r="EAQ5" s="11"/>
      <c r="EAR5" s="11"/>
      <c r="EAS5" s="11"/>
      <c r="EAT5" s="11"/>
      <c r="EAU5" s="11"/>
      <c r="EAV5" s="11"/>
      <c r="EAW5" s="11"/>
      <c r="EAX5" s="11"/>
      <c r="EAY5" s="11"/>
      <c r="EAZ5" s="11"/>
      <c r="EBA5" s="11"/>
      <c r="EBB5" s="11"/>
      <c r="EBC5" s="11"/>
      <c r="EBD5" s="11"/>
      <c r="EBE5" s="11"/>
      <c r="EBF5" s="11"/>
      <c r="EBG5" s="11"/>
      <c r="EBH5" s="11"/>
      <c r="EBI5" s="11"/>
      <c r="EBJ5" s="11"/>
      <c r="EBK5" s="11"/>
      <c r="EBL5" s="11"/>
      <c r="EBM5" s="11"/>
      <c r="EBN5" s="11"/>
      <c r="EBO5" s="11"/>
      <c r="EBP5" s="11"/>
      <c r="EBQ5" s="11"/>
      <c r="EBR5" s="11"/>
      <c r="EBS5" s="11"/>
      <c r="EBT5" s="11"/>
      <c r="EBU5" s="11"/>
      <c r="EBV5" s="11"/>
      <c r="EBW5" s="11"/>
      <c r="EBX5" s="11"/>
      <c r="EBY5" s="11"/>
      <c r="EBZ5" s="11"/>
      <c r="ECA5" s="11"/>
      <c r="ECB5" s="11"/>
      <c r="ECC5" s="11"/>
      <c r="ECD5" s="11"/>
      <c r="ECE5" s="11"/>
      <c r="ECF5" s="11"/>
      <c r="ECG5" s="11"/>
      <c r="ECH5" s="11"/>
      <c r="ECI5" s="11"/>
      <c r="ECJ5" s="11"/>
      <c r="ECK5" s="11"/>
      <c r="ECL5" s="11"/>
      <c r="ECM5" s="11"/>
      <c r="ECN5" s="11"/>
      <c r="ECO5" s="11"/>
      <c r="ECP5" s="11"/>
      <c r="ECQ5" s="11"/>
      <c r="ECR5" s="11"/>
      <c r="ECS5" s="11"/>
      <c r="ECT5" s="11"/>
      <c r="ECU5" s="11"/>
      <c r="ECV5" s="11"/>
      <c r="ECW5" s="11"/>
      <c r="ECX5" s="11"/>
      <c r="ECY5" s="11"/>
      <c r="ECZ5" s="11"/>
      <c r="EDA5" s="11"/>
      <c r="EDB5" s="11"/>
      <c r="EDC5" s="11"/>
      <c r="EDD5" s="11"/>
      <c r="EDE5" s="11"/>
      <c r="EDF5" s="11"/>
      <c r="EDG5" s="11"/>
      <c r="EDH5" s="11"/>
      <c r="EDI5" s="11"/>
      <c r="EDJ5" s="11"/>
      <c r="EDK5" s="11"/>
      <c r="EDL5" s="11"/>
      <c r="EDM5" s="11"/>
      <c r="EDN5" s="11"/>
      <c r="EDO5" s="11"/>
      <c r="EDP5" s="11"/>
      <c r="EDQ5" s="11"/>
      <c r="EDR5" s="11"/>
      <c r="EDS5" s="11"/>
      <c r="EDT5" s="11"/>
      <c r="EDU5" s="11"/>
      <c r="EDV5" s="11"/>
      <c r="EDW5" s="11"/>
      <c r="EDX5" s="11"/>
      <c r="EDY5" s="11"/>
      <c r="EDZ5" s="11"/>
      <c r="EEA5" s="11"/>
      <c r="EEB5" s="11"/>
      <c r="EEC5" s="11"/>
      <c r="EED5" s="11"/>
      <c r="EEE5" s="11"/>
      <c r="EEF5" s="11"/>
      <c r="EEG5" s="11"/>
      <c r="EEH5" s="11"/>
      <c r="EEI5" s="11"/>
      <c r="EEJ5" s="11"/>
      <c r="EEK5" s="11"/>
      <c r="EEL5" s="11"/>
      <c r="EEM5" s="11"/>
      <c r="EEN5" s="11"/>
      <c r="EEO5" s="11"/>
      <c r="EEP5" s="11"/>
      <c r="EEQ5" s="11"/>
      <c r="EER5" s="11"/>
      <c r="EES5" s="11"/>
      <c r="EET5" s="11"/>
      <c r="EEU5" s="11"/>
      <c r="EEV5" s="11"/>
      <c r="EEW5" s="11"/>
      <c r="EEX5" s="11"/>
      <c r="EEY5" s="11"/>
      <c r="EEZ5" s="11"/>
      <c r="EFA5" s="11"/>
      <c r="EFB5" s="11"/>
      <c r="EFC5" s="11"/>
      <c r="EFD5" s="11"/>
      <c r="EFE5" s="11"/>
      <c r="EFF5" s="11"/>
      <c r="EFG5" s="11"/>
      <c r="EFH5" s="11"/>
      <c r="EFI5" s="11"/>
      <c r="EFJ5" s="11"/>
      <c r="EFK5" s="11"/>
      <c r="EFL5" s="11"/>
      <c r="EFM5" s="11"/>
      <c r="EFN5" s="11"/>
      <c r="EFO5" s="11"/>
      <c r="EFP5" s="11"/>
      <c r="EFQ5" s="11"/>
      <c r="EFR5" s="11"/>
      <c r="EFS5" s="11"/>
      <c r="EFT5" s="11"/>
      <c r="EFU5" s="11"/>
      <c r="EFV5" s="11"/>
      <c r="EFW5" s="11"/>
      <c r="EFX5" s="11"/>
      <c r="EFY5" s="11"/>
      <c r="EFZ5" s="11"/>
      <c r="EGA5" s="11"/>
      <c r="EGB5" s="11"/>
      <c r="EGC5" s="11"/>
      <c r="EGD5" s="11"/>
      <c r="EGE5" s="11"/>
      <c r="EGF5" s="11"/>
      <c r="EGG5" s="11"/>
      <c r="EGH5" s="11"/>
      <c r="EGI5" s="11"/>
      <c r="EGJ5" s="11"/>
      <c r="EGK5" s="11"/>
      <c r="EGL5" s="11"/>
      <c r="EGM5" s="11"/>
      <c r="EGN5" s="11"/>
      <c r="EGO5" s="11"/>
      <c r="EGP5" s="11"/>
      <c r="EGQ5" s="11"/>
      <c r="EGR5" s="11"/>
      <c r="EGS5" s="11"/>
      <c r="EGT5" s="11"/>
      <c r="EGU5" s="11"/>
      <c r="EGV5" s="11"/>
      <c r="EGW5" s="11"/>
      <c r="EGX5" s="11"/>
      <c r="EGY5" s="11"/>
      <c r="EGZ5" s="11"/>
      <c r="EHA5" s="11"/>
      <c r="EHB5" s="11"/>
      <c r="EHC5" s="11"/>
      <c r="EHD5" s="11"/>
      <c r="EHE5" s="11"/>
      <c r="EHF5" s="11"/>
      <c r="EHG5" s="11"/>
      <c r="EHH5" s="11"/>
      <c r="EHI5" s="11"/>
      <c r="EHJ5" s="11"/>
      <c r="EHK5" s="11"/>
      <c r="EHL5" s="11"/>
      <c r="EHM5" s="11"/>
      <c r="EHN5" s="11"/>
      <c r="EHO5" s="11"/>
      <c r="EHP5" s="11"/>
      <c r="EHQ5" s="11"/>
      <c r="EHR5" s="11"/>
      <c r="EHS5" s="11"/>
      <c r="EHT5" s="11"/>
      <c r="EHU5" s="11"/>
      <c r="EHV5" s="11"/>
      <c r="EHW5" s="11"/>
      <c r="EHX5" s="11"/>
      <c r="EHY5" s="11"/>
      <c r="EHZ5" s="11"/>
      <c r="EIA5" s="11"/>
      <c r="EIB5" s="11"/>
      <c r="EIC5" s="11"/>
      <c r="EID5" s="11"/>
      <c r="EIE5" s="11"/>
      <c r="EIF5" s="11"/>
      <c r="EIG5" s="11"/>
      <c r="EIH5" s="11"/>
      <c r="EII5" s="11"/>
      <c r="EIJ5" s="11"/>
      <c r="EIK5" s="11"/>
      <c r="EIL5" s="11"/>
      <c r="EIM5" s="11"/>
      <c r="EIN5" s="11"/>
      <c r="EIO5" s="11"/>
      <c r="EIP5" s="11"/>
      <c r="EIQ5" s="11"/>
      <c r="EIR5" s="11"/>
      <c r="EIS5" s="11"/>
      <c r="EIT5" s="11"/>
      <c r="EIU5" s="11"/>
      <c r="EIV5" s="11"/>
      <c r="EIW5" s="11"/>
      <c r="EIX5" s="11"/>
      <c r="EIY5" s="11"/>
      <c r="EIZ5" s="11"/>
      <c r="EJA5" s="11"/>
      <c r="EJB5" s="11"/>
      <c r="EJC5" s="11"/>
      <c r="EJD5" s="11"/>
      <c r="EJE5" s="11"/>
      <c r="EJF5" s="11"/>
      <c r="EJG5" s="11"/>
      <c r="EJH5" s="11"/>
      <c r="EJI5" s="11"/>
      <c r="EJJ5" s="11"/>
      <c r="EJK5" s="11"/>
      <c r="EJL5" s="11"/>
      <c r="EJM5" s="11"/>
      <c r="EJN5" s="11"/>
      <c r="EJO5" s="11"/>
      <c r="EJP5" s="11"/>
      <c r="EJQ5" s="11"/>
      <c r="EJR5" s="11"/>
      <c r="EJS5" s="11"/>
      <c r="EJT5" s="11"/>
      <c r="EJU5" s="11"/>
      <c r="EJV5" s="11"/>
      <c r="EJW5" s="11"/>
      <c r="EJX5" s="11"/>
      <c r="EJY5" s="11"/>
      <c r="EJZ5" s="11"/>
      <c r="EKA5" s="11"/>
      <c r="EKB5" s="11"/>
      <c r="EKC5" s="11"/>
      <c r="EKD5" s="11"/>
      <c r="EKE5" s="11"/>
      <c r="EKF5" s="11"/>
      <c r="EKG5" s="11"/>
      <c r="EKH5" s="11"/>
      <c r="EKI5" s="11"/>
      <c r="EKJ5" s="11"/>
      <c r="EKK5" s="11"/>
      <c r="EKL5" s="11"/>
      <c r="EKM5" s="11"/>
      <c r="EKN5" s="11"/>
      <c r="EKO5" s="11"/>
      <c r="EKP5" s="11"/>
      <c r="EKQ5" s="11"/>
      <c r="EKR5" s="11"/>
      <c r="EKS5" s="11"/>
      <c r="EKT5" s="11"/>
      <c r="EKU5" s="11"/>
      <c r="EKV5" s="11"/>
      <c r="EKW5" s="11"/>
      <c r="EKX5" s="11"/>
      <c r="EKY5" s="11"/>
      <c r="EKZ5" s="11"/>
      <c r="ELA5" s="11"/>
      <c r="ELB5" s="11"/>
      <c r="ELC5" s="11"/>
      <c r="ELD5" s="11"/>
      <c r="ELE5" s="11"/>
      <c r="ELF5" s="11"/>
      <c r="ELG5" s="11"/>
      <c r="ELH5" s="11"/>
      <c r="ELI5" s="11"/>
      <c r="ELJ5" s="11"/>
      <c r="ELK5" s="11"/>
      <c r="ELL5" s="11"/>
      <c r="ELM5" s="11"/>
      <c r="ELN5" s="11"/>
      <c r="ELO5" s="11"/>
      <c r="ELP5" s="11"/>
      <c r="ELQ5" s="11"/>
      <c r="ELR5" s="11"/>
      <c r="ELS5" s="11"/>
      <c r="ELT5" s="11"/>
      <c r="ELU5" s="11"/>
      <c r="ELV5" s="11"/>
      <c r="ELW5" s="11"/>
      <c r="ELX5" s="11"/>
      <c r="ELY5" s="11"/>
      <c r="ELZ5" s="11"/>
      <c r="EMA5" s="11"/>
      <c r="EMB5" s="11"/>
      <c r="EMC5" s="11"/>
      <c r="EMD5" s="11"/>
      <c r="EME5" s="11"/>
      <c r="EMF5" s="11"/>
      <c r="EMG5" s="11"/>
      <c r="EMH5" s="11"/>
      <c r="EMI5" s="11"/>
      <c r="EMJ5" s="11"/>
      <c r="EMK5" s="11"/>
      <c r="EML5" s="11"/>
      <c r="EMM5" s="11"/>
      <c r="EMN5" s="11"/>
      <c r="EMO5" s="11"/>
      <c r="EMP5" s="11"/>
      <c r="EMQ5" s="11"/>
      <c r="EMR5" s="11"/>
      <c r="EMS5" s="11"/>
      <c r="EMT5" s="11"/>
      <c r="EMU5" s="11"/>
      <c r="EMV5" s="11"/>
      <c r="EMW5" s="11"/>
      <c r="EMX5" s="11"/>
      <c r="EMY5" s="11"/>
      <c r="EMZ5" s="11"/>
      <c r="ENA5" s="11"/>
      <c r="ENB5" s="11"/>
      <c r="ENC5" s="11"/>
      <c r="END5" s="11"/>
      <c r="ENE5" s="11"/>
      <c r="ENF5" s="11"/>
      <c r="ENG5" s="11"/>
      <c r="ENH5" s="11"/>
      <c r="ENI5" s="11"/>
      <c r="ENJ5" s="11"/>
      <c r="ENK5" s="11"/>
      <c r="ENL5" s="11"/>
      <c r="ENM5" s="11"/>
      <c r="ENN5" s="11"/>
      <c r="ENO5" s="11"/>
      <c r="ENP5" s="11"/>
      <c r="ENQ5" s="11"/>
      <c r="ENR5" s="11"/>
      <c r="ENS5" s="11"/>
      <c r="ENT5" s="11"/>
      <c r="ENU5" s="11"/>
      <c r="ENV5" s="11"/>
      <c r="ENW5" s="11"/>
      <c r="ENX5" s="11"/>
      <c r="ENY5" s="11"/>
      <c r="ENZ5" s="11"/>
      <c r="EOA5" s="11"/>
      <c r="EOB5" s="11"/>
      <c r="EOC5" s="11"/>
      <c r="EOD5" s="11"/>
      <c r="EOE5" s="11"/>
      <c r="EOF5" s="11"/>
      <c r="EOG5" s="11"/>
      <c r="EOH5" s="11"/>
      <c r="EOI5" s="11"/>
      <c r="EOJ5" s="11"/>
      <c r="EOK5" s="11"/>
      <c r="EOL5" s="11"/>
      <c r="EOM5" s="11"/>
      <c r="EON5" s="11"/>
      <c r="EOO5" s="11"/>
      <c r="EOP5" s="11"/>
      <c r="EOQ5" s="11"/>
      <c r="EOR5" s="11"/>
      <c r="EOS5" s="11"/>
      <c r="EOT5" s="11"/>
      <c r="EOU5" s="11"/>
      <c r="EOV5" s="11"/>
      <c r="EOW5" s="11"/>
      <c r="EOX5" s="11"/>
      <c r="EOY5" s="11"/>
      <c r="EOZ5" s="11"/>
      <c r="EPA5" s="11"/>
      <c r="EPB5" s="11"/>
      <c r="EPC5" s="11"/>
      <c r="EPD5" s="11"/>
      <c r="EPE5" s="11"/>
      <c r="EPF5" s="11"/>
      <c r="EPG5" s="11"/>
      <c r="EPH5" s="11"/>
      <c r="EPI5" s="11"/>
      <c r="EPJ5" s="11"/>
      <c r="EPK5" s="11"/>
      <c r="EPL5" s="11"/>
      <c r="EPM5" s="11"/>
      <c r="EPN5" s="11"/>
      <c r="EPO5" s="11"/>
      <c r="EPP5" s="11"/>
      <c r="EPQ5" s="11"/>
      <c r="EPR5" s="11"/>
      <c r="EPS5" s="11"/>
      <c r="EPT5" s="11"/>
      <c r="EPU5" s="11"/>
      <c r="EPV5" s="11"/>
      <c r="EPW5" s="11"/>
      <c r="EPX5" s="11"/>
      <c r="EPY5" s="11"/>
      <c r="EPZ5" s="11"/>
      <c r="EQA5" s="11"/>
      <c r="EQB5" s="11"/>
      <c r="EQC5" s="11"/>
      <c r="EQD5" s="11"/>
      <c r="EQE5" s="11"/>
      <c r="EQF5" s="11"/>
      <c r="EQG5" s="11"/>
      <c r="EQH5" s="11"/>
      <c r="EQI5" s="11"/>
      <c r="EQJ5" s="11"/>
      <c r="EQK5" s="11"/>
      <c r="EQL5" s="11"/>
      <c r="EQM5" s="11"/>
      <c r="EQN5" s="11"/>
      <c r="EQO5" s="11"/>
      <c r="EQP5" s="11"/>
      <c r="EQQ5" s="11"/>
      <c r="EQR5" s="11"/>
      <c r="EQS5" s="11"/>
      <c r="EQT5" s="11"/>
      <c r="EQU5" s="11"/>
      <c r="EQV5" s="11"/>
      <c r="EQW5" s="11"/>
      <c r="EQX5" s="11"/>
      <c r="EQY5" s="11"/>
      <c r="EQZ5" s="11"/>
      <c r="ERA5" s="11"/>
      <c r="ERB5" s="11"/>
      <c r="ERC5" s="11"/>
      <c r="ERD5" s="11"/>
      <c r="ERE5" s="11"/>
      <c r="ERF5" s="11"/>
      <c r="ERG5" s="11"/>
      <c r="ERH5" s="11"/>
      <c r="ERI5" s="11"/>
      <c r="ERJ5" s="11"/>
      <c r="ERK5" s="11"/>
      <c r="ERL5" s="11"/>
      <c r="ERM5" s="11"/>
      <c r="ERN5" s="11"/>
      <c r="ERO5" s="11"/>
      <c r="ERP5" s="11"/>
      <c r="ERQ5" s="11"/>
      <c r="ERR5" s="11"/>
      <c r="ERS5" s="11"/>
      <c r="ERT5" s="11"/>
      <c r="ERU5" s="11"/>
      <c r="ERV5" s="11"/>
      <c r="ERW5" s="11"/>
      <c r="ERX5" s="11"/>
      <c r="ERY5" s="11"/>
      <c r="ERZ5" s="11"/>
      <c r="ESA5" s="11"/>
      <c r="ESB5" s="11"/>
      <c r="ESC5" s="11"/>
      <c r="ESD5" s="11"/>
      <c r="ESE5" s="11"/>
      <c r="ESF5" s="11"/>
      <c r="ESG5" s="11"/>
      <c r="ESH5" s="11"/>
      <c r="ESI5" s="11"/>
      <c r="ESJ5" s="11"/>
      <c r="ESK5" s="11"/>
      <c r="ESL5" s="11"/>
      <c r="ESM5" s="11"/>
      <c r="ESN5" s="11"/>
      <c r="ESO5" s="11"/>
      <c r="ESP5" s="11"/>
      <c r="ESQ5" s="11"/>
      <c r="ESR5" s="11"/>
      <c r="ESS5" s="11"/>
      <c r="EST5" s="11"/>
      <c r="ESU5" s="11"/>
      <c r="ESV5" s="11"/>
      <c r="ESW5" s="11"/>
      <c r="ESX5" s="11"/>
      <c r="ESY5" s="11"/>
      <c r="ESZ5" s="11"/>
      <c r="ETA5" s="11"/>
      <c r="ETB5" s="11"/>
      <c r="ETC5" s="11"/>
      <c r="ETD5" s="11"/>
      <c r="ETE5" s="11"/>
      <c r="ETF5" s="11"/>
      <c r="ETG5" s="11"/>
      <c r="ETH5" s="11"/>
      <c r="ETI5" s="11"/>
      <c r="ETJ5" s="11"/>
      <c r="ETK5" s="11"/>
      <c r="ETL5" s="11"/>
      <c r="ETM5" s="11"/>
      <c r="ETN5" s="11"/>
      <c r="ETO5" s="11"/>
      <c r="ETP5" s="11"/>
      <c r="ETQ5" s="11"/>
      <c r="ETR5" s="11"/>
      <c r="ETS5" s="11"/>
      <c r="ETT5" s="11"/>
      <c r="ETU5" s="11"/>
      <c r="ETV5" s="11"/>
      <c r="ETW5" s="11"/>
      <c r="ETX5" s="11"/>
      <c r="ETY5" s="11"/>
      <c r="ETZ5" s="11"/>
      <c r="EUA5" s="11"/>
      <c r="EUB5" s="11"/>
      <c r="EUC5" s="11"/>
      <c r="EUD5" s="11"/>
      <c r="EUE5" s="11"/>
      <c r="EUF5" s="11"/>
      <c r="EUG5" s="11"/>
      <c r="EUH5" s="11"/>
      <c r="EUI5" s="11"/>
      <c r="EUJ5" s="11"/>
      <c r="EUK5" s="11"/>
      <c r="EUL5" s="11"/>
      <c r="EUM5" s="11"/>
      <c r="EUN5" s="11"/>
      <c r="EUO5" s="11"/>
      <c r="EUP5" s="11"/>
      <c r="EUQ5" s="11"/>
      <c r="EUR5" s="11"/>
      <c r="EUS5" s="11"/>
      <c r="EUT5" s="11"/>
      <c r="EUU5" s="11"/>
      <c r="EUV5" s="11"/>
      <c r="EUW5" s="11"/>
      <c r="EUX5" s="11"/>
      <c r="EUY5" s="11"/>
      <c r="EUZ5" s="11"/>
      <c r="EVA5" s="11"/>
      <c r="EVB5" s="11"/>
      <c r="EVC5" s="11"/>
      <c r="EVD5" s="11"/>
      <c r="EVE5" s="11"/>
      <c r="EVF5" s="11"/>
      <c r="EVG5" s="11"/>
      <c r="EVH5" s="11"/>
      <c r="EVI5" s="11"/>
      <c r="EVJ5" s="11"/>
      <c r="EVK5" s="11"/>
      <c r="EVL5" s="11"/>
      <c r="EVM5" s="11"/>
      <c r="EVN5" s="11"/>
      <c r="EVO5" s="11"/>
      <c r="EVP5" s="11"/>
      <c r="EVQ5" s="11"/>
      <c r="EVR5" s="11"/>
      <c r="EVS5" s="11"/>
      <c r="EVT5" s="11"/>
      <c r="EVU5" s="11"/>
      <c r="EVV5" s="11"/>
      <c r="EVW5" s="11"/>
      <c r="EVX5" s="11"/>
      <c r="EVY5" s="11"/>
      <c r="EVZ5" s="11"/>
      <c r="EWA5" s="11"/>
      <c r="EWB5" s="11"/>
      <c r="EWC5" s="11"/>
      <c r="EWD5" s="11"/>
      <c r="EWE5" s="11"/>
      <c r="EWF5" s="11"/>
      <c r="EWG5" s="11"/>
      <c r="EWH5" s="11"/>
      <c r="EWI5" s="11"/>
      <c r="EWJ5" s="11"/>
      <c r="EWK5" s="11"/>
      <c r="EWL5" s="11"/>
      <c r="EWM5" s="11"/>
      <c r="EWN5" s="11"/>
      <c r="EWO5" s="11"/>
      <c r="EWP5" s="11"/>
      <c r="EWQ5" s="11"/>
      <c r="EWR5" s="11"/>
      <c r="EWS5" s="11"/>
      <c r="EWT5" s="11"/>
      <c r="EWU5" s="11"/>
      <c r="EWV5" s="11"/>
      <c r="EWW5" s="11"/>
      <c r="EWX5" s="11"/>
      <c r="EWY5" s="11"/>
      <c r="EWZ5" s="11"/>
      <c r="EXA5" s="11"/>
      <c r="EXB5" s="11"/>
      <c r="EXC5" s="11"/>
      <c r="EXD5" s="11"/>
      <c r="EXE5" s="11"/>
      <c r="EXF5" s="11"/>
      <c r="EXG5" s="11"/>
      <c r="EXH5" s="11"/>
      <c r="EXI5" s="11"/>
      <c r="EXJ5" s="11"/>
      <c r="EXK5" s="11"/>
      <c r="EXL5" s="11"/>
      <c r="EXM5" s="11"/>
      <c r="EXN5" s="11"/>
      <c r="EXO5" s="11"/>
      <c r="EXP5" s="11"/>
      <c r="EXQ5" s="11"/>
      <c r="EXR5" s="11"/>
      <c r="EXS5" s="11"/>
      <c r="EXT5" s="11"/>
      <c r="EXU5" s="11"/>
      <c r="EXV5" s="11"/>
      <c r="EXW5" s="11"/>
      <c r="EXX5" s="11"/>
      <c r="EXY5" s="11"/>
      <c r="EXZ5" s="11"/>
      <c r="EYA5" s="11"/>
      <c r="EYB5" s="11"/>
      <c r="EYC5" s="11"/>
      <c r="EYD5" s="11"/>
      <c r="EYE5" s="11"/>
      <c r="EYF5" s="11"/>
      <c r="EYG5" s="11"/>
      <c r="EYH5" s="11"/>
      <c r="EYI5" s="11"/>
      <c r="EYJ5" s="11"/>
      <c r="EYK5" s="11"/>
      <c r="EYL5" s="11"/>
      <c r="EYM5" s="11"/>
      <c r="EYN5" s="11"/>
      <c r="EYO5" s="11"/>
      <c r="EYP5" s="11"/>
      <c r="EYQ5" s="11"/>
      <c r="EYR5" s="11"/>
      <c r="EYS5" s="11"/>
      <c r="EYT5" s="11"/>
      <c r="EYU5" s="11"/>
      <c r="EYV5" s="11"/>
      <c r="EYW5" s="11"/>
      <c r="EYX5" s="11"/>
      <c r="EYY5" s="11"/>
      <c r="EYZ5" s="11"/>
      <c r="EZA5" s="11"/>
      <c r="EZB5" s="11"/>
      <c r="EZC5" s="11"/>
      <c r="EZD5" s="11"/>
      <c r="EZE5" s="11"/>
      <c r="EZF5" s="11"/>
      <c r="EZG5" s="11"/>
      <c r="EZH5" s="11"/>
      <c r="EZI5" s="11"/>
      <c r="EZJ5" s="11"/>
      <c r="EZK5" s="11"/>
      <c r="EZL5" s="11"/>
      <c r="EZM5" s="11"/>
      <c r="EZN5" s="11"/>
      <c r="EZO5" s="11"/>
      <c r="EZP5" s="11"/>
      <c r="EZQ5" s="11"/>
      <c r="EZR5" s="11"/>
      <c r="EZS5" s="11"/>
      <c r="EZT5" s="11"/>
      <c r="EZU5" s="11"/>
      <c r="EZV5" s="11"/>
      <c r="EZW5" s="11"/>
      <c r="EZX5" s="11"/>
      <c r="EZY5" s="11"/>
      <c r="EZZ5" s="11"/>
      <c r="FAA5" s="11"/>
      <c r="FAB5" s="11"/>
      <c r="FAC5" s="11"/>
      <c r="FAD5" s="11"/>
      <c r="FAE5" s="11"/>
      <c r="FAF5" s="11"/>
      <c r="FAG5" s="11"/>
      <c r="FAH5" s="11"/>
      <c r="FAI5" s="11"/>
      <c r="FAJ5" s="11"/>
      <c r="FAK5" s="11"/>
      <c r="FAL5" s="11"/>
      <c r="FAM5" s="11"/>
      <c r="FAN5" s="11"/>
      <c r="FAO5" s="11"/>
      <c r="FAP5" s="11"/>
      <c r="FAQ5" s="11"/>
      <c r="FAR5" s="11"/>
      <c r="FAS5" s="11"/>
      <c r="FAT5" s="11"/>
      <c r="FAU5" s="11"/>
      <c r="FAV5" s="11"/>
      <c r="FAW5" s="11"/>
      <c r="FAX5" s="11"/>
      <c r="FAY5" s="11"/>
      <c r="FAZ5" s="11"/>
      <c r="FBA5" s="11"/>
      <c r="FBB5" s="11"/>
      <c r="FBC5" s="11"/>
      <c r="FBD5" s="11"/>
      <c r="FBE5" s="11"/>
      <c r="FBF5" s="11"/>
      <c r="FBG5" s="11"/>
      <c r="FBH5" s="11"/>
      <c r="FBI5" s="11"/>
      <c r="FBJ5" s="11"/>
      <c r="FBK5" s="11"/>
      <c r="FBL5" s="11"/>
      <c r="FBM5" s="11"/>
      <c r="FBN5" s="11"/>
      <c r="FBO5" s="11"/>
      <c r="FBP5" s="11"/>
      <c r="FBQ5" s="11"/>
      <c r="FBR5" s="11"/>
      <c r="FBS5" s="11"/>
      <c r="FBT5" s="11"/>
      <c r="FBU5" s="11"/>
      <c r="FBV5" s="11"/>
      <c r="FBW5" s="11"/>
      <c r="FBX5" s="11"/>
      <c r="FBY5" s="11"/>
      <c r="FBZ5" s="11"/>
      <c r="FCA5" s="11"/>
      <c r="FCB5" s="11"/>
      <c r="FCC5" s="11"/>
      <c r="FCD5" s="11"/>
      <c r="FCE5" s="11"/>
      <c r="FCF5" s="11"/>
      <c r="FCG5" s="11"/>
      <c r="FCH5" s="11"/>
      <c r="FCI5" s="11"/>
      <c r="FCJ5" s="11"/>
      <c r="FCK5" s="11"/>
      <c r="FCL5" s="11"/>
      <c r="FCM5" s="11"/>
      <c r="FCN5" s="11"/>
      <c r="FCO5" s="11"/>
      <c r="FCP5" s="11"/>
      <c r="FCQ5" s="11"/>
      <c r="FCR5" s="11"/>
      <c r="FCS5" s="11"/>
      <c r="FCT5" s="11"/>
      <c r="FCU5" s="11"/>
      <c r="FCV5" s="11"/>
      <c r="FCW5" s="11"/>
      <c r="FCX5" s="11"/>
      <c r="FCY5" s="11"/>
      <c r="FCZ5" s="11"/>
      <c r="FDA5" s="11"/>
      <c r="FDB5" s="11"/>
      <c r="FDC5" s="11"/>
      <c r="FDD5" s="11"/>
      <c r="FDE5" s="11"/>
      <c r="FDF5" s="11"/>
      <c r="FDG5" s="11"/>
      <c r="FDH5" s="11"/>
      <c r="FDI5" s="11"/>
      <c r="FDJ5" s="11"/>
      <c r="FDK5" s="11"/>
      <c r="FDL5" s="11"/>
      <c r="FDM5" s="11"/>
      <c r="FDN5" s="11"/>
      <c r="FDO5" s="11"/>
      <c r="FDP5" s="11"/>
      <c r="FDQ5" s="11"/>
      <c r="FDR5" s="11"/>
      <c r="FDS5" s="11"/>
      <c r="FDT5" s="11"/>
      <c r="FDU5" s="11"/>
      <c r="FDV5" s="11"/>
      <c r="FDW5" s="11"/>
      <c r="FDX5" s="11"/>
      <c r="FDY5" s="11"/>
      <c r="FDZ5" s="11"/>
      <c r="FEA5" s="11"/>
      <c r="FEB5" s="11"/>
      <c r="FEC5" s="11"/>
      <c r="FED5" s="11"/>
      <c r="FEE5" s="11"/>
      <c r="FEF5" s="11"/>
      <c r="FEG5" s="11"/>
      <c r="FEH5" s="11"/>
      <c r="FEI5" s="11"/>
      <c r="FEJ5" s="11"/>
      <c r="FEK5" s="11"/>
      <c r="FEL5" s="11"/>
      <c r="FEM5" s="11"/>
      <c r="FEN5" s="11"/>
      <c r="FEO5" s="11"/>
      <c r="FEP5" s="11"/>
      <c r="FEQ5" s="11"/>
      <c r="FER5" s="11"/>
      <c r="FES5" s="11"/>
      <c r="FET5" s="11"/>
      <c r="FEU5" s="11"/>
      <c r="FEV5" s="11"/>
      <c r="FEW5" s="11"/>
      <c r="FEX5" s="11"/>
      <c r="FEY5" s="11"/>
      <c r="FEZ5" s="11"/>
      <c r="FFA5" s="11"/>
      <c r="FFB5" s="11"/>
      <c r="FFC5" s="11"/>
      <c r="FFD5" s="11"/>
      <c r="FFE5" s="11"/>
      <c r="FFF5" s="11"/>
      <c r="FFG5" s="11"/>
      <c r="FFH5" s="11"/>
      <c r="FFI5" s="11"/>
      <c r="FFJ5" s="11"/>
      <c r="FFK5" s="11"/>
      <c r="FFL5" s="11"/>
      <c r="FFM5" s="11"/>
      <c r="FFN5" s="11"/>
      <c r="FFO5" s="11"/>
      <c r="FFP5" s="11"/>
      <c r="FFQ5" s="11"/>
      <c r="FFR5" s="11"/>
      <c r="FFS5" s="11"/>
      <c r="FFT5" s="11"/>
      <c r="FFU5" s="11"/>
      <c r="FFV5" s="11"/>
      <c r="FFW5" s="11"/>
      <c r="FFX5" s="11"/>
      <c r="FFY5" s="11"/>
      <c r="FFZ5" s="11"/>
      <c r="FGA5" s="11"/>
      <c r="FGB5" s="11"/>
      <c r="FGC5" s="11"/>
      <c r="FGD5" s="11"/>
      <c r="FGE5" s="11"/>
      <c r="FGF5" s="11"/>
      <c r="FGG5" s="11"/>
      <c r="FGH5" s="11"/>
      <c r="FGI5" s="11"/>
      <c r="FGJ5" s="11"/>
      <c r="FGK5" s="11"/>
      <c r="FGL5" s="11"/>
      <c r="FGM5" s="11"/>
      <c r="FGN5" s="11"/>
      <c r="FGO5" s="11"/>
      <c r="FGP5" s="11"/>
      <c r="FGQ5" s="11"/>
      <c r="FGR5" s="11"/>
      <c r="FGS5" s="11"/>
      <c r="FGT5" s="11"/>
      <c r="FGU5" s="11"/>
      <c r="FGV5" s="11"/>
      <c r="FGW5" s="11"/>
      <c r="FGX5" s="11"/>
      <c r="FGY5" s="11"/>
      <c r="FGZ5" s="11"/>
      <c r="FHA5" s="11"/>
      <c r="FHB5" s="11"/>
      <c r="FHC5" s="11"/>
      <c r="FHD5" s="11"/>
      <c r="FHE5" s="11"/>
      <c r="FHF5" s="11"/>
      <c r="FHG5" s="11"/>
      <c r="FHH5" s="11"/>
      <c r="FHI5" s="11"/>
      <c r="FHJ5" s="11"/>
      <c r="FHK5" s="11"/>
      <c r="FHL5" s="11"/>
      <c r="FHM5" s="11"/>
      <c r="FHN5" s="11"/>
      <c r="FHO5" s="11"/>
      <c r="FHP5" s="11"/>
      <c r="FHQ5" s="11"/>
      <c r="FHR5" s="11"/>
      <c r="FHS5" s="11"/>
      <c r="FHT5" s="11"/>
      <c r="FHU5" s="11"/>
      <c r="FHV5" s="11"/>
      <c r="FHW5" s="11"/>
      <c r="FHX5" s="11"/>
      <c r="FHY5" s="11"/>
      <c r="FHZ5" s="11"/>
      <c r="FIA5" s="11"/>
      <c r="FIB5" s="11"/>
      <c r="FIC5" s="11"/>
      <c r="FID5" s="11"/>
      <c r="FIE5" s="11"/>
      <c r="FIF5" s="11"/>
      <c r="FIG5" s="11"/>
      <c r="FIH5" s="11"/>
      <c r="FII5" s="11"/>
      <c r="FIJ5" s="11"/>
      <c r="FIK5" s="11"/>
      <c r="FIL5" s="11"/>
      <c r="FIM5" s="11"/>
      <c r="FIN5" s="11"/>
      <c r="FIO5" s="11"/>
      <c r="FIP5" s="11"/>
      <c r="FIQ5" s="11"/>
      <c r="FIR5" s="11"/>
      <c r="FIS5" s="11"/>
      <c r="FIT5" s="11"/>
      <c r="FIU5" s="11"/>
      <c r="FIV5" s="11"/>
      <c r="FIW5" s="11"/>
      <c r="FIX5" s="11"/>
      <c r="FIY5" s="11"/>
      <c r="FIZ5" s="11"/>
      <c r="FJA5" s="11"/>
      <c r="FJB5" s="11"/>
      <c r="FJC5" s="11"/>
      <c r="FJD5" s="11"/>
      <c r="FJE5" s="11"/>
      <c r="FJF5" s="11"/>
      <c r="FJG5" s="11"/>
      <c r="FJH5" s="11"/>
      <c r="FJI5" s="11"/>
      <c r="FJJ5" s="11"/>
      <c r="FJK5" s="11"/>
      <c r="FJL5" s="11"/>
      <c r="FJM5" s="11"/>
      <c r="FJN5" s="11"/>
      <c r="FJO5" s="11"/>
      <c r="FJP5" s="11"/>
      <c r="FJQ5" s="11"/>
      <c r="FJR5" s="11"/>
      <c r="FJS5" s="11"/>
      <c r="FJT5" s="11"/>
      <c r="FJU5" s="11"/>
      <c r="FJV5" s="11"/>
      <c r="FJW5" s="11"/>
      <c r="FJX5" s="11"/>
      <c r="FJY5" s="11"/>
      <c r="FJZ5" s="11"/>
      <c r="FKA5" s="11"/>
      <c r="FKB5" s="11"/>
      <c r="FKC5" s="11"/>
      <c r="FKD5" s="11"/>
      <c r="FKE5" s="11"/>
      <c r="FKF5" s="11"/>
      <c r="FKG5" s="11"/>
      <c r="FKH5" s="11"/>
      <c r="FKI5" s="11"/>
      <c r="FKJ5" s="11"/>
      <c r="FKK5" s="11"/>
      <c r="FKL5" s="11"/>
      <c r="FKM5" s="11"/>
      <c r="FKN5" s="11"/>
      <c r="FKO5" s="11"/>
      <c r="FKP5" s="11"/>
      <c r="FKQ5" s="11"/>
      <c r="FKR5" s="11"/>
      <c r="FKS5" s="11"/>
      <c r="FKT5" s="11"/>
      <c r="FKU5" s="11"/>
      <c r="FKV5" s="11"/>
      <c r="FKW5" s="11"/>
      <c r="FKX5" s="11"/>
      <c r="FKY5" s="11"/>
      <c r="FKZ5" s="11"/>
      <c r="FLA5" s="11"/>
      <c r="FLB5" s="11"/>
      <c r="FLC5" s="11"/>
      <c r="FLD5" s="11"/>
      <c r="FLE5" s="11"/>
      <c r="FLF5" s="11"/>
      <c r="FLG5" s="11"/>
      <c r="FLH5" s="11"/>
      <c r="FLI5" s="11"/>
      <c r="FLJ5" s="11"/>
      <c r="FLK5" s="11"/>
      <c r="FLL5" s="11"/>
      <c r="FLM5" s="11"/>
      <c r="FLN5" s="11"/>
      <c r="FLO5" s="11"/>
      <c r="FLP5" s="11"/>
      <c r="FLQ5" s="11"/>
      <c r="FLR5" s="11"/>
      <c r="FLS5" s="11"/>
      <c r="FLT5" s="11"/>
      <c r="FLU5" s="11"/>
      <c r="FLV5" s="11"/>
      <c r="FLW5" s="11"/>
      <c r="FLX5" s="11"/>
      <c r="FLY5" s="11"/>
      <c r="FLZ5" s="11"/>
      <c r="FMA5" s="11"/>
      <c r="FMB5" s="11"/>
      <c r="FMC5" s="11"/>
      <c r="FMD5" s="11"/>
      <c r="FME5" s="11"/>
      <c r="FMF5" s="11"/>
      <c r="FMG5" s="11"/>
      <c r="FMH5" s="11"/>
      <c r="FMI5" s="11"/>
      <c r="FMJ5" s="11"/>
      <c r="FMK5" s="11"/>
      <c r="FML5" s="11"/>
      <c r="FMM5" s="11"/>
      <c r="FMN5" s="11"/>
      <c r="FMO5" s="11"/>
      <c r="FMP5" s="11"/>
      <c r="FMQ5" s="11"/>
      <c r="FMR5" s="11"/>
      <c r="FMS5" s="11"/>
      <c r="FMT5" s="11"/>
      <c r="FMU5" s="11"/>
      <c r="FMV5" s="11"/>
      <c r="FMW5" s="11"/>
      <c r="FMX5" s="11"/>
      <c r="FMY5" s="11"/>
      <c r="FMZ5" s="11"/>
      <c r="FNA5" s="11"/>
      <c r="FNB5" s="11"/>
      <c r="FNC5" s="11"/>
      <c r="FND5" s="11"/>
      <c r="FNE5" s="11"/>
      <c r="FNF5" s="11"/>
      <c r="FNG5" s="11"/>
      <c r="FNH5" s="11"/>
      <c r="FNI5" s="11"/>
      <c r="FNJ5" s="11"/>
      <c r="FNK5" s="11"/>
      <c r="FNL5" s="11"/>
      <c r="FNM5" s="11"/>
      <c r="FNN5" s="11"/>
      <c r="FNO5" s="11"/>
      <c r="FNP5" s="11"/>
      <c r="FNQ5" s="11"/>
      <c r="FNR5" s="11"/>
      <c r="FNS5" s="11"/>
      <c r="FNT5" s="11"/>
      <c r="FNU5" s="11"/>
      <c r="FNV5" s="11"/>
      <c r="FNW5" s="11"/>
      <c r="FNX5" s="11"/>
      <c r="FNY5" s="11"/>
      <c r="FNZ5" s="11"/>
      <c r="FOA5" s="11"/>
      <c r="FOB5" s="11"/>
      <c r="FOC5" s="11"/>
      <c r="FOD5" s="11"/>
      <c r="FOE5" s="11"/>
      <c r="FOF5" s="11"/>
      <c r="FOG5" s="11"/>
      <c r="FOH5" s="11"/>
      <c r="FOI5" s="11"/>
      <c r="FOJ5" s="11"/>
      <c r="FOK5" s="11"/>
      <c r="FOL5" s="11"/>
      <c r="FOM5" s="11"/>
      <c r="FON5" s="11"/>
      <c r="FOO5" s="11"/>
      <c r="FOP5" s="11"/>
      <c r="FOQ5" s="11"/>
      <c r="FOR5" s="11"/>
      <c r="FOS5" s="11"/>
      <c r="FOT5" s="11"/>
      <c r="FOU5" s="11"/>
      <c r="FOV5" s="11"/>
      <c r="FOW5" s="11"/>
      <c r="FOX5" s="11"/>
      <c r="FOY5" s="11"/>
      <c r="FOZ5" s="11"/>
      <c r="FPA5" s="11"/>
      <c r="FPB5" s="11"/>
      <c r="FPC5" s="11"/>
      <c r="FPD5" s="11"/>
      <c r="FPE5" s="11"/>
      <c r="FPF5" s="11"/>
      <c r="FPG5" s="11"/>
      <c r="FPH5" s="11"/>
      <c r="FPI5" s="11"/>
      <c r="FPJ5" s="11"/>
      <c r="FPK5" s="11"/>
      <c r="FPL5" s="11"/>
      <c r="FPM5" s="11"/>
      <c r="FPN5" s="11"/>
      <c r="FPO5" s="11"/>
      <c r="FPP5" s="11"/>
      <c r="FPQ5" s="11"/>
      <c r="FPR5" s="11"/>
      <c r="FPS5" s="11"/>
      <c r="FPT5" s="11"/>
      <c r="FPU5" s="11"/>
      <c r="FPV5" s="11"/>
      <c r="FPW5" s="11"/>
      <c r="FPX5" s="11"/>
      <c r="FPY5" s="11"/>
      <c r="FPZ5" s="11"/>
      <c r="FQA5" s="11"/>
      <c r="FQB5" s="11"/>
      <c r="FQC5" s="11"/>
      <c r="FQD5" s="11"/>
      <c r="FQE5" s="11"/>
      <c r="FQF5" s="11"/>
      <c r="FQG5" s="11"/>
      <c r="FQH5" s="11"/>
      <c r="FQI5" s="11"/>
      <c r="FQJ5" s="11"/>
      <c r="FQK5" s="11"/>
      <c r="FQL5" s="11"/>
      <c r="FQM5" s="11"/>
      <c r="FQN5" s="11"/>
      <c r="FQO5" s="11"/>
      <c r="FQP5" s="11"/>
      <c r="FQQ5" s="11"/>
      <c r="FQR5" s="11"/>
      <c r="FQS5" s="11"/>
      <c r="FQT5" s="11"/>
      <c r="FQU5" s="11"/>
      <c r="FQV5" s="11"/>
      <c r="FQW5" s="11"/>
      <c r="FQX5" s="11"/>
      <c r="FQY5" s="11"/>
      <c r="FQZ5" s="11"/>
      <c r="FRA5" s="11"/>
      <c r="FRB5" s="11"/>
      <c r="FRC5" s="11"/>
      <c r="FRD5" s="11"/>
      <c r="FRE5" s="11"/>
      <c r="FRF5" s="11"/>
      <c r="FRG5" s="11"/>
      <c r="FRH5" s="11"/>
      <c r="FRI5" s="11"/>
      <c r="FRJ5" s="11"/>
      <c r="FRK5" s="11"/>
      <c r="FRL5" s="11"/>
      <c r="FRM5" s="11"/>
      <c r="FRN5" s="11"/>
      <c r="FRO5" s="11"/>
      <c r="FRP5" s="11"/>
      <c r="FRQ5" s="11"/>
      <c r="FRR5" s="11"/>
      <c r="FRS5" s="11"/>
      <c r="FRT5" s="11"/>
      <c r="FRU5" s="11"/>
      <c r="FRV5" s="11"/>
      <c r="FRW5" s="11"/>
      <c r="FRX5" s="11"/>
      <c r="FRY5" s="11"/>
      <c r="FRZ5" s="11"/>
      <c r="FSA5" s="11"/>
      <c r="FSB5" s="11"/>
      <c r="FSC5" s="11"/>
      <c r="FSD5" s="11"/>
      <c r="FSE5" s="11"/>
      <c r="FSF5" s="11"/>
      <c r="FSG5" s="11"/>
      <c r="FSH5" s="11"/>
      <c r="FSI5" s="11"/>
      <c r="FSJ5" s="11"/>
      <c r="FSK5" s="11"/>
      <c r="FSL5" s="11"/>
      <c r="FSM5" s="11"/>
      <c r="FSN5" s="11"/>
      <c r="FSO5" s="11"/>
      <c r="FSP5" s="11"/>
      <c r="FSQ5" s="11"/>
      <c r="FSR5" s="11"/>
      <c r="FSS5" s="11"/>
      <c r="FST5" s="11"/>
      <c r="FSU5" s="11"/>
      <c r="FSV5" s="11"/>
      <c r="FSW5" s="11"/>
      <c r="FSX5" s="11"/>
      <c r="FSY5" s="11"/>
      <c r="FSZ5" s="11"/>
      <c r="FTA5" s="11"/>
      <c r="FTB5" s="11"/>
      <c r="FTC5" s="11"/>
      <c r="FTD5" s="11"/>
      <c r="FTE5" s="11"/>
      <c r="FTF5" s="11"/>
      <c r="FTG5" s="11"/>
      <c r="FTH5" s="11"/>
      <c r="FTI5" s="11"/>
      <c r="FTJ5" s="11"/>
      <c r="FTK5" s="11"/>
      <c r="FTL5" s="11"/>
      <c r="FTM5" s="11"/>
      <c r="FTN5" s="11"/>
      <c r="FTO5" s="11"/>
      <c r="FTP5" s="11"/>
      <c r="FTQ5" s="11"/>
      <c r="FTR5" s="11"/>
      <c r="FTS5" s="11"/>
      <c r="FTT5" s="11"/>
      <c r="FTU5" s="11"/>
      <c r="FTV5" s="11"/>
      <c r="FTW5" s="11"/>
      <c r="FTX5" s="11"/>
      <c r="FTY5" s="11"/>
      <c r="FTZ5" s="11"/>
      <c r="FUA5" s="11"/>
      <c r="FUB5" s="11"/>
      <c r="FUC5" s="11"/>
      <c r="FUD5" s="11"/>
      <c r="FUE5" s="11"/>
      <c r="FUF5" s="11"/>
      <c r="FUG5" s="11"/>
      <c r="FUH5" s="11"/>
      <c r="FUI5" s="11"/>
      <c r="FUJ5" s="11"/>
      <c r="FUK5" s="11"/>
      <c r="FUL5" s="11"/>
      <c r="FUM5" s="11"/>
      <c r="FUN5" s="11"/>
      <c r="FUO5" s="11"/>
      <c r="FUP5" s="11"/>
      <c r="FUQ5" s="11"/>
      <c r="FUR5" s="11"/>
      <c r="FUS5" s="11"/>
      <c r="FUT5" s="11"/>
      <c r="FUU5" s="11"/>
      <c r="FUV5" s="11"/>
      <c r="FUW5" s="11"/>
      <c r="FUX5" s="11"/>
      <c r="FUY5" s="11"/>
      <c r="FUZ5" s="11"/>
      <c r="FVA5" s="11"/>
      <c r="FVB5" s="11"/>
      <c r="FVC5" s="11"/>
      <c r="FVD5" s="11"/>
      <c r="FVE5" s="11"/>
      <c r="FVF5" s="11"/>
      <c r="FVG5" s="11"/>
      <c r="FVH5" s="11"/>
      <c r="FVI5" s="11"/>
      <c r="FVJ5" s="11"/>
      <c r="FVK5" s="11"/>
      <c r="FVL5" s="11"/>
      <c r="FVM5" s="11"/>
      <c r="FVN5" s="11"/>
      <c r="FVO5" s="11"/>
      <c r="FVP5" s="11"/>
      <c r="FVQ5" s="11"/>
      <c r="FVR5" s="11"/>
      <c r="FVS5" s="11"/>
      <c r="FVT5" s="11"/>
      <c r="FVU5" s="11"/>
      <c r="FVV5" s="11"/>
      <c r="FVW5" s="11"/>
      <c r="FVX5" s="11"/>
      <c r="FVY5" s="11"/>
      <c r="FVZ5" s="11"/>
      <c r="FWA5" s="11"/>
      <c r="FWB5" s="11"/>
      <c r="FWC5" s="11"/>
      <c r="FWD5" s="11"/>
      <c r="FWE5" s="11"/>
      <c r="FWF5" s="11"/>
      <c r="FWG5" s="11"/>
      <c r="FWH5" s="11"/>
      <c r="FWI5" s="11"/>
      <c r="FWJ5" s="11"/>
      <c r="FWK5" s="11"/>
      <c r="FWL5" s="11"/>
      <c r="FWM5" s="11"/>
      <c r="FWN5" s="11"/>
      <c r="FWO5" s="11"/>
      <c r="FWP5" s="11"/>
      <c r="FWQ5" s="11"/>
      <c r="FWR5" s="11"/>
      <c r="FWS5" s="11"/>
      <c r="FWT5" s="11"/>
      <c r="FWU5" s="11"/>
      <c r="FWV5" s="11"/>
      <c r="FWW5" s="11"/>
      <c r="FWX5" s="11"/>
      <c r="FWY5" s="11"/>
      <c r="FWZ5" s="11"/>
      <c r="FXA5" s="11"/>
      <c r="FXB5" s="11"/>
      <c r="FXC5" s="11"/>
      <c r="FXD5" s="11"/>
      <c r="FXE5" s="11"/>
      <c r="FXF5" s="11"/>
      <c r="FXG5" s="11"/>
      <c r="FXH5" s="11"/>
      <c r="FXI5" s="11"/>
      <c r="FXJ5" s="11"/>
      <c r="FXK5" s="11"/>
      <c r="FXL5" s="11"/>
      <c r="FXM5" s="11"/>
      <c r="FXN5" s="11"/>
      <c r="FXO5" s="11"/>
      <c r="FXP5" s="11"/>
      <c r="FXQ5" s="11"/>
      <c r="FXR5" s="11"/>
      <c r="FXS5" s="11"/>
      <c r="FXT5" s="11"/>
      <c r="FXU5" s="11"/>
      <c r="FXV5" s="11"/>
      <c r="FXW5" s="11"/>
      <c r="FXX5" s="11"/>
      <c r="FXY5" s="11"/>
      <c r="FXZ5" s="11"/>
      <c r="FYA5" s="11"/>
      <c r="FYB5" s="11"/>
      <c r="FYC5" s="11"/>
      <c r="FYD5" s="11"/>
      <c r="FYE5" s="11"/>
      <c r="FYF5" s="11"/>
      <c r="FYG5" s="11"/>
      <c r="FYH5" s="11"/>
      <c r="FYI5" s="11"/>
      <c r="FYJ5" s="11"/>
      <c r="FYK5" s="11"/>
      <c r="FYL5" s="11"/>
      <c r="FYM5" s="11"/>
      <c r="FYN5" s="11"/>
      <c r="FYO5" s="11"/>
      <c r="FYP5" s="11"/>
      <c r="FYQ5" s="11"/>
      <c r="FYR5" s="11"/>
      <c r="FYS5" s="11"/>
      <c r="FYT5" s="11"/>
      <c r="FYU5" s="11"/>
      <c r="FYV5" s="11"/>
      <c r="FYW5" s="11"/>
      <c r="FYX5" s="11"/>
      <c r="FYY5" s="11"/>
      <c r="FYZ5" s="11"/>
      <c r="FZA5" s="11"/>
      <c r="FZB5" s="11"/>
      <c r="FZC5" s="11"/>
      <c r="FZD5" s="11"/>
      <c r="FZE5" s="11"/>
      <c r="FZF5" s="11"/>
      <c r="FZG5" s="11"/>
      <c r="FZH5" s="11"/>
      <c r="FZI5" s="11"/>
      <c r="FZJ5" s="11"/>
      <c r="FZK5" s="11"/>
      <c r="FZL5" s="11"/>
      <c r="FZM5" s="11"/>
      <c r="FZN5" s="11"/>
      <c r="FZO5" s="11"/>
      <c r="FZP5" s="11"/>
      <c r="FZQ5" s="11"/>
      <c r="FZR5" s="11"/>
      <c r="FZS5" s="11"/>
      <c r="FZT5" s="11"/>
      <c r="FZU5" s="11"/>
      <c r="FZV5" s="11"/>
      <c r="FZW5" s="11"/>
      <c r="FZX5" s="11"/>
      <c r="FZY5" s="11"/>
      <c r="FZZ5" s="11"/>
      <c r="GAA5" s="11"/>
      <c r="GAB5" s="11"/>
      <c r="GAC5" s="11"/>
      <c r="GAD5" s="11"/>
      <c r="GAE5" s="11"/>
      <c r="GAF5" s="11"/>
      <c r="GAG5" s="11"/>
      <c r="GAH5" s="11"/>
      <c r="GAI5" s="11"/>
      <c r="GAJ5" s="11"/>
      <c r="GAK5" s="11"/>
      <c r="GAL5" s="11"/>
      <c r="GAM5" s="11"/>
      <c r="GAN5" s="11"/>
      <c r="GAO5" s="11"/>
      <c r="GAP5" s="11"/>
      <c r="GAQ5" s="11"/>
      <c r="GAR5" s="11"/>
      <c r="GAS5" s="11"/>
      <c r="GAT5" s="11"/>
      <c r="GAU5" s="11"/>
      <c r="GAV5" s="11"/>
      <c r="GAW5" s="11"/>
      <c r="GAX5" s="11"/>
      <c r="GAY5" s="11"/>
      <c r="GAZ5" s="11"/>
      <c r="GBA5" s="11"/>
      <c r="GBB5" s="11"/>
      <c r="GBC5" s="11"/>
      <c r="GBD5" s="11"/>
      <c r="GBE5" s="11"/>
      <c r="GBF5" s="11"/>
      <c r="GBG5" s="11"/>
      <c r="GBH5" s="11"/>
      <c r="GBI5" s="11"/>
      <c r="GBJ5" s="11"/>
      <c r="GBK5" s="11"/>
      <c r="GBL5" s="11"/>
      <c r="GBM5" s="11"/>
      <c r="GBN5" s="11"/>
      <c r="GBO5" s="11"/>
      <c r="GBP5" s="11"/>
      <c r="GBQ5" s="11"/>
      <c r="GBR5" s="11"/>
      <c r="GBS5" s="11"/>
      <c r="GBT5" s="11"/>
      <c r="GBU5" s="11"/>
      <c r="GBV5" s="11"/>
      <c r="GBW5" s="11"/>
      <c r="GBX5" s="11"/>
      <c r="GBY5" s="11"/>
      <c r="GBZ5" s="11"/>
      <c r="GCA5" s="11"/>
      <c r="GCB5" s="11"/>
      <c r="GCC5" s="11"/>
      <c r="GCD5" s="11"/>
      <c r="GCE5" s="11"/>
      <c r="GCF5" s="11"/>
      <c r="GCG5" s="11"/>
      <c r="GCH5" s="11"/>
      <c r="GCI5" s="11"/>
      <c r="GCJ5" s="11"/>
      <c r="GCK5" s="11"/>
      <c r="GCL5" s="11"/>
      <c r="GCM5" s="11"/>
      <c r="GCN5" s="11"/>
      <c r="GCO5" s="11"/>
      <c r="GCP5" s="11"/>
      <c r="GCQ5" s="11"/>
      <c r="GCR5" s="11"/>
      <c r="GCS5" s="11"/>
      <c r="GCT5" s="11"/>
      <c r="GCU5" s="11"/>
      <c r="GCV5" s="11"/>
      <c r="GCW5" s="11"/>
      <c r="GCX5" s="11"/>
      <c r="GCY5" s="11"/>
      <c r="GCZ5" s="11"/>
      <c r="GDA5" s="11"/>
      <c r="GDB5" s="11"/>
      <c r="GDC5" s="11"/>
      <c r="GDD5" s="11"/>
      <c r="GDE5" s="11"/>
      <c r="GDF5" s="11"/>
      <c r="GDG5" s="11"/>
      <c r="GDH5" s="11"/>
      <c r="GDI5" s="11"/>
      <c r="GDJ5" s="11"/>
      <c r="GDK5" s="11"/>
      <c r="GDL5" s="11"/>
      <c r="GDM5" s="11"/>
      <c r="GDN5" s="11"/>
      <c r="GDO5" s="11"/>
      <c r="GDP5" s="11"/>
      <c r="GDQ5" s="11"/>
      <c r="GDR5" s="11"/>
      <c r="GDS5" s="11"/>
      <c r="GDT5" s="11"/>
      <c r="GDU5" s="11"/>
      <c r="GDV5" s="11"/>
      <c r="GDW5" s="11"/>
      <c r="GDX5" s="11"/>
      <c r="GDY5" s="11"/>
      <c r="GDZ5" s="11"/>
      <c r="GEA5" s="11"/>
      <c r="GEB5" s="11"/>
      <c r="GEC5" s="11"/>
      <c r="GED5" s="11"/>
      <c r="GEE5" s="11"/>
      <c r="GEF5" s="11"/>
      <c r="GEG5" s="11"/>
      <c r="GEH5" s="11"/>
      <c r="GEI5" s="11"/>
      <c r="GEJ5" s="11"/>
      <c r="GEK5" s="11"/>
      <c r="GEL5" s="11"/>
      <c r="GEM5" s="11"/>
      <c r="GEN5" s="11"/>
      <c r="GEO5" s="11"/>
      <c r="GEP5" s="11"/>
      <c r="GEQ5" s="11"/>
      <c r="GER5" s="11"/>
      <c r="GES5" s="11"/>
      <c r="GET5" s="11"/>
      <c r="GEU5" s="11"/>
      <c r="GEV5" s="11"/>
      <c r="GEW5" s="11"/>
      <c r="GEX5" s="11"/>
      <c r="GEY5" s="11"/>
      <c r="GEZ5" s="11"/>
      <c r="GFA5" s="11"/>
      <c r="GFB5" s="11"/>
      <c r="GFC5" s="11"/>
      <c r="GFD5" s="11"/>
      <c r="GFE5" s="11"/>
      <c r="GFF5" s="11"/>
      <c r="GFG5" s="11"/>
      <c r="GFH5" s="11"/>
      <c r="GFI5" s="11"/>
      <c r="GFJ5" s="11"/>
      <c r="GFK5" s="11"/>
      <c r="GFL5" s="11"/>
      <c r="GFM5" s="11"/>
      <c r="GFN5" s="11"/>
      <c r="GFO5" s="11"/>
      <c r="GFP5" s="11"/>
      <c r="GFQ5" s="11"/>
      <c r="GFR5" s="11"/>
      <c r="GFS5" s="11"/>
      <c r="GFT5" s="11"/>
      <c r="GFU5" s="11"/>
      <c r="GFV5" s="11"/>
      <c r="GFW5" s="11"/>
      <c r="GFX5" s="11"/>
      <c r="GFY5" s="11"/>
      <c r="GFZ5" s="11"/>
      <c r="GGA5" s="11"/>
      <c r="GGB5" s="11"/>
      <c r="GGC5" s="11"/>
      <c r="GGD5" s="11"/>
      <c r="GGE5" s="11"/>
      <c r="GGF5" s="11"/>
      <c r="GGG5" s="11"/>
      <c r="GGH5" s="11"/>
      <c r="GGI5" s="11"/>
      <c r="GGJ5" s="11"/>
      <c r="GGK5" s="11"/>
      <c r="GGL5" s="11"/>
      <c r="GGM5" s="11"/>
      <c r="GGN5" s="11"/>
      <c r="GGO5" s="11"/>
      <c r="GGP5" s="11"/>
      <c r="GGQ5" s="11"/>
      <c r="GGR5" s="11"/>
      <c r="GGS5" s="11"/>
      <c r="GGT5" s="11"/>
      <c r="GGU5" s="11"/>
      <c r="GGV5" s="11"/>
      <c r="GGW5" s="11"/>
      <c r="GGX5" s="11"/>
      <c r="GGY5" s="11"/>
      <c r="GGZ5" s="11"/>
      <c r="GHA5" s="11"/>
      <c r="GHB5" s="11"/>
      <c r="GHC5" s="11"/>
      <c r="GHD5" s="11"/>
      <c r="GHE5" s="11"/>
      <c r="GHF5" s="11"/>
      <c r="GHG5" s="11"/>
      <c r="GHH5" s="11"/>
      <c r="GHI5" s="11"/>
      <c r="GHJ5" s="11"/>
      <c r="GHK5" s="11"/>
      <c r="GHL5" s="11"/>
      <c r="GHM5" s="11"/>
      <c r="GHN5" s="11"/>
      <c r="GHO5" s="11"/>
      <c r="GHP5" s="11"/>
      <c r="GHQ5" s="11"/>
      <c r="GHR5" s="11"/>
      <c r="GHS5" s="11"/>
      <c r="GHT5" s="11"/>
      <c r="GHU5" s="11"/>
      <c r="GHV5" s="11"/>
      <c r="GHW5" s="11"/>
      <c r="GHX5" s="11"/>
      <c r="GHY5" s="11"/>
      <c r="GHZ5" s="11"/>
      <c r="GIA5" s="11"/>
      <c r="GIB5" s="11"/>
      <c r="GIC5" s="11"/>
      <c r="GID5" s="11"/>
      <c r="GIE5" s="11"/>
      <c r="GIF5" s="11"/>
      <c r="GIG5" s="11"/>
      <c r="GIH5" s="11"/>
      <c r="GII5" s="11"/>
      <c r="GIJ5" s="11"/>
      <c r="GIK5" s="11"/>
      <c r="GIL5" s="11"/>
      <c r="GIM5" s="11"/>
      <c r="GIN5" s="11"/>
      <c r="GIO5" s="11"/>
      <c r="GIP5" s="11"/>
      <c r="GIQ5" s="11"/>
      <c r="GIR5" s="11"/>
      <c r="GIS5" s="11"/>
      <c r="GIT5" s="11"/>
      <c r="GIU5" s="11"/>
      <c r="GIV5" s="11"/>
      <c r="GIW5" s="11"/>
      <c r="GIX5" s="11"/>
      <c r="GIY5" s="11"/>
      <c r="GIZ5" s="11"/>
      <c r="GJA5" s="11"/>
      <c r="GJB5" s="11"/>
      <c r="GJC5" s="11"/>
      <c r="GJD5" s="11"/>
      <c r="GJE5" s="11"/>
      <c r="GJF5" s="11"/>
      <c r="GJG5" s="11"/>
      <c r="GJH5" s="11"/>
      <c r="GJI5" s="11"/>
      <c r="GJJ5" s="11"/>
      <c r="GJK5" s="11"/>
      <c r="GJL5" s="11"/>
      <c r="GJM5" s="11"/>
      <c r="GJN5" s="11"/>
      <c r="GJO5" s="11"/>
      <c r="GJP5" s="11"/>
      <c r="GJQ5" s="11"/>
      <c r="GJR5" s="11"/>
      <c r="GJS5" s="11"/>
      <c r="GJT5" s="11"/>
      <c r="GJU5" s="11"/>
      <c r="GJV5" s="11"/>
      <c r="GJW5" s="11"/>
      <c r="GJX5" s="11"/>
      <c r="GJY5" s="11"/>
      <c r="GJZ5" s="11"/>
      <c r="GKA5" s="11"/>
      <c r="GKB5" s="11"/>
      <c r="GKC5" s="11"/>
      <c r="GKD5" s="11"/>
      <c r="GKE5" s="11"/>
      <c r="GKF5" s="11"/>
      <c r="GKG5" s="11"/>
      <c r="GKH5" s="11"/>
      <c r="GKI5" s="11"/>
      <c r="GKJ5" s="11"/>
      <c r="GKK5" s="11"/>
      <c r="GKL5" s="11"/>
      <c r="GKM5" s="11"/>
      <c r="GKN5" s="11"/>
      <c r="GKO5" s="11"/>
      <c r="GKP5" s="11"/>
      <c r="GKQ5" s="11"/>
      <c r="GKR5" s="11"/>
      <c r="GKS5" s="11"/>
      <c r="GKT5" s="11"/>
      <c r="GKU5" s="11"/>
      <c r="GKV5" s="11"/>
      <c r="GKW5" s="11"/>
      <c r="GKX5" s="11"/>
      <c r="GKY5" s="11"/>
      <c r="GKZ5" s="11"/>
      <c r="GLA5" s="11"/>
      <c r="GLB5" s="11"/>
      <c r="GLC5" s="11"/>
      <c r="GLD5" s="11"/>
      <c r="GLE5" s="11"/>
      <c r="GLF5" s="11"/>
      <c r="GLG5" s="11"/>
      <c r="GLH5" s="11"/>
      <c r="GLI5" s="11"/>
      <c r="GLJ5" s="11"/>
      <c r="GLK5" s="11"/>
      <c r="GLL5" s="11"/>
      <c r="GLM5" s="11"/>
      <c r="GLN5" s="11"/>
      <c r="GLO5" s="11"/>
      <c r="GLP5" s="11"/>
      <c r="GLQ5" s="11"/>
      <c r="GLR5" s="11"/>
      <c r="GLS5" s="11"/>
      <c r="GLT5" s="11"/>
      <c r="GLU5" s="11"/>
      <c r="GLV5" s="11"/>
      <c r="GLW5" s="11"/>
      <c r="GLX5" s="11"/>
      <c r="GLY5" s="11"/>
      <c r="GLZ5" s="11"/>
      <c r="GMA5" s="11"/>
      <c r="GMB5" s="11"/>
      <c r="GMC5" s="11"/>
      <c r="GMD5" s="11"/>
      <c r="GME5" s="11"/>
      <c r="GMF5" s="11"/>
      <c r="GMG5" s="11"/>
      <c r="GMH5" s="11"/>
      <c r="GMI5" s="11"/>
      <c r="GMJ5" s="11"/>
      <c r="GMK5" s="11"/>
      <c r="GML5" s="11"/>
      <c r="GMM5" s="11"/>
      <c r="GMN5" s="11"/>
      <c r="GMO5" s="11"/>
      <c r="GMP5" s="11"/>
      <c r="GMQ5" s="11"/>
      <c r="GMR5" s="11"/>
      <c r="GMS5" s="11"/>
      <c r="GMT5" s="11"/>
      <c r="GMU5" s="11"/>
      <c r="GMV5" s="11"/>
      <c r="GMW5" s="11"/>
      <c r="GMX5" s="11"/>
      <c r="GMY5" s="11"/>
      <c r="GMZ5" s="11"/>
      <c r="GNA5" s="11"/>
      <c r="GNB5" s="11"/>
      <c r="GNC5" s="11"/>
      <c r="GND5" s="11"/>
      <c r="GNE5" s="11"/>
      <c r="GNF5" s="11"/>
      <c r="GNG5" s="11"/>
      <c r="GNH5" s="11"/>
      <c r="GNI5" s="11"/>
      <c r="GNJ5" s="11"/>
      <c r="GNK5" s="11"/>
      <c r="GNL5" s="11"/>
      <c r="GNM5" s="11"/>
      <c r="GNN5" s="11"/>
      <c r="GNO5" s="11"/>
      <c r="GNP5" s="11"/>
      <c r="GNQ5" s="11"/>
      <c r="GNR5" s="11"/>
      <c r="GNS5" s="11"/>
      <c r="GNT5" s="11"/>
      <c r="GNU5" s="11"/>
      <c r="GNV5" s="11"/>
      <c r="GNW5" s="11"/>
      <c r="GNX5" s="11"/>
      <c r="GNY5" s="11"/>
      <c r="GNZ5" s="11"/>
      <c r="GOA5" s="11"/>
      <c r="GOB5" s="11"/>
      <c r="GOC5" s="11"/>
      <c r="GOD5" s="11"/>
      <c r="GOE5" s="11"/>
      <c r="GOF5" s="11"/>
      <c r="GOG5" s="11"/>
      <c r="GOH5" s="11"/>
      <c r="GOI5" s="11"/>
      <c r="GOJ5" s="11"/>
      <c r="GOK5" s="11"/>
      <c r="GOL5" s="11"/>
      <c r="GOM5" s="11"/>
      <c r="GON5" s="11"/>
      <c r="GOO5" s="11"/>
      <c r="GOP5" s="11"/>
      <c r="GOQ5" s="11"/>
      <c r="GOR5" s="11"/>
      <c r="GOS5" s="11"/>
      <c r="GOT5" s="11"/>
      <c r="GOU5" s="11"/>
      <c r="GOV5" s="11"/>
      <c r="GOW5" s="11"/>
      <c r="GOX5" s="11"/>
      <c r="GOY5" s="11"/>
      <c r="GOZ5" s="11"/>
      <c r="GPA5" s="11"/>
      <c r="GPB5" s="11"/>
      <c r="GPC5" s="11"/>
      <c r="GPD5" s="11"/>
      <c r="GPE5" s="11"/>
      <c r="GPF5" s="11"/>
      <c r="GPG5" s="11"/>
      <c r="GPH5" s="11"/>
      <c r="GPI5" s="11"/>
      <c r="GPJ5" s="11"/>
      <c r="GPK5" s="11"/>
      <c r="GPL5" s="11"/>
      <c r="GPM5" s="11"/>
      <c r="GPN5" s="11"/>
      <c r="GPO5" s="11"/>
      <c r="GPP5" s="11"/>
      <c r="GPQ5" s="11"/>
      <c r="GPR5" s="11"/>
      <c r="GPS5" s="11"/>
      <c r="GPT5" s="11"/>
      <c r="GPU5" s="11"/>
      <c r="GPV5" s="11"/>
      <c r="GPW5" s="11"/>
      <c r="GPX5" s="11"/>
      <c r="GPY5" s="11"/>
      <c r="GPZ5" s="11"/>
      <c r="GQA5" s="11"/>
      <c r="GQB5" s="11"/>
      <c r="GQC5" s="11"/>
      <c r="GQD5" s="11"/>
      <c r="GQE5" s="11"/>
      <c r="GQF5" s="11"/>
      <c r="GQG5" s="11"/>
      <c r="GQH5" s="11"/>
      <c r="GQI5" s="11"/>
      <c r="GQJ5" s="11"/>
      <c r="GQK5" s="11"/>
      <c r="GQL5" s="11"/>
      <c r="GQM5" s="11"/>
      <c r="GQN5" s="11"/>
      <c r="GQO5" s="11"/>
      <c r="GQP5" s="11"/>
      <c r="GQQ5" s="11"/>
      <c r="GQR5" s="11"/>
      <c r="GQS5" s="11"/>
      <c r="GQT5" s="11"/>
      <c r="GQU5" s="11"/>
      <c r="GQV5" s="11"/>
      <c r="GQW5" s="11"/>
      <c r="GQX5" s="11"/>
      <c r="GQY5" s="11"/>
      <c r="GQZ5" s="11"/>
      <c r="GRA5" s="11"/>
      <c r="GRB5" s="11"/>
      <c r="GRC5" s="11"/>
      <c r="GRD5" s="11"/>
      <c r="GRE5" s="11"/>
      <c r="GRF5" s="11"/>
      <c r="GRG5" s="11"/>
      <c r="GRH5" s="11"/>
      <c r="GRI5" s="11"/>
      <c r="GRJ5" s="11"/>
      <c r="GRK5" s="11"/>
      <c r="GRL5" s="11"/>
      <c r="GRM5" s="11"/>
      <c r="GRN5" s="11"/>
      <c r="GRO5" s="11"/>
      <c r="GRP5" s="11"/>
      <c r="GRQ5" s="11"/>
      <c r="GRR5" s="11"/>
      <c r="GRS5" s="11"/>
      <c r="GRT5" s="11"/>
      <c r="GRU5" s="11"/>
      <c r="GRV5" s="11"/>
      <c r="GRW5" s="11"/>
      <c r="GRX5" s="11"/>
      <c r="GRY5" s="11"/>
      <c r="GRZ5" s="11"/>
      <c r="GSA5" s="11"/>
      <c r="GSB5" s="11"/>
      <c r="GSC5" s="11"/>
      <c r="GSD5" s="11"/>
      <c r="GSE5" s="11"/>
      <c r="GSF5" s="11"/>
      <c r="GSG5" s="11"/>
      <c r="GSH5" s="11"/>
      <c r="GSI5" s="11"/>
      <c r="GSJ5" s="11"/>
      <c r="GSK5" s="11"/>
      <c r="GSL5" s="11"/>
      <c r="GSM5" s="11"/>
      <c r="GSN5" s="11"/>
      <c r="GSO5" s="11"/>
      <c r="GSP5" s="11"/>
      <c r="GSQ5" s="11"/>
      <c r="GSR5" s="11"/>
      <c r="GSS5" s="11"/>
      <c r="GST5" s="11"/>
      <c r="GSU5" s="11"/>
      <c r="GSV5" s="11"/>
      <c r="GSW5" s="11"/>
      <c r="GSX5" s="11"/>
      <c r="GSY5" s="11"/>
      <c r="GSZ5" s="11"/>
      <c r="GTA5" s="11"/>
      <c r="GTB5" s="11"/>
      <c r="GTC5" s="11"/>
      <c r="GTD5" s="11"/>
      <c r="GTE5" s="11"/>
      <c r="GTF5" s="11"/>
      <c r="GTG5" s="11"/>
      <c r="GTH5" s="11"/>
      <c r="GTI5" s="11"/>
      <c r="GTJ5" s="11"/>
      <c r="GTK5" s="11"/>
      <c r="GTL5" s="11"/>
      <c r="GTM5" s="11"/>
      <c r="GTN5" s="11"/>
      <c r="GTO5" s="11"/>
      <c r="GTP5" s="11"/>
      <c r="GTQ5" s="11"/>
      <c r="GTR5" s="11"/>
      <c r="GTS5" s="11"/>
      <c r="GTT5" s="11"/>
      <c r="GTU5" s="11"/>
      <c r="GTV5" s="11"/>
      <c r="GTW5" s="11"/>
      <c r="GTX5" s="11"/>
      <c r="GTY5" s="11"/>
      <c r="GTZ5" s="11"/>
      <c r="GUA5" s="11"/>
      <c r="GUB5" s="11"/>
      <c r="GUC5" s="11"/>
      <c r="GUD5" s="11"/>
      <c r="GUE5" s="11"/>
      <c r="GUF5" s="11"/>
      <c r="GUG5" s="11"/>
      <c r="GUH5" s="11"/>
      <c r="GUI5" s="11"/>
      <c r="GUJ5" s="11"/>
      <c r="GUK5" s="11"/>
      <c r="GUL5" s="11"/>
      <c r="GUM5" s="11"/>
      <c r="GUN5" s="11"/>
      <c r="GUO5" s="11"/>
      <c r="GUP5" s="11"/>
      <c r="GUQ5" s="11"/>
      <c r="GUR5" s="11"/>
      <c r="GUS5" s="11"/>
      <c r="GUT5" s="11"/>
      <c r="GUU5" s="11"/>
      <c r="GUV5" s="11"/>
      <c r="GUW5" s="11"/>
      <c r="GUX5" s="11"/>
      <c r="GUY5" s="11"/>
      <c r="GUZ5" s="11"/>
      <c r="GVA5" s="11"/>
      <c r="GVB5" s="11"/>
      <c r="GVC5" s="11"/>
      <c r="GVD5" s="11"/>
      <c r="GVE5" s="11"/>
      <c r="GVF5" s="11"/>
      <c r="GVG5" s="11"/>
      <c r="GVH5" s="11"/>
      <c r="GVI5" s="11"/>
      <c r="GVJ5" s="11"/>
      <c r="GVK5" s="11"/>
      <c r="GVL5" s="11"/>
      <c r="GVM5" s="11"/>
      <c r="GVN5" s="11"/>
      <c r="GVO5" s="11"/>
      <c r="GVP5" s="11"/>
      <c r="GVQ5" s="11"/>
      <c r="GVR5" s="11"/>
      <c r="GVS5" s="11"/>
      <c r="GVT5" s="11"/>
      <c r="GVU5" s="11"/>
      <c r="GVV5" s="11"/>
      <c r="GVW5" s="11"/>
      <c r="GVX5" s="11"/>
      <c r="GVY5" s="11"/>
      <c r="GVZ5" s="11"/>
      <c r="GWA5" s="11"/>
      <c r="GWB5" s="11"/>
      <c r="GWC5" s="11"/>
      <c r="GWD5" s="11"/>
      <c r="GWE5" s="11"/>
      <c r="GWF5" s="11"/>
      <c r="GWG5" s="11"/>
      <c r="GWH5" s="11"/>
      <c r="GWI5" s="11"/>
      <c r="GWJ5" s="11"/>
      <c r="GWK5" s="11"/>
      <c r="GWL5" s="11"/>
      <c r="GWM5" s="11"/>
      <c r="GWN5" s="11"/>
      <c r="GWO5" s="11"/>
      <c r="GWP5" s="11"/>
      <c r="GWQ5" s="11"/>
      <c r="GWR5" s="11"/>
      <c r="GWS5" s="11"/>
      <c r="GWT5" s="11"/>
      <c r="GWU5" s="11"/>
      <c r="GWV5" s="11"/>
      <c r="GWW5" s="11"/>
      <c r="GWX5" s="11"/>
      <c r="GWY5" s="11"/>
      <c r="GWZ5" s="11"/>
      <c r="GXA5" s="11"/>
      <c r="GXB5" s="11"/>
      <c r="GXC5" s="11"/>
      <c r="GXD5" s="11"/>
      <c r="GXE5" s="11"/>
      <c r="GXF5" s="11"/>
      <c r="GXG5" s="11"/>
      <c r="GXH5" s="11"/>
      <c r="GXI5" s="11"/>
      <c r="GXJ5" s="11"/>
      <c r="GXK5" s="11"/>
      <c r="GXL5" s="11"/>
      <c r="GXM5" s="11"/>
      <c r="GXN5" s="11"/>
      <c r="GXO5" s="11"/>
      <c r="GXP5" s="11"/>
      <c r="GXQ5" s="11"/>
      <c r="GXR5" s="11"/>
      <c r="GXS5" s="11"/>
      <c r="GXT5" s="11"/>
      <c r="GXU5" s="11"/>
      <c r="GXV5" s="11"/>
      <c r="GXW5" s="11"/>
      <c r="GXX5" s="11"/>
      <c r="GXY5" s="11"/>
      <c r="GXZ5" s="11"/>
      <c r="GYA5" s="11"/>
      <c r="GYB5" s="11"/>
      <c r="GYC5" s="11"/>
      <c r="GYD5" s="11"/>
      <c r="GYE5" s="11"/>
      <c r="GYF5" s="11"/>
      <c r="GYG5" s="11"/>
      <c r="GYH5" s="11"/>
      <c r="GYI5" s="11"/>
      <c r="GYJ5" s="11"/>
      <c r="GYK5" s="11"/>
      <c r="GYL5" s="11"/>
      <c r="GYM5" s="11"/>
      <c r="GYN5" s="11"/>
      <c r="GYO5" s="11"/>
      <c r="GYP5" s="11"/>
      <c r="GYQ5" s="11"/>
      <c r="GYR5" s="11"/>
      <c r="GYS5" s="11"/>
      <c r="GYT5" s="11"/>
      <c r="GYU5" s="11"/>
      <c r="GYV5" s="11"/>
      <c r="GYW5" s="11"/>
      <c r="GYX5" s="11"/>
      <c r="GYY5" s="11"/>
      <c r="GYZ5" s="11"/>
      <c r="GZA5" s="11"/>
      <c r="GZB5" s="11"/>
      <c r="GZC5" s="11"/>
      <c r="GZD5" s="11"/>
      <c r="GZE5" s="11"/>
      <c r="GZF5" s="11"/>
      <c r="GZG5" s="11"/>
      <c r="GZH5" s="11"/>
      <c r="GZI5" s="11"/>
      <c r="GZJ5" s="11"/>
      <c r="GZK5" s="11"/>
      <c r="GZL5" s="11"/>
      <c r="GZM5" s="11"/>
      <c r="GZN5" s="11"/>
      <c r="GZO5" s="11"/>
      <c r="GZP5" s="11"/>
      <c r="GZQ5" s="11"/>
      <c r="GZR5" s="11"/>
      <c r="GZS5" s="11"/>
      <c r="GZT5" s="11"/>
      <c r="GZU5" s="11"/>
      <c r="GZV5" s="11"/>
      <c r="GZW5" s="11"/>
      <c r="GZX5" s="11"/>
      <c r="GZY5" s="11"/>
      <c r="GZZ5" s="11"/>
      <c r="HAA5" s="11"/>
      <c r="HAB5" s="11"/>
      <c r="HAC5" s="11"/>
      <c r="HAD5" s="11"/>
      <c r="HAE5" s="11"/>
      <c r="HAF5" s="11"/>
      <c r="HAG5" s="11"/>
      <c r="HAH5" s="11"/>
      <c r="HAI5" s="11"/>
      <c r="HAJ5" s="11"/>
      <c r="HAK5" s="11"/>
      <c r="HAL5" s="11"/>
      <c r="HAM5" s="11"/>
      <c r="HAN5" s="11"/>
      <c r="HAO5" s="11"/>
      <c r="HAP5" s="11"/>
      <c r="HAQ5" s="11"/>
      <c r="HAR5" s="11"/>
      <c r="HAS5" s="11"/>
      <c r="HAT5" s="11"/>
      <c r="HAU5" s="11"/>
      <c r="HAV5" s="11"/>
      <c r="HAW5" s="11"/>
      <c r="HAX5" s="11"/>
      <c r="HAY5" s="11"/>
      <c r="HAZ5" s="11"/>
      <c r="HBA5" s="11"/>
      <c r="HBB5" s="11"/>
      <c r="HBC5" s="11"/>
      <c r="HBD5" s="11"/>
      <c r="HBE5" s="11"/>
      <c r="HBF5" s="11"/>
      <c r="HBG5" s="11"/>
      <c r="HBH5" s="11"/>
      <c r="HBI5" s="11"/>
      <c r="HBJ5" s="11"/>
      <c r="HBK5" s="11"/>
      <c r="HBL5" s="11"/>
      <c r="HBM5" s="11"/>
      <c r="HBN5" s="11"/>
      <c r="HBO5" s="11"/>
      <c r="HBP5" s="11"/>
      <c r="HBQ5" s="11"/>
      <c r="HBR5" s="11"/>
      <c r="HBS5" s="11"/>
      <c r="HBT5" s="11"/>
      <c r="HBU5" s="11"/>
      <c r="HBV5" s="11"/>
      <c r="HBW5" s="11"/>
      <c r="HBX5" s="11"/>
      <c r="HBY5" s="11"/>
      <c r="HBZ5" s="11"/>
      <c r="HCA5" s="11"/>
      <c r="HCB5" s="11"/>
      <c r="HCC5" s="11"/>
      <c r="HCD5" s="11"/>
      <c r="HCE5" s="11"/>
      <c r="HCF5" s="11"/>
      <c r="HCG5" s="11"/>
      <c r="HCH5" s="11"/>
      <c r="HCI5" s="11"/>
      <c r="HCJ5" s="11"/>
      <c r="HCK5" s="11"/>
      <c r="HCL5" s="11"/>
      <c r="HCM5" s="11"/>
      <c r="HCN5" s="11"/>
      <c r="HCO5" s="11"/>
      <c r="HCP5" s="11"/>
      <c r="HCQ5" s="11"/>
      <c r="HCR5" s="11"/>
      <c r="HCS5" s="11"/>
      <c r="HCT5" s="11"/>
      <c r="HCU5" s="11"/>
      <c r="HCV5" s="11"/>
      <c r="HCW5" s="11"/>
      <c r="HCX5" s="11"/>
      <c r="HCY5" s="11"/>
      <c r="HCZ5" s="11"/>
      <c r="HDA5" s="11"/>
      <c r="HDB5" s="11"/>
      <c r="HDC5" s="11"/>
      <c r="HDD5" s="11"/>
      <c r="HDE5" s="11"/>
      <c r="HDF5" s="11"/>
      <c r="HDG5" s="11"/>
      <c r="HDH5" s="11"/>
      <c r="HDI5" s="11"/>
      <c r="HDJ5" s="11"/>
      <c r="HDK5" s="11"/>
      <c r="HDL5" s="11"/>
      <c r="HDM5" s="11"/>
      <c r="HDN5" s="11"/>
      <c r="HDO5" s="11"/>
      <c r="HDP5" s="11"/>
      <c r="HDQ5" s="11"/>
      <c r="HDR5" s="11"/>
      <c r="HDS5" s="11"/>
      <c r="HDT5" s="11"/>
      <c r="HDU5" s="11"/>
      <c r="HDV5" s="11"/>
      <c r="HDW5" s="11"/>
      <c r="HDX5" s="11"/>
      <c r="HDY5" s="11"/>
      <c r="HDZ5" s="11"/>
      <c r="HEA5" s="11"/>
      <c r="HEB5" s="11"/>
      <c r="HEC5" s="11"/>
      <c r="HED5" s="11"/>
      <c r="HEE5" s="11"/>
      <c r="HEF5" s="11"/>
      <c r="HEG5" s="11"/>
      <c r="HEH5" s="11"/>
      <c r="HEI5" s="11"/>
      <c r="HEJ5" s="11"/>
      <c r="HEK5" s="11"/>
      <c r="HEL5" s="11"/>
      <c r="HEM5" s="11"/>
      <c r="HEN5" s="11"/>
      <c r="HEO5" s="11"/>
      <c r="HEP5" s="11"/>
      <c r="HEQ5" s="11"/>
      <c r="HER5" s="11"/>
      <c r="HES5" s="11"/>
      <c r="HET5" s="11"/>
      <c r="HEU5" s="11"/>
      <c r="HEV5" s="11"/>
      <c r="HEW5" s="11"/>
      <c r="HEX5" s="11"/>
      <c r="HEY5" s="11"/>
      <c r="HEZ5" s="11"/>
      <c r="HFA5" s="11"/>
      <c r="HFB5" s="11"/>
      <c r="HFC5" s="11"/>
      <c r="HFD5" s="11"/>
      <c r="HFE5" s="11"/>
      <c r="HFF5" s="11"/>
      <c r="HFG5" s="11"/>
      <c r="HFH5" s="11"/>
      <c r="HFI5" s="11"/>
      <c r="HFJ5" s="11"/>
      <c r="HFK5" s="11"/>
      <c r="HFL5" s="11"/>
      <c r="HFM5" s="11"/>
      <c r="HFN5" s="11"/>
      <c r="HFO5" s="11"/>
      <c r="HFP5" s="11"/>
      <c r="HFQ5" s="11"/>
      <c r="HFR5" s="11"/>
      <c r="HFS5" s="11"/>
      <c r="HFT5" s="11"/>
      <c r="HFU5" s="11"/>
      <c r="HFV5" s="11"/>
      <c r="HFW5" s="11"/>
      <c r="HFX5" s="11"/>
      <c r="HFY5" s="11"/>
      <c r="HFZ5" s="11"/>
      <c r="HGA5" s="11"/>
      <c r="HGB5" s="11"/>
      <c r="HGC5" s="11"/>
      <c r="HGD5" s="11"/>
      <c r="HGE5" s="11"/>
      <c r="HGF5" s="11"/>
      <c r="HGG5" s="11"/>
      <c r="HGH5" s="11"/>
      <c r="HGI5" s="11"/>
      <c r="HGJ5" s="11"/>
      <c r="HGK5" s="11"/>
      <c r="HGL5" s="11"/>
      <c r="HGM5" s="11"/>
      <c r="HGN5" s="11"/>
      <c r="HGO5" s="11"/>
      <c r="HGP5" s="11"/>
      <c r="HGQ5" s="11"/>
      <c r="HGR5" s="11"/>
      <c r="HGS5" s="11"/>
      <c r="HGT5" s="11"/>
      <c r="HGU5" s="11"/>
      <c r="HGV5" s="11"/>
      <c r="HGW5" s="11"/>
      <c r="HGX5" s="11"/>
      <c r="HGY5" s="11"/>
      <c r="HGZ5" s="11"/>
      <c r="HHA5" s="11"/>
      <c r="HHB5" s="11"/>
      <c r="HHC5" s="11"/>
      <c r="HHD5" s="11"/>
      <c r="HHE5" s="11"/>
      <c r="HHF5" s="11"/>
      <c r="HHG5" s="11"/>
      <c r="HHH5" s="11"/>
      <c r="HHI5" s="11"/>
      <c r="HHJ5" s="11"/>
      <c r="HHK5" s="11"/>
      <c r="HHL5" s="11"/>
      <c r="HHM5" s="11"/>
      <c r="HHN5" s="11"/>
      <c r="HHO5" s="11"/>
      <c r="HHP5" s="11"/>
      <c r="HHQ5" s="11"/>
      <c r="HHR5" s="11"/>
      <c r="HHS5" s="11"/>
      <c r="HHT5" s="11"/>
      <c r="HHU5" s="11"/>
      <c r="HHV5" s="11"/>
      <c r="HHW5" s="11"/>
      <c r="HHX5" s="11"/>
      <c r="HHY5" s="11"/>
      <c r="HHZ5" s="11"/>
      <c r="HIA5" s="11"/>
      <c r="HIB5" s="11"/>
      <c r="HIC5" s="11"/>
      <c r="HID5" s="11"/>
      <c r="HIE5" s="11"/>
      <c r="HIF5" s="11"/>
      <c r="HIG5" s="11"/>
      <c r="HIH5" s="11"/>
      <c r="HII5" s="11"/>
      <c r="HIJ5" s="11"/>
      <c r="HIK5" s="11"/>
      <c r="HIL5" s="11"/>
      <c r="HIM5" s="11"/>
      <c r="HIN5" s="11"/>
      <c r="HIO5" s="11"/>
      <c r="HIP5" s="11"/>
      <c r="HIQ5" s="11"/>
      <c r="HIR5" s="11"/>
      <c r="HIS5" s="11"/>
      <c r="HIT5" s="11"/>
      <c r="HIU5" s="11"/>
      <c r="HIV5" s="11"/>
      <c r="HIW5" s="11"/>
      <c r="HIX5" s="11"/>
      <c r="HIY5" s="11"/>
      <c r="HIZ5" s="11"/>
      <c r="HJA5" s="11"/>
      <c r="HJB5" s="11"/>
      <c r="HJC5" s="11"/>
      <c r="HJD5" s="11"/>
      <c r="HJE5" s="11"/>
      <c r="HJF5" s="11"/>
      <c r="HJG5" s="11"/>
      <c r="HJH5" s="11"/>
      <c r="HJI5" s="11"/>
      <c r="HJJ5" s="11"/>
      <c r="HJK5" s="11"/>
      <c r="HJL5" s="11"/>
      <c r="HJM5" s="11"/>
      <c r="HJN5" s="11"/>
      <c r="HJO5" s="11"/>
      <c r="HJP5" s="11"/>
      <c r="HJQ5" s="11"/>
      <c r="HJR5" s="11"/>
      <c r="HJS5" s="11"/>
      <c r="HJT5" s="11"/>
      <c r="HJU5" s="11"/>
      <c r="HJV5" s="11"/>
      <c r="HJW5" s="11"/>
      <c r="HJX5" s="11"/>
      <c r="HJY5" s="11"/>
      <c r="HJZ5" s="11"/>
      <c r="HKA5" s="11"/>
      <c r="HKB5" s="11"/>
      <c r="HKC5" s="11"/>
      <c r="HKD5" s="11"/>
      <c r="HKE5" s="11"/>
      <c r="HKF5" s="11"/>
      <c r="HKG5" s="11"/>
      <c r="HKH5" s="11"/>
      <c r="HKI5" s="11"/>
      <c r="HKJ5" s="11"/>
      <c r="HKK5" s="11"/>
      <c r="HKL5" s="11"/>
      <c r="HKM5" s="11"/>
      <c r="HKN5" s="11"/>
      <c r="HKO5" s="11"/>
      <c r="HKP5" s="11"/>
      <c r="HKQ5" s="11"/>
      <c r="HKR5" s="11"/>
      <c r="HKS5" s="11"/>
      <c r="HKT5" s="11"/>
      <c r="HKU5" s="11"/>
      <c r="HKV5" s="11"/>
      <c r="HKW5" s="11"/>
      <c r="HKX5" s="11"/>
      <c r="HKY5" s="11"/>
      <c r="HKZ5" s="11"/>
      <c r="HLA5" s="11"/>
      <c r="HLB5" s="11"/>
      <c r="HLC5" s="11"/>
      <c r="HLD5" s="11"/>
      <c r="HLE5" s="11"/>
      <c r="HLF5" s="11"/>
      <c r="HLG5" s="11"/>
      <c r="HLH5" s="11"/>
      <c r="HLI5" s="11"/>
      <c r="HLJ5" s="11"/>
      <c r="HLK5" s="11"/>
      <c r="HLL5" s="11"/>
      <c r="HLM5" s="11"/>
      <c r="HLN5" s="11"/>
      <c r="HLO5" s="11"/>
      <c r="HLP5" s="11"/>
      <c r="HLQ5" s="11"/>
      <c r="HLR5" s="11"/>
      <c r="HLS5" s="11"/>
      <c r="HLT5" s="11"/>
      <c r="HLU5" s="11"/>
      <c r="HLV5" s="11"/>
      <c r="HLW5" s="11"/>
      <c r="HLX5" s="11"/>
      <c r="HLY5" s="11"/>
      <c r="HLZ5" s="11"/>
      <c r="HMA5" s="11"/>
      <c r="HMB5" s="11"/>
      <c r="HMC5" s="11"/>
      <c r="HMD5" s="11"/>
      <c r="HME5" s="11"/>
      <c r="HMF5" s="11"/>
      <c r="HMG5" s="11"/>
      <c r="HMH5" s="11"/>
      <c r="HMI5" s="11"/>
      <c r="HMJ5" s="11"/>
      <c r="HMK5" s="11"/>
      <c r="HML5" s="11"/>
      <c r="HMM5" s="11"/>
      <c r="HMN5" s="11"/>
      <c r="HMO5" s="11"/>
      <c r="HMP5" s="11"/>
      <c r="HMQ5" s="11"/>
      <c r="HMR5" s="11"/>
      <c r="HMS5" s="11"/>
      <c r="HMT5" s="11"/>
      <c r="HMU5" s="11"/>
      <c r="HMV5" s="11"/>
      <c r="HMW5" s="11"/>
      <c r="HMX5" s="11"/>
      <c r="HMY5" s="11"/>
      <c r="HMZ5" s="11"/>
      <c r="HNA5" s="11"/>
      <c r="HNB5" s="11"/>
      <c r="HNC5" s="11"/>
      <c r="HND5" s="11"/>
      <c r="HNE5" s="11"/>
      <c r="HNF5" s="11"/>
      <c r="HNG5" s="11"/>
      <c r="HNH5" s="11"/>
      <c r="HNI5" s="11"/>
      <c r="HNJ5" s="11"/>
      <c r="HNK5" s="11"/>
      <c r="HNL5" s="11"/>
      <c r="HNM5" s="11"/>
      <c r="HNN5" s="11"/>
      <c r="HNO5" s="11"/>
      <c r="HNP5" s="11"/>
      <c r="HNQ5" s="11"/>
      <c r="HNR5" s="11"/>
      <c r="HNS5" s="11"/>
      <c r="HNT5" s="11"/>
      <c r="HNU5" s="11"/>
      <c r="HNV5" s="11"/>
      <c r="HNW5" s="11"/>
      <c r="HNX5" s="11"/>
      <c r="HNY5" s="11"/>
      <c r="HNZ5" s="11"/>
      <c r="HOA5" s="11"/>
      <c r="HOB5" s="11"/>
      <c r="HOC5" s="11"/>
      <c r="HOD5" s="11"/>
      <c r="HOE5" s="11"/>
      <c r="HOF5" s="11"/>
      <c r="HOG5" s="11"/>
      <c r="HOH5" s="11"/>
      <c r="HOI5" s="11"/>
      <c r="HOJ5" s="11"/>
      <c r="HOK5" s="11"/>
      <c r="HOL5" s="11"/>
      <c r="HOM5" s="11"/>
      <c r="HON5" s="11"/>
      <c r="HOO5" s="11"/>
      <c r="HOP5" s="11"/>
      <c r="HOQ5" s="11"/>
      <c r="HOR5" s="11"/>
      <c r="HOS5" s="11"/>
      <c r="HOT5" s="11"/>
      <c r="HOU5" s="11"/>
      <c r="HOV5" s="11"/>
      <c r="HOW5" s="11"/>
      <c r="HOX5" s="11"/>
      <c r="HOY5" s="11"/>
      <c r="HOZ5" s="11"/>
      <c r="HPA5" s="11"/>
      <c r="HPB5" s="11"/>
      <c r="HPC5" s="11"/>
      <c r="HPD5" s="11"/>
      <c r="HPE5" s="11"/>
      <c r="HPF5" s="11"/>
      <c r="HPG5" s="11"/>
      <c r="HPH5" s="11"/>
      <c r="HPI5" s="11"/>
      <c r="HPJ5" s="11"/>
      <c r="HPK5" s="11"/>
      <c r="HPL5" s="11"/>
      <c r="HPM5" s="11"/>
      <c r="HPN5" s="11"/>
      <c r="HPO5" s="11"/>
      <c r="HPP5" s="11"/>
      <c r="HPQ5" s="11"/>
      <c r="HPR5" s="11"/>
      <c r="HPS5" s="11"/>
      <c r="HPT5" s="11"/>
      <c r="HPU5" s="11"/>
      <c r="HPV5" s="11"/>
      <c r="HPW5" s="11"/>
      <c r="HPX5" s="11"/>
      <c r="HPY5" s="11"/>
      <c r="HPZ5" s="11"/>
      <c r="HQA5" s="11"/>
      <c r="HQB5" s="11"/>
      <c r="HQC5" s="11"/>
      <c r="HQD5" s="11"/>
      <c r="HQE5" s="11"/>
      <c r="HQF5" s="11"/>
      <c r="HQG5" s="11"/>
      <c r="HQH5" s="11"/>
      <c r="HQI5" s="11"/>
      <c r="HQJ5" s="11"/>
      <c r="HQK5" s="11"/>
      <c r="HQL5" s="11"/>
      <c r="HQM5" s="11"/>
      <c r="HQN5" s="11"/>
      <c r="HQO5" s="11"/>
      <c r="HQP5" s="11"/>
      <c r="HQQ5" s="11"/>
      <c r="HQR5" s="11"/>
      <c r="HQS5" s="11"/>
      <c r="HQT5" s="11"/>
      <c r="HQU5" s="11"/>
      <c r="HQV5" s="11"/>
      <c r="HQW5" s="11"/>
      <c r="HQX5" s="11"/>
      <c r="HQY5" s="11"/>
      <c r="HQZ5" s="11"/>
      <c r="HRA5" s="11"/>
      <c r="HRB5" s="11"/>
      <c r="HRC5" s="11"/>
      <c r="HRD5" s="11"/>
      <c r="HRE5" s="11"/>
      <c r="HRF5" s="11"/>
      <c r="HRG5" s="11"/>
      <c r="HRH5" s="11"/>
      <c r="HRI5" s="11"/>
      <c r="HRJ5" s="11"/>
      <c r="HRK5" s="11"/>
      <c r="HRL5" s="11"/>
      <c r="HRM5" s="11"/>
      <c r="HRN5" s="11"/>
      <c r="HRO5" s="11"/>
      <c r="HRP5" s="11"/>
      <c r="HRQ5" s="11"/>
      <c r="HRR5" s="11"/>
      <c r="HRS5" s="11"/>
      <c r="HRT5" s="11"/>
      <c r="HRU5" s="11"/>
      <c r="HRV5" s="11"/>
      <c r="HRW5" s="11"/>
      <c r="HRX5" s="11"/>
      <c r="HRY5" s="11"/>
      <c r="HRZ5" s="11"/>
      <c r="HSA5" s="11"/>
      <c r="HSB5" s="11"/>
      <c r="HSC5" s="11"/>
      <c r="HSD5" s="11"/>
      <c r="HSE5" s="11"/>
      <c r="HSF5" s="11"/>
      <c r="HSG5" s="11"/>
      <c r="HSH5" s="11"/>
      <c r="HSI5" s="11"/>
      <c r="HSJ5" s="11"/>
      <c r="HSK5" s="11"/>
      <c r="HSL5" s="11"/>
      <c r="HSM5" s="11"/>
      <c r="HSN5" s="11"/>
      <c r="HSO5" s="11"/>
      <c r="HSP5" s="11"/>
      <c r="HSQ5" s="11"/>
      <c r="HSR5" s="11"/>
      <c r="HSS5" s="11"/>
      <c r="HST5" s="11"/>
      <c r="HSU5" s="11"/>
      <c r="HSV5" s="11"/>
      <c r="HSW5" s="11"/>
      <c r="HSX5" s="11"/>
      <c r="HSY5" s="11"/>
      <c r="HSZ5" s="11"/>
      <c r="HTA5" s="11"/>
      <c r="HTB5" s="11"/>
      <c r="HTC5" s="11"/>
      <c r="HTD5" s="11"/>
      <c r="HTE5" s="11"/>
      <c r="HTF5" s="11"/>
      <c r="HTG5" s="11"/>
      <c r="HTH5" s="11"/>
      <c r="HTI5" s="11"/>
      <c r="HTJ5" s="11"/>
      <c r="HTK5" s="11"/>
      <c r="HTL5" s="11"/>
      <c r="HTM5" s="11"/>
      <c r="HTN5" s="11"/>
      <c r="HTO5" s="11"/>
      <c r="HTP5" s="11"/>
      <c r="HTQ5" s="11"/>
      <c r="HTR5" s="11"/>
      <c r="HTS5" s="11"/>
      <c r="HTT5" s="11"/>
      <c r="HTU5" s="11"/>
      <c r="HTV5" s="11"/>
      <c r="HTW5" s="11"/>
      <c r="HTX5" s="11"/>
      <c r="HTY5" s="11"/>
      <c r="HTZ5" s="11"/>
      <c r="HUA5" s="11"/>
      <c r="HUB5" s="11"/>
      <c r="HUC5" s="11"/>
      <c r="HUD5" s="11"/>
      <c r="HUE5" s="11"/>
      <c r="HUF5" s="11"/>
      <c r="HUG5" s="11"/>
      <c r="HUH5" s="11"/>
      <c r="HUI5" s="11"/>
      <c r="HUJ5" s="11"/>
      <c r="HUK5" s="11"/>
      <c r="HUL5" s="11"/>
      <c r="HUM5" s="11"/>
      <c r="HUN5" s="11"/>
      <c r="HUO5" s="11"/>
      <c r="HUP5" s="11"/>
      <c r="HUQ5" s="11"/>
      <c r="HUR5" s="11"/>
      <c r="HUS5" s="11"/>
      <c r="HUT5" s="11"/>
      <c r="HUU5" s="11"/>
      <c r="HUV5" s="11"/>
      <c r="HUW5" s="11"/>
      <c r="HUX5" s="11"/>
      <c r="HUY5" s="11"/>
      <c r="HUZ5" s="11"/>
      <c r="HVA5" s="11"/>
      <c r="HVB5" s="11"/>
      <c r="HVC5" s="11"/>
      <c r="HVD5" s="11"/>
      <c r="HVE5" s="11"/>
      <c r="HVF5" s="11"/>
      <c r="HVG5" s="11"/>
      <c r="HVH5" s="11"/>
      <c r="HVI5" s="11"/>
      <c r="HVJ5" s="11"/>
      <c r="HVK5" s="11"/>
      <c r="HVL5" s="11"/>
      <c r="HVM5" s="11"/>
      <c r="HVN5" s="11"/>
      <c r="HVO5" s="11"/>
      <c r="HVP5" s="11"/>
      <c r="HVQ5" s="11"/>
      <c r="HVR5" s="11"/>
      <c r="HVS5" s="11"/>
      <c r="HVT5" s="11"/>
      <c r="HVU5" s="11"/>
      <c r="HVV5" s="11"/>
      <c r="HVW5" s="11"/>
      <c r="HVX5" s="11"/>
      <c r="HVY5" s="11"/>
      <c r="HVZ5" s="11"/>
      <c r="HWA5" s="11"/>
      <c r="HWB5" s="11"/>
      <c r="HWC5" s="11"/>
      <c r="HWD5" s="11"/>
      <c r="HWE5" s="11"/>
      <c r="HWF5" s="11"/>
      <c r="HWG5" s="11"/>
      <c r="HWH5" s="11"/>
      <c r="HWI5" s="11"/>
      <c r="HWJ5" s="11"/>
      <c r="HWK5" s="11"/>
      <c r="HWL5" s="11"/>
      <c r="HWM5" s="11"/>
      <c r="HWN5" s="11"/>
      <c r="HWO5" s="11"/>
      <c r="HWP5" s="11"/>
      <c r="HWQ5" s="11"/>
      <c r="HWR5" s="11"/>
      <c r="HWS5" s="11"/>
      <c r="HWT5" s="11"/>
      <c r="HWU5" s="11"/>
      <c r="HWV5" s="11"/>
      <c r="HWW5" s="11"/>
      <c r="HWX5" s="11"/>
      <c r="HWY5" s="11"/>
      <c r="HWZ5" s="11"/>
      <c r="HXA5" s="11"/>
      <c r="HXB5" s="11"/>
      <c r="HXC5" s="11"/>
      <c r="HXD5" s="11"/>
      <c r="HXE5" s="11"/>
      <c r="HXF5" s="11"/>
      <c r="HXG5" s="11"/>
      <c r="HXH5" s="11"/>
      <c r="HXI5" s="11"/>
      <c r="HXJ5" s="11"/>
      <c r="HXK5" s="11"/>
      <c r="HXL5" s="11"/>
      <c r="HXM5" s="11"/>
      <c r="HXN5" s="11"/>
      <c r="HXO5" s="11"/>
      <c r="HXP5" s="11"/>
      <c r="HXQ5" s="11"/>
      <c r="HXR5" s="11"/>
      <c r="HXS5" s="11"/>
      <c r="HXT5" s="11"/>
      <c r="HXU5" s="11"/>
      <c r="HXV5" s="11"/>
      <c r="HXW5" s="11"/>
      <c r="HXX5" s="11"/>
      <c r="HXY5" s="11"/>
      <c r="HXZ5" s="11"/>
      <c r="HYA5" s="11"/>
      <c r="HYB5" s="11"/>
      <c r="HYC5" s="11"/>
      <c r="HYD5" s="11"/>
      <c r="HYE5" s="11"/>
      <c r="HYF5" s="11"/>
      <c r="HYG5" s="11"/>
      <c r="HYH5" s="11"/>
      <c r="HYI5" s="11"/>
      <c r="HYJ5" s="11"/>
      <c r="HYK5" s="11"/>
      <c r="HYL5" s="11"/>
      <c r="HYM5" s="11"/>
      <c r="HYN5" s="11"/>
      <c r="HYO5" s="11"/>
      <c r="HYP5" s="11"/>
      <c r="HYQ5" s="11"/>
      <c r="HYR5" s="11"/>
      <c r="HYS5" s="11"/>
      <c r="HYT5" s="11"/>
      <c r="HYU5" s="11"/>
      <c r="HYV5" s="11"/>
      <c r="HYW5" s="11"/>
      <c r="HYX5" s="11"/>
      <c r="HYY5" s="11"/>
      <c r="HYZ5" s="11"/>
      <c r="HZA5" s="11"/>
      <c r="HZB5" s="11"/>
      <c r="HZC5" s="11"/>
      <c r="HZD5" s="11"/>
      <c r="HZE5" s="11"/>
      <c r="HZF5" s="11"/>
      <c r="HZG5" s="11"/>
      <c r="HZH5" s="11"/>
      <c r="HZI5" s="11"/>
      <c r="HZJ5" s="11"/>
      <c r="HZK5" s="11"/>
      <c r="HZL5" s="11"/>
      <c r="HZM5" s="11"/>
      <c r="HZN5" s="11"/>
      <c r="HZO5" s="11"/>
      <c r="HZP5" s="11"/>
      <c r="HZQ5" s="11"/>
      <c r="HZR5" s="11"/>
      <c r="HZS5" s="11"/>
      <c r="HZT5" s="11"/>
      <c r="HZU5" s="11"/>
      <c r="HZV5" s="11"/>
      <c r="HZW5" s="11"/>
      <c r="HZX5" s="11"/>
      <c r="HZY5" s="11"/>
      <c r="HZZ5" s="11"/>
      <c r="IAA5" s="11"/>
      <c r="IAB5" s="11"/>
      <c r="IAC5" s="11"/>
      <c r="IAD5" s="11"/>
      <c r="IAE5" s="11"/>
      <c r="IAF5" s="11"/>
      <c r="IAG5" s="11"/>
      <c r="IAH5" s="11"/>
      <c r="IAI5" s="11"/>
      <c r="IAJ5" s="11"/>
      <c r="IAK5" s="11"/>
      <c r="IAL5" s="11"/>
      <c r="IAM5" s="11"/>
      <c r="IAN5" s="11"/>
      <c r="IAO5" s="11"/>
      <c r="IAP5" s="11"/>
      <c r="IAQ5" s="11"/>
      <c r="IAR5" s="11"/>
      <c r="IAS5" s="11"/>
      <c r="IAT5" s="11"/>
      <c r="IAU5" s="11"/>
      <c r="IAV5" s="11"/>
      <c r="IAW5" s="11"/>
      <c r="IAX5" s="11"/>
      <c r="IAY5" s="11"/>
      <c r="IAZ5" s="11"/>
      <c r="IBA5" s="11"/>
      <c r="IBB5" s="11"/>
      <c r="IBC5" s="11"/>
      <c r="IBD5" s="11"/>
      <c r="IBE5" s="11"/>
      <c r="IBF5" s="11"/>
      <c r="IBG5" s="11"/>
      <c r="IBH5" s="11"/>
      <c r="IBI5" s="11"/>
      <c r="IBJ5" s="11"/>
      <c r="IBK5" s="11"/>
      <c r="IBL5" s="11"/>
      <c r="IBM5" s="11"/>
      <c r="IBN5" s="11"/>
      <c r="IBO5" s="11"/>
      <c r="IBP5" s="11"/>
      <c r="IBQ5" s="11"/>
      <c r="IBR5" s="11"/>
      <c r="IBS5" s="11"/>
      <c r="IBT5" s="11"/>
      <c r="IBU5" s="11"/>
      <c r="IBV5" s="11"/>
      <c r="IBW5" s="11"/>
      <c r="IBX5" s="11"/>
      <c r="IBY5" s="11"/>
      <c r="IBZ5" s="11"/>
      <c r="ICA5" s="11"/>
      <c r="ICB5" s="11"/>
      <c r="ICC5" s="11"/>
      <c r="ICD5" s="11"/>
      <c r="ICE5" s="11"/>
      <c r="ICF5" s="11"/>
      <c r="ICG5" s="11"/>
      <c r="ICH5" s="11"/>
      <c r="ICI5" s="11"/>
      <c r="ICJ5" s="11"/>
      <c r="ICK5" s="11"/>
      <c r="ICL5" s="11"/>
      <c r="ICM5" s="11"/>
      <c r="ICN5" s="11"/>
      <c r="ICO5" s="11"/>
      <c r="ICP5" s="11"/>
      <c r="ICQ5" s="11"/>
      <c r="ICR5" s="11"/>
      <c r="ICS5" s="11"/>
      <c r="ICT5" s="11"/>
      <c r="ICU5" s="11"/>
      <c r="ICV5" s="11"/>
      <c r="ICW5" s="11"/>
      <c r="ICX5" s="11"/>
      <c r="ICY5" s="11"/>
      <c r="ICZ5" s="11"/>
      <c r="IDA5" s="11"/>
      <c r="IDB5" s="11"/>
      <c r="IDC5" s="11"/>
      <c r="IDD5" s="11"/>
      <c r="IDE5" s="11"/>
      <c r="IDF5" s="11"/>
      <c r="IDG5" s="11"/>
      <c r="IDH5" s="11"/>
      <c r="IDI5" s="11"/>
      <c r="IDJ5" s="11"/>
      <c r="IDK5" s="11"/>
      <c r="IDL5" s="11"/>
      <c r="IDM5" s="11"/>
      <c r="IDN5" s="11"/>
      <c r="IDO5" s="11"/>
      <c r="IDP5" s="11"/>
      <c r="IDQ5" s="11"/>
      <c r="IDR5" s="11"/>
      <c r="IDS5" s="11"/>
      <c r="IDT5" s="11"/>
      <c r="IDU5" s="11"/>
      <c r="IDV5" s="11"/>
      <c r="IDW5" s="11"/>
      <c r="IDX5" s="11"/>
      <c r="IDY5" s="11"/>
      <c r="IDZ5" s="11"/>
      <c r="IEA5" s="11"/>
      <c r="IEB5" s="11"/>
      <c r="IEC5" s="11"/>
      <c r="IED5" s="11"/>
      <c r="IEE5" s="11"/>
      <c r="IEF5" s="11"/>
      <c r="IEG5" s="11"/>
      <c r="IEH5" s="11"/>
      <c r="IEI5" s="11"/>
      <c r="IEJ5" s="11"/>
      <c r="IEK5" s="11"/>
      <c r="IEL5" s="11"/>
      <c r="IEM5" s="11"/>
      <c r="IEN5" s="11"/>
      <c r="IEO5" s="11"/>
      <c r="IEP5" s="11"/>
      <c r="IEQ5" s="11"/>
      <c r="IER5" s="11"/>
      <c r="IES5" s="11"/>
      <c r="IET5" s="11"/>
      <c r="IEU5" s="11"/>
      <c r="IEV5" s="11"/>
      <c r="IEW5" s="11"/>
      <c r="IEX5" s="11"/>
      <c r="IEY5" s="11"/>
      <c r="IEZ5" s="11"/>
      <c r="IFA5" s="11"/>
      <c r="IFB5" s="11"/>
      <c r="IFC5" s="11"/>
      <c r="IFD5" s="11"/>
      <c r="IFE5" s="11"/>
      <c r="IFF5" s="11"/>
      <c r="IFG5" s="11"/>
      <c r="IFH5" s="11"/>
      <c r="IFI5" s="11"/>
      <c r="IFJ5" s="11"/>
      <c r="IFK5" s="11"/>
      <c r="IFL5" s="11"/>
      <c r="IFM5" s="11"/>
      <c r="IFN5" s="11"/>
      <c r="IFO5" s="11"/>
      <c r="IFP5" s="11"/>
      <c r="IFQ5" s="11"/>
      <c r="IFR5" s="11"/>
      <c r="IFS5" s="11"/>
      <c r="IFT5" s="11"/>
      <c r="IFU5" s="11"/>
      <c r="IFV5" s="11"/>
      <c r="IFW5" s="11"/>
      <c r="IFX5" s="11"/>
      <c r="IFY5" s="11"/>
      <c r="IFZ5" s="11"/>
      <c r="IGA5" s="11"/>
      <c r="IGB5" s="11"/>
      <c r="IGC5" s="11"/>
      <c r="IGD5" s="11"/>
      <c r="IGE5" s="11"/>
      <c r="IGF5" s="11"/>
      <c r="IGG5" s="11"/>
      <c r="IGH5" s="11"/>
      <c r="IGI5" s="11"/>
      <c r="IGJ5" s="11"/>
      <c r="IGK5" s="11"/>
      <c r="IGL5" s="11"/>
      <c r="IGM5" s="11"/>
      <c r="IGN5" s="11"/>
      <c r="IGO5" s="11"/>
      <c r="IGP5" s="11"/>
      <c r="IGQ5" s="11"/>
      <c r="IGR5" s="11"/>
      <c r="IGS5" s="11"/>
      <c r="IGT5" s="11"/>
      <c r="IGU5" s="11"/>
      <c r="IGV5" s="11"/>
      <c r="IGW5" s="11"/>
      <c r="IGX5" s="11"/>
      <c r="IGY5" s="11"/>
      <c r="IGZ5" s="11"/>
      <c r="IHA5" s="11"/>
      <c r="IHB5" s="11"/>
      <c r="IHC5" s="11"/>
      <c r="IHD5" s="11"/>
      <c r="IHE5" s="11"/>
      <c r="IHF5" s="11"/>
      <c r="IHG5" s="11"/>
      <c r="IHH5" s="11"/>
      <c r="IHI5" s="11"/>
      <c r="IHJ5" s="11"/>
      <c r="IHK5" s="11"/>
      <c r="IHL5" s="11"/>
      <c r="IHM5" s="11"/>
      <c r="IHN5" s="11"/>
      <c r="IHO5" s="11"/>
      <c r="IHP5" s="11"/>
      <c r="IHQ5" s="11"/>
      <c r="IHR5" s="11"/>
      <c r="IHS5" s="11"/>
      <c r="IHT5" s="11"/>
      <c r="IHU5" s="11"/>
      <c r="IHV5" s="11"/>
      <c r="IHW5" s="11"/>
      <c r="IHX5" s="11"/>
      <c r="IHY5" s="11"/>
      <c r="IHZ5" s="11"/>
      <c r="IIA5" s="11"/>
      <c r="IIB5" s="11"/>
      <c r="IIC5" s="11"/>
      <c r="IID5" s="11"/>
      <c r="IIE5" s="11"/>
      <c r="IIF5" s="11"/>
      <c r="IIG5" s="11"/>
      <c r="IIH5" s="11"/>
      <c r="III5" s="11"/>
      <c r="IIJ5" s="11"/>
      <c r="IIK5" s="11"/>
      <c r="IIL5" s="11"/>
      <c r="IIM5" s="11"/>
      <c r="IIN5" s="11"/>
      <c r="IIO5" s="11"/>
      <c r="IIP5" s="11"/>
      <c r="IIQ5" s="11"/>
      <c r="IIR5" s="11"/>
      <c r="IIS5" s="11"/>
      <c r="IIT5" s="11"/>
      <c r="IIU5" s="11"/>
      <c r="IIV5" s="11"/>
      <c r="IIW5" s="11"/>
      <c r="IIX5" s="11"/>
      <c r="IIY5" s="11"/>
      <c r="IIZ5" s="11"/>
      <c r="IJA5" s="11"/>
      <c r="IJB5" s="11"/>
      <c r="IJC5" s="11"/>
      <c r="IJD5" s="11"/>
      <c r="IJE5" s="11"/>
      <c r="IJF5" s="11"/>
      <c r="IJG5" s="11"/>
      <c r="IJH5" s="11"/>
      <c r="IJI5" s="11"/>
      <c r="IJJ5" s="11"/>
      <c r="IJK5" s="11"/>
      <c r="IJL5" s="11"/>
      <c r="IJM5" s="11"/>
      <c r="IJN5" s="11"/>
      <c r="IJO5" s="11"/>
      <c r="IJP5" s="11"/>
      <c r="IJQ5" s="11"/>
      <c r="IJR5" s="11"/>
      <c r="IJS5" s="11"/>
      <c r="IJT5" s="11"/>
      <c r="IJU5" s="11"/>
      <c r="IJV5" s="11"/>
      <c r="IJW5" s="11"/>
      <c r="IJX5" s="11"/>
      <c r="IJY5" s="11"/>
      <c r="IJZ5" s="11"/>
      <c r="IKA5" s="11"/>
      <c r="IKB5" s="11"/>
      <c r="IKC5" s="11"/>
      <c r="IKD5" s="11"/>
      <c r="IKE5" s="11"/>
      <c r="IKF5" s="11"/>
      <c r="IKG5" s="11"/>
      <c r="IKH5" s="11"/>
      <c r="IKI5" s="11"/>
      <c r="IKJ5" s="11"/>
      <c r="IKK5" s="11"/>
      <c r="IKL5" s="11"/>
      <c r="IKM5" s="11"/>
      <c r="IKN5" s="11"/>
      <c r="IKO5" s="11"/>
      <c r="IKP5" s="11"/>
      <c r="IKQ5" s="11"/>
      <c r="IKR5" s="11"/>
      <c r="IKS5" s="11"/>
      <c r="IKT5" s="11"/>
      <c r="IKU5" s="11"/>
      <c r="IKV5" s="11"/>
      <c r="IKW5" s="11"/>
      <c r="IKX5" s="11"/>
      <c r="IKY5" s="11"/>
      <c r="IKZ5" s="11"/>
      <c r="ILA5" s="11"/>
      <c r="ILB5" s="11"/>
      <c r="ILC5" s="11"/>
      <c r="ILD5" s="11"/>
      <c r="ILE5" s="11"/>
      <c r="ILF5" s="11"/>
      <c r="ILG5" s="11"/>
      <c r="ILH5" s="11"/>
      <c r="ILI5" s="11"/>
      <c r="ILJ5" s="11"/>
      <c r="ILK5" s="11"/>
      <c r="ILL5" s="11"/>
      <c r="ILM5" s="11"/>
      <c r="ILN5" s="11"/>
      <c r="ILO5" s="11"/>
      <c r="ILP5" s="11"/>
      <c r="ILQ5" s="11"/>
      <c r="ILR5" s="11"/>
      <c r="ILS5" s="11"/>
      <c r="ILT5" s="11"/>
      <c r="ILU5" s="11"/>
      <c r="ILV5" s="11"/>
      <c r="ILW5" s="11"/>
      <c r="ILX5" s="11"/>
      <c r="ILY5" s="11"/>
      <c r="ILZ5" s="11"/>
      <c r="IMA5" s="11"/>
      <c r="IMB5" s="11"/>
      <c r="IMC5" s="11"/>
      <c r="IMD5" s="11"/>
      <c r="IME5" s="11"/>
      <c r="IMF5" s="11"/>
      <c r="IMG5" s="11"/>
      <c r="IMH5" s="11"/>
      <c r="IMI5" s="11"/>
      <c r="IMJ5" s="11"/>
      <c r="IMK5" s="11"/>
      <c r="IML5" s="11"/>
      <c r="IMM5" s="11"/>
      <c r="IMN5" s="11"/>
      <c r="IMO5" s="11"/>
      <c r="IMP5" s="11"/>
      <c r="IMQ5" s="11"/>
      <c r="IMR5" s="11"/>
      <c r="IMS5" s="11"/>
      <c r="IMT5" s="11"/>
      <c r="IMU5" s="11"/>
      <c r="IMV5" s="11"/>
      <c r="IMW5" s="11"/>
      <c r="IMX5" s="11"/>
      <c r="IMY5" s="11"/>
      <c r="IMZ5" s="11"/>
      <c r="INA5" s="11"/>
      <c r="INB5" s="11"/>
      <c r="INC5" s="11"/>
      <c r="IND5" s="11"/>
      <c r="INE5" s="11"/>
      <c r="INF5" s="11"/>
      <c r="ING5" s="11"/>
      <c r="INH5" s="11"/>
      <c r="INI5" s="11"/>
      <c r="INJ5" s="11"/>
      <c r="INK5" s="11"/>
      <c r="INL5" s="11"/>
      <c r="INM5" s="11"/>
      <c r="INN5" s="11"/>
      <c r="INO5" s="11"/>
      <c r="INP5" s="11"/>
      <c r="INQ5" s="11"/>
      <c r="INR5" s="11"/>
      <c r="INS5" s="11"/>
      <c r="INT5" s="11"/>
      <c r="INU5" s="11"/>
      <c r="INV5" s="11"/>
      <c r="INW5" s="11"/>
      <c r="INX5" s="11"/>
      <c r="INY5" s="11"/>
      <c r="INZ5" s="11"/>
      <c r="IOA5" s="11"/>
      <c r="IOB5" s="11"/>
      <c r="IOC5" s="11"/>
      <c r="IOD5" s="11"/>
      <c r="IOE5" s="11"/>
      <c r="IOF5" s="11"/>
      <c r="IOG5" s="11"/>
      <c r="IOH5" s="11"/>
      <c r="IOI5" s="11"/>
      <c r="IOJ5" s="11"/>
      <c r="IOK5" s="11"/>
      <c r="IOL5" s="11"/>
      <c r="IOM5" s="11"/>
      <c r="ION5" s="11"/>
      <c r="IOO5" s="11"/>
      <c r="IOP5" s="11"/>
      <c r="IOQ5" s="11"/>
      <c r="IOR5" s="11"/>
      <c r="IOS5" s="11"/>
      <c r="IOT5" s="11"/>
      <c r="IOU5" s="11"/>
      <c r="IOV5" s="11"/>
      <c r="IOW5" s="11"/>
      <c r="IOX5" s="11"/>
      <c r="IOY5" s="11"/>
      <c r="IOZ5" s="11"/>
      <c r="IPA5" s="11"/>
      <c r="IPB5" s="11"/>
      <c r="IPC5" s="11"/>
      <c r="IPD5" s="11"/>
      <c r="IPE5" s="11"/>
      <c r="IPF5" s="11"/>
      <c r="IPG5" s="11"/>
      <c r="IPH5" s="11"/>
      <c r="IPI5" s="11"/>
      <c r="IPJ5" s="11"/>
      <c r="IPK5" s="11"/>
      <c r="IPL5" s="11"/>
      <c r="IPM5" s="11"/>
      <c r="IPN5" s="11"/>
      <c r="IPO5" s="11"/>
      <c r="IPP5" s="11"/>
      <c r="IPQ5" s="11"/>
      <c r="IPR5" s="11"/>
      <c r="IPS5" s="11"/>
      <c r="IPT5" s="11"/>
      <c r="IPU5" s="11"/>
      <c r="IPV5" s="11"/>
      <c r="IPW5" s="11"/>
      <c r="IPX5" s="11"/>
      <c r="IPY5" s="11"/>
      <c r="IPZ5" s="11"/>
      <c r="IQA5" s="11"/>
      <c r="IQB5" s="11"/>
      <c r="IQC5" s="11"/>
      <c r="IQD5" s="11"/>
      <c r="IQE5" s="11"/>
      <c r="IQF5" s="11"/>
      <c r="IQG5" s="11"/>
      <c r="IQH5" s="11"/>
      <c r="IQI5" s="11"/>
      <c r="IQJ5" s="11"/>
      <c r="IQK5" s="11"/>
      <c r="IQL5" s="11"/>
      <c r="IQM5" s="11"/>
      <c r="IQN5" s="11"/>
      <c r="IQO5" s="11"/>
      <c r="IQP5" s="11"/>
      <c r="IQQ5" s="11"/>
      <c r="IQR5" s="11"/>
      <c r="IQS5" s="11"/>
      <c r="IQT5" s="11"/>
      <c r="IQU5" s="11"/>
      <c r="IQV5" s="11"/>
      <c r="IQW5" s="11"/>
      <c r="IQX5" s="11"/>
      <c r="IQY5" s="11"/>
      <c r="IQZ5" s="11"/>
      <c r="IRA5" s="11"/>
      <c r="IRB5" s="11"/>
      <c r="IRC5" s="11"/>
      <c r="IRD5" s="11"/>
      <c r="IRE5" s="11"/>
      <c r="IRF5" s="11"/>
      <c r="IRG5" s="11"/>
      <c r="IRH5" s="11"/>
      <c r="IRI5" s="11"/>
      <c r="IRJ5" s="11"/>
      <c r="IRK5" s="11"/>
      <c r="IRL5" s="11"/>
      <c r="IRM5" s="11"/>
      <c r="IRN5" s="11"/>
      <c r="IRO5" s="11"/>
      <c r="IRP5" s="11"/>
      <c r="IRQ5" s="11"/>
      <c r="IRR5" s="11"/>
      <c r="IRS5" s="11"/>
      <c r="IRT5" s="11"/>
      <c r="IRU5" s="11"/>
      <c r="IRV5" s="11"/>
      <c r="IRW5" s="11"/>
      <c r="IRX5" s="11"/>
      <c r="IRY5" s="11"/>
      <c r="IRZ5" s="11"/>
      <c r="ISA5" s="11"/>
      <c r="ISB5" s="11"/>
      <c r="ISC5" s="11"/>
      <c r="ISD5" s="11"/>
      <c r="ISE5" s="11"/>
      <c r="ISF5" s="11"/>
      <c r="ISG5" s="11"/>
      <c r="ISH5" s="11"/>
      <c r="ISI5" s="11"/>
      <c r="ISJ5" s="11"/>
      <c r="ISK5" s="11"/>
      <c r="ISL5" s="11"/>
      <c r="ISM5" s="11"/>
      <c r="ISN5" s="11"/>
      <c r="ISO5" s="11"/>
      <c r="ISP5" s="11"/>
      <c r="ISQ5" s="11"/>
      <c r="ISR5" s="11"/>
      <c r="ISS5" s="11"/>
      <c r="IST5" s="11"/>
      <c r="ISU5" s="11"/>
      <c r="ISV5" s="11"/>
      <c r="ISW5" s="11"/>
      <c r="ISX5" s="11"/>
      <c r="ISY5" s="11"/>
      <c r="ISZ5" s="11"/>
      <c r="ITA5" s="11"/>
      <c r="ITB5" s="11"/>
      <c r="ITC5" s="11"/>
      <c r="ITD5" s="11"/>
      <c r="ITE5" s="11"/>
      <c r="ITF5" s="11"/>
      <c r="ITG5" s="11"/>
      <c r="ITH5" s="11"/>
      <c r="ITI5" s="11"/>
      <c r="ITJ5" s="11"/>
      <c r="ITK5" s="11"/>
      <c r="ITL5" s="11"/>
      <c r="ITM5" s="11"/>
      <c r="ITN5" s="11"/>
      <c r="ITO5" s="11"/>
      <c r="ITP5" s="11"/>
      <c r="ITQ5" s="11"/>
      <c r="ITR5" s="11"/>
      <c r="ITS5" s="11"/>
      <c r="ITT5" s="11"/>
      <c r="ITU5" s="11"/>
      <c r="ITV5" s="11"/>
      <c r="ITW5" s="11"/>
      <c r="ITX5" s="11"/>
      <c r="ITY5" s="11"/>
      <c r="ITZ5" s="11"/>
      <c r="IUA5" s="11"/>
      <c r="IUB5" s="11"/>
      <c r="IUC5" s="11"/>
      <c r="IUD5" s="11"/>
      <c r="IUE5" s="11"/>
      <c r="IUF5" s="11"/>
      <c r="IUG5" s="11"/>
      <c r="IUH5" s="11"/>
      <c r="IUI5" s="11"/>
      <c r="IUJ5" s="11"/>
      <c r="IUK5" s="11"/>
      <c r="IUL5" s="11"/>
      <c r="IUM5" s="11"/>
      <c r="IUN5" s="11"/>
      <c r="IUO5" s="11"/>
      <c r="IUP5" s="11"/>
      <c r="IUQ5" s="11"/>
      <c r="IUR5" s="11"/>
      <c r="IUS5" s="11"/>
      <c r="IUT5" s="11"/>
      <c r="IUU5" s="11"/>
      <c r="IUV5" s="11"/>
      <c r="IUW5" s="11"/>
      <c r="IUX5" s="11"/>
      <c r="IUY5" s="11"/>
      <c r="IUZ5" s="11"/>
      <c r="IVA5" s="11"/>
      <c r="IVB5" s="11"/>
      <c r="IVC5" s="11"/>
      <c r="IVD5" s="11"/>
      <c r="IVE5" s="11"/>
      <c r="IVF5" s="11"/>
      <c r="IVG5" s="11"/>
      <c r="IVH5" s="11"/>
      <c r="IVI5" s="11"/>
      <c r="IVJ5" s="11"/>
      <c r="IVK5" s="11"/>
      <c r="IVL5" s="11"/>
      <c r="IVM5" s="11"/>
      <c r="IVN5" s="11"/>
      <c r="IVO5" s="11"/>
      <c r="IVP5" s="11"/>
      <c r="IVQ5" s="11"/>
      <c r="IVR5" s="11"/>
      <c r="IVS5" s="11"/>
      <c r="IVT5" s="11"/>
      <c r="IVU5" s="11"/>
      <c r="IVV5" s="11"/>
      <c r="IVW5" s="11"/>
      <c r="IVX5" s="11"/>
      <c r="IVY5" s="11"/>
      <c r="IVZ5" s="11"/>
      <c r="IWA5" s="11"/>
      <c r="IWB5" s="11"/>
      <c r="IWC5" s="11"/>
      <c r="IWD5" s="11"/>
      <c r="IWE5" s="11"/>
      <c r="IWF5" s="11"/>
      <c r="IWG5" s="11"/>
      <c r="IWH5" s="11"/>
      <c r="IWI5" s="11"/>
      <c r="IWJ5" s="11"/>
      <c r="IWK5" s="11"/>
      <c r="IWL5" s="11"/>
      <c r="IWM5" s="11"/>
      <c r="IWN5" s="11"/>
      <c r="IWO5" s="11"/>
      <c r="IWP5" s="11"/>
      <c r="IWQ5" s="11"/>
      <c r="IWR5" s="11"/>
      <c r="IWS5" s="11"/>
      <c r="IWT5" s="11"/>
      <c r="IWU5" s="11"/>
      <c r="IWV5" s="11"/>
      <c r="IWW5" s="11"/>
      <c r="IWX5" s="11"/>
      <c r="IWY5" s="11"/>
      <c r="IWZ5" s="11"/>
      <c r="IXA5" s="11"/>
      <c r="IXB5" s="11"/>
      <c r="IXC5" s="11"/>
      <c r="IXD5" s="11"/>
      <c r="IXE5" s="11"/>
      <c r="IXF5" s="11"/>
      <c r="IXG5" s="11"/>
      <c r="IXH5" s="11"/>
      <c r="IXI5" s="11"/>
      <c r="IXJ5" s="11"/>
      <c r="IXK5" s="11"/>
      <c r="IXL5" s="11"/>
      <c r="IXM5" s="11"/>
      <c r="IXN5" s="11"/>
      <c r="IXO5" s="11"/>
      <c r="IXP5" s="11"/>
      <c r="IXQ5" s="11"/>
      <c r="IXR5" s="11"/>
      <c r="IXS5" s="11"/>
      <c r="IXT5" s="11"/>
      <c r="IXU5" s="11"/>
      <c r="IXV5" s="11"/>
      <c r="IXW5" s="11"/>
      <c r="IXX5" s="11"/>
      <c r="IXY5" s="11"/>
      <c r="IXZ5" s="11"/>
      <c r="IYA5" s="11"/>
      <c r="IYB5" s="11"/>
      <c r="IYC5" s="11"/>
      <c r="IYD5" s="11"/>
      <c r="IYE5" s="11"/>
      <c r="IYF5" s="11"/>
      <c r="IYG5" s="11"/>
      <c r="IYH5" s="11"/>
      <c r="IYI5" s="11"/>
      <c r="IYJ5" s="11"/>
      <c r="IYK5" s="11"/>
      <c r="IYL5" s="11"/>
      <c r="IYM5" s="11"/>
      <c r="IYN5" s="11"/>
      <c r="IYO5" s="11"/>
      <c r="IYP5" s="11"/>
      <c r="IYQ5" s="11"/>
      <c r="IYR5" s="11"/>
      <c r="IYS5" s="11"/>
      <c r="IYT5" s="11"/>
      <c r="IYU5" s="11"/>
      <c r="IYV5" s="11"/>
      <c r="IYW5" s="11"/>
      <c r="IYX5" s="11"/>
      <c r="IYY5" s="11"/>
      <c r="IYZ5" s="11"/>
      <c r="IZA5" s="11"/>
      <c r="IZB5" s="11"/>
      <c r="IZC5" s="11"/>
      <c r="IZD5" s="11"/>
      <c r="IZE5" s="11"/>
      <c r="IZF5" s="11"/>
      <c r="IZG5" s="11"/>
      <c r="IZH5" s="11"/>
      <c r="IZI5" s="11"/>
      <c r="IZJ5" s="11"/>
      <c r="IZK5" s="11"/>
      <c r="IZL5" s="11"/>
      <c r="IZM5" s="11"/>
      <c r="IZN5" s="11"/>
      <c r="IZO5" s="11"/>
      <c r="IZP5" s="11"/>
      <c r="IZQ5" s="11"/>
      <c r="IZR5" s="11"/>
      <c r="IZS5" s="11"/>
      <c r="IZT5" s="11"/>
      <c r="IZU5" s="11"/>
      <c r="IZV5" s="11"/>
      <c r="IZW5" s="11"/>
      <c r="IZX5" s="11"/>
      <c r="IZY5" s="11"/>
      <c r="IZZ5" s="11"/>
      <c r="JAA5" s="11"/>
      <c r="JAB5" s="11"/>
      <c r="JAC5" s="11"/>
      <c r="JAD5" s="11"/>
      <c r="JAE5" s="11"/>
      <c r="JAF5" s="11"/>
      <c r="JAG5" s="11"/>
      <c r="JAH5" s="11"/>
      <c r="JAI5" s="11"/>
      <c r="JAJ5" s="11"/>
      <c r="JAK5" s="11"/>
      <c r="JAL5" s="11"/>
      <c r="JAM5" s="11"/>
      <c r="JAN5" s="11"/>
      <c r="JAO5" s="11"/>
      <c r="JAP5" s="11"/>
      <c r="JAQ5" s="11"/>
      <c r="JAR5" s="11"/>
      <c r="JAS5" s="11"/>
      <c r="JAT5" s="11"/>
      <c r="JAU5" s="11"/>
      <c r="JAV5" s="11"/>
      <c r="JAW5" s="11"/>
      <c r="JAX5" s="11"/>
      <c r="JAY5" s="11"/>
      <c r="JAZ5" s="11"/>
      <c r="JBA5" s="11"/>
      <c r="JBB5" s="11"/>
      <c r="JBC5" s="11"/>
      <c r="JBD5" s="11"/>
      <c r="JBE5" s="11"/>
      <c r="JBF5" s="11"/>
      <c r="JBG5" s="11"/>
      <c r="JBH5" s="11"/>
      <c r="JBI5" s="11"/>
      <c r="JBJ5" s="11"/>
      <c r="JBK5" s="11"/>
      <c r="JBL5" s="11"/>
      <c r="JBM5" s="11"/>
      <c r="JBN5" s="11"/>
      <c r="JBO5" s="11"/>
      <c r="JBP5" s="11"/>
      <c r="JBQ5" s="11"/>
      <c r="JBR5" s="11"/>
      <c r="JBS5" s="11"/>
      <c r="JBT5" s="11"/>
      <c r="JBU5" s="11"/>
      <c r="JBV5" s="11"/>
      <c r="JBW5" s="11"/>
      <c r="JBX5" s="11"/>
      <c r="JBY5" s="11"/>
      <c r="JBZ5" s="11"/>
      <c r="JCA5" s="11"/>
      <c r="JCB5" s="11"/>
      <c r="JCC5" s="11"/>
      <c r="JCD5" s="11"/>
      <c r="JCE5" s="11"/>
      <c r="JCF5" s="11"/>
      <c r="JCG5" s="11"/>
      <c r="JCH5" s="11"/>
      <c r="JCI5" s="11"/>
      <c r="JCJ5" s="11"/>
      <c r="JCK5" s="11"/>
      <c r="JCL5" s="11"/>
      <c r="JCM5" s="11"/>
      <c r="JCN5" s="11"/>
      <c r="JCO5" s="11"/>
      <c r="JCP5" s="11"/>
      <c r="JCQ5" s="11"/>
      <c r="JCR5" s="11"/>
      <c r="JCS5" s="11"/>
      <c r="JCT5" s="11"/>
      <c r="JCU5" s="11"/>
      <c r="JCV5" s="11"/>
      <c r="JCW5" s="11"/>
      <c r="JCX5" s="11"/>
      <c r="JCY5" s="11"/>
      <c r="JCZ5" s="11"/>
      <c r="JDA5" s="11"/>
      <c r="JDB5" s="11"/>
      <c r="JDC5" s="11"/>
      <c r="JDD5" s="11"/>
      <c r="JDE5" s="11"/>
      <c r="JDF5" s="11"/>
      <c r="JDG5" s="11"/>
      <c r="JDH5" s="11"/>
      <c r="JDI5" s="11"/>
      <c r="JDJ5" s="11"/>
      <c r="JDK5" s="11"/>
      <c r="JDL5" s="11"/>
      <c r="JDM5" s="11"/>
      <c r="JDN5" s="11"/>
      <c r="JDO5" s="11"/>
      <c r="JDP5" s="11"/>
      <c r="JDQ5" s="11"/>
      <c r="JDR5" s="11"/>
      <c r="JDS5" s="11"/>
      <c r="JDT5" s="11"/>
      <c r="JDU5" s="11"/>
      <c r="JDV5" s="11"/>
      <c r="JDW5" s="11"/>
      <c r="JDX5" s="11"/>
      <c r="JDY5" s="11"/>
      <c r="JDZ5" s="11"/>
      <c r="JEA5" s="11"/>
      <c r="JEB5" s="11"/>
      <c r="JEC5" s="11"/>
      <c r="JED5" s="11"/>
      <c r="JEE5" s="11"/>
      <c r="JEF5" s="11"/>
      <c r="JEG5" s="11"/>
      <c r="JEH5" s="11"/>
      <c r="JEI5" s="11"/>
      <c r="JEJ5" s="11"/>
      <c r="JEK5" s="11"/>
      <c r="JEL5" s="11"/>
      <c r="JEM5" s="11"/>
      <c r="JEN5" s="11"/>
      <c r="JEO5" s="11"/>
      <c r="JEP5" s="11"/>
      <c r="JEQ5" s="11"/>
      <c r="JER5" s="11"/>
      <c r="JES5" s="11"/>
      <c r="JET5" s="11"/>
      <c r="JEU5" s="11"/>
      <c r="JEV5" s="11"/>
      <c r="JEW5" s="11"/>
      <c r="JEX5" s="11"/>
      <c r="JEY5" s="11"/>
      <c r="JEZ5" s="11"/>
      <c r="JFA5" s="11"/>
      <c r="JFB5" s="11"/>
      <c r="JFC5" s="11"/>
      <c r="JFD5" s="11"/>
      <c r="JFE5" s="11"/>
      <c r="JFF5" s="11"/>
      <c r="JFG5" s="11"/>
      <c r="JFH5" s="11"/>
      <c r="JFI5" s="11"/>
      <c r="JFJ5" s="11"/>
      <c r="JFK5" s="11"/>
      <c r="JFL5" s="11"/>
      <c r="JFM5" s="11"/>
      <c r="JFN5" s="11"/>
      <c r="JFO5" s="11"/>
      <c r="JFP5" s="11"/>
      <c r="JFQ5" s="11"/>
      <c r="JFR5" s="11"/>
      <c r="JFS5" s="11"/>
      <c r="JFT5" s="11"/>
      <c r="JFU5" s="11"/>
      <c r="JFV5" s="11"/>
      <c r="JFW5" s="11"/>
      <c r="JFX5" s="11"/>
      <c r="JFY5" s="11"/>
      <c r="JFZ5" s="11"/>
      <c r="JGA5" s="11"/>
      <c r="JGB5" s="11"/>
      <c r="JGC5" s="11"/>
      <c r="JGD5" s="11"/>
      <c r="JGE5" s="11"/>
      <c r="JGF5" s="11"/>
      <c r="JGG5" s="11"/>
      <c r="JGH5" s="11"/>
      <c r="JGI5" s="11"/>
      <c r="JGJ5" s="11"/>
      <c r="JGK5" s="11"/>
      <c r="JGL5" s="11"/>
      <c r="JGM5" s="11"/>
      <c r="JGN5" s="11"/>
      <c r="JGO5" s="11"/>
      <c r="JGP5" s="11"/>
      <c r="JGQ5" s="11"/>
      <c r="JGR5" s="11"/>
      <c r="JGS5" s="11"/>
      <c r="JGT5" s="11"/>
      <c r="JGU5" s="11"/>
      <c r="JGV5" s="11"/>
      <c r="JGW5" s="11"/>
      <c r="JGX5" s="11"/>
      <c r="JGY5" s="11"/>
      <c r="JGZ5" s="11"/>
      <c r="JHA5" s="11"/>
      <c r="JHB5" s="11"/>
      <c r="JHC5" s="11"/>
      <c r="JHD5" s="11"/>
      <c r="JHE5" s="11"/>
      <c r="JHF5" s="11"/>
      <c r="JHG5" s="11"/>
      <c r="JHH5" s="11"/>
      <c r="JHI5" s="11"/>
      <c r="JHJ5" s="11"/>
      <c r="JHK5" s="11"/>
      <c r="JHL5" s="11"/>
      <c r="JHM5" s="11"/>
      <c r="JHN5" s="11"/>
      <c r="JHO5" s="11"/>
      <c r="JHP5" s="11"/>
      <c r="JHQ5" s="11"/>
      <c r="JHR5" s="11"/>
      <c r="JHS5" s="11"/>
      <c r="JHT5" s="11"/>
      <c r="JHU5" s="11"/>
      <c r="JHV5" s="11"/>
      <c r="JHW5" s="11"/>
      <c r="JHX5" s="11"/>
      <c r="JHY5" s="11"/>
      <c r="JHZ5" s="11"/>
      <c r="JIA5" s="11"/>
      <c r="JIB5" s="11"/>
      <c r="JIC5" s="11"/>
      <c r="JID5" s="11"/>
      <c r="JIE5" s="11"/>
      <c r="JIF5" s="11"/>
      <c r="JIG5" s="11"/>
      <c r="JIH5" s="11"/>
      <c r="JII5" s="11"/>
      <c r="JIJ5" s="11"/>
      <c r="JIK5" s="11"/>
      <c r="JIL5" s="11"/>
      <c r="JIM5" s="11"/>
      <c r="JIN5" s="11"/>
      <c r="JIO5" s="11"/>
      <c r="JIP5" s="11"/>
      <c r="JIQ5" s="11"/>
      <c r="JIR5" s="11"/>
      <c r="JIS5" s="11"/>
      <c r="JIT5" s="11"/>
      <c r="JIU5" s="11"/>
      <c r="JIV5" s="11"/>
      <c r="JIW5" s="11"/>
      <c r="JIX5" s="11"/>
      <c r="JIY5" s="11"/>
      <c r="JIZ5" s="11"/>
      <c r="JJA5" s="11"/>
      <c r="JJB5" s="11"/>
      <c r="JJC5" s="11"/>
      <c r="JJD5" s="11"/>
      <c r="JJE5" s="11"/>
      <c r="JJF5" s="11"/>
      <c r="JJG5" s="11"/>
      <c r="JJH5" s="11"/>
      <c r="JJI5" s="11"/>
      <c r="JJJ5" s="11"/>
      <c r="JJK5" s="11"/>
      <c r="JJL5" s="11"/>
      <c r="JJM5" s="11"/>
      <c r="JJN5" s="11"/>
      <c r="JJO5" s="11"/>
      <c r="JJP5" s="11"/>
      <c r="JJQ5" s="11"/>
      <c r="JJR5" s="11"/>
      <c r="JJS5" s="11"/>
      <c r="JJT5" s="11"/>
      <c r="JJU5" s="11"/>
      <c r="JJV5" s="11"/>
      <c r="JJW5" s="11"/>
      <c r="JJX5" s="11"/>
      <c r="JJY5" s="11"/>
      <c r="JJZ5" s="11"/>
      <c r="JKA5" s="11"/>
      <c r="JKB5" s="11"/>
      <c r="JKC5" s="11"/>
      <c r="JKD5" s="11"/>
      <c r="JKE5" s="11"/>
      <c r="JKF5" s="11"/>
      <c r="JKG5" s="11"/>
      <c r="JKH5" s="11"/>
      <c r="JKI5" s="11"/>
      <c r="JKJ5" s="11"/>
      <c r="JKK5" s="11"/>
      <c r="JKL5" s="11"/>
      <c r="JKM5" s="11"/>
      <c r="JKN5" s="11"/>
      <c r="JKO5" s="11"/>
      <c r="JKP5" s="11"/>
      <c r="JKQ5" s="11"/>
      <c r="JKR5" s="11"/>
      <c r="JKS5" s="11"/>
      <c r="JKT5" s="11"/>
      <c r="JKU5" s="11"/>
      <c r="JKV5" s="11"/>
      <c r="JKW5" s="11"/>
      <c r="JKX5" s="11"/>
      <c r="JKY5" s="11"/>
      <c r="JKZ5" s="11"/>
      <c r="JLA5" s="11"/>
      <c r="JLB5" s="11"/>
      <c r="JLC5" s="11"/>
      <c r="JLD5" s="11"/>
      <c r="JLE5" s="11"/>
      <c r="JLF5" s="11"/>
      <c r="JLG5" s="11"/>
      <c r="JLH5" s="11"/>
      <c r="JLI5" s="11"/>
      <c r="JLJ5" s="11"/>
      <c r="JLK5" s="11"/>
      <c r="JLL5" s="11"/>
      <c r="JLM5" s="11"/>
      <c r="JLN5" s="11"/>
      <c r="JLO5" s="11"/>
      <c r="JLP5" s="11"/>
      <c r="JLQ5" s="11"/>
      <c r="JLR5" s="11"/>
      <c r="JLS5" s="11"/>
      <c r="JLT5" s="11"/>
      <c r="JLU5" s="11"/>
      <c r="JLV5" s="11"/>
      <c r="JLW5" s="11"/>
      <c r="JLX5" s="11"/>
      <c r="JLY5" s="11"/>
      <c r="JLZ5" s="11"/>
      <c r="JMA5" s="11"/>
      <c r="JMB5" s="11"/>
      <c r="JMC5" s="11"/>
      <c r="JMD5" s="11"/>
      <c r="JME5" s="11"/>
      <c r="JMF5" s="11"/>
      <c r="JMG5" s="11"/>
      <c r="JMH5" s="11"/>
      <c r="JMI5" s="11"/>
      <c r="JMJ5" s="11"/>
      <c r="JMK5" s="11"/>
      <c r="JML5" s="11"/>
      <c r="JMM5" s="11"/>
      <c r="JMN5" s="11"/>
      <c r="JMO5" s="11"/>
      <c r="JMP5" s="11"/>
      <c r="JMQ5" s="11"/>
      <c r="JMR5" s="11"/>
      <c r="JMS5" s="11"/>
      <c r="JMT5" s="11"/>
      <c r="JMU5" s="11"/>
      <c r="JMV5" s="11"/>
      <c r="JMW5" s="11"/>
      <c r="JMX5" s="11"/>
      <c r="JMY5" s="11"/>
      <c r="JMZ5" s="11"/>
      <c r="JNA5" s="11"/>
      <c r="JNB5" s="11"/>
      <c r="JNC5" s="11"/>
      <c r="JND5" s="11"/>
      <c r="JNE5" s="11"/>
      <c r="JNF5" s="11"/>
      <c r="JNG5" s="11"/>
      <c r="JNH5" s="11"/>
      <c r="JNI5" s="11"/>
      <c r="JNJ5" s="11"/>
      <c r="JNK5" s="11"/>
      <c r="JNL5" s="11"/>
      <c r="JNM5" s="11"/>
      <c r="JNN5" s="11"/>
      <c r="JNO5" s="11"/>
      <c r="JNP5" s="11"/>
      <c r="JNQ5" s="11"/>
      <c r="JNR5" s="11"/>
      <c r="JNS5" s="11"/>
      <c r="JNT5" s="11"/>
      <c r="JNU5" s="11"/>
      <c r="JNV5" s="11"/>
      <c r="JNW5" s="11"/>
      <c r="JNX5" s="11"/>
      <c r="JNY5" s="11"/>
      <c r="JNZ5" s="11"/>
      <c r="JOA5" s="11"/>
      <c r="JOB5" s="11"/>
      <c r="JOC5" s="11"/>
      <c r="JOD5" s="11"/>
      <c r="JOE5" s="11"/>
      <c r="JOF5" s="11"/>
      <c r="JOG5" s="11"/>
      <c r="JOH5" s="11"/>
      <c r="JOI5" s="11"/>
      <c r="JOJ5" s="11"/>
      <c r="JOK5" s="11"/>
      <c r="JOL5" s="11"/>
      <c r="JOM5" s="11"/>
      <c r="JON5" s="11"/>
      <c r="JOO5" s="11"/>
      <c r="JOP5" s="11"/>
      <c r="JOQ5" s="11"/>
      <c r="JOR5" s="11"/>
      <c r="JOS5" s="11"/>
      <c r="JOT5" s="11"/>
      <c r="JOU5" s="11"/>
      <c r="JOV5" s="11"/>
      <c r="JOW5" s="11"/>
      <c r="JOX5" s="11"/>
      <c r="JOY5" s="11"/>
      <c r="JOZ5" s="11"/>
      <c r="JPA5" s="11"/>
      <c r="JPB5" s="11"/>
      <c r="JPC5" s="11"/>
      <c r="JPD5" s="11"/>
      <c r="JPE5" s="11"/>
      <c r="JPF5" s="11"/>
      <c r="JPG5" s="11"/>
      <c r="JPH5" s="11"/>
      <c r="JPI5" s="11"/>
      <c r="JPJ5" s="11"/>
      <c r="JPK5" s="11"/>
      <c r="JPL5" s="11"/>
      <c r="JPM5" s="11"/>
      <c r="JPN5" s="11"/>
      <c r="JPO5" s="11"/>
      <c r="JPP5" s="11"/>
      <c r="JPQ5" s="11"/>
      <c r="JPR5" s="11"/>
      <c r="JPS5" s="11"/>
      <c r="JPT5" s="11"/>
      <c r="JPU5" s="11"/>
      <c r="JPV5" s="11"/>
      <c r="JPW5" s="11"/>
      <c r="JPX5" s="11"/>
      <c r="JPY5" s="11"/>
      <c r="JPZ5" s="11"/>
      <c r="JQA5" s="11"/>
      <c r="JQB5" s="11"/>
      <c r="JQC5" s="11"/>
      <c r="JQD5" s="11"/>
      <c r="JQE5" s="11"/>
      <c r="JQF5" s="11"/>
      <c r="JQG5" s="11"/>
      <c r="JQH5" s="11"/>
      <c r="JQI5" s="11"/>
      <c r="JQJ5" s="11"/>
      <c r="JQK5" s="11"/>
      <c r="JQL5" s="11"/>
      <c r="JQM5" s="11"/>
      <c r="JQN5" s="11"/>
      <c r="JQO5" s="11"/>
      <c r="JQP5" s="11"/>
      <c r="JQQ5" s="11"/>
      <c r="JQR5" s="11"/>
      <c r="JQS5" s="11"/>
      <c r="JQT5" s="11"/>
      <c r="JQU5" s="11"/>
      <c r="JQV5" s="11"/>
      <c r="JQW5" s="11"/>
      <c r="JQX5" s="11"/>
      <c r="JQY5" s="11"/>
      <c r="JQZ5" s="11"/>
      <c r="JRA5" s="11"/>
      <c r="JRB5" s="11"/>
      <c r="JRC5" s="11"/>
      <c r="JRD5" s="11"/>
      <c r="JRE5" s="11"/>
      <c r="JRF5" s="11"/>
      <c r="JRG5" s="11"/>
      <c r="JRH5" s="11"/>
      <c r="JRI5" s="11"/>
      <c r="JRJ5" s="11"/>
      <c r="JRK5" s="11"/>
      <c r="JRL5" s="11"/>
      <c r="JRM5" s="11"/>
      <c r="JRN5" s="11"/>
      <c r="JRO5" s="11"/>
      <c r="JRP5" s="11"/>
      <c r="JRQ5" s="11"/>
      <c r="JRR5" s="11"/>
      <c r="JRS5" s="11"/>
      <c r="JRT5" s="11"/>
      <c r="JRU5" s="11"/>
      <c r="JRV5" s="11"/>
      <c r="JRW5" s="11"/>
      <c r="JRX5" s="11"/>
      <c r="JRY5" s="11"/>
      <c r="JRZ5" s="11"/>
      <c r="JSA5" s="11"/>
      <c r="JSB5" s="11"/>
      <c r="JSC5" s="11"/>
      <c r="JSD5" s="11"/>
      <c r="JSE5" s="11"/>
      <c r="JSF5" s="11"/>
      <c r="JSG5" s="11"/>
      <c r="JSH5" s="11"/>
      <c r="JSI5" s="11"/>
      <c r="JSJ5" s="11"/>
      <c r="JSK5" s="11"/>
      <c r="JSL5" s="11"/>
      <c r="JSM5" s="11"/>
      <c r="JSN5" s="11"/>
      <c r="JSO5" s="11"/>
      <c r="JSP5" s="11"/>
      <c r="JSQ5" s="11"/>
      <c r="JSR5" s="11"/>
      <c r="JSS5" s="11"/>
      <c r="JST5" s="11"/>
      <c r="JSU5" s="11"/>
      <c r="JSV5" s="11"/>
      <c r="JSW5" s="11"/>
      <c r="JSX5" s="11"/>
      <c r="JSY5" s="11"/>
      <c r="JSZ5" s="11"/>
      <c r="JTA5" s="11"/>
      <c r="JTB5" s="11"/>
      <c r="JTC5" s="11"/>
      <c r="JTD5" s="11"/>
      <c r="JTE5" s="11"/>
      <c r="JTF5" s="11"/>
      <c r="JTG5" s="11"/>
      <c r="JTH5" s="11"/>
      <c r="JTI5" s="11"/>
      <c r="JTJ5" s="11"/>
      <c r="JTK5" s="11"/>
      <c r="JTL5" s="11"/>
      <c r="JTM5" s="11"/>
      <c r="JTN5" s="11"/>
      <c r="JTO5" s="11"/>
      <c r="JTP5" s="11"/>
      <c r="JTQ5" s="11"/>
      <c r="JTR5" s="11"/>
      <c r="JTS5" s="11"/>
      <c r="JTT5" s="11"/>
      <c r="JTU5" s="11"/>
      <c r="JTV5" s="11"/>
      <c r="JTW5" s="11"/>
      <c r="JTX5" s="11"/>
      <c r="JTY5" s="11"/>
      <c r="JTZ5" s="11"/>
      <c r="JUA5" s="11"/>
      <c r="JUB5" s="11"/>
      <c r="JUC5" s="11"/>
      <c r="JUD5" s="11"/>
      <c r="JUE5" s="11"/>
      <c r="JUF5" s="11"/>
      <c r="JUG5" s="11"/>
      <c r="JUH5" s="11"/>
      <c r="JUI5" s="11"/>
      <c r="JUJ5" s="11"/>
      <c r="JUK5" s="11"/>
      <c r="JUL5" s="11"/>
      <c r="JUM5" s="11"/>
      <c r="JUN5" s="11"/>
      <c r="JUO5" s="11"/>
      <c r="JUP5" s="11"/>
      <c r="JUQ5" s="11"/>
      <c r="JUR5" s="11"/>
      <c r="JUS5" s="11"/>
      <c r="JUT5" s="11"/>
      <c r="JUU5" s="11"/>
      <c r="JUV5" s="11"/>
      <c r="JUW5" s="11"/>
      <c r="JUX5" s="11"/>
      <c r="JUY5" s="11"/>
      <c r="JUZ5" s="11"/>
      <c r="JVA5" s="11"/>
      <c r="JVB5" s="11"/>
      <c r="JVC5" s="11"/>
      <c r="JVD5" s="11"/>
      <c r="JVE5" s="11"/>
      <c r="JVF5" s="11"/>
      <c r="JVG5" s="11"/>
      <c r="JVH5" s="11"/>
      <c r="JVI5" s="11"/>
      <c r="JVJ5" s="11"/>
      <c r="JVK5" s="11"/>
      <c r="JVL5" s="11"/>
      <c r="JVM5" s="11"/>
      <c r="JVN5" s="11"/>
      <c r="JVO5" s="11"/>
      <c r="JVP5" s="11"/>
      <c r="JVQ5" s="11"/>
      <c r="JVR5" s="11"/>
      <c r="JVS5" s="11"/>
      <c r="JVT5" s="11"/>
      <c r="JVU5" s="11"/>
      <c r="JVV5" s="11"/>
      <c r="JVW5" s="11"/>
      <c r="JVX5" s="11"/>
      <c r="JVY5" s="11"/>
      <c r="JVZ5" s="11"/>
      <c r="JWA5" s="11"/>
      <c r="JWB5" s="11"/>
      <c r="JWC5" s="11"/>
      <c r="JWD5" s="11"/>
      <c r="JWE5" s="11"/>
      <c r="JWF5" s="11"/>
      <c r="JWG5" s="11"/>
      <c r="JWH5" s="11"/>
      <c r="JWI5" s="11"/>
      <c r="JWJ5" s="11"/>
      <c r="JWK5" s="11"/>
      <c r="JWL5" s="11"/>
      <c r="JWM5" s="11"/>
      <c r="JWN5" s="11"/>
      <c r="JWO5" s="11"/>
      <c r="JWP5" s="11"/>
      <c r="JWQ5" s="11"/>
      <c r="JWR5" s="11"/>
      <c r="JWS5" s="11"/>
      <c r="JWT5" s="11"/>
      <c r="JWU5" s="11"/>
      <c r="JWV5" s="11"/>
      <c r="JWW5" s="11"/>
      <c r="JWX5" s="11"/>
      <c r="JWY5" s="11"/>
      <c r="JWZ5" s="11"/>
      <c r="JXA5" s="11"/>
      <c r="JXB5" s="11"/>
      <c r="JXC5" s="11"/>
      <c r="JXD5" s="11"/>
      <c r="JXE5" s="11"/>
      <c r="JXF5" s="11"/>
      <c r="JXG5" s="11"/>
      <c r="JXH5" s="11"/>
      <c r="JXI5" s="11"/>
      <c r="JXJ5" s="11"/>
      <c r="JXK5" s="11"/>
      <c r="JXL5" s="11"/>
      <c r="JXM5" s="11"/>
      <c r="JXN5" s="11"/>
      <c r="JXO5" s="11"/>
      <c r="JXP5" s="11"/>
      <c r="JXQ5" s="11"/>
      <c r="JXR5" s="11"/>
      <c r="JXS5" s="11"/>
      <c r="JXT5" s="11"/>
      <c r="JXU5" s="11"/>
      <c r="JXV5" s="11"/>
      <c r="JXW5" s="11"/>
      <c r="JXX5" s="11"/>
      <c r="JXY5" s="11"/>
      <c r="JXZ5" s="11"/>
      <c r="JYA5" s="11"/>
      <c r="JYB5" s="11"/>
      <c r="JYC5" s="11"/>
      <c r="JYD5" s="11"/>
      <c r="JYE5" s="11"/>
      <c r="JYF5" s="11"/>
      <c r="JYG5" s="11"/>
      <c r="JYH5" s="11"/>
      <c r="JYI5" s="11"/>
      <c r="JYJ5" s="11"/>
      <c r="JYK5" s="11"/>
      <c r="JYL5" s="11"/>
      <c r="JYM5" s="11"/>
      <c r="JYN5" s="11"/>
      <c r="JYO5" s="11"/>
      <c r="JYP5" s="11"/>
      <c r="JYQ5" s="11"/>
      <c r="JYR5" s="11"/>
      <c r="JYS5" s="11"/>
      <c r="JYT5" s="11"/>
      <c r="JYU5" s="11"/>
      <c r="JYV5" s="11"/>
      <c r="JYW5" s="11"/>
      <c r="JYX5" s="11"/>
      <c r="JYY5" s="11"/>
      <c r="JYZ5" s="11"/>
      <c r="JZA5" s="11"/>
      <c r="JZB5" s="11"/>
      <c r="JZC5" s="11"/>
      <c r="JZD5" s="11"/>
      <c r="JZE5" s="11"/>
      <c r="JZF5" s="11"/>
      <c r="JZG5" s="11"/>
      <c r="JZH5" s="11"/>
      <c r="JZI5" s="11"/>
      <c r="JZJ5" s="11"/>
      <c r="JZK5" s="11"/>
      <c r="JZL5" s="11"/>
      <c r="JZM5" s="11"/>
      <c r="JZN5" s="11"/>
      <c r="JZO5" s="11"/>
      <c r="JZP5" s="11"/>
      <c r="JZQ5" s="11"/>
      <c r="JZR5" s="11"/>
      <c r="JZS5" s="11"/>
      <c r="JZT5" s="11"/>
      <c r="JZU5" s="11"/>
      <c r="JZV5" s="11"/>
      <c r="JZW5" s="11"/>
      <c r="JZX5" s="11"/>
      <c r="JZY5" s="11"/>
      <c r="JZZ5" s="11"/>
      <c r="KAA5" s="11"/>
      <c r="KAB5" s="11"/>
      <c r="KAC5" s="11"/>
      <c r="KAD5" s="11"/>
      <c r="KAE5" s="11"/>
      <c r="KAF5" s="11"/>
      <c r="KAG5" s="11"/>
      <c r="KAH5" s="11"/>
      <c r="KAI5" s="11"/>
      <c r="KAJ5" s="11"/>
      <c r="KAK5" s="11"/>
      <c r="KAL5" s="11"/>
      <c r="KAM5" s="11"/>
      <c r="KAN5" s="11"/>
      <c r="KAO5" s="11"/>
      <c r="KAP5" s="11"/>
      <c r="KAQ5" s="11"/>
      <c r="KAR5" s="11"/>
      <c r="KAS5" s="11"/>
      <c r="KAT5" s="11"/>
      <c r="KAU5" s="11"/>
      <c r="KAV5" s="11"/>
      <c r="KAW5" s="11"/>
      <c r="KAX5" s="11"/>
      <c r="KAY5" s="11"/>
      <c r="KAZ5" s="11"/>
      <c r="KBA5" s="11"/>
      <c r="KBB5" s="11"/>
      <c r="KBC5" s="11"/>
      <c r="KBD5" s="11"/>
      <c r="KBE5" s="11"/>
      <c r="KBF5" s="11"/>
      <c r="KBG5" s="11"/>
      <c r="KBH5" s="11"/>
      <c r="KBI5" s="11"/>
      <c r="KBJ5" s="11"/>
      <c r="KBK5" s="11"/>
      <c r="KBL5" s="11"/>
      <c r="KBM5" s="11"/>
      <c r="KBN5" s="11"/>
      <c r="KBO5" s="11"/>
      <c r="KBP5" s="11"/>
      <c r="KBQ5" s="11"/>
      <c r="KBR5" s="11"/>
      <c r="KBS5" s="11"/>
      <c r="KBT5" s="11"/>
      <c r="KBU5" s="11"/>
      <c r="KBV5" s="11"/>
      <c r="KBW5" s="11"/>
      <c r="KBX5" s="11"/>
      <c r="KBY5" s="11"/>
      <c r="KBZ5" s="11"/>
      <c r="KCA5" s="11"/>
      <c r="KCB5" s="11"/>
      <c r="KCC5" s="11"/>
      <c r="KCD5" s="11"/>
      <c r="KCE5" s="11"/>
      <c r="KCF5" s="11"/>
      <c r="KCG5" s="11"/>
      <c r="KCH5" s="11"/>
      <c r="KCI5" s="11"/>
      <c r="KCJ5" s="11"/>
      <c r="KCK5" s="11"/>
      <c r="KCL5" s="11"/>
      <c r="KCM5" s="11"/>
      <c r="KCN5" s="11"/>
      <c r="KCO5" s="11"/>
      <c r="KCP5" s="11"/>
      <c r="KCQ5" s="11"/>
      <c r="KCR5" s="11"/>
      <c r="KCS5" s="11"/>
      <c r="KCT5" s="11"/>
      <c r="KCU5" s="11"/>
      <c r="KCV5" s="11"/>
      <c r="KCW5" s="11"/>
      <c r="KCX5" s="11"/>
      <c r="KCY5" s="11"/>
      <c r="KCZ5" s="11"/>
      <c r="KDA5" s="11"/>
      <c r="KDB5" s="11"/>
      <c r="KDC5" s="11"/>
      <c r="KDD5" s="11"/>
      <c r="KDE5" s="11"/>
      <c r="KDF5" s="11"/>
      <c r="KDG5" s="11"/>
      <c r="KDH5" s="11"/>
      <c r="KDI5" s="11"/>
      <c r="KDJ5" s="11"/>
      <c r="KDK5" s="11"/>
      <c r="KDL5" s="11"/>
      <c r="KDM5" s="11"/>
      <c r="KDN5" s="11"/>
      <c r="KDO5" s="11"/>
      <c r="KDP5" s="11"/>
      <c r="KDQ5" s="11"/>
      <c r="KDR5" s="11"/>
      <c r="KDS5" s="11"/>
      <c r="KDT5" s="11"/>
      <c r="KDU5" s="11"/>
      <c r="KDV5" s="11"/>
      <c r="KDW5" s="11"/>
      <c r="KDX5" s="11"/>
      <c r="KDY5" s="11"/>
      <c r="KDZ5" s="11"/>
      <c r="KEA5" s="11"/>
      <c r="KEB5" s="11"/>
      <c r="KEC5" s="11"/>
      <c r="KED5" s="11"/>
      <c r="KEE5" s="11"/>
      <c r="KEF5" s="11"/>
      <c r="KEG5" s="11"/>
      <c r="KEH5" s="11"/>
      <c r="KEI5" s="11"/>
      <c r="KEJ5" s="11"/>
      <c r="KEK5" s="11"/>
      <c r="KEL5" s="11"/>
      <c r="KEM5" s="11"/>
      <c r="KEN5" s="11"/>
      <c r="KEO5" s="11"/>
      <c r="KEP5" s="11"/>
      <c r="KEQ5" s="11"/>
      <c r="KER5" s="11"/>
      <c r="KES5" s="11"/>
      <c r="KET5" s="11"/>
      <c r="KEU5" s="11"/>
      <c r="KEV5" s="11"/>
      <c r="KEW5" s="11"/>
      <c r="KEX5" s="11"/>
      <c r="KEY5" s="11"/>
      <c r="KEZ5" s="11"/>
      <c r="KFA5" s="11"/>
      <c r="KFB5" s="11"/>
      <c r="KFC5" s="11"/>
      <c r="KFD5" s="11"/>
      <c r="KFE5" s="11"/>
      <c r="KFF5" s="11"/>
      <c r="KFG5" s="11"/>
      <c r="KFH5" s="11"/>
      <c r="KFI5" s="11"/>
      <c r="KFJ5" s="11"/>
      <c r="KFK5" s="11"/>
      <c r="KFL5" s="11"/>
      <c r="KFM5" s="11"/>
      <c r="KFN5" s="11"/>
      <c r="KFO5" s="11"/>
      <c r="KFP5" s="11"/>
      <c r="KFQ5" s="11"/>
      <c r="KFR5" s="11"/>
      <c r="KFS5" s="11"/>
      <c r="KFT5" s="11"/>
      <c r="KFU5" s="11"/>
      <c r="KFV5" s="11"/>
      <c r="KFW5" s="11"/>
      <c r="KFX5" s="11"/>
      <c r="KFY5" s="11"/>
      <c r="KFZ5" s="11"/>
      <c r="KGA5" s="11"/>
      <c r="KGB5" s="11"/>
      <c r="KGC5" s="11"/>
      <c r="KGD5" s="11"/>
      <c r="KGE5" s="11"/>
      <c r="KGF5" s="11"/>
      <c r="KGG5" s="11"/>
      <c r="KGH5" s="11"/>
      <c r="KGI5" s="11"/>
      <c r="KGJ5" s="11"/>
      <c r="KGK5" s="11"/>
      <c r="KGL5" s="11"/>
      <c r="KGM5" s="11"/>
      <c r="KGN5" s="11"/>
      <c r="KGO5" s="11"/>
      <c r="KGP5" s="11"/>
      <c r="KGQ5" s="11"/>
      <c r="KGR5" s="11"/>
      <c r="KGS5" s="11"/>
      <c r="KGT5" s="11"/>
      <c r="KGU5" s="11"/>
      <c r="KGV5" s="11"/>
      <c r="KGW5" s="11"/>
      <c r="KGX5" s="11"/>
      <c r="KGY5" s="11"/>
      <c r="KGZ5" s="11"/>
      <c r="KHA5" s="11"/>
      <c r="KHB5" s="11"/>
      <c r="KHC5" s="11"/>
      <c r="KHD5" s="11"/>
      <c r="KHE5" s="11"/>
      <c r="KHF5" s="11"/>
      <c r="KHG5" s="11"/>
      <c r="KHH5" s="11"/>
      <c r="KHI5" s="11"/>
      <c r="KHJ5" s="11"/>
      <c r="KHK5" s="11"/>
      <c r="KHL5" s="11"/>
      <c r="KHM5" s="11"/>
      <c r="KHN5" s="11"/>
      <c r="KHO5" s="11"/>
      <c r="KHP5" s="11"/>
      <c r="KHQ5" s="11"/>
      <c r="KHR5" s="11"/>
      <c r="KHS5" s="11"/>
      <c r="KHT5" s="11"/>
      <c r="KHU5" s="11"/>
      <c r="KHV5" s="11"/>
      <c r="KHW5" s="11"/>
      <c r="KHX5" s="11"/>
      <c r="KHY5" s="11"/>
      <c r="KHZ5" s="11"/>
      <c r="KIA5" s="11"/>
      <c r="KIB5" s="11"/>
      <c r="KIC5" s="11"/>
      <c r="KID5" s="11"/>
      <c r="KIE5" s="11"/>
      <c r="KIF5" s="11"/>
      <c r="KIG5" s="11"/>
      <c r="KIH5" s="11"/>
      <c r="KII5" s="11"/>
      <c r="KIJ5" s="11"/>
      <c r="KIK5" s="11"/>
      <c r="KIL5" s="11"/>
      <c r="KIM5" s="11"/>
      <c r="KIN5" s="11"/>
      <c r="KIO5" s="11"/>
      <c r="KIP5" s="11"/>
      <c r="KIQ5" s="11"/>
      <c r="KIR5" s="11"/>
      <c r="KIS5" s="11"/>
      <c r="KIT5" s="11"/>
      <c r="KIU5" s="11"/>
      <c r="KIV5" s="11"/>
      <c r="KIW5" s="11"/>
      <c r="KIX5" s="11"/>
      <c r="KIY5" s="11"/>
      <c r="KIZ5" s="11"/>
      <c r="KJA5" s="11"/>
      <c r="KJB5" s="11"/>
      <c r="KJC5" s="11"/>
      <c r="KJD5" s="11"/>
      <c r="KJE5" s="11"/>
      <c r="KJF5" s="11"/>
      <c r="KJG5" s="11"/>
      <c r="KJH5" s="11"/>
      <c r="KJI5" s="11"/>
      <c r="KJJ5" s="11"/>
      <c r="KJK5" s="11"/>
      <c r="KJL5" s="11"/>
      <c r="KJM5" s="11"/>
      <c r="KJN5" s="11"/>
      <c r="KJO5" s="11"/>
      <c r="KJP5" s="11"/>
      <c r="KJQ5" s="11"/>
      <c r="KJR5" s="11"/>
      <c r="KJS5" s="11"/>
      <c r="KJT5" s="11"/>
      <c r="KJU5" s="11"/>
      <c r="KJV5" s="11"/>
      <c r="KJW5" s="11"/>
      <c r="KJX5" s="11"/>
      <c r="KJY5" s="11"/>
      <c r="KJZ5" s="11"/>
      <c r="KKA5" s="11"/>
      <c r="KKB5" s="11"/>
      <c r="KKC5" s="11"/>
      <c r="KKD5" s="11"/>
      <c r="KKE5" s="11"/>
      <c r="KKF5" s="11"/>
      <c r="KKG5" s="11"/>
      <c r="KKH5" s="11"/>
      <c r="KKI5" s="11"/>
      <c r="KKJ5" s="11"/>
      <c r="KKK5" s="11"/>
      <c r="KKL5" s="11"/>
      <c r="KKM5" s="11"/>
      <c r="KKN5" s="11"/>
      <c r="KKO5" s="11"/>
      <c r="KKP5" s="11"/>
      <c r="KKQ5" s="11"/>
      <c r="KKR5" s="11"/>
      <c r="KKS5" s="11"/>
      <c r="KKT5" s="11"/>
      <c r="KKU5" s="11"/>
      <c r="KKV5" s="11"/>
      <c r="KKW5" s="11"/>
      <c r="KKX5" s="11"/>
      <c r="KKY5" s="11"/>
      <c r="KKZ5" s="11"/>
      <c r="KLA5" s="11"/>
      <c r="KLB5" s="11"/>
      <c r="KLC5" s="11"/>
      <c r="KLD5" s="11"/>
      <c r="KLE5" s="11"/>
      <c r="KLF5" s="11"/>
      <c r="KLG5" s="11"/>
      <c r="KLH5" s="11"/>
      <c r="KLI5" s="11"/>
      <c r="KLJ5" s="11"/>
      <c r="KLK5" s="11"/>
      <c r="KLL5" s="11"/>
      <c r="KLM5" s="11"/>
      <c r="KLN5" s="11"/>
      <c r="KLO5" s="11"/>
      <c r="KLP5" s="11"/>
      <c r="KLQ5" s="11"/>
      <c r="KLR5" s="11"/>
      <c r="KLS5" s="11"/>
      <c r="KLT5" s="11"/>
      <c r="KLU5" s="11"/>
      <c r="KLV5" s="11"/>
      <c r="KLW5" s="11"/>
      <c r="KLX5" s="11"/>
      <c r="KLY5" s="11"/>
      <c r="KLZ5" s="11"/>
      <c r="KMA5" s="11"/>
      <c r="KMB5" s="11"/>
      <c r="KMC5" s="11"/>
      <c r="KMD5" s="11"/>
      <c r="KME5" s="11"/>
      <c r="KMF5" s="11"/>
      <c r="KMG5" s="11"/>
      <c r="KMH5" s="11"/>
      <c r="KMI5" s="11"/>
      <c r="KMJ5" s="11"/>
      <c r="KMK5" s="11"/>
      <c r="KML5" s="11"/>
      <c r="KMM5" s="11"/>
      <c r="KMN5" s="11"/>
      <c r="KMO5" s="11"/>
      <c r="KMP5" s="11"/>
      <c r="KMQ5" s="11"/>
      <c r="KMR5" s="11"/>
      <c r="KMS5" s="11"/>
      <c r="KMT5" s="11"/>
      <c r="KMU5" s="11"/>
      <c r="KMV5" s="11"/>
      <c r="KMW5" s="11"/>
      <c r="KMX5" s="11"/>
      <c r="KMY5" s="11"/>
      <c r="KMZ5" s="11"/>
      <c r="KNA5" s="11"/>
      <c r="KNB5" s="11"/>
      <c r="KNC5" s="11"/>
      <c r="KND5" s="11"/>
      <c r="KNE5" s="11"/>
      <c r="KNF5" s="11"/>
      <c r="KNG5" s="11"/>
      <c r="KNH5" s="11"/>
      <c r="KNI5" s="11"/>
      <c r="KNJ5" s="11"/>
      <c r="KNK5" s="11"/>
      <c r="KNL5" s="11"/>
      <c r="KNM5" s="11"/>
      <c r="KNN5" s="11"/>
      <c r="KNO5" s="11"/>
      <c r="KNP5" s="11"/>
      <c r="KNQ5" s="11"/>
      <c r="KNR5" s="11"/>
      <c r="KNS5" s="11"/>
      <c r="KNT5" s="11"/>
      <c r="KNU5" s="11"/>
      <c r="KNV5" s="11"/>
      <c r="KNW5" s="11"/>
      <c r="KNX5" s="11"/>
      <c r="KNY5" s="11"/>
      <c r="KNZ5" s="11"/>
      <c r="KOA5" s="11"/>
      <c r="KOB5" s="11"/>
      <c r="KOC5" s="11"/>
      <c r="KOD5" s="11"/>
      <c r="KOE5" s="11"/>
      <c r="KOF5" s="11"/>
      <c r="KOG5" s="11"/>
      <c r="KOH5" s="11"/>
      <c r="KOI5" s="11"/>
      <c r="KOJ5" s="11"/>
      <c r="KOK5" s="11"/>
      <c r="KOL5" s="11"/>
      <c r="KOM5" s="11"/>
      <c r="KON5" s="11"/>
      <c r="KOO5" s="11"/>
      <c r="KOP5" s="11"/>
      <c r="KOQ5" s="11"/>
      <c r="KOR5" s="11"/>
      <c r="KOS5" s="11"/>
      <c r="KOT5" s="11"/>
      <c r="KOU5" s="11"/>
      <c r="KOV5" s="11"/>
      <c r="KOW5" s="11"/>
      <c r="KOX5" s="11"/>
      <c r="KOY5" s="11"/>
      <c r="KOZ5" s="11"/>
      <c r="KPA5" s="11"/>
      <c r="KPB5" s="11"/>
      <c r="KPC5" s="11"/>
      <c r="KPD5" s="11"/>
      <c r="KPE5" s="11"/>
      <c r="KPF5" s="11"/>
      <c r="KPG5" s="11"/>
      <c r="KPH5" s="11"/>
      <c r="KPI5" s="11"/>
      <c r="KPJ5" s="11"/>
      <c r="KPK5" s="11"/>
      <c r="KPL5" s="11"/>
      <c r="KPM5" s="11"/>
      <c r="KPN5" s="11"/>
      <c r="KPO5" s="11"/>
      <c r="KPP5" s="11"/>
      <c r="KPQ5" s="11"/>
      <c r="KPR5" s="11"/>
      <c r="KPS5" s="11"/>
      <c r="KPT5" s="11"/>
      <c r="KPU5" s="11"/>
      <c r="KPV5" s="11"/>
      <c r="KPW5" s="11"/>
      <c r="KPX5" s="11"/>
      <c r="KPY5" s="11"/>
      <c r="KPZ5" s="11"/>
      <c r="KQA5" s="11"/>
      <c r="KQB5" s="11"/>
      <c r="KQC5" s="11"/>
      <c r="KQD5" s="11"/>
      <c r="KQE5" s="11"/>
      <c r="KQF5" s="11"/>
      <c r="KQG5" s="11"/>
      <c r="KQH5" s="11"/>
      <c r="KQI5" s="11"/>
      <c r="KQJ5" s="11"/>
      <c r="KQK5" s="11"/>
      <c r="KQL5" s="11"/>
      <c r="KQM5" s="11"/>
      <c r="KQN5" s="11"/>
      <c r="KQO5" s="11"/>
      <c r="KQP5" s="11"/>
      <c r="KQQ5" s="11"/>
      <c r="KQR5" s="11"/>
      <c r="KQS5" s="11"/>
      <c r="KQT5" s="11"/>
      <c r="KQU5" s="11"/>
      <c r="KQV5" s="11"/>
      <c r="KQW5" s="11"/>
      <c r="KQX5" s="11"/>
      <c r="KQY5" s="11"/>
      <c r="KQZ5" s="11"/>
      <c r="KRA5" s="11"/>
      <c r="KRB5" s="11"/>
      <c r="KRC5" s="11"/>
      <c r="KRD5" s="11"/>
      <c r="KRE5" s="11"/>
      <c r="KRF5" s="11"/>
      <c r="KRG5" s="11"/>
      <c r="KRH5" s="11"/>
      <c r="KRI5" s="11"/>
      <c r="KRJ5" s="11"/>
      <c r="KRK5" s="11"/>
      <c r="KRL5" s="11"/>
      <c r="KRM5" s="11"/>
      <c r="KRN5" s="11"/>
      <c r="KRO5" s="11"/>
      <c r="KRP5" s="11"/>
      <c r="KRQ5" s="11"/>
      <c r="KRR5" s="11"/>
      <c r="KRS5" s="11"/>
      <c r="KRT5" s="11"/>
      <c r="KRU5" s="11"/>
      <c r="KRV5" s="11"/>
      <c r="KRW5" s="11"/>
      <c r="KRX5" s="11"/>
      <c r="KRY5" s="11"/>
      <c r="KRZ5" s="11"/>
      <c r="KSA5" s="11"/>
      <c r="KSB5" s="11"/>
      <c r="KSC5" s="11"/>
      <c r="KSD5" s="11"/>
      <c r="KSE5" s="11"/>
      <c r="KSF5" s="11"/>
      <c r="KSG5" s="11"/>
      <c r="KSH5" s="11"/>
      <c r="KSI5" s="11"/>
      <c r="KSJ5" s="11"/>
      <c r="KSK5" s="11"/>
      <c r="KSL5" s="11"/>
      <c r="KSM5" s="11"/>
      <c r="KSN5" s="11"/>
      <c r="KSO5" s="11"/>
      <c r="KSP5" s="11"/>
      <c r="KSQ5" s="11"/>
      <c r="KSR5" s="11"/>
      <c r="KSS5" s="11"/>
      <c r="KST5" s="11"/>
      <c r="KSU5" s="11"/>
      <c r="KSV5" s="11"/>
      <c r="KSW5" s="11"/>
      <c r="KSX5" s="11"/>
      <c r="KSY5" s="11"/>
      <c r="KSZ5" s="11"/>
      <c r="KTA5" s="11"/>
      <c r="KTB5" s="11"/>
      <c r="KTC5" s="11"/>
      <c r="KTD5" s="11"/>
      <c r="KTE5" s="11"/>
      <c r="KTF5" s="11"/>
      <c r="KTG5" s="11"/>
      <c r="KTH5" s="11"/>
      <c r="KTI5" s="11"/>
      <c r="KTJ5" s="11"/>
      <c r="KTK5" s="11"/>
      <c r="KTL5" s="11"/>
      <c r="KTM5" s="11"/>
      <c r="KTN5" s="11"/>
      <c r="KTO5" s="11"/>
      <c r="KTP5" s="11"/>
      <c r="KTQ5" s="11"/>
      <c r="KTR5" s="11"/>
      <c r="KTS5" s="11"/>
      <c r="KTT5" s="11"/>
      <c r="KTU5" s="11"/>
      <c r="KTV5" s="11"/>
      <c r="KTW5" s="11"/>
      <c r="KTX5" s="11"/>
      <c r="KTY5" s="11"/>
      <c r="KTZ5" s="11"/>
      <c r="KUA5" s="11"/>
      <c r="KUB5" s="11"/>
      <c r="KUC5" s="11"/>
      <c r="KUD5" s="11"/>
      <c r="KUE5" s="11"/>
      <c r="KUF5" s="11"/>
      <c r="KUG5" s="11"/>
      <c r="KUH5" s="11"/>
      <c r="KUI5" s="11"/>
      <c r="KUJ5" s="11"/>
      <c r="KUK5" s="11"/>
      <c r="KUL5" s="11"/>
      <c r="KUM5" s="11"/>
      <c r="KUN5" s="11"/>
      <c r="KUO5" s="11"/>
      <c r="KUP5" s="11"/>
      <c r="KUQ5" s="11"/>
      <c r="KUR5" s="11"/>
      <c r="KUS5" s="11"/>
      <c r="KUT5" s="11"/>
      <c r="KUU5" s="11"/>
      <c r="KUV5" s="11"/>
      <c r="KUW5" s="11"/>
      <c r="KUX5" s="11"/>
      <c r="KUY5" s="11"/>
      <c r="KUZ5" s="11"/>
      <c r="KVA5" s="11"/>
      <c r="KVB5" s="11"/>
      <c r="KVC5" s="11"/>
      <c r="KVD5" s="11"/>
      <c r="KVE5" s="11"/>
      <c r="KVF5" s="11"/>
      <c r="KVG5" s="11"/>
      <c r="KVH5" s="11"/>
      <c r="KVI5" s="11"/>
      <c r="KVJ5" s="11"/>
      <c r="KVK5" s="11"/>
      <c r="KVL5" s="11"/>
      <c r="KVM5" s="11"/>
      <c r="KVN5" s="11"/>
      <c r="KVO5" s="11"/>
      <c r="KVP5" s="11"/>
      <c r="KVQ5" s="11"/>
      <c r="KVR5" s="11"/>
      <c r="KVS5" s="11"/>
      <c r="KVT5" s="11"/>
      <c r="KVU5" s="11"/>
      <c r="KVV5" s="11"/>
      <c r="KVW5" s="11"/>
      <c r="KVX5" s="11"/>
      <c r="KVY5" s="11"/>
      <c r="KVZ5" s="11"/>
      <c r="KWA5" s="11"/>
      <c r="KWB5" s="11"/>
      <c r="KWC5" s="11"/>
      <c r="KWD5" s="11"/>
      <c r="KWE5" s="11"/>
      <c r="KWF5" s="11"/>
      <c r="KWG5" s="11"/>
      <c r="KWH5" s="11"/>
      <c r="KWI5" s="11"/>
      <c r="KWJ5" s="11"/>
      <c r="KWK5" s="11"/>
      <c r="KWL5" s="11"/>
      <c r="KWM5" s="11"/>
      <c r="KWN5" s="11"/>
      <c r="KWO5" s="11"/>
      <c r="KWP5" s="11"/>
      <c r="KWQ5" s="11"/>
      <c r="KWR5" s="11"/>
      <c r="KWS5" s="11"/>
      <c r="KWT5" s="11"/>
      <c r="KWU5" s="11"/>
      <c r="KWV5" s="11"/>
      <c r="KWW5" s="11"/>
      <c r="KWX5" s="11"/>
      <c r="KWY5" s="11"/>
      <c r="KWZ5" s="11"/>
      <c r="KXA5" s="11"/>
      <c r="KXB5" s="11"/>
      <c r="KXC5" s="11"/>
      <c r="KXD5" s="11"/>
      <c r="KXE5" s="11"/>
      <c r="KXF5" s="11"/>
      <c r="KXG5" s="11"/>
      <c r="KXH5" s="11"/>
      <c r="KXI5" s="11"/>
      <c r="KXJ5" s="11"/>
      <c r="KXK5" s="11"/>
      <c r="KXL5" s="11"/>
      <c r="KXM5" s="11"/>
      <c r="KXN5" s="11"/>
      <c r="KXO5" s="11"/>
      <c r="KXP5" s="11"/>
      <c r="KXQ5" s="11"/>
      <c r="KXR5" s="11"/>
      <c r="KXS5" s="11"/>
      <c r="KXT5" s="11"/>
      <c r="KXU5" s="11"/>
      <c r="KXV5" s="11"/>
      <c r="KXW5" s="11"/>
      <c r="KXX5" s="11"/>
      <c r="KXY5" s="11"/>
      <c r="KXZ5" s="11"/>
      <c r="KYA5" s="11"/>
      <c r="KYB5" s="11"/>
      <c r="KYC5" s="11"/>
      <c r="KYD5" s="11"/>
      <c r="KYE5" s="11"/>
      <c r="KYF5" s="11"/>
      <c r="KYG5" s="11"/>
      <c r="KYH5" s="11"/>
      <c r="KYI5" s="11"/>
      <c r="KYJ5" s="11"/>
      <c r="KYK5" s="11"/>
      <c r="KYL5" s="11"/>
      <c r="KYM5" s="11"/>
      <c r="KYN5" s="11"/>
      <c r="KYO5" s="11"/>
      <c r="KYP5" s="11"/>
      <c r="KYQ5" s="11"/>
      <c r="KYR5" s="11"/>
      <c r="KYS5" s="11"/>
      <c r="KYT5" s="11"/>
      <c r="KYU5" s="11"/>
      <c r="KYV5" s="11"/>
      <c r="KYW5" s="11"/>
      <c r="KYX5" s="11"/>
      <c r="KYY5" s="11"/>
      <c r="KYZ5" s="11"/>
      <c r="KZA5" s="11"/>
      <c r="KZB5" s="11"/>
      <c r="KZC5" s="11"/>
      <c r="KZD5" s="11"/>
      <c r="KZE5" s="11"/>
      <c r="KZF5" s="11"/>
      <c r="KZG5" s="11"/>
      <c r="KZH5" s="11"/>
      <c r="KZI5" s="11"/>
      <c r="KZJ5" s="11"/>
      <c r="KZK5" s="11"/>
      <c r="KZL5" s="11"/>
      <c r="KZM5" s="11"/>
      <c r="KZN5" s="11"/>
      <c r="KZO5" s="11"/>
      <c r="KZP5" s="11"/>
      <c r="KZQ5" s="11"/>
      <c r="KZR5" s="11"/>
      <c r="KZS5" s="11"/>
      <c r="KZT5" s="11"/>
      <c r="KZU5" s="11"/>
      <c r="KZV5" s="11"/>
      <c r="KZW5" s="11"/>
      <c r="KZX5" s="11"/>
      <c r="KZY5" s="11"/>
      <c r="KZZ5" s="11"/>
      <c r="LAA5" s="11"/>
      <c r="LAB5" s="11"/>
      <c r="LAC5" s="11"/>
      <c r="LAD5" s="11"/>
      <c r="LAE5" s="11"/>
      <c r="LAF5" s="11"/>
      <c r="LAG5" s="11"/>
      <c r="LAH5" s="11"/>
      <c r="LAI5" s="11"/>
      <c r="LAJ5" s="11"/>
      <c r="LAK5" s="11"/>
      <c r="LAL5" s="11"/>
      <c r="LAM5" s="11"/>
      <c r="LAN5" s="11"/>
      <c r="LAO5" s="11"/>
      <c r="LAP5" s="11"/>
      <c r="LAQ5" s="11"/>
      <c r="LAR5" s="11"/>
      <c r="LAS5" s="11"/>
      <c r="LAT5" s="11"/>
      <c r="LAU5" s="11"/>
      <c r="LAV5" s="11"/>
      <c r="LAW5" s="11"/>
      <c r="LAX5" s="11"/>
      <c r="LAY5" s="11"/>
      <c r="LAZ5" s="11"/>
      <c r="LBA5" s="11"/>
      <c r="LBB5" s="11"/>
      <c r="LBC5" s="11"/>
      <c r="LBD5" s="11"/>
      <c r="LBE5" s="11"/>
      <c r="LBF5" s="11"/>
      <c r="LBG5" s="11"/>
      <c r="LBH5" s="11"/>
      <c r="LBI5" s="11"/>
      <c r="LBJ5" s="11"/>
      <c r="LBK5" s="11"/>
      <c r="LBL5" s="11"/>
      <c r="LBM5" s="11"/>
      <c r="LBN5" s="11"/>
      <c r="LBO5" s="11"/>
      <c r="LBP5" s="11"/>
      <c r="LBQ5" s="11"/>
      <c r="LBR5" s="11"/>
      <c r="LBS5" s="11"/>
      <c r="LBT5" s="11"/>
      <c r="LBU5" s="11"/>
      <c r="LBV5" s="11"/>
      <c r="LBW5" s="11"/>
      <c r="LBX5" s="11"/>
      <c r="LBY5" s="11"/>
      <c r="LBZ5" s="11"/>
      <c r="LCA5" s="11"/>
      <c r="LCB5" s="11"/>
      <c r="LCC5" s="11"/>
      <c r="LCD5" s="11"/>
      <c r="LCE5" s="11"/>
      <c r="LCF5" s="11"/>
      <c r="LCG5" s="11"/>
      <c r="LCH5" s="11"/>
      <c r="LCI5" s="11"/>
      <c r="LCJ5" s="11"/>
      <c r="LCK5" s="11"/>
      <c r="LCL5" s="11"/>
      <c r="LCM5" s="11"/>
      <c r="LCN5" s="11"/>
      <c r="LCO5" s="11"/>
      <c r="LCP5" s="11"/>
      <c r="LCQ5" s="11"/>
      <c r="LCR5" s="11"/>
      <c r="LCS5" s="11"/>
      <c r="LCT5" s="11"/>
      <c r="LCU5" s="11"/>
      <c r="LCV5" s="11"/>
      <c r="LCW5" s="11"/>
      <c r="LCX5" s="11"/>
      <c r="LCY5" s="11"/>
      <c r="LCZ5" s="11"/>
      <c r="LDA5" s="11"/>
      <c r="LDB5" s="11"/>
      <c r="LDC5" s="11"/>
      <c r="LDD5" s="11"/>
      <c r="LDE5" s="11"/>
      <c r="LDF5" s="11"/>
      <c r="LDG5" s="11"/>
      <c r="LDH5" s="11"/>
      <c r="LDI5" s="11"/>
      <c r="LDJ5" s="11"/>
      <c r="LDK5" s="11"/>
      <c r="LDL5" s="11"/>
      <c r="LDM5" s="11"/>
      <c r="LDN5" s="11"/>
      <c r="LDO5" s="11"/>
      <c r="LDP5" s="11"/>
      <c r="LDQ5" s="11"/>
      <c r="LDR5" s="11"/>
      <c r="LDS5" s="11"/>
      <c r="LDT5" s="11"/>
      <c r="LDU5" s="11"/>
      <c r="LDV5" s="11"/>
      <c r="LDW5" s="11"/>
      <c r="LDX5" s="11"/>
      <c r="LDY5" s="11"/>
      <c r="LDZ5" s="11"/>
      <c r="LEA5" s="11"/>
      <c r="LEB5" s="11"/>
      <c r="LEC5" s="11"/>
      <c r="LED5" s="11"/>
      <c r="LEE5" s="11"/>
      <c r="LEF5" s="11"/>
      <c r="LEG5" s="11"/>
      <c r="LEH5" s="11"/>
      <c r="LEI5" s="11"/>
      <c r="LEJ5" s="11"/>
      <c r="LEK5" s="11"/>
      <c r="LEL5" s="11"/>
      <c r="LEM5" s="11"/>
      <c r="LEN5" s="11"/>
      <c r="LEO5" s="11"/>
      <c r="LEP5" s="11"/>
      <c r="LEQ5" s="11"/>
      <c r="LER5" s="11"/>
      <c r="LES5" s="11"/>
      <c r="LET5" s="11"/>
      <c r="LEU5" s="11"/>
      <c r="LEV5" s="11"/>
      <c r="LEW5" s="11"/>
      <c r="LEX5" s="11"/>
      <c r="LEY5" s="11"/>
      <c r="LEZ5" s="11"/>
      <c r="LFA5" s="11"/>
      <c r="LFB5" s="11"/>
      <c r="LFC5" s="11"/>
      <c r="LFD5" s="11"/>
      <c r="LFE5" s="11"/>
      <c r="LFF5" s="11"/>
      <c r="LFG5" s="11"/>
      <c r="LFH5" s="11"/>
      <c r="LFI5" s="11"/>
      <c r="LFJ5" s="11"/>
      <c r="LFK5" s="11"/>
      <c r="LFL5" s="11"/>
      <c r="LFM5" s="11"/>
      <c r="LFN5" s="11"/>
      <c r="LFO5" s="11"/>
      <c r="LFP5" s="11"/>
      <c r="LFQ5" s="11"/>
      <c r="LFR5" s="11"/>
      <c r="LFS5" s="11"/>
      <c r="LFT5" s="11"/>
      <c r="LFU5" s="11"/>
      <c r="LFV5" s="11"/>
      <c r="LFW5" s="11"/>
      <c r="LFX5" s="11"/>
      <c r="LFY5" s="11"/>
      <c r="LFZ5" s="11"/>
      <c r="LGA5" s="11"/>
      <c r="LGB5" s="11"/>
      <c r="LGC5" s="11"/>
      <c r="LGD5" s="11"/>
      <c r="LGE5" s="11"/>
      <c r="LGF5" s="11"/>
      <c r="LGG5" s="11"/>
      <c r="LGH5" s="11"/>
      <c r="LGI5" s="11"/>
      <c r="LGJ5" s="11"/>
      <c r="LGK5" s="11"/>
      <c r="LGL5" s="11"/>
      <c r="LGM5" s="11"/>
      <c r="LGN5" s="11"/>
      <c r="LGO5" s="11"/>
      <c r="LGP5" s="11"/>
      <c r="LGQ5" s="11"/>
      <c r="LGR5" s="11"/>
      <c r="LGS5" s="11"/>
      <c r="LGT5" s="11"/>
      <c r="LGU5" s="11"/>
      <c r="LGV5" s="11"/>
      <c r="LGW5" s="11"/>
      <c r="LGX5" s="11"/>
      <c r="LGY5" s="11"/>
      <c r="LGZ5" s="11"/>
      <c r="LHA5" s="11"/>
      <c r="LHB5" s="11"/>
      <c r="LHC5" s="11"/>
      <c r="LHD5" s="11"/>
      <c r="LHE5" s="11"/>
      <c r="LHF5" s="11"/>
      <c r="LHG5" s="11"/>
      <c r="LHH5" s="11"/>
      <c r="LHI5" s="11"/>
      <c r="LHJ5" s="11"/>
      <c r="LHK5" s="11"/>
      <c r="LHL5" s="11"/>
      <c r="LHM5" s="11"/>
      <c r="LHN5" s="11"/>
      <c r="LHO5" s="11"/>
      <c r="LHP5" s="11"/>
      <c r="LHQ5" s="11"/>
      <c r="LHR5" s="11"/>
      <c r="LHS5" s="11"/>
      <c r="LHT5" s="11"/>
      <c r="LHU5" s="11"/>
      <c r="LHV5" s="11"/>
      <c r="LHW5" s="11"/>
      <c r="LHX5" s="11"/>
      <c r="LHY5" s="11"/>
      <c r="LHZ5" s="11"/>
      <c r="LIA5" s="11"/>
      <c r="LIB5" s="11"/>
      <c r="LIC5" s="11"/>
      <c r="LID5" s="11"/>
      <c r="LIE5" s="11"/>
      <c r="LIF5" s="11"/>
      <c r="LIG5" s="11"/>
      <c r="LIH5" s="11"/>
      <c r="LII5" s="11"/>
      <c r="LIJ5" s="11"/>
      <c r="LIK5" s="11"/>
      <c r="LIL5" s="11"/>
      <c r="LIM5" s="11"/>
      <c r="LIN5" s="11"/>
      <c r="LIO5" s="11"/>
      <c r="LIP5" s="11"/>
      <c r="LIQ5" s="11"/>
      <c r="LIR5" s="11"/>
      <c r="LIS5" s="11"/>
      <c r="LIT5" s="11"/>
      <c r="LIU5" s="11"/>
      <c r="LIV5" s="11"/>
      <c r="LIW5" s="11"/>
      <c r="LIX5" s="11"/>
      <c r="LIY5" s="11"/>
      <c r="LIZ5" s="11"/>
      <c r="LJA5" s="11"/>
      <c r="LJB5" s="11"/>
      <c r="LJC5" s="11"/>
      <c r="LJD5" s="11"/>
      <c r="LJE5" s="11"/>
      <c r="LJF5" s="11"/>
      <c r="LJG5" s="11"/>
      <c r="LJH5" s="11"/>
      <c r="LJI5" s="11"/>
      <c r="LJJ5" s="11"/>
      <c r="LJK5" s="11"/>
      <c r="LJL5" s="11"/>
      <c r="LJM5" s="11"/>
      <c r="LJN5" s="11"/>
      <c r="LJO5" s="11"/>
      <c r="LJP5" s="11"/>
      <c r="LJQ5" s="11"/>
      <c r="LJR5" s="11"/>
      <c r="LJS5" s="11"/>
      <c r="LJT5" s="11"/>
      <c r="LJU5" s="11"/>
      <c r="LJV5" s="11"/>
      <c r="LJW5" s="11"/>
      <c r="LJX5" s="11"/>
      <c r="LJY5" s="11"/>
      <c r="LJZ5" s="11"/>
      <c r="LKA5" s="11"/>
      <c r="LKB5" s="11"/>
      <c r="LKC5" s="11"/>
      <c r="LKD5" s="11"/>
      <c r="LKE5" s="11"/>
      <c r="LKF5" s="11"/>
      <c r="LKG5" s="11"/>
      <c r="LKH5" s="11"/>
      <c r="LKI5" s="11"/>
      <c r="LKJ5" s="11"/>
      <c r="LKK5" s="11"/>
      <c r="LKL5" s="11"/>
      <c r="LKM5" s="11"/>
      <c r="LKN5" s="11"/>
      <c r="LKO5" s="11"/>
      <c r="LKP5" s="11"/>
      <c r="LKQ5" s="11"/>
      <c r="LKR5" s="11"/>
      <c r="LKS5" s="11"/>
      <c r="LKT5" s="11"/>
      <c r="LKU5" s="11"/>
      <c r="LKV5" s="11"/>
      <c r="LKW5" s="11"/>
      <c r="LKX5" s="11"/>
      <c r="LKY5" s="11"/>
      <c r="LKZ5" s="11"/>
      <c r="LLA5" s="11"/>
      <c r="LLB5" s="11"/>
      <c r="LLC5" s="11"/>
      <c r="LLD5" s="11"/>
      <c r="LLE5" s="11"/>
      <c r="LLF5" s="11"/>
      <c r="LLG5" s="11"/>
      <c r="LLH5" s="11"/>
      <c r="LLI5" s="11"/>
      <c r="LLJ5" s="11"/>
      <c r="LLK5" s="11"/>
      <c r="LLL5" s="11"/>
      <c r="LLM5" s="11"/>
      <c r="LLN5" s="11"/>
      <c r="LLO5" s="11"/>
      <c r="LLP5" s="11"/>
      <c r="LLQ5" s="11"/>
      <c r="LLR5" s="11"/>
      <c r="LLS5" s="11"/>
      <c r="LLT5" s="11"/>
      <c r="LLU5" s="11"/>
      <c r="LLV5" s="11"/>
      <c r="LLW5" s="11"/>
      <c r="LLX5" s="11"/>
      <c r="LLY5" s="11"/>
      <c r="LLZ5" s="11"/>
      <c r="LMA5" s="11"/>
      <c r="LMB5" s="11"/>
      <c r="LMC5" s="11"/>
      <c r="LMD5" s="11"/>
      <c r="LME5" s="11"/>
      <c r="LMF5" s="11"/>
      <c r="LMG5" s="11"/>
      <c r="LMH5" s="11"/>
      <c r="LMI5" s="11"/>
      <c r="LMJ5" s="11"/>
      <c r="LMK5" s="11"/>
      <c r="LML5" s="11"/>
      <c r="LMM5" s="11"/>
      <c r="LMN5" s="11"/>
      <c r="LMO5" s="11"/>
      <c r="LMP5" s="11"/>
      <c r="LMQ5" s="11"/>
      <c r="LMR5" s="11"/>
      <c r="LMS5" s="11"/>
      <c r="LMT5" s="11"/>
      <c r="LMU5" s="11"/>
      <c r="LMV5" s="11"/>
      <c r="LMW5" s="11"/>
      <c r="LMX5" s="11"/>
      <c r="LMY5" s="11"/>
      <c r="LMZ5" s="11"/>
      <c r="LNA5" s="11"/>
      <c r="LNB5" s="11"/>
      <c r="LNC5" s="11"/>
      <c r="LND5" s="11"/>
      <c r="LNE5" s="11"/>
      <c r="LNF5" s="11"/>
      <c r="LNG5" s="11"/>
      <c r="LNH5" s="11"/>
      <c r="LNI5" s="11"/>
      <c r="LNJ5" s="11"/>
      <c r="LNK5" s="11"/>
      <c r="LNL5" s="11"/>
      <c r="LNM5" s="11"/>
      <c r="LNN5" s="11"/>
      <c r="LNO5" s="11"/>
      <c r="LNP5" s="11"/>
      <c r="LNQ5" s="11"/>
      <c r="LNR5" s="11"/>
      <c r="LNS5" s="11"/>
      <c r="LNT5" s="11"/>
      <c r="LNU5" s="11"/>
      <c r="LNV5" s="11"/>
      <c r="LNW5" s="11"/>
      <c r="LNX5" s="11"/>
      <c r="LNY5" s="11"/>
      <c r="LNZ5" s="11"/>
      <c r="LOA5" s="11"/>
      <c r="LOB5" s="11"/>
      <c r="LOC5" s="11"/>
      <c r="LOD5" s="11"/>
      <c r="LOE5" s="11"/>
      <c r="LOF5" s="11"/>
      <c r="LOG5" s="11"/>
      <c r="LOH5" s="11"/>
      <c r="LOI5" s="11"/>
      <c r="LOJ5" s="11"/>
      <c r="LOK5" s="11"/>
      <c r="LOL5" s="11"/>
      <c r="LOM5" s="11"/>
      <c r="LON5" s="11"/>
      <c r="LOO5" s="11"/>
      <c r="LOP5" s="11"/>
      <c r="LOQ5" s="11"/>
      <c r="LOR5" s="11"/>
      <c r="LOS5" s="11"/>
      <c r="LOT5" s="11"/>
      <c r="LOU5" s="11"/>
      <c r="LOV5" s="11"/>
      <c r="LOW5" s="11"/>
      <c r="LOX5" s="11"/>
      <c r="LOY5" s="11"/>
      <c r="LOZ5" s="11"/>
      <c r="LPA5" s="11"/>
      <c r="LPB5" s="11"/>
      <c r="LPC5" s="11"/>
      <c r="LPD5" s="11"/>
      <c r="LPE5" s="11"/>
      <c r="LPF5" s="11"/>
      <c r="LPG5" s="11"/>
      <c r="LPH5" s="11"/>
      <c r="LPI5" s="11"/>
      <c r="LPJ5" s="11"/>
      <c r="LPK5" s="11"/>
      <c r="LPL5" s="11"/>
      <c r="LPM5" s="11"/>
      <c r="LPN5" s="11"/>
      <c r="LPO5" s="11"/>
      <c r="LPP5" s="11"/>
      <c r="LPQ5" s="11"/>
      <c r="LPR5" s="11"/>
      <c r="LPS5" s="11"/>
      <c r="LPT5" s="11"/>
      <c r="LPU5" s="11"/>
      <c r="LPV5" s="11"/>
      <c r="LPW5" s="11"/>
      <c r="LPX5" s="11"/>
      <c r="LPY5" s="11"/>
      <c r="LPZ5" s="11"/>
      <c r="LQA5" s="11"/>
      <c r="LQB5" s="11"/>
      <c r="LQC5" s="11"/>
      <c r="LQD5" s="11"/>
      <c r="LQE5" s="11"/>
      <c r="LQF5" s="11"/>
      <c r="LQG5" s="11"/>
      <c r="LQH5" s="11"/>
      <c r="LQI5" s="11"/>
      <c r="LQJ5" s="11"/>
      <c r="LQK5" s="11"/>
      <c r="LQL5" s="11"/>
      <c r="LQM5" s="11"/>
      <c r="LQN5" s="11"/>
      <c r="LQO5" s="11"/>
      <c r="LQP5" s="11"/>
      <c r="LQQ5" s="11"/>
      <c r="LQR5" s="11"/>
      <c r="LQS5" s="11"/>
      <c r="LQT5" s="11"/>
      <c r="LQU5" s="11"/>
      <c r="LQV5" s="11"/>
      <c r="LQW5" s="11"/>
      <c r="LQX5" s="11"/>
      <c r="LQY5" s="11"/>
      <c r="LQZ5" s="11"/>
      <c r="LRA5" s="11"/>
      <c r="LRB5" s="11"/>
      <c r="LRC5" s="11"/>
      <c r="LRD5" s="11"/>
      <c r="LRE5" s="11"/>
      <c r="LRF5" s="11"/>
      <c r="LRG5" s="11"/>
      <c r="LRH5" s="11"/>
      <c r="LRI5" s="11"/>
      <c r="LRJ5" s="11"/>
      <c r="LRK5" s="11"/>
      <c r="LRL5" s="11"/>
      <c r="LRM5" s="11"/>
      <c r="LRN5" s="11"/>
      <c r="LRO5" s="11"/>
      <c r="LRP5" s="11"/>
      <c r="LRQ5" s="11"/>
      <c r="LRR5" s="11"/>
      <c r="LRS5" s="11"/>
      <c r="LRT5" s="11"/>
      <c r="LRU5" s="11"/>
      <c r="LRV5" s="11"/>
      <c r="LRW5" s="11"/>
      <c r="LRX5" s="11"/>
      <c r="LRY5" s="11"/>
      <c r="LRZ5" s="11"/>
      <c r="LSA5" s="11"/>
      <c r="LSB5" s="11"/>
      <c r="LSC5" s="11"/>
      <c r="LSD5" s="11"/>
      <c r="LSE5" s="11"/>
      <c r="LSF5" s="11"/>
      <c r="LSG5" s="11"/>
      <c r="LSH5" s="11"/>
      <c r="LSI5" s="11"/>
      <c r="LSJ5" s="11"/>
      <c r="LSK5" s="11"/>
      <c r="LSL5" s="11"/>
      <c r="LSM5" s="11"/>
      <c r="LSN5" s="11"/>
      <c r="LSO5" s="11"/>
      <c r="LSP5" s="11"/>
      <c r="LSQ5" s="11"/>
      <c r="LSR5" s="11"/>
      <c r="LSS5" s="11"/>
      <c r="LST5" s="11"/>
      <c r="LSU5" s="11"/>
      <c r="LSV5" s="11"/>
      <c r="LSW5" s="11"/>
      <c r="LSX5" s="11"/>
      <c r="LSY5" s="11"/>
      <c r="LSZ5" s="11"/>
      <c r="LTA5" s="11"/>
      <c r="LTB5" s="11"/>
      <c r="LTC5" s="11"/>
      <c r="LTD5" s="11"/>
      <c r="LTE5" s="11"/>
      <c r="LTF5" s="11"/>
      <c r="LTG5" s="11"/>
      <c r="LTH5" s="11"/>
      <c r="LTI5" s="11"/>
      <c r="LTJ5" s="11"/>
      <c r="LTK5" s="11"/>
      <c r="LTL5" s="11"/>
      <c r="LTM5" s="11"/>
      <c r="LTN5" s="11"/>
      <c r="LTO5" s="11"/>
      <c r="LTP5" s="11"/>
      <c r="LTQ5" s="11"/>
      <c r="LTR5" s="11"/>
      <c r="LTS5" s="11"/>
      <c r="LTT5" s="11"/>
      <c r="LTU5" s="11"/>
      <c r="LTV5" s="11"/>
      <c r="LTW5" s="11"/>
      <c r="LTX5" s="11"/>
      <c r="LTY5" s="11"/>
      <c r="LTZ5" s="11"/>
      <c r="LUA5" s="11"/>
      <c r="LUB5" s="11"/>
      <c r="LUC5" s="11"/>
      <c r="LUD5" s="11"/>
      <c r="LUE5" s="11"/>
      <c r="LUF5" s="11"/>
      <c r="LUG5" s="11"/>
      <c r="LUH5" s="11"/>
      <c r="LUI5" s="11"/>
      <c r="LUJ5" s="11"/>
      <c r="LUK5" s="11"/>
      <c r="LUL5" s="11"/>
      <c r="LUM5" s="11"/>
      <c r="LUN5" s="11"/>
      <c r="LUO5" s="11"/>
      <c r="LUP5" s="11"/>
      <c r="LUQ5" s="11"/>
      <c r="LUR5" s="11"/>
      <c r="LUS5" s="11"/>
      <c r="LUT5" s="11"/>
      <c r="LUU5" s="11"/>
      <c r="LUV5" s="11"/>
      <c r="LUW5" s="11"/>
      <c r="LUX5" s="11"/>
      <c r="LUY5" s="11"/>
      <c r="LUZ5" s="11"/>
      <c r="LVA5" s="11"/>
      <c r="LVB5" s="11"/>
      <c r="LVC5" s="11"/>
      <c r="LVD5" s="11"/>
      <c r="LVE5" s="11"/>
      <c r="LVF5" s="11"/>
      <c r="LVG5" s="11"/>
      <c r="LVH5" s="11"/>
      <c r="LVI5" s="11"/>
      <c r="LVJ5" s="11"/>
      <c r="LVK5" s="11"/>
      <c r="LVL5" s="11"/>
      <c r="LVM5" s="11"/>
      <c r="LVN5" s="11"/>
      <c r="LVO5" s="11"/>
      <c r="LVP5" s="11"/>
      <c r="LVQ5" s="11"/>
      <c r="LVR5" s="11"/>
      <c r="LVS5" s="11"/>
      <c r="LVT5" s="11"/>
      <c r="LVU5" s="11"/>
      <c r="LVV5" s="11"/>
      <c r="LVW5" s="11"/>
      <c r="LVX5" s="11"/>
      <c r="LVY5" s="11"/>
      <c r="LVZ5" s="11"/>
      <c r="LWA5" s="11"/>
      <c r="LWB5" s="11"/>
      <c r="LWC5" s="11"/>
      <c r="LWD5" s="11"/>
      <c r="LWE5" s="11"/>
      <c r="LWF5" s="11"/>
      <c r="LWG5" s="11"/>
      <c r="LWH5" s="11"/>
      <c r="LWI5" s="11"/>
      <c r="LWJ5" s="11"/>
      <c r="LWK5" s="11"/>
      <c r="LWL5" s="11"/>
      <c r="LWM5" s="11"/>
      <c r="LWN5" s="11"/>
      <c r="LWO5" s="11"/>
      <c r="LWP5" s="11"/>
      <c r="LWQ5" s="11"/>
      <c r="LWR5" s="11"/>
      <c r="LWS5" s="11"/>
      <c r="LWT5" s="11"/>
      <c r="LWU5" s="11"/>
      <c r="LWV5" s="11"/>
      <c r="LWW5" s="11"/>
      <c r="LWX5" s="11"/>
      <c r="LWY5" s="11"/>
      <c r="LWZ5" s="11"/>
      <c r="LXA5" s="11"/>
      <c r="LXB5" s="11"/>
      <c r="LXC5" s="11"/>
      <c r="LXD5" s="11"/>
      <c r="LXE5" s="11"/>
      <c r="LXF5" s="11"/>
      <c r="LXG5" s="11"/>
      <c r="LXH5" s="11"/>
      <c r="LXI5" s="11"/>
      <c r="LXJ5" s="11"/>
      <c r="LXK5" s="11"/>
      <c r="LXL5" s="11"/>
      <c r="LXM5" s="11"/>
      <c r="LXN5" s="11"/>
      <c r="LXO5" s="11"/>
      <c r="LXP5" s="11"/>
      <c r="LXQ5" s="11"/>
      <c r="LXR5" s="11"/>
      <c r="LXS5" s="11"/>
      <c r="LXT5" s="11"/>
      <c r="LXU5" s="11"/>
      <c r="LXV5" s="11"/>
      <c r="LXW5" s="11"/>
      <c r="LXX5" s="11"/>
      <c r="LXY5" s="11"/>
      <c r="LXZ5" s="11"/>
      <c r="LYA5" s="11"/>
      <c r="LYB5" s="11"/>
      <c r="LYC5" s="11"/>
      <c r="LYD5" s="11"/>
      <c r="LYE5" s="11"/>
      <c r="LYF5" s="11"/>
      <c r="LYG5" s="11"/>
      <c r="LYH5" s="11"/>
      <c r="LYI5" s="11"/>
      <c r="LYJ5" s="11"/>
      <c r="LYK5" s="11"/>
      <c r="LYL5" s="11"/>
      <c r="LYM5" s="11"/>
      <c r="LYN5" s="11"/>
      <c r="LYO5" s="11"/>
      <c r="LYP5" s="11"/>
      <c r="LYQ5" s="11"/>
      <c r="LYR5" s="11"/>
      <c r="LYS5" s="11"/>
      <c r="LYT5" s="11"/>
      <c r="LYU5" s="11"/>
      <c r="LYV5" s="11"/>
      <c r="LYW5" s="11"/>
      <c r="LYX5" s="11"/>
      <c r="LYY5" s="11"/>
      <c r="LYZ5" s="11"/>
      <c r="LZA5" s="11"/>
      <c r="LZB5" s="11"/>
      <c r="LZC5" s="11"/>
      <c r="LZD5" s="11"/>
      <c r="LZE5" s="11"/>
      <c r="LZF5" s="11"/>
      <c r="LZG5" s="11"/>
      <c r="LZH5" s="11"/>
      <c r="LZI5" s="11"/>
      <c r="LZJ5" s="11"/>
      <c r="LZK5" s="11"/>
      <c r="LZL5" s="11"/>
      <c r="LZM5" s="11"/>
      <c r="LZN5" s="11"/>
      <c r="LZO5" s="11"/>
      <c r="LZP5" s="11"/>
      <c r="LZQ5" s="11"/>
      <c r="LZR5" s="11"/>
      <c r="LZS5" s="11"/>
      <c r="LZT5" s="11"/>
      <c r="LZU5" s="11"/>
      <c r="LZV5" s="11"/>
      <c r="LZW5" s="11"/>
      <c r="LZX5" s="11"/>
      <c r="LZY5" s="11"/>
      <c r="LZZ5" s="11"/>
      <c r="MAA5" s="11"/>
      <c r="MAB5" s="11"/>
      <c r="MAC5" s="11"/>
      <c r="MAD5" s="11"/>
      <c r="MAE5" s="11"/>
      <c r="MAF5" s="11"/>
      <c r="MAG5" s="11"/>
      <c r="MAH5" s="11"/>
      <c r="MAI5" s="11"/>
      <c r="MAJ5" s="11"/>
      <c r="MAK5" s="11"/>
      <c r="MAL5" s="11"/>
      <c r="MAM5" s="11"/>
      <c r="MAN5" s="11"/>
      <c r="MAO5" s="11"/>
      <c r="MAP5" s="11"/>
      <c r="MAQ5" s="11"/>
      <c r="MAR5" s="11"/>
      <c r="MAS5" s="11"/>
      <c r="MAT5" s="11"/>
      <c r="MAU5" s="11"/>
      <c r="MAV5" s="11"/>
      <c r="MAW5" s="11"/>
      <c r="MAX5" s="11"/>
      <c r="MAY5" s="11"/>
      <c r="MAZ5" s="11"/>
      <c r="MBA5" s="11"/>
      <c r="MBB5" s="11"/>
      <c r="MBC5" s="11"/>
      <c r="MBD5" s="11"/>
      <c r="MBE5" s="11"/>
      <c r="MBF5" s="11"/>
      <c r="MBG5" s="11"/>
      <c r="MBH5" s="11"/>
      <c r="MBI5" s="11"/>
      <c r="MBJ5" s="11"/>
      <c r="MBK5" s="11"/>
      <c r="MBL5" s="11"/>
      <c r="MBM5" s="11"/>
      <c r="MBN5" s="11"/>
      <c r="MBO5" s="11"/>
      <c r="MBP5" s="11"/>
      <c r="MBQ5" s="11"/>
      <c r="MBR5" s="11"/>
      <c r="MBS5" s="11"/>
      <c r="MBT5" s="11"/>
      <c r="MBU5" s="11"/>
      <c r="MBV5" s="11"/>
      <c r="MBW5" s="11"/>
      <c r="MBX5" s="11"/>
      <c r="MBY5" s="11"/>
      <c r="MBZ5" s="11"/>
      <c r="MCA5" s="11"/>
      <c r="MCB5" s="11"/>
      <c r="MCC5" s="11"/>
      <c r="MCD5" s="11"/>
      <c r="MCE5" s="11"/>
      <c r="MCF5" s="11"/>
      <c r="MCG5" s="11"/>
      <c r="MCH5" s="11"/>
      <c r="MCI5" s="11"/>
      <c r="MCJ5" s="11"/>
      <c r="MCK5" s="11"/>
      <c r="MCL5" s="11"/>
      <c r="MCM5" s="11"/>
      <c r="MCN5" s="11"/>
      <c r="MCO5" s="11"/>
      <c r="MCP5" s="11"/>
      <c r="MCQ5" s="11"/>
      <c r="MCR5" s="11"/>
      <c r="MCS5" s="11"/>
      <c r="MCT5" s="11"/>
      <c r="MCU5" s="11"/>
      <c r="MCV5" s="11"/>
      <c r="MCW5" s="11"/>
      <c r="MCX5" s="11"/>
      <c r="MCY5" s="11"/>
      <c r="MCZ5" s="11"/>
      <c r="MDA5" s="11"/>
      <c r="MDB5" s="11"/>
      <c r="MDC5" s="11"/>
      <c r="MDD5" s="11"/>
      <c r="MDE5" s="11"/>
      <c r="MDF5" s="11"/>
      <c r="MDG5" s="11"/>
      <c r="MDH5" s="11"/>
      <c r="MDI5" s="11"/>
      <c r="MDJ5" s="11"/>
      <c r="MDK5" s="11"/>
      <c r="MDL5" s="11"/>
      <c r="MDM5" s="11"/>
      <c r="MDN5" s="11"/>
      <c r="MDO5" s="11"/>
      <c r="MDP5" s="11"/>
      <c r="MDQ5" s="11"/>
      <c r="MDR5" s="11"/>
      <c r="MDS5" s="11"/>
      <c r="MDT5" s="11"/>
      <c r="MDU5" s="11"/>
      <c r="MDV5" s="11"/>
      <c r="MDW5" s="11"/>
      <c r="MDX5" s="11"/>
      <c r="MDY5" s="11"/>
      <c r="MDZ5" s="11"/>
      <c r="MEA5" s="11"/>
      <c r="MEB5" s="11"/>
      <c r="MEC5" s="11"/>
      <c r="MED5" s="11"/>
      <c r="MEE5" s="11"/>
      <c r="MEF5" s="11"/>
      <c r="MEG5" s="11"/>
      <c r="MEH5" s="11"/>
      <c r="MEI5" s="11"/>
      <c r="MEJ5" s="11"/>
      <c r="MEK5" s="11"/>
      <c r="MEL5" s="11"/>
      <c r="MEM5" s="11"/>
      <c r="MEN5" s="11"/>
      <c r="MEO5" s="11"/>
      <c r="MEP5" s="11"/>
      <c r="MEQ5" s="11"/>
      <c r="MER5" s="11"/>
      <c r="MES5" s="11"/>
      <c r="MET5" s="11"/>
      <c r="MEU5" s="11"/>
      <c r="MEV5" s="11"/>
      <c r="MEW5" s="11"/>
      <c r="MEX5" s="11"/>
      <c r="MEY5" s="11"/>
      <c r="MEZ5" s="11"/>
      <c r="MFA5" s="11"/>
      <c r="MFB5" s="11"/>
      <c r="MFC5" s="11"/>
      <c r="MFD5" s="11"/>
      <c r="MFE5" s="11"/>
      <c r="MFF5" s="11"/>
      <c r="MFG5" s="11"/>
      <c r="MFH5" s="11"/>
      <c r="MFI5" s="11"/>
      <c r="MFJ5" s="11"/>
      <c r="MFK5" s="11"/>
      <c r="MFL5" s="11"/>
      <c r="MFM5" s="11"/>
      <c r="MFN5" s="11"/>
      <c r="MFO5" s="11"/>
      <c r="MFP5" s="11"/>
      <c r="MFQ5" s="11"/>
      <c r="MFR5" s="11"/>
      <c r="MFS5" s="11"/>
      <c r="MFT5" s="11"/>
      <c r="MFU5" s="11"/>
      <c r="MFV5" s="11"/>
      <c r="MFW5" s="11"/>
      <c r="MFX5" s="11"/>
      <c r="MFY5" s="11"/>
      <c r="MFZ5" s="11"/>
      <c r="MGA5" s="11"/>
      <c r="MGB5" s="11"/>
      <c r="MGC5" s="11"/>
      <c r="MGD5" s="11"/>
      <c r="MGE5" s="11"/>
      <c r="MGF5" s="11"/>
      <c r="MGG5" s="11"/>
      <c r="MGH5" s="11"/>
      <c r="MGI5" s="11"/>
      <c r="MGJ5" s="11"/>
      <c r="MGK5" s="11"/>
      <c r="MGL5" s="11"/>
      <c r="MGM5" s="11"/>
      <c r="MGN5" s="11"/>
      <c r="MGO5" s="11"/>
      <c r="MGP5" s="11"/>
      <c r="MGQ5" s="11"/>
      <c r="MGR5" s="11"/>
      <c r="MGS5" s="11"/>
      <c r="MGT5" s="11"/>
      <c r="MGU5" s="11"/>
      <c r="MGV5" s="11"/>
      <c r="MGW5" s="11"/>
      <c r="MGX5" s="11"/>
      <c r="MGY5" s="11"/>
      <c r="MGZ5" s="11"/>
      <c r="MHA5" s="11"/>
      <c r="MHB5" s="11"/>
      <c r="MHC5" s="11"/>
      <c r="MHD5" s="11"/>
      <c r="MHE5" s="11"/>
      <c r="MHF5" s="11"/>
      <c r="MHG5" s="11"/>
      <c r="MHH5" s="11"/>
      <c r="MHI5" s="11"/>
      <c r="MHJ5" s="11"/>
      <c r="MHK5" s="11"/>
      <c r="MHL5" s="11"/>
      <c r="MHM5" s="11"/>
      <c r="MHN5" s="11"/>
      <c r="MHO5" s="11"/>
      <c r="MHP5" s="11"/>
      <c r="MHQ5" s="11"/>
      <c r="MHR5" s="11"/>
      <c r="MHS5" s="11"/>
      <c r="MHT5" s="11"/>
      <c r="MHU5" s="11"/>
      <c r="MHV5" s="11"/>
      <c r="MHW5" s="11"/>
      <c r="MHX5" s="11"/>
      <c r="MHY5" s="11"/>
      <c r="MHZ5" s="11"/>
      <c r="MIA5" s="11"/>
      <c r="MIB5" s="11"/>
      <c r="MIC5" s="11"/>
      <c r="MID5" s="11"/>
      <c r="MIE5" s="11"/>
      <c r="MIF5" s="11"/>
      <c r="MIG5" s="11"/>
      <c r="MIH5" s="11"/>
      <c r="MII5" s="11"/>
      <c r="MIJ5" s="11"/>
      <c r="MIK5" s="11"/>
      <c r="MIL5" s="11"/>
      <c r="MIM5" s="11"/>
      <c r="MIN5" s="11"/>
      <c r="MIO5" s="11"/>
      <c r="MIP5" s="11"/>
      <c r="MIQ5" s="11"/>
      <c r="MIR5" s="11"/>
      <c r="MIS5" s="11"/>
      <c r="MIT5" s="11"/>
      <c r="MIU5" s="11"/>
      <c r="MIV5" s="11"/>
      <c r="MIW5" s="11"/>
      <c r="MIX5" s="11"/>
      <c r="MIY5" s="11"/>
      <c r="MIZ5" s="11"/>
      <c r="MJA5" s="11"/>
      <c r="MJB5" s="11"/>
      <c r="MJC5" s="11"/>
      <c r="MJD5" s="11"/>
      <c r="MJE5" s="11"/>
      <c r="MJF5" s="11"/>
      <c r="MJG5" s="11"/>
      <c r="MJH5" s="11"/>
      <c r="MJI5" s="11"/>
      <c r="MJJ5" s="11"/>
      <c r="MJK5" s="11"/>
      <c r="MJL5" s="11"/>
      <c r="MJM5" s="11"/>
      <c r="MJN5" s="11"/>
      <c r="MJO5" s="11"/>
      <c r="MJP5" s="11"/>
      <c r="MJQ5" s="11"/>
      <c r="MJR5" s="11"/>
      <c r="MJS5" s="11"/>
      <c r="MJT5" s="11"/>
      <c r="MJU5" s="11"/>
      <c r="MJV5" s="11"/>
      <c r="MJW5" s="11"/>
      <c r="MJX5" s="11"/>
      <c r="MJY5" s="11"/>
      <c r="MJZ5" s="11"/>
      <c r="MKA5" s="11"/>
      <c r="MKB5" s="11"/>
      <c r="MKC5" s="11"/>
      <c r="MKD5" s="11"/>
      <c r="MKE5" s="11"/>
      <c r="MKF5" s="11"/>
      <c r="MKG5" s="11"/>
      <c r="MKH5" s="11"/>
      <c r="MKI5" s="11"/>
      <c r="MKJ5" s="11"/>
      <c r="MKK5" s="11"/>
      <c r="MKL5" s="11"/>
      <c r="MKM5" s="11"/>
      <c r="MKN5" s="11"/>
      <c r="MKO5" s="11"/>
      <c r="MKP5" s="11"/>
      <c r="MKQ5" s="11"/>
      <c r="MKR5" s="11"/>
      <c r="MKS5" s="11"/>
      <c r="MKT5" s="11"/>
      <c r="MKU5" s="11"/>
      <c r="MKV5" s="11"/>
      <c r="MKW5" s="11"/>
      <c r="MKX5" s="11"/>
      <c r="MKY5" s="11"/>
      <c r="MKZ5" s="11"/>
      <c r="MLA5" s="11"/>
      <c r="MLB5" s="11"/>
      <c r="MLC5" s="11"/>
      <c r="MLD5" s="11"/>
      <c r="MLE5" s="11"/>
      <c r="MLF5" s="11"/>
      <c r="MLG5" s="11"/>
      <c r="MLH5" s="11"/>
      <c r="MLI5" s="11"/>
      <c r="MLJ5" s="11"/>
      <c r="MLK5" s="11"/>
      <c r="MLL5" s="11"/>
      <c r="MLM5" s="11"/>
      <c r="MLN5" s="11"/>
      <c r="MLO5" s="11"/>
      <c r="MLP5" s="11"/>
      <c r="MLQ5" s="11"/>
      <c r="MLR5" s="11"/>
      <c r="MLS5" s="11"/>
      <c r="MLT5" s="11"/>
      <c r="MLU5" s="11"/>
      <c r="MLV5" s="11"/>
      <c r="MLW5" s="11"/>
      <c r="MLX5" s="11"/>
      <c r="MLY5" s="11"/>
      <c r="MLZ5" s="11"/>
      <c r="MMA5" s="11"/>
      <c r="MMB5" s="11"/>
      <c r="MMC5" s="11"/>
      <c r="MMD5" s="11"/>
      <c r="MME5" s="11"/>
      <c r="MMF5" s="11"/>
      <c r="MMG5" s="11"/>
      <c r="MMH5" s="11"/>
      <c r="MMI5" s="11"/>
      <c r="MMJ5" s="11"/>
      <c r="MMK5" s="11"/>
      <c r="MML5" s="11"/>
      <c r="MMM5" s="11"/>
      <c r="MMN5" s="11"/>
      <c r="MMO5" s="11"/>
      <c r="MMP5" s="11"/>
      <c r="MMQ5" s="11"/>
      <c r="MMR5" s="11"/>
      <c r="MMS5" s="11"/>
      <c r="MMT5" s="11"/>
      <c r="MMU5" s="11"/>
      <c r="MMV5" s="11"/>
      <c r="MMW5" s="11"/>
      <c r="MMX5" s="11"/>
      <c r="MMY5" s="11"/>
      <c r="MMZ5" s="11"/>
      <c r="MNA5" s="11"/>
      <c r="MNB5" s="11"/>
      <c r="MNC5" s="11"/>
      <c r="MND5" s="11"/>
      <c r="MNE5" s="11"/>
      <c r="MNF5" s="11"/>
      <c r="MNG5" s="11"/>
      <c r="MNH5" s="11"/>
      <c r="MNI5" s="11"/>
      <c r="MNJ5" s="11"/>
      <c r="MNK5" s="11"/>
      <c r="MNL5" s="11"/>
      <c r="MNM5" s="11"/>
      <c r="MNN5" s="11"/>
      <c r="MNO5" s="11"/>
      <c r="MNP5" s="11"/>
      <c r="MNQ5" s="11"/>
      <c r="MNR5" s="11"/>
      <c r="MNS5" s="11"/>
      <c r="MNT5" s="11"/>
      <c r="MNU5" s="11"/>
      <c r="MNV5" s="11"/>
      <c r="MNW5" s="11"/>
      <c r="MNX5" s="11"/>
      <c r="MNY5" s="11"/>
      <c r="MNZ5" s="11"/>
      <c r="MOA5" s="11"/>
      <c r="MOB5" s="11"/>
      <c r="MOC5" s="11"/>
      <c r="MOD5" s="11"/>
      <c r="MOE5" s="11"/>
      <c r="MOF5" s="11"/>
      <c r="MOG5" s="11"/>
      <c r="MOH5" s="11"/>
      <c r="MOI5" s="11"/>
      <c r="MOJ5" s="11"/>
      <c r="MOK5" s="11"/>
      <c r="MOL5" s="11"/>
      <c r="MOM5" s="11"/>
      <c r="MON5" s="11"/>
      <c r="MOO5" s="11"/>
      <c r="MOP5" s="11"/>
      <c r="MOQ5" s="11"/>
      <c r="MOR5" s="11"/>
      <c r="MOS5" s="11"/>
      <c r="MOT5" s="11"/>
      <c r="MOU5" s="11"/>
      <c r="MOV5" s="11"/>
      <c r="MOW5" s="11"/>
      <c r="MOX5" s="11"/>
      <c r="MOY5" s="11"/>
      <c r="MOZ5" s="11"/>
      <c r="MPA5" s="11"/>
      <c r="MPB5" s="11"/>
      <c r="MPC5" s="11"/>
      <c r="MPD5" s="11"/>
      <c r="MPE5" s="11"/>
      <c r="MPF5" s="11"/>
      <c r="MPG5" s="11"/>
      <c r="MPH5" s="11"/>
      <c r="MPI5" s="11"/>
      <c r="MPJ5" s="11"/>
      <c r="MPK5" s="11"/>
      <c r="MPL5" s="11"/>
      <c r="MPM5" s="11"/>
      <c r="MPN5" s="11"/>
      <c r="MPO5" s="11"/>
      <c r="MPP5" s="11"/>
      <c r="MPQ5" s="11"/>
      <c r="MPR5" s="11"/>
      <c r="MPS5" s="11"/>
      <c r="MPT5" s="11"/>
      <c r="MPU5" s="11"/>
      <c r="MPV5" s="11"/>
      <c r="MPW5" s="11"/>
      <c r="MPX5" s="11"/>
      <c r="MPY5" s="11"/>
      <c r="MPZ5" s="11"/>
      <c r="MQA5" s="11"/>
      <c r="MQB5" s="11"/>
      <c r="MQC5" s="11"/>
      <c r="MQD5" s="11"/>
      <c r="MQE5" s="11"/>
      <c r="MQF5" s="11"/>
      <c r="MQG5" s="11"/>
      <c r="MQH5" s="11"/>
      <c r="MQI5" s="11"/>
      <c r="MQJ5" s="11"/>
      <c r="MQK5" s="11"/>
      <c r="MQL5" s="11"/>
      <c r="MQM5" s="11"/>
      <c r="MQN5" s="11"/>
      <c r="MQO5" s="11"/>
      <c r="MQP5" s="11"/>
      <c r="MQQ5" s="11"/>
      <c r="MQR5" s="11"/>
      <c r="MQS5" s="11"/>
      <c r="MQT5" s="11"/>
      <c r="MQU5" s="11"/>
      <c r="MQV5" s="11"/>
      <c r="MQW5" s="11"/>
      <c r="MQX5" s="11"/>
      <c r="MQY5" s="11"/>
      <c r="MQZ5" s="11"/>
      <c r="MRA5" s="11"/>
      <c r="MRB5" s="11"/>
      <c r="MRC5" s="11"/>
      <c r="MRD5" s="11"/>
      <c r="MRE5" s="11"/>
      <c r="MRF5" s="11"/>
      <c r="MRG5" s="11"/>
      <c r="MRH5" s="11"/>
      <c r="MRI5" s="11"/>
      <c r="MRJ5" s="11"/>
      <c r="MRK5" s="11"/>
      <c r="MRL5" s="11"/>
      <c r="MRM5" s="11"/>
      <c r="MRN5" s="11"/>
      <c r="MRO5" s="11"/>
      <c r="MRP5" s="11"/>
      <c r="MRQ5" s="11"/>
      <c r="MRR5" s="11"/>
      <c r="MRS5" s="11"/>
      <c r="MRT5" s="11"/>
      <c r="MRU5" s="11"/>
      <c r="MRV5" s="11"/>
      <c r="MRW5" s="11"/>
      <c r="MRX5" s="11"/>
      <c r="MRY5" s="11"/>
      <c r="MRZ5" s="11"/>
      <c r="MSA5" s="11"/>
      <c r="MSB5" s="11"/>
      <c r="MSC5" s="11"/>
      <c r="MSD5" s="11"/>
      <c r="MSE5" s="11"/>
      <c r="MSF5" s="11"/>
      <c r="MSG5" s="11"/>
      <c r="MSH5" s="11"/>
      <c r="MSI5" s="11"/>
      <c r="MSJ5" s="11"/>
      <c r="MSK5" s="11"/>
      <c r="MSL5" s="11"/>
      <c r="MSM5" s="11"/>
      <c r="MSN5" s="11"/>
      <c r="MSO5" s="11"/>
      <c r="MSP5" s="11"/>
      <c r="MSQ5" s="11"/>
      <c r="MSR5" s="11"/>
      <c r="MSS5" s="11"/>
      <c r="MST5" s="11"/>
      <c r="MSU5" s="11"/>
      <c r="MSV5" s="11"/>
      <c r="MSW5" s="11"/>
      <c r="MSX5" s="11"/>
      <c r="MSY5" s="11"/>
      <c r="MSZ5" s="11"/>
      <c r="MTA5" s="11"/>
      <c r="MTB5" s="11"/>
      <c r="MTC5" s="11"/>
      <c r="MTD5" s="11"/>
      <c r="MTE5" s="11"/>
      <c r="MTF5" s="11"/>
      <c r="MTG5" s="11"/>
      <c r="MTH5" s="11"/>
      <c r="MTI5" s="11"/>
      <c r="MTJ5" s="11"/>
      <c r="MTK5" s="11"/>
      <c r="MTL5" s="11"/>
      <c r="MTM5" s="11"/>
      <c r="MTN5" s="11"/>
      <c r="MTO5" s="11"/>
      <c r="MTP5" s="11"/>
      <c r="MTQ5" s="11"/>
      <c r="MTR5" s="11"/>
      <c r="MTS5" s="11"/>
      <c r="MTT5" s="11"/>
      <c r="MTU5" s="11"/>
      <c r="MTV5" s="11"/>
      <c r="MTW5" s="11"/>
      <c r="MTX5" s="11"/>
      <c r="MTY5" s="11"/>
      <c r="MTZ5" s="11"/>
      <c r="MUA5" s="11"/>
      <c r="MUB5" s="11"/>
      <c r="MUC5" s="11"/>
      <c r="MUD5" s="11"/>
      <c r="MUE5" s="11"/>
      <c r="MUF5" s="11"/>
      <c r="MUG5" s="11"/>
      <c r="MUH5" s="11"/>
      <c r="MUI5" s="11"/>
      <c r="MUJ5" s="11"/>
      <c r="MUK5" s="11"/>
      <c r="MUL5" s="11"/>
      <c r="MUM5" s="11"/>
      <c r="MUN5" s="11"/>
      <c r="MUO5" s="11"/>
      <c r="MUP5" s="11"/>
      <c r="MUQ5" s="11"/>
      <c r="MUR5" s="11"/>
      <c r="MUS5" s="11"/>
      <c r="MUT5" s="11"/>
      <c r="MUU5" s="11"/>
      <c r="MUV5" s="11"/>
      <c r="MUW5" s="11"/>
      <c r="MUX5" s="11"/>
      <c r="MUY5" s="11"/>
      <c r="MUZ5" s="11"/>
      <c r="MVA5" s="11"/>
      <c r="MVB5" s="11"/>
      <c r="MVC5" s="11"/>
      <c r="MVD5" s="11"/>
      <c r="MVE5" s="11"/>
      <c r="MVF5" s="11"/>
      <c r="MVG5" s="11"/>
      <c r="MVH5" s="11"/>
      <c r="MVI5" s="11"/>
      <c r="MVJ5" s="11"/>
      <c r="MVK5" s="11"/>
      <c r="MVL5" s="11"/>
      <c r="MVM5" s="11"/>
      <c r="MVN5" s="11"/>
      <c r="MVO5" s="11"/>
      <c r="MVP5" s="11"/>
      <c r="MVQ5" s="11"/>
      <c r="MVR5" s="11"/>
      <c r="MVS5" s="11"/>
      <c r="MVT5" s="11"/>
      <c r="MVU5" s="11"/>
      <c r="MVV5" s="11"/>
      <c r="MVW5" s="11"/>
      <c r="MVX5" s="11"/>
      <c r="MVY5" s="11"/>
      <c r="MVZ5" s="11"/>
      <c r="MWA5" s="11"/>
      <c r="MWB5" s="11"/>
      <c r="MWC5" s="11"/>
      <c r="MWD5" s="11"/>
      <c r="MWE5" s="11"/>
      <c r="MWF5" s="11"/>
      <c r="MWG5" s="11"/>
      <c r="MWH5" s="11"/>
      <c r="MWI5" s="11"/>
      <c r="MWJ5" s="11"/>
      <c r="MWK5" s="11"/>
      <c r="MWL5" s="11"/>
      <c r="MWM5" s="11"/>
      <c r="MWN5" s="11"/>
      <c r="MWO5" s="11"/>
      <c r="MWP5" s="11"/>
      <c r="MWQ5" s="11"/>
      <c r="MWR5" s="11"/>
      <c r="MWS5" s="11"/>
      <c r="MWT5" s="11"/>
      <c r="MWU5" s="11"/>
      <c r="MWV5" s="11"/>
      <c r="MWW5" s="11"/>
      <c r="MWX5" s="11"/>
      <c r="MWY5" s="11"/>
      <c r="MWZ5" s="11"/>
      <c r="MXA5" s="11"/>
      <c r="MXB5" s="11"/>
      <c r="MXC5" s="11"/>
      <c r="MXD5" s="11"/>
      <c r="MXE5" s="11"/>
      <c r="MXF5" s="11"/>
      <c r="MXG5" s="11"/>
      <c r="MXH5" s="11"/>
      <c r="MXI5" s="11"/>
      <c r="MXJ5" s="11"/>
      <c r="MXK5" s="11"/>
      <c r="MXL5" s="11"/>
      <c r="MXM5" s="11"/>
      <c r="MXN5" s="11"/>
      <c r="MXO5" s="11"/>
      <c r="MXP5" s="11"/>
      <c r="MXQ5" s="11"/>
      <c r="MXR5" s="11"/>
      <c r="MXS5" s="11"/>
      <c r="MXT5" s="11"/>
      <c r="MXU5" s="11"/>
      <c r="MXV5" s="11"/>
      <c r="MXW5" s="11"/>
      <c r="MXX5" s="11"/>
      <c r="MXY5" s="11"/>
      <c r="MXZ5" s="11"/>
      <c r="MYA5" s="11"/>
      <c r="MYB5" s="11"/>
      <c r="MYC5" s="11"/>
      <c r="MYD5" s="11"/>
      <c r="MYE5" s="11"/>
      <c r="MYF5" s="11"/>
      <c r="MYG5" s="11"/>
      <c r="MYH5" s="11"/>
      <c r="MYI5" s="11"/>
      <c r="MYJ5" s="11"/>
      <c r="MYK5" s="11"/>
      <c r="MYL5" s="11"/>
      <c r="MYM5" s="11"/>
      <c r="MYN5" s="11"/>
      <c r="MYO5" s="11"/>
      <c r="MYP5" s="11"/>
      <c r="MYQ5" s="11"/>
      <c r="MYR5" s="11"/>
      <c r="MYS5" s="11"/>
      <c r="MYT5" s="11"/>
      <c r="MYU5" s="11"/>
      <c r="MYV5" s="11"/>
      <c r="MYW5" s="11"/>
      <c r="MYX5" s="11"/>
      <c r="MYY5" s="11"/>
      <c r="MYZ5" s="11"/>
      <c r="MZA5" s="11"/>
      <c r="MZB5" s="11"/>
      <c r="MZC5" s="11"/>
      <c r="MZD5" s="11"/>
      <c r="MZE5" s="11"/>
      <c r="MZF5" s="11"/>
      <c r="MZG5" s="11"/>
      <c r="MZH5" s="11"/>
      <c r="MZI5" s="11"/>
      <c r="MZJ5" s="11"/>
      <c r="MZK5" s="11"/>
      <c r="MZL5" s="11"/>
      <c r="MZM5" s="11"/>
      <c r="MZN5" s="11"/>
      <c r="MZO5" s="11"/>
      <c r="MZP5" s="11"/>
      <c r="MZQ5" s="11"/>
      <c r="MZR5" s="11"/>
      <c r="MZS5" s="11"/>
      <c r="MZT5" s="11"/>
      <c r="MZU5" s="11"/>
      <c r="MZV5" s="11"/>
      <c r="MZW5" s="11"/>
      <c r="MZX5" s="11"/>
      <c r="MZY5" s="11"/>
      <c r="MZZ5" s="11"/>
      <c r="NAA5" s="11"/>
      <c r="NAB5" s="11"/>
      <c r="NAC5" s="11"/>
      <c r="NAD5" s="11"/>
      <c r="NAE5" s="11"/>
      <c r="NAF5" s="11"/>
      <c r="NAG5" s="11"/>
      <c r="NAH5" s="11"/>
      <c r="NAI5" s="11"/>
      <c r="NAJ5" s="11"/>
      <c r="NAK5" s="11"/>
      <c r="NAL5" s="11"/>
      <c r="NAM5" s="11"/>
      <c r="NAN5" s="11"/>
      <c r="NAO5" s="11"/>
      <c r="NAP5" s="11"/>
      <c r="NAQ5" s="11"/>
      <c r="NAR5" s="11"/>
      <c r="NAS5" s="11"/>
      <c r="NAT5" s="11"/>
      <c r="NAU5" s="11"/>
      <c r="NAV5" s="11"/>
      <c r="NAW5" s="11"/>
      <c r="NAX5" s="11"/>
      <c r="NAY5" s="11"/>
      <c r="NAZ5" s="11"/>
      <c r="NBA5" s="11"/>
      <c r="NBB5" s="11"/>
      <c r="NBC5" s="11"/>
      <c r="NBD5" s="11"/>
      <c r="NBE5" s="11"/>
      <c r="NBF5" s="11"/>
      <c r="NBG5" s="11"/>
      <c r="NBH5" s="11"/>
      <c r="NBI5" s="11"/>
      <c r="NBJ5" s="11"/>
      <c r="NBK5" s="11"/>
      <c r="NBL5" s="11"/>
      <c r="NBM5" s="11"/>
      <c r="NBN5" s="11"/>
      <c r="NBO5" s="11"/>
      <c r="NBP5" s="11"/>
      <c r="NBQ5" s="11"/>
      <c r="NBR5" s="11"/>
      <c r="NBS5" s="11"/>
      <c r="NBT5" s="11"/>
      <c r="NBU5" s="11"/>
      <c r="NBV5" s="11"/>
      <c r="NBW5" s="11"/>
      <c r="NBX5" s="11"/>
      <c r="NBY5" s="11"/>
      <c r="NBZ5" s="11"/>
      <c r="NCA5" s="11"/>
      <c r="NCB5" s="11"/>
      <c r="NCC5" s="11"/>
      <c r="NCD5" s="11"/>
      <c r="NCE5" s="11"/>
      <c r="NCF5" s="11"/>
      <c r="NCG5" s="11"/>
      <c r="NCH5" s="11"/>
      <c r="NCI5" s="11"/>
      <c r="NCJ5" s="11"/>
      <c r="NCK5" s="11"/>
      <c r="NCL5" s="11"/>
      <c r="NCM5" s="11"/>
      <c r="NCN5" s="11"/>
      <c r="NCO5" s="11"/>
      <c r="NCP5" s="11"/>
      <c r="NCQ5" s="11"/>
      <c r="NCR5" s="11"/>
      <c r="NCS5" s="11"/>
      <c r="NCT5" s="11"/>
      <c r="NCU5" s="11"/>
      <c r="NCV5" s="11"/>
      <c r="NCW5" s="11"/>
      <c r="NCX5" s="11"/>
      <c r="NCY5" s="11"/>
      <c r="NCZ5" s="11"/>
      <c r="NDA5" s="11"/>
      <c r="NDB5" s="11"/>
      <c r="NDC5" s="11"/>
      <c r="NDD5" s="11"/>
      <c r="NDE5" s="11"/>
      <c r="NDF5" s="11"/>
      <c r="NDG5" s="11"/>
      <c r="NDH5" s="11"/>
      <c r="NDI5" s="11"/>
      <c r="NDJ5" s="11"/>
      <c r="NDK5" s="11"/>
      <c r="NDL5" s="11"/>
      <c r="NDM5" s="11"/>
      <c r="NDN5" s="11"/>
      <c r="NDO5" s="11"/>
      <c r="NDP5" s="11"/>
      <c r="NDQ5" s="11"/>
      <c r="NDR5" s="11"/>
      <c r="NDS5" s="11"/>
      <c r="NDT5" s="11"/>
      <c r="NDU5" s="11"/>
      <c r="NDV5" s="11"/>
      <c r="NDW5" s="11"/>
      <c r="NDX5" s="11"/>
      <c r="NDY5" s="11"/>
      <c r="NDZ5" s="11"/>
      <c r="NEA5" s="11"/>
      <c r="NEB5" s="11"/>
      <c r="NEC5" s="11"/>
      <c r="NED5" s="11"/>
      <c r="NEE5" s="11"/>
      <c r="NEF5" s="11"/>
      <c r="NEG5" s="11"/>
      <c r="NEH5" s="11"/>
      <c r="NEI5" s="11"/>
      <c r="NEJ5" s="11"/>
      <c r="NEK5" s="11"/>
      <c r="NEL5" s="11"/>
      <c r="NEM5" s="11"/>
      <c r="NEN5" s="11"/>
      <c r="NEO5" s="11"/>
      <c r="NEP5" s="11"/>
      <c r="NEQ5" s="11"/>
      <c r="NER5" s="11"/>
      <c r="NES5" s="11"/>
      <c r="NET5" s="11"/>
      <c r="NEU5" s="11"/>
      <c r="NEV5" s="11"/>
      <c r="NEW5" s="11"/>
      <c r="NEX5" s="11"/>
      <c r="NEY5" s="11"/>
      <c r="NEZ5" s="11"/>
      <c r="NFA5" s="11"/>
      <c r="NFB5" s="11"/>
      <c r="NFC5" s="11"/>
      <c r="NFD5" s="11"/>
      <c r="NFE5" s="11"/>
      <c r="NFF5" s="11"/>
      <c r="NFG5" s="11"/>
      <c r="NFH5" s="11"/>
      <c r="NFI5" s="11"/>
      <c r="NFJ5" s="11"/>
      <c r="NFK5" s="11"/>
      <c r="NFL5" s="11"/>
      <c r="NFM5" s="11"/>
      <c r="NFN5" s="11"/>
      <c r="NFO5" s="11"/>
      <c r="NFP5" s="11"/>
      <c r="NFQ5" s="11"/>
      <c r="NFR5" s="11"/>
      <c r="NFS5" s="11"/>
      <c r="NFT5" s="11"/>
      <c r="NFU5" s="11"/>
      <c r="NFV5" s="11"/>
      <c r="NFW5" s="11"/>
      <c r="NFX5" s="11"/>
      <c r="NFY5" s="11"/>
      <c r="NFZ5" s="11"/>
      <c r="NGA5" s="11"/>
      <c r="NGB5" s="11"/>
      <c r="NGC5" s="11"/>
      <c r="NGD5" s="11"/>
      <c r="NGE5" s="11"/>
      <c r="NGF5" s="11"/>
      <c r="NGG5" s="11"/>
      <c r="NGH5" s="11"/>
      <c r="NGI5" s="11"/>
      <c r="NGJ5" s="11"/>
      <c r="NGK5" s="11"/>
      <c r="NGL5" s="11"/>
      <c r="NGM5" s="11"/>
      <c r="NGN5" s="11"/>
      <c r="NGO5" s="11"/>
      <c r="NGP5" s="11"/>
      <c r="NGQ5" s="11"/>
      <c r="NGR5" s="11"/>
      <c r="NGS5" s="11"/>
      <c r="NGT5" s="11"/>
      <c r="NGU5" s="11"/>
      <c r="NGV5" s="11"/>
      <c r="NGW5" s="11"/>
      <c r="NGX5" s="11"/>
      <c r="NGY5" s="11"/>
      <c r="NGZ5" s="11"/>
      <c r="NHA5" s="11"/>
      <c r="NHB5" s="11"/>
      <c r="NHC5" s="11"/>
      <c r="NHD5" s="11"/>
      <c r="NHE5" s="11"/>
      <c r="NHF5" s="11"/>
      <c r="NHG5" s="11"/>
      <c r="NHH5" s="11"/>
      <c r="NHI5" s="11"/>
      <c r="NHJ5" s="11"/>
      <c r="NHK5" s="11"/>
      <c r="NHL5" s="11"/>
      <c r="NHM5" s="11"/>
      <c r="NHN5" s="11"/>
      <c r="NHO5" s="11"/>
      <c r="NHP5" s="11"/>
      <c r="NHQ5" s="11"/>
      <c r="NHR5" s="11"/>
      <c r="NHS5" s="11"/>
      <c r="NHT5" s="11"/>
      <c r="NHU5" s="11"/>
      <c r="NHV5" s="11"/>
      <c r="NHW5" s="11"/>
      <c r="NHX5" s="11"/>
      <c r="NHY5" s="11"/>
      <c r="NHZ5" s="11"/>
      <c r="NIA5" s="11"/>
      <c r="NIB5" s="11"/>
      <c r="NIC5" s="11"/>
      <c r="NID5" s="11"/>
      <c r="NIE5" s="11"/>
      <c r="NIF5" s="11"/>
      <c r="NIG5" s="11"/>
      <c r="NIH5" s="11"/>
      <c r="NII5" s="11"/>
      <c r="NIJ5" s="11"/>
      <c r="NIK5" s="11"/>
      <c r="NIL5" s="11"/>
      <c r="NIM5" s="11"/>
      <c r="NIN5" s="11"/>
      <c r="NIO5" s="11"/>
      <c r="NIP5" s="11"/>
      <c r="NIQ5" s="11"/>
      <c r="NIR5" s="11"/>
      <c r="NIS5" s="11"/>
      <c r="NIT5" s="11"/>
      <c r="NIU5" s="11"/>
      <c r="NIV5" s="11"/>
      <c r="NIW5" s="11"/>
      <c r="NIX5" s="11"/>
      <c r="NIY5" s="11"/>
      <c r="NIZ5" s="11"/>
      <c r="NJA5" s="11"/>
      <c r="NJB5" s="11"/>
      <c r="NJC5" s="11"/>
      <c r="NJD5" s="11"/>
      <c r="NJE5" s="11"/>
      <c r="NJF5" s="11"/>
      <c r="NJG5" s="11"/>
      <c r="NJH5" s="11"/>
      <c r="NJI5" s="11"/>
      <c r="NJJ5" s="11"/>
      <c r="NJK5" s="11"/>
      <c r="NJL5" s="11"/>
      <c r="NJM5" s="11"/>
      <c r="NJN5" s="11"/>
      <c r="NJO5" s="11"/>
      <c r="NJP5" s="11"/>
      <c r="NJQ5" s="11"/>
      <c r="NJR5" s="11"/>
      <c r="NJS5" s="11"/>
      <c r="NJT5" s="11"/>
      <c r="NJU5" s="11"/>
      <c r="NJV5" s="11"/>
      <c r="NJW5" s="11"/>
      <c r="NJX5" s="11"/>
      <c r="NJY5" s="11"/>
      <c r="NJZ5" s="11"/>
      <c r="NKA5" s="11"/>
      <c r="NKB5" s="11"/>
      <c r="NKC5" s="11"/>
      <c r="NKD5" s="11"/>
      <c r="NKE5" s="11"/>
      <c r="NKF5" s="11"/>
      <c r="NKG5" s="11"/>
      <c r="NKH5" s="11"/>
      <c r="NKI5" s="11"/>
      <c r="NKJ5" s="11"/>
      <c r="NKK5" s="11"/>
      <c r="NKL5" s="11"/>
      <c r="NKM5" s="11"/>
      <c r="NKN5" s="11"/>
      <c r="NKO5" s="11"/>
      <c r="NKP5" s="11"/>
      <c r="NKQ5" s="11"/>
      <c r="NKR5" s="11"/>
      <c r="NKS5" s="11"/>
      <c r="NKT5" s="11"/>
      <c r="NKU5" s="11"/>
      <c r="NKV5" s="11"/>
      <c r="NKW5" s="11"/>
      <c r="NKX5" s="11"/>
      <c r="NKY5" s="11"/>
      <c r="NKZ5" s="11"/>
      <c r="NLA5" s="11"/>
      <c r="NLB5" s="11"/>
      <c r="NLC5" s="11"/>
      <c r="NLD5" s="11"/>
      <c r="NLE5" s="11"/>
      <c r="NLF5" s="11"/>
      <c r="NLG5" s="11"/>
      <c r="NLH5" s="11"/>
      <c r="NLI5" s="11"/>
      <c r="NLJ5" s="11"/>
      <c r="NLK5" s="11"/>
      <c r="NLL5" s="11"/>
      <c r="NLM5" s="11"/>
      <c r="NLN5" s="11"/>
      <c r="NLO5" s="11"/>
      <c r="NLP5" s="11"/>
      <c r="NLQ5" s="11"/>
      <c r="NLR5" s="11"/>
      <c r="NLS5" s="11"/>
      <c r="NLT5" s="11"/>
      <c r="NLU5" s="11"/>
      <c r="NLV5" s="11"/>
      <c r="NLW5" s="11"/>
      <c r="NLX5" s="11"/>
      <c r="NLY5" s="11"/>
      <c r="NLZ5" s="11"/>
      <c r="NMA5" s="11"/>
      <c r="NMB5" s="11"/>
      <c r="NMC5" s="11"/>
      <c r="NMD5" s="11"/>
      <c r="NME5" s="11"/>
      <c r="NMF5" s="11"/>
      <c r="NMG5" s="11"/>
      <c r="NMH5" s="11"/>
      <c r="NMI5" s="11"/>
      <c r="NMJ5" s="11"/>
      <c r="NMK5" s="11"/>
      <c r="NML5" s="11"/>
      <c r="NMM5" s="11"/>
      <c r="NMN5" s="11"/>
      <c r="NMO5" s="11"/>
      <c r="NMP5" s="11"/>
      <c r="NMQ5" s="11"/>
      <c r="NMR5" s="11"/>
      <c r="NMS5" s="11"/>
      <c r="NMT5" s="11"/>
      <c r="NMU5" s="11"/>
      <c r="NMV5" s="11"/>
      <c r="NMW5" s="11"/>
      <c r="NMX5" s="11"/>
      <c r="NMY5" s="11"/>
      <c r="NMZ5" s="11"/>
      <c r="NNA5" s="11"/>
      <c r="NNB5" s="11"/>
      <c r="NNC5" s="11"/>
      <c r="NND5" s="11"/>
      <c r="NNE5" s="11"/>
      <c r="NNF5" s="11"/>
      <c r="NNG5" s="11"/>
      <c r="NNH5" s="11"/>
      <c r="NNI5" s="11"/>
      <c r="NNJ5" s="11"/>
      <c r="NNK5" s="11"/>
      <c r="NNL5" s="11"/>
      <c r="NNM5" s="11"/>
      <c r="NNN5" s="11"/>
      <c r="NNO5" s="11"/>
      <c r="NNP5" s="11"/>
      <c r="NNQ5" s="11"/>
      <c r="NNR5" s="11"/>
      <c r="NNS5" s="11"/>
      <c r="NNT5" s="11"/>
      <c r="NNU5" s="11"/>
      <c r="NNV5" s="11"/>
      <c r="NNW5" s="11"/>
      <c r="NNX5" s="11"/>
      <c r="NNY5" s="11"/>
      <c r="NNZ5" s="11"/>
      <c r="NOA5" s="11"/>
      <c r="NOB5" s="11"/>
      <c r="NOC5" s="11"/>
      <c r="NOD5" s="11"/>
      <c r="NOE5" s="11"/>
      <c r="NOF5" s="11"/>
      <c r="NOG5" s="11"/>
      <c r="NOH5" s="11"/>
      <c r="NOI5" s="11"/>
      <c r="NOJ5" s="11"/>
      <c r="NOK5" s="11"/>
      <c r="NOL5" s="11"/>
      <c r="NOM5" s="11"/>
      <c r="NON5" s="11"/>
      <c r="NOO5" s="11"/>
      <c r="NOP5" s="11"/>
      <c r="NOQ5" s="11"/>
      <c r="NOR5" s="11"/>
      <c r="NOS5" s="11"/>
      <c r="NOT5" s="11"/>
      <c r="NOU5" s="11"/>
      <c r="NOV5" s="11"/>
      <c r="NOW5" s="11"/>
      <c r="NOX5" s="11"/>
      <c r="NOY5" s="11"/>
      <c r="NOZ5" s="11"/>
      <c r="NPA5" s="11"/>
      <c r="NPB5" s="11"/>
      <c r="NPC5" s="11"/>
      <c r="NPD5" s="11"/>
      <c r="NPE5" s="11"/>
      <c r="NPF5" s="11"/>
      <c r="NPG5" s="11"/>
      <c r="NPH5" s="11"/>
      <c r="NPI5" s="11"/>
      <c r="NPJ5" s="11"/>
      <c r="NPK5" s="11"/>
      <c r="NPL5" s="11"/>
      <c r="NPM5" s="11"/>
      <c r="NPN5" s="11"/>
      <c r="NPO5" s="11"/>
      <c r="NPP5" s="11"/>
      <c r="NPQ5" s="11"/>
      <c r="NPR5" s="11"/>
      <c r="NPS5" s="11"/>
      <c r="NPT5" s="11"/>
      <c r="NPU5" s="11"/>
      <c r="NPV5" s="11"/>
      <c r="NPW5" s="11"/>
      <c r="NPX5" s="11"/>
      <c r="NPY5" s="11"/>
      <c r="NPZ5" s="11"/>
      <c r="NQA5" s="11"/>
      <c r="NQB5" s="11"/>
      <c r="NQC5" s="11"/>
      <c r="NQD5" s="11"/>
      <c r="NQE5" s="11"/>
      <c r="NQF5" s="11"/>
      <c r="NQG5" s="11"/>
      <c r="NQH5" s="11"/>
      <c r="NQI5" s="11"/>
      <c r="NQJ5" s="11"/>
      <c r="NQK5" s="11"/>
      <c r="NQL5" s="11"/>
      <c r="NQM5" s="11"/>
      <c r="NQN5" s="11"/>
      <c r="NQO5" s="11"/>
      <c r="NQP5" s="11"/>
      <c r="NQQ5" s="11"/>
      <c r="NQR5" s="11"/>
      <c r="NQS5" s="11"/>
      <c r="NQT5" s="11"/>
      <c r="NQU5" s="11"/>
      <c r="NQV5" s="11"/>
      <c r="NQW5" s="11"/>
      <c r="NQX5" s="11"/>
      <c r="NQY5" s="11"/>
      <c r="NQZ5" s="11"/>
      <c r="NRA5" s="11"/>
      <c r="NRB5" s="11"/>
      <c r="NRC5" s="11"/>
      <c r="NRD5" s="11"/>
      <c r="NRE5" s="11"/>
      <c r="NRF5" s="11"/>
      <c r="NRG5" s="11"/>
      <c r="NRH5" s="11"/>
      <c r="NRI5" s="11"/>
      <c r="NRJ5" s="11"/>
      <c r="NRK5" s="11"/>
      <c r="NRL5" s="11"/>
      <c r="NRM5" s="11"/>
      <c r="NRN5" s="11"/>
      <c r="NRO5" s="11"/>
      <c r="NRP5" s="11"/>
      <c r="NRQ5" s="11"/>
      <c r="NRR5" s="11"/>
      <c r="NRS5" s="11"/>
      <c r="NRT5" s="11"/>
      <c r="NRU5" s="11"/>
      <c r="NRV5" s="11"/>
      <c r="NRW5" s="11"/>
      <c r="NRX5" s="11"/>
      <c r="NRY5" s="11"/>
      <c r="NRZ5" s="11"/>
      <c r="NSA5" s="11"/>
      <c r="NSB5" s="11"/>
      <c r="NSC5" s="11"/>
      <c r="NSD5" s="11"/>
      <c r="NSE5" s="11"/>
      <c r="NSF5" s="11"/>
      <c r="NSG5" s="11"/>
      <c r="NSH5" s="11"/>
      <c r="NSI5" s="11"/>
      <c r="NSJ5" s="11"/>
      <c r="NSK5" s="11"/>
      <c r="NSL5" s="11"/>
      <c r="NSM5" s="11"/>
      <c r="NSN5" s="11"/>
      <c r="NSO5" s="11"/>
      <c r="NSP5" s="11"/>
      <c r="NSQ5" s="11"/>
      <c r="NSR5" s="11"/>
      <c r="NSS5" s="11"/>
      <c r="NST5" s="11"/>
      <c r="NSU5" s="11"/>
      <c r="NSV5" s="11"/>
      <c r="NSW5" s="11"/>
      <c r="NSX5" s="11"/>
      <c r="NSY5" s="11"/>
      <c r="NSZ5" s="11"/>
      <c r="NTA5" s="11"/>
      <c r="NTB5" s="11"/>
      <c r="NTC5" s="11"/>
      <c r="NTD5" s="11"/>
      <c r="NTE5" s="11"/>
      <c r="NTF5" s="11"/>
      <c r="NTG5" s="11"/>
      <c r="NTH5" s="11"/>
      <c r="NTI5" s="11"/>
      <c r="NTJ5" s="11"/>
      <c r="NTK5" s="11"/>
      <c r="NTL5" s="11"/>
      <c r="NTM5" s="11"/>
      <c r="NTN5" s="11"/>
      <c r="NTO5" s="11"/>
      <c r="NTP5" s="11"/>
      <c r="NTQ5" s="11"/>
      <c r="NTR5" s="11"/>
      <c r="NTS5" s="11"/>
      <c r="NTT5" s="11"/>
      <c r="NTU5" s="11"/>
      <c r="NTV5" s="11"/>
      <c r="NTW5" s="11"/>
      <c r="NTX5" s="11"/>
      <c r="NTY5" s="11"/>
      <c r="NTZ5" s="11"/>
      <c r="NUA5" s="11"/>
      <c r="NUB5" s="11"/>
      <c r="NUC5" s="11"/>
      <c r="NUD5" s="11"/>
      <c r="NUE5" s="11"/>
      <c r="NUF5" s="11"/>
      <c r="NUG5" s="11"/>
      <c r="NUH5" s="11"/>
      <c r="NUI5" s="11"/>
      <c r="NUJ5" s="11"/>
      <c r="NUK5" s="11"/>
      <c r="NUL5" s="11"/>
      <c r="NUM5" s="11"/>
      <c r="NUN5" s="11"/>
      <c r="NUO5" s="11"/>
      <c r="NUP5" s="11"/>
      <c r="NUQ5" s="11"/>
      <c r="NUR5" s="11"/>
      <c r="NUS5" s="11"/>
      <c r="NUT5" s="11"/>
      <c r="NUU5" s="11"/>
      <c r="NUV5" s="11"/>
      <c r="NUW5" s="11"/>
      <c r="NUX5" s="11"/>
      <c r="NUY5" s="11"/>
      <c r="NUZ5" s="11"/>
      <c r="NVA5" s="11"/>
      <c r="NVB5" s="11"/>
      <c r="NVC5" s="11"/>
      <c r="NVD5" s="11"/>
      <c r="NVE5" s="11"/>
      <c r="NVF5" s="11"/>
      <c r="NVG5" s="11"/>
      <c r="NVH5" s="11"/>
      <c r="NVI5" s="11"/>
      <c r="NVJ5" s="11"/>
      <c r="NVK5" s="11"/>
      <c r="NVL5" s="11"/>
      <c r="NVM5" s="11"/>
      <c r="NVN5" s="11"/>
      <c r="NVO5" s="11"/>
      <c r="NVP5" s="11"/>
      <c r="NVQ5" s="11"/>
      <c r="NVR5" s="11"/>
      <c r="NVS5" s="11"/>
      <c r="NVT5" s="11"/>
      <c r="NVU5" s="11"/>
      <c r="NVV5" s="11"/>
      <c r="NVW5" s="11"/>
      <c r="NVX5" s="11"/>
      <c r="NVY5" s="11"/>
      <c r="NVZ5" s="11"/>
      <c r="NWA5" s="11"/>
      <c r="NWB5" s="11"/>
      <c r="NWC5" s="11"/>
      <c r="NWD5" s="11"/>
      <c r="NWE5" s="11"/>
      <c r="NWF5" s="11"/>
      <c r="NWG5" s="11"/>
      <c r="NWH5" s="11"/>
      <c r="NWI5" s="11"/>
      <c r="NWJ5" s="11"/>
      <c r="NWK5" s="11"/>
      <c r="NWL5" s="11"/>
      <c r="NWM5" s="11"/>
      <c r="NWN5" s="11"/>
      <c r="NWO5" s="11"/>
      <c r="NWP5" s="11"/>
      <c r="NWQ5" s="11"/>
      <c r="NWR5" s="11"/>
      <c r="NWS5" s="11"/>
      <c r="NWT5" s="11"/>
      <c r="NWU5" s="11"/>
      <c r="NWV5" s="11"/>
      <c r="NWW5" s="11"/>
      <c r="NWX5" s="11"/>
      <c r="NWY5" s="11"/>
      <c r="NWZ5" s="11"/>
      <c r="NXA5" s="11"/>
      <c r="NXB5" s="11"/>
      <c r="NXC5" s="11"/>
      <c r="NXD5" s="11"/>
      <c r="NXE5" s="11"/>
      <c r="NXF5" s="11"/>
      <c r="NXG5" s="11"/>
      <c r="NXH5" s="11"/>
      <c r="NXI5" s="11"/>
      <c r="NXJ5" s="11"/>
      <c r="NXK5" s="11"/>
      <c r="NXL5" s="11"/>
      <c r="NXM5" s="11"/>
      <c r="NXN5" s="11"/>
      <c r="NXO5" s="11"/>
      <c r="NXP5" s="11"/>
      <c r="NXQ5" s="11"/>
      <c r="NXR5" s="11"/>
      <c r="NXS5" s="11"/>
      <c r="NXT5" s="11"/>
      <c r="NXU5" s="11"/>
      <c r="NXV5" s="11"/>
      <c r="NXW5" s="11"/>
      <c r="NXX5" s="11"/>
      <c r="NXY5" s="11"/>
      <c r="NXZ5" s="11"/>
      <c r="NYA5" s="11"/>
      <c r="NYB5" s="11"/>
      <c r="NYC5" s="11"/>
      <c r="NYD5" s="11"/>
      <c r="NYE5" s="11"/>
      <c r="NYF5" s="11"/>
      <c r="NYG5" s="11"/>
      <c r="NYH5" s="11"/>
      <c r="NYI5" s="11"/>
      <c r="NYJ5" s="11"/>
      <c r="NYK5" s="11"/>
      <c r="NYL5" s="11"/>
      <c r="NYM5" s="11"/>
      <c r="NYN5" s="11"/>
      <c r="NYO5" s="11"/>
      <c r="NYP5" s="11"/>
      <c r="NYQ5" s="11"/>
      <c r="NYR5" s="11"/>
      <c r="NYS5" s="11"/>
      <c r="NYT5" s="11"/>
      <c r="NYU5" s="11"/>
      <c r="NYV5" s="11"/>
      <c r="NYW5" s="11"/>
      <c r="NYX5" s="11"/>
      <c r="NYY5" s="11"/>
      <c r="NYZ5" s="11"/>
      <c r="NZA5" s="11"/>
      <c r="NZB5" s="11"/>
      <c r="NZC5" s="11"/>
      <c r="NZD5" s="11"/>
      <c r="NZE5" s="11"/>
      <c r="NZF5" s="11"/>
      <c r="NZG5" s="11"/>
      <c r="NZH5" s="11"/>
      <c r="NZI5" s="11"/>
      <c r="NZJ5" s="11"/>
      <c r="NZK5" s="11"/>
      <c r="NZL5" s="11"/>
      <c r="NZM5" s="11"/>
      <c r="NZN5" s="11"/>
      <c r="NZO5" s="11"/>
      <c r="NZP5" s="11"/>
      <c r="NZQ5" s="11"/>
      <c r="NZR5" s="11"/>
      <c r="NZS5" s="11"/>
      <c r="NZT5" s="11"/>
      <c r="NZU5" s="11"/>
      <c r="NZV5" s="11"/>
      <c r="NZW5" s="11"/>
      <c r="NZX5" s="11"/>
      <c r="NZY5" s="11"/>
      <c r="NZZ5" s="11"/>
      <c r="OAA5" s="11"/>
      <c r="OAB5" s="11"/>
      <c r="OAC5" s="11"/>
      <c r="OAD5" s="11"/>
      <c r="OAE5" s="11"/>
      <c r="OAF5" s="11"/>
      <c r="OAG5" s="11"/>
      <c r="OAH5" s="11"/>
      <c r="OAI5" s="11"/>
      <c r="OAJ5" s="11"/>
      <c r="OAK5" s="11"/>
      <c r="OAL5" s="11"/>
      <c r="OAM5" s="11"/>
      <c r="OAN5" s="11"/>
      <c r="OAO5" s="11"/>
      <c r="OAP5" s="11"/>
      <c r="OAQ5" s="11"/>
      <c r="OAR5" s="11"/>
      <c r="OAS5" s="11"/>
      <c r="OAT5" s="11"/>
      <c r="OAU5" s="11"/>
      <c r="OAV5" s="11"/>
      <c r="OAW5" s="11"/>
      <c r="OAX5" s="11"/>
      <c r="OAY5" s="11"/>
      <c r="OAZ5" s="11"/>
      <c r="OBA5" s="11"/>
      <c r="OBB5" s="11"/>
      <c r="OBC5" s="11"/>
      <c r="OBD5" s="11"/>
      <c r="OBE5" s="11"/>
      <c r="OBF5" s="11"/>
      <c r="OBG5" s="11"/>
      <c r="OBH5" s="11"/>
      <c r="OBI5" s="11"/>
      <c r="OBJ5" s="11"/>
      <c r="OBK5" s="11"/>
      <c r="OBL5" s="11"/>
      <c r="OBM5" s="11"/>
      <c r="OBN5" s="11"/>
      <c r="OBO5" s="11"/>
      <c r="OBP5" s="11"/>
      <c r="OBQ5" s="11"/>
      <c r="OBR5" s="11"/>
      <c r="OBS5" s="11"/>
      <c r="OBT5" s="11"/>
      <c r="OBU5" s="11"/>
      <c r="OBV5" s="11"/>
      <c r="OBW5" s="11"/>
      <c r="OBX5" s="11"/>
      <c r="OBY5" s="11"/>
      <c r="OBZ5" s="11"/>
      <c r="OCA5" s="11"/>
      <c r="OCB5" s="11"/>
      <c r="OCC5" s="11"/>
      <c r="OCD5" s="11"/>
      <c r="OCE5" s="11"/>
      <c r="OCF5" s="11"/>
      <c r="OCG5" s="11"/>
      <c r="OCH5" s="11"/>
      <c r="OCI5" s="11"/>
      <c r="OCJ5" s="11"/>
      <c r="OCK5" s="11"/>
      <c r="OCL5" s="11"/>
      <c r="OCM5" s="11"/>
      <c r="OCN5" s="11"/>
      <c r="OCO5" s="11"/>
      <c r="OCP5" s="11"/>
      <c r="OCQ5" s="11"/>
      <c r="OCR5" s="11"/>
      <c r="OCS5" s="11"/>
      <c r="OCT5" s="11"/>
      <c r="OCU5" s="11"/>
      <c r="OCV5" s="11"/>
      <c r="OCW5" s="11"/>
      <c r="OCX5" s="11"/>
      <c r="OCY5" s="11"/>
      <c r="OCZ5" s="11"/>
      <c r="ODA5" s="11"/>
      <c r="ODB5" s="11"/>
      <c r="ODC5" s="11"/>
      <c r="ODD5" s="11"/>
      <c r="ODE5" s="11"/>
      <c r="ODF5" s="11"/>
      <c r="ODG5" s="11"/>
      <c r="ODH5" s="11"/>
      <c r="ODI5" s="11"/>
      <c r="ODJ5" s="11"/>
      <c r="ODK5" s="11"/>
      <c r="ODL5" s="11"/>
      <c r="ODM5" s="11"/>
      <c r="ODN5" s="11"/>
      <c r="ODO5" s="11"/>
      <c r="ODP5" s="11"/>
      <c r="ODQ5" s="11"/>
      <c r="ODR5" s="11"/>
      <c r="ODS5" s="11"/>
      <c r="ODT5" s="11"/>
      <c r="ODU5" s="11"/>
      <c r="ODV5" s="11"/>
      <c r="ODW5" s="11"/>
      <c r="ODX5" s="11"/>
      <c r="ODY5" s="11"/>
      <c r="ODZ5" s="11"/>
      <c r="OEA5" s="11"/>
      <c r="OEB5" s="11"/>
      <c r="OEC5" s="11"/>
      <c r="OED5" s="11"/>
      <c r="OEE5" s="11"/>
      <c r="OEF5" s="11"/>
      <c r="OEG5" s="11"/>
      <c r="OEH5" s="11"/>
      <c r="OEI5" s="11"/>
      <c r="OEJ5" s="11"/>
      <c r="OEK5" s="11"/>
      <c r="OEL5" s="11"/>
      <c r="OEM5" s="11"/>
      <c r="OEN5" s="11"/>
      <c r="OEO5" s="11"/>
      <c r="OEP5" s="11"/>
      <c r="OEQ5" s="11"/>
      <c r="OER5" s="11"/>
      <c r="OES5" s="11"/>
      <c r="OET5" s="11"/>
      <c r="OEU5" s="11"/>
      <c r="OEV5" s="11"/>
      <c r="OEW5" s="11"/>
      <c r="OEX5" s="11"/>
      <c r="OEY5" s="11"/>
      <c r="OEZ5" s="11"/>
      <c r="OFA5" s="11"/>
      <c r="OFB5" s="11"/>
      <c r="OFC5" s="11"/>
      <c r="OFD5" s="11"/>
      <c r="OFE5" s="11"/>
      <c r="OFF5" s="11"/>
      <c r="OFG5" s="11"/>
      <c r="OFH5" s="11"/>
      <c r="OFI5" s="11"/>
      <c r="OFJ5" s="11"/>
      <c r="OFK5" s="11"/>
      <c r="OFL5" s="11"/>
      <c r="OFM5" s="11"/>
      <c r="OFN5" s="11"/>
      <c r="OFO5" s="11"/>
      <c r="OFP5" s="11"/>
      <c r="OFQ5" s="11"/>
      <c r="OFR5" s="11"/>
      <c r="OFS5" s="11"/>
      <c r="OFT5" s="11"/>
      <c r="OFU5" s="11"/>
      <c r="OFV5" s="11"/>
      <c r="OFW5" s="11"/>
      <c r="OFX5" s="11"/>
      <c r="OFY5" s="11"/>
      <c r="OFZ5" s="11"/>
      <c r="OGA5" s="11"/>
      <c r="OGB5" s="11"/>
      <c r="OGC5" s="11"/>
      <c r="OGD5" s="11"/>
      <c r="OGE5" s="11"/>
      <c r="OGF5" s="11"/>
      <c r="OGG5" s="11"/>
      <c r="OGH5" s="11"/>
      <c r="OGI5" s="11"/>
      <c r="OGJ5" s="11"/>
      <c r="OGK5" s="11"/>
      <c r="OGL5" s="11"/>
      <c r="OGM5" s="11"/>
      <c r="OGN5" s="11"/>
      <c r="OGO5" s="11"/>
      <c r="OGP5" s="11"/>
      <c r="OGQ5" s="11"/>
      <c r="OGR5" s="11"/>
      <c r="OGS5" s="11"/>
      <c r="OGT5" s="11"/>
      <c r="OGU5" s="11"/>
      <c r="OGV5" s="11"/>
      <c r="OGW5" s="11"/>
      <c r="OGX5" s="11"/>
      <c r="OGY5" s="11"/>
      <c r="OGZ5" s="11"/>
      <c r="OHA5" s="11"/>
      <c r="OHB5" s="11"/>
      <c r="OHC5" s="11"/>
      <c r="OHD5" s="11"/>
      <c r="OHE5" s="11"/>
      <c r="OHF5" s="11"/>
      <c r="OHG5" s="11"/>
      <c r="OHH5" s="11"/>
      <c r="OHI5" s="11"/>
      <c r="OHJ5" s="11"/>
      <c r="OHK5" s="11"/>
      <c r="OHL5" s="11"/>
      <c r="OHM5" s="11"/>
      <c r="OHN5" s="11"/>
      <c r="OHO5" s="11"/>
      <c r="OHP5" s="11"/>
      <c r="OHQ5" s="11"/>
      <c r="OHR5" s="11"/>
      <c r="OHS5" s="11"/>
      <c r="OHT5" s="11"/>
      <c r="OHU5" s="11"/>
      <c r="OHV5" s="11"/>
      <c r="OHW5" s="11"/>
      <c r="OHX5" s="11"/>
      <c r="OHY5" s="11"/>
      <c r="OHZ5" s="11"/>
      <c r="OIA5" s="11"/>
      <c r="OIB5" s="11"/>
      <c r="OIC5" s="11"/>
      <c r="OID5" s="11"/>
      <c r="OIE5" s="11"/>
      <c r="OIF5" s="11"/>
      <c r="OIG5" s="11"/>
      <c r="OIH5" s="11"/>
      <c r="OII5" s="11"/>
      <c r="OIJ5" s="11"/>
      <c r="OIK5" s="11"/>
      <c r="OIL5" s="11"/>
      <c r="OIM5" s="11"/>
      <c r="OIN5" s="11"/>
      <c r="OIO5" s="11"/>
      <c r="OIP5" s="11"/>
      <c r="OIQ5" s="11"/>
      <c r="OIR5" s="11"/>
      <c r="OIS5" s="11"/>
      <c r="OIT5" s="11"/>
      <c r="OIU5" s="11"/>
      <c r="OIV5" s="11"/>
      <c r="OIW5" s="11"/>
      <c r="OIX5" s="11"/>
      <c r="OIY5" s="11"/>
      <c r="OIZ5" s="11"/>
      <c r="OJA5" s="11"/>
      <c r="OJB5" s="11"/>
      <c r="OJC5" s="11"/>
      <c r="OJD5" s="11"/>
      <c r="OJE5" s="11"/>
      <c r="OJF5" s="11"/>
      <c r="OJG5" s="11"/>
      <c r="OJH5" s="11"/>
      <c r="OJI5" s="11"/>
      <c r="OJJ5" s="11"/>
      <c r="OJK5" s="11"/>
      <c r="OJL5" s="11"/>
      <c r="OJM5" s="11"/>
      <c r="OJN5" s="11"/>
      <c r="OJO5" s="11"/>
      <c r="OJP5" s="11"/>
      <c r="OJQ5" s="11"/>
      <c r="OJR5" s="11"/>
      <c r="OJS5" s="11"/>
      <c r="OJT5" s="11"/>
      <c r="OJU5" s="11"/>
      <c r="OJV5" s="11"/>
      <c r="OJW5" s="11"/>
      <c r="OJX5" s="11"/>
      <c r="OJY5" s="11"/>
      <c r="OJZ5" s="11"/>
      <c r="OKA5" s="11"/>
      <c r="OKB5" s="11"/>
      <c r="OKC5" s="11"/>
      <c r="OKD5" s="11"/>
      <c r="OKE5" s="11"/>
      <c r="OKF5" s="11"/>
      <c r="OKG5" s="11"/>
      <c r="OKH5" s="11"/>
      <c r="OKI5" s="11"/>
      <c r="OKJ5" s="11"/>
      <c r="OKK5" s="11"/>
      <c r="OKL5" s="11"/>
      <c r="OKM5" s="11"/>
      <c r="OKN5" s="11"/>
      <c r="OKO5" s="11"/>
      <c r="OKP5" s="11"/>
      <c r="OKQ5" s="11"/>
      <c r="OKR5" s="11"/>
      <c r="OKS5" s="11"/>
      <c r="OKT5" s="11"/>
      <c r="OKU5" s="11"/>
      <c r="OKV5" s="11"/>
      <c r="OKW5" s="11"/>
      <c r="OKX5" s="11"/>
      <c r="OKY5" s="11"/>
      <c r="OKZ5" s="11"/>
      <c r="OLA5" s="11"/>
      <c r="OLB5" s="11"/>
      <c r="OLC5" s="11"/>
      <c r="OLD5" s="11"/>
      <c r="OLE5" s="11"/>
      <c r="OLF5" s="11"/>
      <c r="OLG5" s="11"/>
      <c r="OLH5" s="11"/>
      <c r="OLI5" s="11"/>
      <c r="OLJ5" s="11"/>
      <c r="OLK5" s="11"/>
      <c r="OLL5" s="11"/>
      <c r="OLM5" s="11"/>
      <c r="OLN5" s="11"/>
      <c r="OLO5" s="11"/>
      <c r="OLP5" s="11"/>
      <c r="OLQ5" s="11"/>
      <c r="OLR5" s="11"/>
      <c r="OLS5" s="11"/>
      <c r="OLT5" s="11"/>
      <c r="OLU5" s="11"/>
      <c r="OLV5" s="11"/>
      <c r="OLW5" s="11"/>
      <c r="OLX5" s="11"/>
      <c r="OLY5" s="11"/>
      <c r="OLZ5" s="11"/>
      <c r="OMA5" s="11"/>
      <c r="OMB5" s="11"/>
      <c r="OMC5" s="11"/>
      <c r="OMD5" s="11"/>
      <c r="OME5" s="11"/>
      <c r="OMF5" s="11"/>
      <c r="OMG5" s="11"/>
      <c r="OMH5" s="11"/>
      <c r="OMI5" s="11"/>
      <c r="OMJ5" s="11"/>
      <c r="OMK5" s="11"/>
      <c r="OML5" s="11"/>
      <c r="OMM5" s="11"/>
      <c r="OMN5" s="11"/>
      <c r="OMO5" s="11"/>
      <c r="OMP5" s="11"/>
      <c r="OMQ5" s="11"/>
      <c r="OMR5" s="11"/>
      <c r="OMS5" s="11"/>
      <c r="OMT5" s="11"/>
      <c r="OMU5" s="11"/>
      <c r="OMV5" s="11"/>
      <c r="OMW5" s="11"/>
      <c r="OMX5" s="11"/>
      <c r="OMY5" s="11"/>
      <c r="OMZ5" s="11"/>
      <c r="ONA5" s="11"/>
      <c r="ONB5" s="11"/>
      <c r="ONC5" s="11"/>
      <c r="OND5" s="11"/>
      <c r="ONE5" s="11"/>
      <c r="ONF5" s="11"/>
      <c r="ONG5" s="11"/>
      <c r="ONH5" s="11"/>
      <c r="ONI5" s="11"/>
      <c r="ONJ5" s="11"/>
      <c r="ONK5" s="11"/>
      <c r="ONL5" s="11"/>
      <c r="ONM5" s="11"/>
      <c r="ONN5" s="11"/>
      <c r="ONO5" s="11"/>
      <c r="ONP5" s="11"/>
      <c r="ONQ5" s="11"/>
      <c r="ONR5" s="11"/>
      <c r="ONS5" s="11"/>
      <c r="ONT5" s="11"/>
      <c r="ONU5" s="11"/>
      <c r="ONV5" s="11"/>
      <c r="ONW5" s="11"/>
      <c r="ONX5" s="11"/>
      <c r="ONY5" s="11"/>
      <c r="ONZ5" s="11"/>
      <c r="OOA5" s="11"/>
      <c r="OOB5" s="11"/>
      <c r="OOC5" s="11"/>
      <c r="OOD5" s="11"/>
      <c r="OOE5" s="11"/>
      <c r="OOF5" s="11"/>
      <c r="OOG5" s="11"/>
      <c r="OOH5" s="11"/>
      <c r="OOI5" s="11"/>
      <c r="OOJ5" s="11"/>
      <c r="OOK5" s="11"/>
      <c r="OOL5" s="11"/>
      <c r="OOM5" s="11"/>
      <c r="OON5" s="11"/>
      <c r="OOO5" s="11"/>
      <c r="OOP5" s="11"/>
      <c r="OOQ5" s="11"/>
      <c r="OOR5" s="11"/>
      <c r="OOS5" s="11"/>
      <c r="OOT5" s="11"/>
      <c r="OOU5" s="11"/>
      <c r="OOV5" s="11"/>
      <c r="OOW5" s="11"/>
      <c r="OOX5" s="11"/>
      <c r="OOY5" s="11"/>
      <c r="OOZ5" s="11"/>
      <c r="OPA5" s="11"/>
      <c r="OPB5" s="11"/>
      <c r="OPC5" s="11"/>
      <c r="OPD5" s="11"/>
      <c r="OPE5" s="11"/>
      <c r="OPF5" s="11"/>
      <c r="OPG5" s="11"/>
      <c r="OPH5" s="11"/>
      <c r="OPI5" s="11"/>
      <c r="OPJ5" s="11"/>
      <c r="OPK5" s="11"/>
      <c r="OPL5" s="11"/>
      <c r="OPM5" s="11"/>
      <c r="OPN5" s="11"/>
      <c r="OPO5" s="11"/>
      <c r="OPP5" s="11"/>
      <c r="OPQ5" s="11"/>
      <c r="OPR5" s="11"/>
      <c r="OPS5" s="11"/>
      <c r="OPT5" s="11"/>
      <c r="OPU5" s="11"/>
      <c r="OPV5" s="11"/>
      <c r="OPW5" s="11"/>
      <c r="OPX5" s="11"/>
      <c r="OPY5" s="11"/>
      <c r="OPZ5" s="11"/>
      <c r="OQA5" s="11"/>
      <c r="OQB5" s="11"/>
      <c r="OQC5" s="11"/>
      <c r="OQD5" s="11"/>
      <c r="OQE5" s="11"/>
      <c r="OQF5" s="11"/>
      <c r="OQG5" s="11"/>
      <c r="OQH5" s="11"/>
      <c r="OQI5" s="11"/>
      <c r="OQJ5" s="11"/>
      <c r="OQK5" s="11"/>
      <c r="OQL5" s="11"/>
      <c r="OQM5" s="11"/>
      <c r="OQN5" s="11"/>
      <c r="OQO5" s="11"/>
      <c r="OQP5" s="11"/>
      <c r="OQQ5" s="11"/>
      <c r="OQR5" s="11"/>
      <c r="OQS5" s="11"/>
      <c r="OQT5" s="11"/>
      <c r="OQU5" s="11"/>
      <c r="OQV5" s="11"/>
      <c r="OQW5" s="11"/>
      <c r="OQX5" s="11"/>
      <c r="OQY5" s="11"/>
      <c r="OQZ5" s="11"/>
      <c r="ORA5" s="11"/>
      <c r="ORB5" s="11"/>
      <c r="ORC5" s="11"/>
      <c r="ORD5" s="11"/>
      <c r="ORE5" s="11"/>
      <c r="ORF5" s="11"/>
      <c r="ORG5" s="11"/>
      <c r="ORH5" s="11"/>
      <c r="ORI5" s="11"/>
      <c r="ORJ5" s="11"/>
      <c r="ORK5" s="11"/>
      <c r="ORL5" s="11"/>
      <c r="ORM5" s="11"/>
      <c r="ORN5" s="11"/>
      <c r="ORO5" s="11"/>
      <c r="ORP5" s="11"/>
      <c r="ORQ5" s="11"/>
      <c r="ORR5" s="11"/>
      <c r="ORS5" s="11"/>
      <c r="ORT5" s="11"/>
      <c r="ORU5" s="11"/>
      <c r="ORV5" s="11"/>
      <c r="ORW5" s="11"/>
      <c r="ORX5" s="11"/>
      <c r="ORY5" s="11"/>
      <c r="ORZ5" s="11"/>
      <c r="OSA5" s="11"/>
      <c r="OSB5" s="11"/>
      <c r="OSC5" s="11"/>
      <c r="OSD5" s="11"/>
      <c r="OSE5" s="11"/>
      <c r="OSF5" s="11"/>
      <c r="OSG5" s="11"/>
      <c r="OSH5" s="11"/>
      <c r="OSI5" s="11"/>
      <c r="OSJ5" s="11"/>
      <c r="OSK5" s="11"/>
      <c r="OSL5" s="11"/>
      <c r="OSM5" s="11"/>
      <c r="OSN5" s="11"/>
      <c r="OSO5" s="11"/>
      <c r="OSP5" s="11"/>
      <c r="OSQ5" s="11"/>
      <c r="OSR5" s="11"/>
      <c r="OSS5" s="11"/>
      <c r="OST5" s="11"/>
      <c r="OSU5" s="11"/>
      <c r="OSV5" s="11"/>
      <c r="OSW5" s="11"/>
      <c r="OSX5" s="11"/>
      <c r="OSY5" s="11"/>
      <c r="OSZ5" s="11"/>
      <c r="OTA5" s="11"/>
      <c r="OTB5" s="11"/>
      <c r="OTC5" s="11"/>
      <c r="OTD5" s="11"/>
      <c r="OTE5" s="11"/>
      <c r="OTF5" s="11"/>
      <c r="OTG5" s="11"/>
      <c r="OTH5" s="11"/>
      <c r="OTI5" s="11"/>
      <c r="OTJ5" s="11"/>
      <c r="OTK5" s="11"/>
      <c r="OTL5" s="11"/>
      <c r="OTM5" s="11"/>
      <c r="OTN5" s="11"/>
      <c r="OTO5" s="11"/>
      <c r="OTP5" s="11"/>
      <c r="OTQ5" s="11"/>
      <c r="OTR5" s="11"/>
      <c r="OTS5" s="11"/>
      <c r="OTT5" s="11"/>
      <c r="OTU5" s="11"/>
      <c r="OTV5" s="11"/>
      <c r="OTW5" s="11"/>
      <c r="OTX5" s="11"/>
      <c r="OTY5" s="11"/>
      <c r="OTZ5" s="11"/>
      <c r="OUA5" s="11"/>
      <c r="OUB5" s="11"/>
      <c r="OUC5" s="11"/>
      <c r="OUD5" s="11"/>
      <c r="OUE5" s="11"/>
      <c r="OUF5" s="11"/>
      <c r="OUG5" s="11"/>
      <c r="OUH5" s="11"/>
      <c r="OUI5" s="11"/>
      <c r="OUJ5" s="11"/>
      <c r="OUK5" s="11"/>
      <c r="OUL5" s="11"/>
      <c r="OUM5" s="11"/>
      <c r="OUN5" s="11"/>
      <c r="OUO5" s="11"/>
      <c r="OUP5" s="11"/>
      <c r="OUQ5" s="11"/>
      <c r="OUR5" s="11"/>
      <c r="OUS5" s="11"/>
      <c r="OUT5" s="11"/>
      <c r="OUU5" s="11"/>
      <c r="OUV5" s="11"/>
      <c r="OUW5" s="11"/>
      <c r="OUX5" s="11"/>
      <c r="OUY5" s="11"/>
      <c r="OUZ5" s="11"/>
      <c r="OVA5" s="11"/>
      <c r="OVB5" s="11"/>
      <c r="OVC5" s="11"/>
      <c r="OVD5" s="11"/>
      <c r="OVE5" s="11"/>
      <c r="OVF5" s="11"/>
      <c r="OVG5" s="11"/>
      <c r="OVH5" s="11"/>
      <c r="OVI5" s="11"/>
      <c r="OVJ5" s="11"/>
      <c r="OVK5" s="11"/>
      <c r="OVL5" s="11"/>
      <c r="OVM5" s="11"/>
      <c r="OVN5" s="11"/>
      <c r="OVO5" s="11"/>
      <c r="OVP5" s="11"/>
      <c r="OVQ5" s="11"/>
      <c r="OVR5" s="11"/>
      <c r="OVS5" s="11"/>
      <c r="OVT5" s="11"/>
      <c r="OVU5" s="11"/>
      <c r="OVV5" s="11"/>
      <c r="OVW5" s="11"/>
      <c r="OVX5" s="11"/>
      <c r="OVY5" s="11"/>
      <c r="OVZ5" s="11"/>
      <c r="OWA5" s="11"/>
      <c r="OWB5" s="11"/>
      <c r="OWC5" s="11"/>
      <c r="OWD5" s="11"/>
      <c r="OWE5" s="11"/>
      <c r="OWF5" s="11"/>
      <c r="OWG5" s="11"/>
      <c r="OWH5" s="11"/>
      <c r="OWI5" s="11"/>
      <c r="OWJ5" s="11"/>
      <c r="OWK5" s="11"/>
      <c r="OWL5" s="11"/>
      <c r="OWM5" s="11"/>
      <c r="OWN5" s="11"/>
      <c r="OWO5" s="11"/>
      <c r="OWP5" s="11"/>
      <c r="OWQ5" s="11"/>
      <c r="OWR5" s="11"/>
      <c r="OWS5" s="11"/>
      <c r="OWT5" s="11"/>
      <c r="OWU5" s="11"/>
      <c r="OWV5" s="11"/>
      <c r="OWW5" s="11"/>
      <c r="OWX5" s="11"/>
      <c r="OWY5" s="11"/>
      <c r="OWZ5" s="11"/>
      <c r="OXA5" s="11"/>
      <c r="OXB5" s="11"/>
      <c r="OXC5" s="11"/>
      <c r="OXD5" s="11"/>
      <c r="OXE5" s="11"/>
      <c r="OXF5" s="11"/>
      <c r="OXG5" s="11"/>
      <c r="OXH5" s="11"/>
      <c r="OXI5" s="11"/>
      <c r="OXJ5" s="11"/>
      <c r="OXK5" s="11"/>
      <c r="OXL5" s="11"/>
      <c r="OXM5" s="11"/>
      <c r="OXN5" s="11"/>
      <c r="OXO5" s="11"/>
      <c r="OXP5" s="11"/>
      <c r="OXQ5" s="11"/>
      <c r="OXR5" s="11"/>
      <c r="OXS5" s="11"/>
      <c r="OXT5" s="11"/>
      <c r="OXU5" s="11"/>
      <c r="OXV5" s="11"/>
      <c r="OXW5" s="11"/>
      <c r="OXX5" s="11"/>
      <c r="OXY5" s="11"/>
      <c r="OXZ5" s="11"/>
      <c r="OYA5" s="11"/>
      <c r="OYB5" s="11"/>
      <c r="OYC5" s="11"/>
      <c r="OYD5" s="11"/>
      <c r="OYE5" s="11"/>
      <c r="OYF5" s="11"/>
      <c r="OYG5" s="11"/>
      <c r="OYH5" s="11"/>
      <c r="OYI5" s="11"/>
      <c r="OYJ5" s="11"/>
      <c r="OYK5" s="11"/>
      <c r="OYL5" s="11"/>
      <c r="OYM5" s="11"/>
      <c r="OYN5" s="11"/>
      <c r="OYO5" s="11"/>
      <c r="OYP5" s="11"/>
      <c r="OYQ5" s="11"/>
      <c r="OYR5" s="11"/>
      <c r="OYS5" s="11"/>
      <c r="OYT5" s="11"/>
      <c r="OYU5" s="11"/>
      <c r="OYV5" s="11"/>
      <c r="OYW5" s="11"/>
      <c r="OYX5" s="11"/>
      <c r="OYY5" s="11"/>
      <c r="OYZ5" s="11"/>
      <c r="OZA5" s="11"/>
      <c r="OZB5" s="11"/>
      <c r="OZC5" s="11"/>
      <c r="OZD5" s="11"/>
      <c r="OZE5" s="11"/>
      <c r="OZF5" s="11"/>
      <c r="OZG5" s="11"/>
      <c r="OZH5" s="11"/>
      <c r="OZI5" s="11"/>
      <c r="OZJ5" s="11"/>
      <c r="OZK5" s="11"/>
      <c r="OZL5" s="11"/>
      <c r="OZM5" s="11"/>
      <c r="OZN5" s="11"/>
      <c r="OZO5" s="11"/>
      <c r="OZP5" s="11"/>
      <c r="OZQ5" s="11"/>
      <c r="OZR5" s="11"/>
      <c r="OZS5" s="11"/>
      <c r="OZT5" s="11"/>
      <c r="OZU5" s="11"/>
      <c r="OZV5" s="11"/>
      <c r="OZW5" s="11"/>
      <c r="OZX5" s="11"/>
      <c r="OZY5" s="11"/>
      <c r="OZZ5" s="11"/>
      <c r="PAA5" s="11"/>
      <c r="PAB5" s="11"/>
      <c r="PAC5" s="11"/>
      <c r="PAD5" s="11"/>
      <c r="PAE5" s="11"/>
      <c r="PAF5" s="11"/>
      <c r="PAG5" s="11"/>
      <c r="PAH5" s="11"/>
      <c r="PAI5" s="11"/>
      <c r="PAJ5" s="11"/>
      <c r="PAK5" s="11"/>
      <c r="PAL5" s="11"/>
      <c r="PAM5" s="11"/>
      <c r="PAN5" s="11"/>
      <c r="PAO5" s="11"/>
      <c r="PAP5" s="11"/>
      <c r="PAQ5" s="11"/>
      <c r="PAR5" s="11"/>
      <c r="PAS5" s="11"/>
      <c r="PAT5" s="11"/>
      <c r="PAU5" s="11"/>
      <c r="PAV5" s="11"/>
      <c r="PAW5" s="11"/>
      <c r="PAX5" s="11"/>
      <c r="PAY5" s="11"/>
      <c r="PAZ5" s="11"/>
      <c r="PBA5" s="11"/>
      <c r="PBB5" s="11"/>
      <c r="PBC5" s="11"/>
      <c r="PBD5" s="11"/>
      <c r="PBE5" s="11"/>
      <c r="PBF5" s="11"/>
      <c r="PBG5" s="11"/>
      <c r="PBH5" s="11"/>
      <c r="PBI5" s="11"/>
      <c r="PBJ5" s="11"/>
      <c r="PBK5" s="11"/>
      <c r="PBL5" s="11"/>
      <c r="PBM5" s="11"/>
      <c r="PBN5" s="11"/>
      <c r="PBO5" s="11"/>
      <c r="PBP5" s="11"/>
      <c r="PBQ5" s="11"/>
      <c r="PBR5" s="11"/>
      <c r="PBS5" s="11"/>
      <c r="PBT5" s="11"/>
      <c r="PBU5" s="11"/>
      <c r="PBV5" s="11"/>
      <c r="PBW5" s="11"/>
      <c r="PBX5" s="11"/>
      <c r="PBY5" s="11"/>
      <c r="PBZ5" s="11"/>
      <c r="PCA5" s="11"/>
      <c r="PCB5" s="11"/>
      <c r="PCC5" s="11"/>
      <c r="PCD5" s="11"/>
      <c r="PCE5" s="11"/>
      <c r="PCF5" s="11"/>
      <c r="PCG5" s="11"/>
      <c r="PCH5" s="11"/>
      <c r="PCI5" s="11"/>
      <c r="PCJ5" s="11"/>
      <c r="PCK5" s="11"/>
      <c r="PCL5" s="11"/>
      <c r="PCM5" s="11"/>
      <c r="PCN5" s="11"/>
      <c r="PCO5" s="11"/>
      <c r="PCP5" s="11"/>
      <c r="PCQ5" s="11"/>
      <c r="PCR5" s="11"/>
      <c r="PCS5" s="11"/>
      <c r="PCT5" s="11"/>
      <c r="PCU5" s="11"/>
      <c r="PCV5" s="11"/>
      <c r="PCW5" s="11"/>
      <c r="PCX5" s="11"/>
      <c r="PCY5" s="11"/>
      <c r="PCZ5" s="11"/>
      <c r="PDA5" s="11"/>
      <c r="PDB5" s="11"/>
      <c r="PDC5" s="11"/>
      <c r="PDD5" s="11"/>
      <c r="PDE5" s="11"/>
      <c r="PDF5" s="11"/>
      <c r="PDG5" s="11"/>
      <c r="PDH5" s="11"/>
      <c r="PDI5" s="11"/>
      <c r="PDJ5" s="11"/>
      <c r="PDK5" s="11"/>
      <c r="PDL5" s="11"/>
      <c r="PDM5" s="11"/>
      <c r="PDN5" s="11"/>
      <c r="PDO5" s="11"/>
      <c r="PDP5" s="11"/>
      <c r="PDQ5" s="11"/>
      <c r="PDR5" s="11"/>
      <c r="PDS5" s="11"/>
      <c r="PDT5" s="11"/>
      <c r="PDU5" s="11"/>
      <c r="PDV5" s="11"/>
      <c r="PDW5" s="11"/>
      <c r="PDX5" s="11"/>
      <c r="PDY5" s="11"/>
      <c r="PDZ5" s="11"/>
      <c r="PEA5" s="11"/>
      <c r="PEB5" s="11"/>
      <c r="PEC5" s="11"/>
      <c r="PED5" s="11"/>
      <c r="PEE5" s="11"/>
      <c r="PEF5" s="11"/>
      <c r="PEG5" s="11"/>
      <c r="PEH5" s="11"/>
      <c r="PEI5" s="11"/>
      <c r="PEJ5" s="11"/>
      <c r="PEK5" s="11"/>
      <c r="PEL5" s="11"/>
      <c r="PEM5" s="11"/>
      <c r="PEN5" s="11"/>
      <c r="PEO5" s="11"/>
      <c r="PEP5" s="11"/>
      <c r="PEQ5" s="11"/>
      <c r="PER5" s="11"/>
      <c r="PES5" s="11"/>
      <c r="PET5" s="11"/>
      <c r="PEU5" s="11"/>
      <c r="PEV5" s="11"/>
      <c r="PEW5" s="11"/>
      <c r="PEX5" s="11"/>
      <c r="PEY5" s="11"/>
      <c r="PEZ5" s="11"/>
      <c r="PFA5" s="11"/>
      <c r="PFB5" s="11"/>
      <c r="PFC5" s="11"/>
      <c r="PFD5" s="11"/>
      <c r="PFE5" s="11"/>
      <c r="PFF5" s="11"/>
      <c r="PFG5" s="11"/>
      <c r="PFH5" s="11"/>
      <c r="PFI5" s="11"/>
      <c r="PFJ5" s="11"/>
      <c r="PFK5" s="11"/>
      <c r="PFL5" s="11"/>
      <c r="PFM5" s="11"/>
      <c r="PFN5" s="11"/>
      <c r="PFO5" s="11"/>
      <c r="PFP5" s="11"/>
      <c r="PFQ5" s="11"/>
      <c r="PFR5" s="11"/>
      <c r="PFS5" s="11"/>
      <c r="PFT5" s="11"/>
      <c r="PFU5" s="11"/>
      <c r="PFV5" s="11"/>
      <c r="PFW5" s="11"/>
      <c r="PFX5" s="11"/>
      <c r="PFY5" s="11"/>
      <c r="PFZ5" s="11"/>
      <c r="PGA5" s="11"/>
      <c r="PGB5" s="11"/>
      <c r="PGC5" s="11"/>
      <c r="PGD5" s="11"/>
      <c r="PGE5" s="11"/>
      <c r="PGF5" s="11"/>
      <c r="PGG5" s="11"/>
      <c r="PGH5" s="11"/>
      <c r="PGI5" s="11"/>
      <c r="PGJ5" s="11"/>
      <c r="PGK5" s="11"/>
      <c r="PGL5" s="11"/>
      <c r="PGM5" s="11"/>
      <c r="PGN5" s="11"/>
      <c r="PGO5" s="11"/>
      <c r="PGP5" s="11"/>
      <c r="PGQ5" s="11"/>
      <c r="PGR5" s="11"/>
      <c r="PGS5" s="11"/>
      <c r="PGT5" s="11"/>
      <c r="PGU5" s="11"/>
      <c r="PGV5" s="11"/>
      <c r="PGW5" s="11"/>
      <c r="PGX5" s="11"/>
      <c r="PGY5" s="11"/>
      <c r="PGZ5" s="11"/>
      <c r="PHA5" s="11"/>
      <c r="PHB5" s="11"/>
      <c r="PHC5" s="11"/>
      <c r="PHD5" s="11"/>
      <c r="PHE5" s="11"/>
      <c r="PHF5" s="11"/>
      <c r="PHG5" s="11"/>
      <c r="PHH5" s="11"/>
      <c r="PHI5" s="11"/>
      <c r="PHJ5" s="11"/>
      <c r="PHK5" s="11"/>
      <c r="PHL5" s="11"/>
      <c r="PHM5" s="11"/>
      <c r="PHN5" s="11"/>
      <c r="PHO5" s="11"/>
      <c r="PHP5" s="11"/>
      <c r="PHQ5" s="11"/>
      <c r="PHR5" s="11"/>
      <c r="PHS5" s="11"/>
      <c r="PHT5" s="11"/>
      <c r="PHU5" s="11"/>
      <c r="PHV5" s="11"/>
      <c r="PHW5" s="11"/>
      <c r="PHX5" s="11"/>
      <c r="PHY5" s="11"/>
      <c r="PHZ5" s="11"/>
      <c r="PIA5" s="11"/>
      <c r="PIB5" s="11"/>
      <c r="PIC5" s="11"/>
      <c r="PID5" s="11"/>
      <c r="PIE5" s="11"/>
      <c r="PIF5" s="11"/>
      <c r="PIG5" s="11"/>
      <c r="PIH5" s="11"/>
      <c r="PII5" s="11"/>
      <c r="PIJ5" s="11"/>
      <c r="PIK5" s="11"/>
      <c r="PIL5" s="11"/>
      <c r="PIM5" s="11"/>
      <c r="PIN5" s="11"/>
      <c r="PIO5" s="11"/>
      <c r="PIP5" s="11"/>
      <c r="PIQ5" s="11"/>
      <c r="PIR5" s="11"/>
      <c r="PIS5" s="11"/>
      <c r="PIT5" s="11"/>
      <c r="PIU5" s="11"/>
      <c r="PIV5" s="11"/>
      <c r="PIW5" s="11"/>
      <c r="PIX5" s="11"/>
      <c r="PIY5" s="11"/>
      <c r="PIZ5" s="11"/>
      <c r="PJA5" s="11"/>
      <c r="PJB5" s="11"/>
      <c r="PJC5" s="11"/>
      <c r="PJD5" s="11"/>
      <c r="PJE5" s="11"/>
      <c r="PJF5" s="11"/>
      <c r="PJG5" s="11"/>
      <c r="PJH5" s="11"/>
      <c r="PJI5" s="11"/>
      <c r="PJJ5" s="11"/>
      <c r="PJK5" s="11"/>
      <c r="PJL5" s="11"/>
      <c r="PJM5" s="11"/>
      <c r="PJN5" s="11"/>
      <c r="PJO5" s="11"/>
      <c r="PJP5" s="11"/>
      <c r="PJQ5" s="11"/>
      <c r="PJR5" s="11"/>
      <c r="PJS5" s="11"/>
      <c r="PJT5" s="11"/>
      <c r="PJU5" s="11"/>
      <c r="PJV5" s="11"/>
      <c r="PJW5" s="11"/>
      <c r="PJX5" s="11"/>
      <c r="PJY5" s="11"/>
      <c r="PJZ5" s="11"/>
      <c r="PKA5" s="11"/>
      <c r="PKB5" s="11"/>
      <c r="PKC5" s="11"/>
      <c r="PKD5" s="11"/>
      <c r="PKE5" s="11"/>
      <c r="PKF5" s="11"/>
      <c r="PKG5" s="11"/>
      <c r="PKH5" s="11"/>
      <c r="PKI5" s="11"/>
      <c r="PKJ5" s="11"/>
      <c r="PKK5" s="11"/>
      <c r="PKL5" s="11"/>
      <c r="PKM5" s="11"/>
      <c r="PKN5" s="11"/>
      <c r="PKO5" s="11"/>
      <c r="PKP5" s="11"/>
      <c r="PKQ5" s="11"/>
      <c r="PKR5" s="11"/>
      <c r="PKS5" s="11"/>
      <c r="PKT5" s="11"/>
      <c r="PKU5" s="11"/>
      <c r="PKV5" s="11"/>
      <c r="PKW5" s="11"/>
      <c r="PKX5" s="11"/>
      <c r="PKY5" s="11"/>
      <c r="PKZ5" s="11"/>
      <c r="PLA5" s="11"/>
      <c r="PLB5" s="11"/>
      <c r="PLC5" s="11"/>
      <c r="PLD5" s="11"/>
      <c r="PLE5" s="11"/>
      <c r="PLF5" s="11"/>
      <c r="PLG5" s="11"/>
      <c r="PLH5" s="11"/>
      <c r="PLI5" s="11"/>
      <c r="PLJ5" s="11"/>
      <c r="PLK5" s="11"/>
      <c r="PLL5" s="11"/>
      <c r="PLM5" s="11"/>
      <c r="PLN5" s="11"/>
      <c r="PLO5" s="11"/>
      <c r="PLP5" s="11"/>
      <c r="PLQ5" s="11"/>
      <c r="PLR5" s="11"/>
      <c r="PLS5" s="11"/>
      <c r="PLT5" s="11"/>
      <c r="PLU5" s="11"/>
      <c r="PLV5" s="11"/>
      <c r="PLW5" s="11"/>
      <c r="PLX5" s="11"/>
      <c r="PLY5" s="11"/>
      <c r="PLZ5" s="11"/>
      <c r="PMA5" s="11"/>
      <c r="PMB5" s="11"/>
      <c r="PMC5" s="11"/>
      <c r="PMD5" s="11"/>
      <c r="PME5" s="11"/>
      <c r="PMF5" s="11"/>
      <c r="PMG5" s="11"/>
      <c r="PMH5" s="11"/>
      <c r="PMI5" s="11"/>
      <c r="PMJ5" s="11"/>
      <c r="PMK5" s="11"/>
      <c r="PML5" s="11"/>
      <c r="PMM5" s="11"/>
      <c r="PMN5" s="11"/>
      <c r="PMO5" s="11"/>
      <c r="PMP5" s="11"/>
      <c r="PMQ5" s="11"/>
      <c r="PMR5" s="11"/>
      <c r="PMS5" s="11"/>
      <c r="PMT5" s="11"/>
      <c r="PMU5" s="11"/>
      <c r="PMV5" s="11"/>
      <c r="PMW5" s="11"/>
      <c r="PMX5" s="11"/>
      <c r="PMY5" s="11"/>
      <c r="PMZ5" s="11"/>
      <c r="PNA5" s="11"/>
      <c r="PNB5" s="11"/>
      <c r="PNC5" s="11"/>
      <c r="PND5" s="11"/>
      <c r="PNE5" s="11"/>
      <c r="PNF5" s="11"/>
      <c r="PNG5" s="11"/>
      <c r="PNH5" s="11"/>
      <c r="PNI5" s="11"/>
      <c r="PNJ5" s="11"/>
      <c r="PNK5" s="11"/>
      <c r="PNL5" s="11"/>
      <c r="PNM5" s="11"/>
      <c r="PNN5" s="11"/>
      <c r="PNO5" s="11"/>
      <c r="PNP5" s="11"/>
      <c r="PNQ5" s="11"/>
      <c r="PNR5" s="11"/>
      <c r="PNS5" s="11"/>
      <c r="PNT5" s="11"/>
      <c r="PNU5" s="11"/>
      <c r="PNV5" s="11"/>
      <c r="PNW5" s="11"/>
      <c r="PNX5" s="11"/>
      <c r="PNY5" s="11"/>
      <c r="PNZ5" s="11"/>
      <c r="POA5" s="11"/>
      <c r="POB5" s="11"/>
      <c r="POC5" s="11"/>
      <c r="POD5" s="11"/>
      <c r="POE5" s="11"/>
      <c r="POF5" s="11"/>
      <c r="POG5" s="11"/>
      <c r="POH5" s="11"/>
      <c r="POI5" s="11"/>
      <c r="POJ5" s="11"/>
      <c r="POK5" s="11"/>
      <c r="POL5" s="11"/>
      <c r="POM5" s="11"/>
      <c r="PON5" s="11"/>
      <c r="POO5" s="11"/>
      <c r="POP5" s="11"/>
      <c r="POQ5" s="11"/>
      <c r="POR5" s="11"/>
      <c r="POS5" s="11"/>
      <c r="POT5" s="11"/>
      <c r="POU5" s="11"/>
      <c r="POV5" s="11"/>
      <c r="POW5" s="11"/>
      <c r="POX5" s="11"/>
      <c r="POY5" s="11"/>
      <c r="POZ5" s="11"/>
      <c r="PPA5" s="11"/>
      <c r="PPB5" s="11"/>
      <c r="PPC5" s="11"/>
      <c r="PPD5" s="11"/>
      <c r="PPE5" s="11"/>
      <c r="PPF5" s="11"/>
      <c r="PPG5" s="11"/>
      <c r="PPH5" s="11"/>
      <c r="PPI5" s="11"/>
      <c r="PPJ5" s="11"/>
      <c r="PPK5" s="11"/>
      <c r="PPL5" s="11"/>
      <c r="PPM5" s="11"/>
      <c r="PPN5" s="11"/>
      <c r="PPO5" s="11"/>
      <c r="PPP5" s="11"/>
      <c r="PPQ5" s="11"/>
      <c r="PPR5" s="11"/>
      <c r="PPS5" s="11"/>
      <c r="PPT5" s="11"/>
      <c r="PPU5" s="11"/>
      <c r="PPV5" s="11"/>
      <c r="PPW5" s="11"/>
      <c r="PPX5" s="11"/>
      <c r="PPY5" s="11"/>
      <c r="PPZ5" s="11"/>
      <c r="PQA5" s="11"/>
      <c r="PQB5" s="11"/>
      <c r="PQC5" s="11"/>
      <c r="PQD5" s="11"/>
      <c r="PQE5" s="11"/>
      <c r="PQF5" s="11"/>
      <c r="PQG5" s="11"/>
      <c r="PQH5" s="11"/>
      <c r="PQI5" s="11"/>
      <c r="PQJ5" s="11"/>
      <c r="PQK5" s="11"/>
      <c r="PQL5" s="11"/>
      <c r="PQM5" s="11"/>
      <c r="PQN5" s="11"/>
      <c r="PQO5" s="11"/>
      <c r="PQP5" s="11"/>
      <c r="PQQ5" s="11"/>
      <c r="PQR5" s="11"/>
      <c r="PQS5" s="11"/>
      <c r="PQT5" s="11"/>
      <c r="PQU5" s="11"/>
      <c r="PQV5" s="11"/>
      <c r="PQW5" s="11"/>
      <c r="PQX5" s="11"/>
      <c r="PQY5" s="11"/>
      <c r="PQZ5" s="11"/>
      <c r="PRA5" s="11"/>
      <c r="PRB5" s="11"/>
      <c r="PRC5" s="11"/>
      <c r="PRD5" s="11"/>
      <c r="PRE5" s="11"/>
      <c r="PRF5" s="11"/>
      <c r="PRG5" s="11"/>
      <c r="PRH5" s="11"/>
      <c r="PRI5" s="11"/>
      <c r="PRJ5" s="11"/>
      <c r="PRK5" s="11"/>
      <c r="PRL5" s="11"/>
      <c r="PRM5" s="11"/>
      <c r="PRN5" s="11"/>
      <c r="PRO5" s="11"/>
      <c r="PRP5" s="11"/>
      <c r="PRQ5" s="11"/>
      <c r="PRR5" s="11"/>
      <c r="PRS5" s="11"/>
      <c r="PRT5" s="11"/>
      <c r="PRU5" s="11"/>
      <c r="PRV5" s="11"/>
      <c r="PRW5" s="11"/>
      <c r="PRX5" s="11"/>
      <c r="PRY5" s="11"/>
      <c r="PRZ5" s="11"/>
      <c r="PSA5" s="11"/>
      <c r="PSB5" s="11"/>
      <c r="PSC5" s="11"/>
      <c r="PSD5" s="11"/>
      <c r="PSE5" s="11"/>
      <c r="PSF5" s="11"/>
      <c r="PSG5" s="11"/>
      <c r="PSH5" s="11"/>
      <c r="PSI5" s="11"/>
      <c r="PSJ5" s="11"/>
      <c r="PSK5" s="11"/>
      <c r="PSL5" s="11"/>
      <c r="PSM5" s="11"/>
      <c r="PSN5" s="11"/>
      <c r="PSO5" s="11"/>
      <c r="PSP5" s="11"/>
      <c r="PSQ5" s="11"/>
      <c r="PSR5" s="11"/>
      <c r="PSS5" s="11"/>
      <c r="PST5" s="11"/>
      <c r="PSU5" s="11"/>
      <c r="PSV5" s="11"/>
      <c r="PSW5" s="11"/>
      <c r="PSX5" s="11"/>
      <c r="PSY5" s="11"/>
      <c r="PSZ5" s="11"/>
      <c r="PTA5" s="11"/>
      <c r="PTB5" s="11"/>
      <c r="PTC5" s="11"/>
      <c r="PTD5" s="11"/>
      <c r="PTE5" s="11"/>
      <c r="PTF5" s="11"/>
      <c r="PTG5" s="11"/>
      <c r="PTH5" s="11"/>
      <c r="PTI5" s="11"/>
      <c r="PTJ5" s="11"/>
      <c r="PTK5" s="11"/>
      <c r="PTL5" s="11"/>
      <c r="PTM5" s="11"/>
      <c r="PTN5" s="11"/>
      <c r="PTO5" s="11"/>
      <c r="PTP5" s="11"/>
      <c r="PTQ5" s="11"/>
      <c r="PTR5" s="11"/>
      <c r="PTS5" s="11"/>
      <c r="PTT5" s="11"/>
      <c r="PTU5" s="11"/>
      <c r="PTV5" s="11"/>
      <c r="PTW5" s="11"/>
      <c r="PTX5" s="11"/>
      <c r="PTY5" s="11"/>
      <c r="PTZ5" s="11"/>
      <c r="PUA5" s="11"/>
      <c r="PUB5" s="11"/>
      <c r="PUC5" s="11"/>
      <c r="PUD5" s="11"/>
      <c r="PUE5" s="11"/>
      <c r="PUF5" s="11"/>
      <c r="PUG5" s="11"/>
      <c r="PUH5" s="11"/>
      <c r="PUI5" s="11"/>
      <c r="PUJ5" s="11"/>
      <c r="PUK5" s="11"/>
      <c r="PUL5" s="11"/>
      <c r="PUM5" s="11"/>
      <c r="PUN5" s="11"/>
      <c r="PUO5" s="11"/>
      <c r="PUP5" s="11"/>
      <c r="PUQ5" s="11"/>
      <c r="PUR5" s="11"/>
      <c r="PUS5" s="11"/>
      <c r="PUT5" s="11"/>
      <c r="PUU5" s="11"/>
      <c r="PUV5" s="11"/>
      <c r="PUW5" s="11"/>
      <c r="PUX5" s="11"/>
      <c r="PUY5" s="11"/>
      <c r="PUZ5" s="11"/>
      <c r="PVA5" s="11"/>
      <c r="PVB5" s="11"/>
      <c r="PVC5" s="11"/>
      <c r="PVD5" s="11"/>
      <c r="PVE5" s="11"/>
      <c r="PVF5" s="11"/>
      <c r="PVG5" s="11"/>
      <c r="PVH5" s="11"/>
      <c r="PVI5" s="11"/>
      <c r="PVJ5" s="11"/>
      <c r="PVK5" s="11"/>
      <c r="PVL5" s="11"/>
      <c r="PVM5" s="11"/>
      <c r="PVN5" s="11"/>
      <c r="PVO5" s="11"/>
      <c r="PVP5" s="11"/>
      <c r="PVQ5" s="11"/>
      <c r="PVR5" s="11"/>
      <c r="PVS5" s="11"/>
      <c r="PVT5" s="11"/>
      <c r="PVU5" s="11"/>
      <c r="PVV5" s="11"/>
      <c r="PVW5" s="11"/>
      <c r="PVX5" s="11"/>
      <c r="PVY5" s="11"/>
      <c r="PVZ5" s="11"/>
      <c r="PWA5" s="11"/>
      <c r="PWB5" s="11"/>
      <c r="PWC5" s="11"/>
      <c r="PWD5" s="11"/>
      <c r="PWE5" s="11"/>
      <c r="PWF5" s="11"/>
      <c r="PWG5" s="11"/>
      <c r="PWH5" s="11"/>
      <c r="PWI5" s="11"/>
      <c r="PWJ5" s="11"/>
      <c r="PWK5" s="11"/>
      <c r="PWL5" s="11"/>
      <c r="PWM5" s="11"/>
      <c r="PWN5" s="11"/>
      <c r="PWO5" s="11"/>
      <c r="PWP5" s="11"/>
      <c r="PWQ5" s="11"/>
      <c r="PWR5" s="11"/>
      <c r="PWS5" s="11"/>
      <c r="PWT5" s="11"/>
      <c r="PWU5" s="11"/>
      <c r="PWV5" s="11"/>
      <c r="PWW5" s="11"/>
      <c r="PWX5" s="11"/>
      <c r="PWY5" s="11"/>
      <c r="PWZ5" s="11"/>
      <c r="PXA5" s="11"/>
      <c r="PXB5" s="11"/>
      <c r="PXC5" s="11"/>
      <c r="PXD5" s="11"/>
      <c r="PXE5" s="11"/>
      <c r="PXF5" s="11"/>
      <c r="PXG5" s="11"/>
      <c r="PXH5" s="11"/>
      <c r="PXI5" s="11"/>
      <c r="PXJ5" s="11"/>
      <c r="PXK5" s="11"/>
      <c r="PXL5" s="11"/>
      <c r="PXM5" s="11"/>
      <c r="PXN5" s="11"/>
      <c r="PXO5" s="11"/>
      <c r="PXP5" s="11"/>
      <c r="PXQ5" s="11"/>
      <c r="PXR5" s="11"/>
      <c r="PXS5" s="11"/>
      <c r="PXT5" s="11"/>
      <c r="PXU5" s="11"/>
      <c r="PXV5" s="11"/>
      <c r="PXW5" s="11"/>
      <c r="PXX5" s="11"/>
      <c r="PXY5" s="11"/>
      <c r="PXZ5" s="11"/>
      <c r="PYA5" s="11"/>
      <c r="PYB5" s="11"/>
      <c r="PYC5" s="11"/>
      <c r="PYD5" s="11"/>
      <c r="PYE5" s="11"/>
      <c r="PYF5" s="11"/>
      <c r="PYG5" s="11"/>
      <c r="PYH5" s="11"/>
      <c r="PYI5" s="11"/>
      <c r="PYJ5" s="11"/>
      <c r="PYK5" s="11"/>
      <c r="PYL5" s="11"/>
      <c r="PYM5" s="11"/>
      <c r="PYN5" s="11"/>
      <c r="PYO5" s="11"/>
      <c r="PYP5" s="11"/>
      <c r="PYQ5" s="11"/>
      <c r="PYR5" s="11"/>
      <c r="PYS5" s="11"/>
      <c r="PYT5" s="11"/>
      <c r="PYU5" s="11"/>
      <c r="PYV5" s="11"/>
      <c r="PYW5" s="11"/>
      <c r="PYX5" s="11"/>
      <c r="PYY5" s="11"/>
      <c r="PYZ5" s="11"/>
      <c r="PZA5" s="11"/>
      <c r="PZB5" s="11"/>
      <c r="PZC5" s="11"/>
      <c r="PZD5" s="11"/>
      <c r="PZE5" s="11"/>
      <c r="PZF5" s="11"/>
      <c r="PZG5" s="11"/>
      <c r="PZH5" s="11"/>
      <c r="PZI5" s="11"/>
      <c r="PZJ5" s="11"/>
      <c r="PZK5" s="11"/>
      <c r="PZL5" s="11"/>
      <c r="PZM5" s="11"/>
      <c r="PZN5" s="11"/>
      <c r="PZO5" s="11"/>
      <c r="PZP5" s="11"/>
      <c r="PZQ5" s="11"/>
      <c r="PZR5" s="11"/>
      <c r="PZS5" s="11"/>
      <c r="PZT5" s="11"/>
      <c r="PZU5" s="11"/>
      <c r="PZV5" s="11"/>
      <c r="PZW5" s="11"/>
      <c r="PZX5" s="11"/>
      <c r="PZY5" s="11"/>
      <c r="PZZ5" s="11"/>
      <c r="QAA5" s="11"/>
      <c r="QAB5" s="11"/>
      <c r="QAC5" s="11"/>
      <c r="QAD5" s="11"/>
      <c r="QAE5" s="11"/>
      <c r="QAF5" s="11"/>
      <c r="QAG5" s="11"/>
      <c r="QAH5" s="11"/>
      <c r="QAI5" s="11"/>
      <c r="QAJ5" s="11"/>
      <c r="QAK5" s="11"/>
      <c r="QAL5" s="11"/>
      <c r="QAM5" s="11"/>
      <c r="QAN5" s="11"/>
      <c r="QAO5" s="11"/>
      <c r="QAP5" s="11"/>
      <c r="QAQ5" s="11"/>
      <c r="QAR5" s="11"/>
      <c r="QAS5" s="11"/>
      <c r="QAT5" s="11"/>
      <c r="QAU5" s="11"/>
      <c r="QAV5" s="11"/>
      <c r="QAW5" s="11"/>
      <c r="QAX5" s="11"/>
      <c r="QAY5" s="11"/>
      <c r="QAZ5" s="11"/>
      <c r="QBA5" s="11"/>
      <c r="QBB5" s="11"/>
      <c r="QBC5" s="11"/>
      <c r="QBD5" s="11"/>
      <c r="QBE5" s="11"/>
      <c r="QBF5" s="11"/>
      <c r="QBG5" s="11"/>
      <c r="QBH5" s="11"/>
      <c r="QBI5" s="11"/>
      <c r="QBJ5" s="11"/>
      <c r="QBK5" s="11"/>
      <c r="QBL5" s="11"/>
      <c r="QBM5" s="11"/>
      <c r="QBN5" s="11"/>
      <c r="QBO5" s="11"/>
      <c r="QBP5" s="11"/>
      <c r="QBQ5" s="11"/>
      <c r="QBR5" s="11"/>
      <c r="QBS5" s="11"/>
      <c r="QBT5" s="11"/>
      <c r="QBU5" s="11"/>
      <c r="QBV5" s="11"/>
      <c r="QBW5" s="11"/>
      <c r="QBX5" s="11"/>
      <c r="QBY5" s="11"/>
      <c r="QBZ5" s="11"/>
      <c r="QCA5" s="11"/>
      <c r="QCB5" s="11"/>
      <c r="QCC5" s="11"/>
      <c r="QCD5" s="11"/>
      <c r="QCE5" s="11"/>
      <c r="QCF5" s="11"/>
      <c r="QCG5" s="11"/>
      <c r="QCH5" s="11"/>
      <c r="QCI5" s="11"/>
      <c r="QCJ5" s="11"/>
      <c r="QCK5" s="11"/>
      <c r="QCL5" s="11"/>
      <c r="QCM5" s="11"/>
      <c r="QCN5" s="11"/>
      <c r="QCO5" s="11"/>
      <c r="QCP5" s="11"/>
      <c r="QCQ5" s="11"/>
      <c r="QCR5" s="11"/>
      <c r="QCS5" s="11"/>
      <c r="QCT5" s="11"/>
      <c r="QCU5" s="11"/>
      <c r="QCV5" s="11"/>
      <c r="QCW5" s="11"/>
      <c r="QCX5" s="11"/>
      <c r="QCY5" s="11"/>
      <c r="QCZ5" s="11"/>
      <c r="QDA5" s="11"/>
      <c r="QDB5" s="11"/>
      <c r="QDC5" s="11"/>
      <c r="QDD5" s="11"/>
      <c r="QDE5" s="11"/>
      <c r="QDF5" s="11"/>
      <c r="QDG5" s="11"/>
      <c r="QDH5" s="11"/>
      <c r="QDI5" s="11"/>
      <c r="QDJ5" s="11"/>
      <c r="QDK5" s="11"/>
      <c r="QDL5" s="11"/>
      <c r="QDM5" s="11"/>
      <c r="QDN5" s="11"/>
      <c r="QDO5" s="11"/>
      <c r="QDP5" s="11"/>
      <c r="QDQ5" s="11"/>
      <c r="QDR5" s="11"/>
      <c r="QDS5" s="11"/>
      <c r="QDT5" s="11"/>
      <c r="QDU5" s="11"/>
      <c r="QDV5" s="11"/>
      <c r="QDW5" s="11"/>
      <c r="QDX5" s="11"/>
      <c r="QDY5" s="11"/>
      <c r="QDZ5" s="11"/>
      <c r="QEA5" s="11"/>
      <c r="QEB5" s="11"/>
      <c r="QEC5" s="11"/>
      <c r="QED5" s="11"/>
      <c r="QEE5" s="11"/>
      <c r="QEF5" s="11"/>
      <c r="QEG5" s="11"/>
      <c r="QEH5" s="11"/>
      <c r="QEI5" s="11"/>
      <c r="QEJ5" s="11"/>
      <c r="QEK5" s="11"/>
      <c r="QEL5" s="11"/>
      <c r="QEM5" s="11"/>
      <c r="QEN5" s="11"/>
      <c r="QEO5" s="11"/>
      <c r="QEP5" s="11"/>
      <c r="QEQ5" s="11"/>
      <c r="QER5" s="11"/>
      <c r="QES5" s="11"/>
      <c r="QET5" s="11"/>
      <c r="QEU5" s="11"/>
      <c r="QEV5" s="11"/>
      <c r="QEW5" s="11"/>
      <c r="QEX5" s="11"/>
      <c r="QEY5" s="11"/>
      <c r="QEZ5" s="11"/>
      <c r="QFA5" s="11"/>
      <c r="QFB5" s="11"/>
      <c r="QFC5" s="11"/>
      <c r="QFD5" s="11"/>
      <c r="QFE5" s="11"/>
      <c r="QFF5" s="11"/>
      <c r="QFG5" s="11"/>
      <c r="QFH5" s="11"/>
      <c r="QFI5" s="11"/>
      <c r="QFJ5" s="11"/>
      <c r="QFK5" s="11"/>
      <c r="QFL5" s="11"/>
      <c r="QFM5" s="11"/>
      <c r="QFN5" s="11"/>
      <c r="QFO5" s="11"/>
      <c r="QFP5" s="11"/>
      <c r="QFQ5" s="11"/>
      <c r="QFR5" s="11"/>
      <c r="QFS5" s="11"/>
      <c r="QFT5" s="11"/>
      <c r="QFU5" s="11"/>
      <c r="QFV5" s="11"/>
      <c r="QFW5" s="11"/>
      <c r="QFX5" s="11"/>
      <c r="QFY5" s="11"/>
      <c r="QFZ5" s="11"/>
      <c r="QGA5" s="11"/>
      <c r="QGB5" s="11"/>
      <c r="QGC5" s="11"/>
      <c r="QGD5" s="11"/>
      <c r="QGE5" s="11"/>
      <c r="QGF5" s="11"/>
      <c r="QGG5" s="11"/>
      <c r="QGH5" s="11"/>
      <c r="QGI5" s="11"/>
      <c r="QGJ5" s="11"/>
      <c r="QGK5" s="11"/>
      <c r="QGL5" s="11"/>
      <c r="QGM5" s="11"/>
      <c r="QGN5" s="11"/>
      <c r="QGO5" s="11"/>
      <c r="QGP5" s="11"/>
      <c r="QGQ5" s="11"/>
      <c r="QGR5" s="11"/>
      <c r="QGS5" s="11"/>
      <c r="QGT5" s="11"/>
      <c r="QGU5" s="11"/>
      <c r="QGV5" s="11"/>
      <c r="QGW5" s="11"/>
      <c r="QGX5" s="11"/>
      <c r="QGY5" s="11"/>
      <c r="QGZ5" s="11"/>
      <c r="QHA5" s="11"/>
      <c r="QHB5" s="11"/>
      <c r="QHC5" s="11"/>
      <c r="QHD5" s="11"/>
      <c r="QHE5" s="11"/>
      <c r="QHF5" s="11"/>
      <c r="QHG5" s="11"/>
      <c r="QHH5" s="11"/>
      <c r="QHI5" s="11"/>
      <c r="QHJ5" s="11"/>
      <c r="QHK5" s="11"/>
      <c r="QHL5" s="11"/>
      <c r="QHM5" s="11"/>
      <c r="QHN5" s="11"/>
      <c r="QHO5" s="11"/>
      <c r="QHP5" s="11"/>
      <c r="QHQ5" s="11"/>
      <c r="QHR5" s="11"/>
      <c r="QHS5" s="11"/>
      <c r="QHT5" s="11"/>
      <c r="QHU5" s="11"/>
      <c r="QHV5" s="11"/>
      <c r="QHW5" s="11"/>
      <c r="QHX5" s="11"/>
      <c r="QHY5" s="11"/>
      <c r="QHZ5" s="11"/>
      <c r="QIA5" s="11"/>
      <c r="QIB5" s="11"/>
      <c r="QIC5" s="11"/>
      <c r="QID5" s="11"/>
      <c r="QIE5" s="11"/>
      <c r="QIF5" s="11"/>
      <c r="QIG5" s="11"/>
      <c r="QIH5" s="11"/>
      <c r="QII5" s="11"/>
      <c r="QIJ5" s="11"/>
      <c r="QIK5" s="11"/>
      <c r="QIL5" s="11"/>
      <c r="QIM5" s="11"/>
      <c r="QIN5" s="11"/>
      <c r="QIO5" s="11"/>
      <c r="QIP5" s="11"/>
      <c r="QIQ5" s="11"/>
      <c r="QIR5" s="11"/>
      <c r="QIS5" s="11"/>
      <c r="QIT5" s="11"/>
      <c r="QIU5" s="11"/>
      <c r="QIV5" s="11"/>
      <c r="QIW5" s="11"/>
      <c r="QIX5" s="11"/>
      <c r="QIY5" s="11"/>
      <c r="QIZ5" s="11"/>
      <c r="QJA5" s="11"/>
      <c r="QJB5" s="11"/>
      <c r="QJC5" s="11"/>
      <c r="QJD5" s="11"/>
      <c r="QJE5" s="11"/>
      <c r="QJF5" s="11"/>
      <c r="QJG5" s="11"/>
      <c r="QJH5" s="11"/>
      <c r="QJI5" s="11"/>
      <c r="QJJ5" s="11"/>
      <c r="QJK5" s="11"/>
      <c r="QJL5" s="11"/>
      <c r="QJM5" s="11"/>
      <c r="QJN5" s="11"/>
      <c r="QJO5" s="11"/>
      <c r="QJP5" s="11"/>
      <c r="QJQ5" s="11"/>
      <c r="QJR5" s="11"/>
      <c r="QJS5" s="11"/>
      <c r="QJT5" s="11"/>
      <c r="QJU5" s="11"/>
      <c r="QJV5" s="11"/>
      <c r="QJW5" s="11"/>
      <c r="QJX5" s="11"/>
      <c r="QJY5" s="11"/>
      <c r="QJZ5" s="11"/>
      <c r="QKA5" s="11"/>
      <c r="QKB5" s="11"/>
      <c r="QKC5" s="11"/>
      <c r="QKD5" s="11"/>
      <c r="QKE5" s="11"/>
      <c r="QKF5" s="11"/>
      <c r="QKG5" s="11"/>
      <c r="QKH5" s="11"/>
      <c r="QKI5" s="11"/>
      <c r="QKJ5" s="11"/>
      <c r="QKK5" s="11"/>
      <c r="QKL5" s="11"/>
      <c r="QKM5" s="11"/>
      <c r="QKN5" s="11"/>
      <c r="QKO5" s="11"/>
      <c r="QKP5" s="11"/>
      <c r="QKQ5" s="11"/>
      <c r="QKR5" s="11"/>
      <c r="QKS5" s="11"/>
      <c r="QKT5" s="11"/>
      <c r="QKU5" s="11"/>
      <c r="QKV5" s="11"/>
      <c r="QKW5" s="11"/>
      <c r="QKX5" s="11"/>
      <c r="QKY5" s="11"/>
      <c r="QKZ5" s="11"/>
      <c r="QLA5" s="11"/>
      <c r="QLB5" s="11"/>
      <c r="QLC5" s="11"/>
      <c r="QLD5" s="11"/>
      <c r="QLE5" s="11"/>
      <c r="QLF5" s="11"/>
      <c r="QLG5" s="11"/>
      <c r="QLH5" s="11"/>
      <c r="QLI5" s="11"/>
      <c r="QLJ5" s="11"/>
      <c r="QLK5" s="11"/>
      <c r="QLL5" s="11"/>
      <c r="QLM5" s="11"/>
      <c r="QLN5" s="11"/>
      <c r="QLO5" s="11"/>
      <c r="QLP5" s="11"/>
      <c r="QLQ5" s="11"/>
      <c r="QLR5" s="11"/>
      <c r="QLS5" s="11"/>
      <c r="QLT5" s="11"/>
      <c r="QLU5" s="11"/>
      <c r="QLV5" s="11"/>
      <c r="QLW5" s="11"/>
      <c r="QLX5" s="11"/>
      <c r="QLY5" s="11"/>
      <c r="QLZ5" s="11"/>
      <c r="QMA5" s="11"/>
      <c r="QMB5" s="11"/>
      <c r="QMC5" s="11"/>
      <c r="QMD5" s="11"/>
      <c r="QME5" s="11"/>
      <c r="QMF5" s="11"/>
      <c r="QMG5" s="11"/>
      <c r="QMH5" s="11"/>
      <c r="QMI5" s="11"/>
      <c r="QMJ5" s="11"/>
      <c r="QMK5" s="11"/>
      <c r="QML5" s="11"/>
      <c r="QMM5" s="11"/>
      <c r="QMN5" s="11"/>
      <c r="QMO5" s="11"/>
      <c r="QMP5" s="11"/>
      <c r="QMQ5" s="11"/>
      <c r="QMR5" s="11"/>
      <c r="QMS5" s="11"/>
      <c r="QMT5" s="11"/>
      <c r="QMU5" s="11"/>
      <c r="QMV5" s="11"/>
      <c r="QMW5" s="11"/>
      <c r="QMX5" s="11"/>
      <c r="QMY5" s="11"/>
      <c r="QMZ5" s="11"/>
      <c r="QNA5" s="11"/>
      <c r="QNB5" s="11"/>
      <c r="QNC5" s="11"/>
      <c r="QND5" s="11"/>
      <c r="QNE5" s="11"/>
      <c r="QNF5" s="11"/>
      <c r="QNG5" s="11"/>
      <c r="QNH5" s="11"/>
      <c r="QNI5" s="11"/>
      <c r="QNJ5" s="11"/>
      <c r="QNK5" s="11"/>
      <c r="QNL5" s="11"/>
      <c r="QNM5" s="11"/>
      <c r="QNN5" s="11"/>
      <c r="QNO5" s="11"/>
      <c r="QNP5" s="11"/>
      <c r="QNQ5" s="11"/>
      <c r="QNR5" s="11"/>
      <c r="QNS5" s="11"/>
      <c r="QNT5" s="11"/>
      <c r="QNU5" s="11"/>
      <c r="QNV5" s="11"/>
      <c r="QNW5" s="11"/>
      <c r="QNX5" s="11"/>
      <c r="QNY5" s="11"/>
      <c r="QNZ5" s="11"/>
      <c r="QOA5" s="11"/>
      <c r="QOB5" s="11"/>
      <c r="QOC5" s="11"/>
      <c r="QOD5" s="11"/>
      <c r="QOE5" s="11"/>
      <c r="QOF5" s="11"/>
      <c r="QOG5" s="11"/>
      <c r="QOH5" s="11"/>
      <c r="QOI5" s="11"/>
      <c r="QOJ5" s="11"/>
      <c r="QOK5" s="11"/>
      <c r="QOL5" s="11"/>
      <c r="QOM5" s="11"/>
      <c r="QON5" s="11"/>
      <c r="QOO5" s="11"/>
      <c r="QOP5" s="11"/>
      <c r="QOQ5" s="11"/>
      <c r="QOR5" s="11"/>
      <c r="QOS5" s="11"/>
      <c r="QOT5" s="11"/>
      <c r="QOU5" s="11"/>
      <c r="QOV5" s="11"/>
      <c r="QOW5" s="11"/>
      <c r="QOX5" s="11"/>
      <c r="QOY5" s="11"/>
      <c r="QOZ5" s="11"/>
      <c r="QPA5" s="11"/>
      <c r="QPB5" s="11"/>
      <c r="QPC5" s="11"/>
      <c r="QPD5" s="11"/>
      <c r="QPE5" s="11"/>
      <c r="QPF5" s="11"/>
      <c r="QPG5" s="11"/>
      <c r="QPH5" s="11"/>
      <c r="QPI5" s="11"/>
      <c r="QPJ5" s="11"/>
      <c r="QPK5" s="11"/>
      <c r="QPL5" s="11"/>
      <c r="QPM5" s="11"/>
      <c r="QPN5" s="11"/>
      <c r="QPO5" s="11"/>
      <c r="QPP5" s="11"/>
      <c r="QPQ5" s="11"/>
      <c r="QPR5" s="11"/>
      <c r="QPS5" s="11"/>
      <c r="QPT5" s="11"/>
      <c r="QPU5" s="11"/>
      <c r="QPV5" s="11"/>
      <c r="QPW5" s="11"/>
      <c r="QPX5" s="11"/>
      <c r="QPY5" s="11"/>
      <c r="QPZ5" s="11"/>
      <c r="QQA5" s="11"/>
      <c r="QQB5" s="11"/>
      <c r="QQC5" s="11"/>
      <c r="QQD5" s="11"/>
      <c r="QQE5" s="11"/>
      <c r="QQF5" s="11"/>
      <c r="QQG5" s="11"/>
      <c r="QQH5" s="11"/>
      <c r="QQI5" s="11"/>
      <c r="QQJ5" s="11"/>
      <c r="QQK5" s="11"/>
      <c r="QQL5" s="11"/>
      <c r="QQM5" s="11"/>
      <c r="QQN5" s="11"/>
      <c r="QQO5" s="11"/>
      <c r="QQP5" s="11"/>
      <c r="QQQ5" s="11"/>
      <c r="QQR5" s="11"/>
      <c r="QQS5" s="11"/>
      <c r="QQT5" s="11"/>
      <c r="QQU5" s="11"/>
      <c r="QQV5" s="11"/>
      <c r="QQW5" s="11"/>
      <c r="QQX5" s="11"/>
      <c r="QQY5" s="11"/>
      <c r="QQZ5" s="11"/>
      <c r="QRA5" s="11"/>
      <c r="QRB5" s="11"/>
      <c r="QRC5" s="11"/>
      <c r="QRD5" s="11"/>
      <c r="QRE5" s="11"/>
      <c r="QRF5" s="11"/>
      <c r="QRG5" s="11"/>
      <c r="QRH5" s="11"/>
      <c r="QRI5" s="11"/>
      <c r="QRJ5" s="11"/>
      <c r="QRK5" s="11"/>
      <c r="QRL5" s="11"/>
      <c r="QRM5" s="11"/>
      <c r="QRN5" s="11"/>
      <c r="QRO5" s="11"/>
      <c r="QRP5" s="11"/>
      <c r="QRQ5" s="11"/>
      <c r="QRR5" s="11"/>
      <c r="QRS5" s="11"/>
      <c r="QRT5" s="11"/>
      <c r="QRU5" s="11"/>
      <c r="QRV5" s="11"/>
      <c r="QRW5" s="11"/>
      <c r="QRX5" s="11"/>
      <c r="QRY5" s="11"/>
      <c r="QRZ5" s="11"/>
      <c r="QSA5" s="11"/>
      <c r="QSB5" s="11"/>
      <c r="QSC5" s="11"/>
      <c r="QSD5" s="11"/>
      <c r="QSE5" s="11"/>
      <c r="QSF5" s="11"/>
      <c r="QSG5" s="11"/>
      <c r="QSH5" s="11"/>
      <c r="QSI5" s="11"/>
      <c r="QSJ5" s="11"/>
      <c r="QSK5" s="11"/>
      <c r="QSL5" s="11"/>
      <c r="QSM5" s="11"/>
      <c r="QSN5" s="11"/>
      <c r="QSO5" s="11"/>
      <c r="QSP5" s="11"/>
      <c r="QSQ5" s="11"/>
      <c r="QSR5" s="11"/>
      <c r="QSS5" s="11"/>
      <c r="QST5" s="11"/>
      <c r="QSU5" s="11"/>
      <c r="QSV5" s="11"/>
      <c r="QSW5" s="11"/>
      <c r="QSX5" s="11"/>
      <c r="QSY5" s="11"/>
      <c r="QSZ5" s="11"/>
      <c r="QTA5" s="11"/>
      <c r="QTB5" s="11"/>
      <c r="QTC5" s="11"/>
      <c r="QTD5" s="11"/>
      <c r="QTE5" s="11"/>
      <c r="QTF5" s="11"/>
      <c r="QTG5" s="11"/>
      <c r="QTH5" s="11"/>
      <c r="QTI5" s="11"/>
      <c r="QTJ5" s="11"/>
      <c r="QTK5" s="11"/>
      <c r="QTL5" s="11"/>
      <c r="QTM5" s="11"/>
      <c r="QTN5" s="11"/>
      <c r="QTO5" s="11"/>
      <c r="QTP5" s="11"/>
      <c r="QTQ5" s="11"/>
      <c r="QTR5" s="11"/>
      <c r="QTS5" s="11"/>
      <c r="QTT5" s="11"/>
      <c r="QTU5" s="11"/>
      <c r="QTV5" s="11"/>
      <c r="QTW5" s="11"/>
      <c r="QTX5" s="11"/>
      <c r="QTY5" s="11"/>
      <c r="QTZ5" s="11"/>
      <c r="QUA5" s="11"/>
      <c r="QUB5" s="11"/>
      <c r="QUC5" s="11"/>
      <c r="QUD5" s="11"/>
      <c r="QUE5" s="11"/>
      <c r="QUF5" s="11"/>
      <c r="QUG5" s="11"/>
      <c r="QUH5" s="11"/>
      <c r="QUI5" s="11"/>
      <c r="QUJ5" s="11"/>
      <c r="QUK5" s="11"/>
      <c r="QUL5" s="11"/>
      <c r="QUM5" s="11"/>
      <c r="QUN5" s="11"/>
      <c r="QUO5" s="11"/>
      <c r="QUP5" s="11"/>
      <c r="QUQ5" s="11"/>
      <c r="QUR5" s="11"/>
      <c r="QUS5" s="11"/>
      <c r="QUT5" s="11"/>
      <c r="QUU5" s="11"/>
      <c r="QUV5" s="11"/>
      <c r="QUW5" s="11"/>
      <c r="QUX5" s="11"/>
      <c r="QUY5" s="11"/>
      <c r="QUZ5" s="11"/>
      <c r="QVA5" s="11"/>
      <c r="QVB5" s="11"/>
      <c r="QVC5" s="11"/>
      <c r="QVD5" s="11"/>
      <c r="QVE5" s="11"/>
      <c r="QVF5" s="11"/>
      <c r="QVG5" s="11"/>
      <c r="QVH5" s="11"/>
      <c r="QVI5" s="11"/>
      <c r="QVJ5" s="11"/>
      <c r="QVK5" s="11"/>
      <c r="QVL5" s="11"/>
      <c r="QVM5" s="11"/>
      <c r="QVN5" s="11"/>
      <c r="QVO5" s="11"/>
      <c r="QVP5" s="11"/>
      <c r="QVQ5" s="11"/>
      <c r="QVR5" s="11"/>
      <c r="QVS5" s="11"/>
      <c r="QVT5" s="11"/>
      <c r="QVU5" s="11"/>
      <c r="QVV5" s="11"/>
      <c r="QVW5" s="11"/>
      <c r="QVX5" s="11"/>
      <c r="QVY5" s="11"/>
      <c r="QVZ5" s="11"/>
      <c r="QWA5" s="11"/>
      <c r="QWB5" s="11"/>
      <c r="QWC5" s="11"/>
      <c r="QWD5" s="11"/>
      <c r="QWE5" s="11"/>
      <c r="QWF5" s="11"/>
      <c r="QWG5" s="11"/>
      <c r="QWH5" s="11"/>
      <c r="QWI5" s="11"/>
      <c r="QWJ5" s="11"/>
      <c r="QWK5" s="11"/>
      <c r="QWL5" s="11"/>
      <c r="QWM5" s="11"/>
      <c r="QWN5" s="11"/>
      <c r="QWO5" s="11"/>
      <c r="QWP5" s="11"/>
      <c r="QWQ5" s="11"/>
      <c r="QWR5" s="11"/>
      <c r="QWS5" s="11"/>
      <c r="QWT5" s="11"/>
      <c r="QWU5" s="11"/>
      <c r="QWV5" s="11"/>
      <c r="QWW5" s="11"/>
      <c r="QWX5" s="11"/>
      <c r="QWY5" s="11"/>
      <c r="QWZ5" s="11"/>
      <c r="QXA5" s="11"/>
      <c r="QXB5" s="11"/>
      <c r="QXC5" s="11"/>
      <c r="QXD5" s="11"/>
      <c r="QXE5" s="11"/>
      <c r="QXF5" s="11"/>
      <c r="QXG5" s="11"/>
      <c r="QXH5" s="11"/>
      <c r="QXI5" s="11"/>
      <c r="QXJ5" s="11"/>
      <c r="QXK5" s="11"/>
      <c r="QXL5" s="11"/>
      <c r="QXM5" s="11"/>
      <c r="QXN5" s="11"/>
      <c r="QXO5" s="11"/>
      <c r="QXP5" s="11"/>
      <c r="QXQ5" s="11"/>
      <c r="QXR5" s="11"/>
      <c r="QXS5" s="11"/>
      <c r="QXT5" s="11"/>
      <c r="QXU5" s="11"/>
      <c r="QXV5" s="11"/>
      <c r="QXW5" s="11"/>
      <c r="QXX5" s="11"/>
      <c r="QXY5" s="11"/>
      <c r="QXZ5" s="11"/>
      <c r="QYA5" s="11"/>
      <c r="QYB5" s="11"/>
      <c r="QYC5" s="11"/>
      <c r="QYD5" s="11"/>
      <c r="QYE5" s="11"/>
      <c r="QYF5" s="11"/>
      <c r="QYG5" s="11"/>
      <c r="QYH5" s="11"/>
      <c r="QYI5" s="11"/>
      <c r="QYJ5" s="11"/>
      <c r="QYK5" s="11"/>
      <c r="QYL5" s="11"/>
      <c r="QYM5" s="11"/>
      <c r="QYN5" s="11"/>
      <c r="QYO5" s="11"/>
      <c r="QYP5" s="11"/>
      <c r="QYQ5" s="11"/>
      <c r="QYR5" s="11"/>
      <c r="QYS5" s="11"/>
      <c r="QYT5" s="11"/>
      <c r="QYU5" s="11"/>
      <c r="QYV5" s="11"/>
      <c r="QYW5" s="11"/>
      <c r="QYX5" s="11"/>
      <c r="QYY5" s="11"/>
      <c r="QYZ5" s="11"/>
      <c r="QZA5" s="11"/>
      <c r="QZB5" s="11"/>
      <c r="QZC5" s="11"/>
      <c r="QZD5" s="11"/>
      <c r="QZE5" s="11"/>
      <c r="QZF5" s="11"/>
      <c r="QZG5" s="11"/>
      <c r="QZH5" s="11"/>
      <c r="QZI5" s="11"/>
      <c r="QZJ5" s="11"/>
      <c r="QZK5" s="11"/>
      <c r="QZL5" s="11"/>
      <c r="QZM5" s="11"/>
      <c r="QZN5" s="11"/>
      <c r="QZO5" s="11"/>
      <c r="QZP5" s="11"/>
      <c r="QZQ5" s="11"/>
      <c r="QZR5" s="11"/>
      <c r="QZS5" s="11"/>
      <c r="QZT5" s="11"/>
      <c r="QZU5" s="11"/>
      <c r="QZV5" s="11"/>
      <c r="QZW5" s="11"/>
      <c r="QZX5" s="11"/>
      <c r="QZY5" s="11"/>
      <c r="QZZ5" s="11"/>
      <c r="RAA5" s="11"/>
      <c r="RAB5" s="11"/>
      <c r="RAC5" s="11"/>
      <c r="RAD5" s="11"/>
      <c r="RAE5" s="11"/>
      <c r="RAF5" s="11"/>
      <c r="RAG5" s="11"/>
      <c r="RAH5" s="11"/>
      <c r="RAI5" s="11"/>
      <c r="RAJ5" s="11"/>
      <c r="RAK5" s="11"/>
      <c r="RAL5" s="11"/>
      <c r="RAM5" s="11"/>
      <c r="RAN5" s="11"/>
      <c r="RAO5" s="11"/>
      <c r="RAP5" s="11"/>
      <c r="RAQ5" s="11"/>
      <c r="RAR5" s="11"/>
      <c r="RAS5" s="11"/>
      <c r="RAT5" s="11"/>
      <c r="RAU5" s="11"/>
      <c r="RAV5" s="11"/>
      <c r="RAW5" s="11"/>
      <c r="RAX5" s="11"/>
      <c r="RAY5" s="11"/>
      <c r="RAZ5" s="11"/>
      <c r="RBA5" s="11"/>
      <c r="RBB5" s="11"/>
      <c r="RBC5" s="11"/>
      <c r="RBD5" s="11"/>
      <c r="RBE5" s="11"/>
      <c r="RBF5" s="11"/>
      <c r="RBG5" s="11"/>
      <c r="RBH5" s="11"/>
      <c r="RBI5" s="11"/>
      <c r="RBJ5" s="11"/>
      <c r="RBK5" s="11"/>
      <c r="RBL5" s="11"/>
      <c r="RBM5" s="11"/>
      <c r="RBN5" s="11"/>
      <c r="RBO5" s="11"/>
      <c r="RBP5" s="11"/>
      <c r="RBQ5" s="11"/>
      <c r="RBR5" s="11"/>
      <c r="RBS5" s="11"/>
      <c r="RBT5" s="11"/>
      <c r="RBU5" s="11"/>
      <c r="RBV5" s="11"/>
      <c r="RBW5" s="11"/>
      <c r="RBX5" s="11"/>
      <c r="RBY5" s="11"/>
      <c r="RBZ5" s="11"/>
      <c r="RCA5" s="11"/>
      <c r="RCB5" s="11"/>
      <c r="RCC5" s="11"/>
      <c r="RCD5" s="11"/>
      <c r="RCE5" s="11"/>
      <c r="RCF5" s="11"/>
      <c r="RCG5" s="11"/>
      <c r="RCH5" s="11"/>
      <c r="RCI5" s="11"/>
      <c r="RCJ5" s="11"/>
      <c r="RCK5" s="11"/>
      <c r="RCL5" s="11"/>
      <c r="RCM5" s="11"/>
      <c r="RCN5" s="11"/>
      <c r="RCO5" s="11"/>
      <c r="RCP5" s="11"/>
      <c r="RCQ5" s="11"/>
      <c r="RCR5" s="11"/>
      <c r="RCS5" s="11"/>
      <c r="RCT5" s="11"/>
      <c r="RCU5" s="11"/>
      <c r="RCV5" s="11"/>
      <c r="RCW5" s="11"/>
      <c r="RCX5" s="11"/>
      <c r="RCY5" s="11"/>
      <c r="RCZ5" s="11"/>
      <c r="RDA5" s="11"/>
      <c r="RDB5" s="11"/>
      <c r="RDC5" s="11"/>
      <c r="RDD5" s="11"/>
      <c r="RDE5" s="11"/>
      <c r="RDF5" s="11"/>
      <c r="RDG5" s="11"/>
      <c r="RDH5" s="11"/>
      <c r="RDI5" s="11"/>
      <c r="RDJ5" s="11"/>
      <c r="RDK5" s="11"/>
      <c r="RDL5" s="11"/>
      <c r="RDM5" s="11"/>
      <c r="RDN5" s="11"/>
      <c r="RDO5" s="11"/>
      <c r="RDP5" s="11"/>
      <c r="RDQ5" s="11"/>
      <c r="RDR5" s="11"/>
      <c r="RDS5" s="11"/>
      <c r="RDT5" s="11"/>
      <c r="RDU5" s="11"/>
      <c r="RDV5" s="11"/>
      <c r="RDW5" s="11"/>
      <c r="RDX5" s="11"/>
      <c r="RDY5" s="11"/>
      <c r="RDZ5" s="11"/>
      <c r="REA5" s="11"/>
      <c r="REB5" s="11"/>
      <c r="REC5" s="11"/>
      <c r="RED5" s="11"/>
      <c r="REE5" s="11"/>
      <c r="REF5" s="11"/>
      <c r="REG5" s="11"/>
      <c r="REH5" s="11"/>
      <c r="REI5" s="11"/>
      <c r="REJ5" s="11"/>
      <c r="REK5" s="11"/>
      <c r="REL5" s="11"/>
      <c r="REM5" s="11"/>
      <c r="REN5" s="11"/>
      <c r="REO5" s="11"/>
      <c r="REP5" s="11"/>
      <c r="REQ5" s="11"/>
      <c r="RER5" s="11"/>
      <c r="RES5" s="11"/>
      <c r="RET5" s="11"/>
      <c r="REU5" s="11"/>
      <c r="REV5" s="11"/>
      <c r="REW5" s="11"/>
      <c r="REX5" s="11"/>
      <c r="REY5" s="11"/>
      <c r="REZ5" s="11"/>
      <c r="RFA5" s="11"/>
      <c r="RFB5" s="11"/>
      <c r="RFC5" s="11"/>
      <c r="RFD5" s="11"/>
      <c r="RFE5" s="11"/>
      <c r="RFF5" s="11"/>
      <c r="RFG5" s="11"/>
      <c r="RFH5" s="11"/>
      <c r="RFI5" s="11"/>
      <c r="RFJ5" s="11"/>
      <c r="RFK5" s="11"/>
      <c r="RFL5" s="11"/>
      <c r="RFM5" s="11"/>
      <c r="RFN5" s="11"/>
      <c r="RFO5" s="11"/>
      <c r="RFP5" s="11"/>
      <c r="RFQ5" s="11"/>
      <c r="RFR5" s="11"/>
      <c r="RFS5" s="11"/>
      <c r="RFT5" s="11"/>
      <c r="RFU5" s="11"/>
      <c r="RFV5" s="11"/>
      <c r="RFW5" s="11"/>
      <c r="RFX5" s="11"/>
      <c r="RFY5" s="11"/>
      <c r="RFZ5" s="11"/>
      <c r="RGA5" s="11"/>
      <c r="RGB5" s="11"/>
      <c r="RGC5" s="11"/>
      <c r="RGD5" s="11"/>
      <c r="RGE5" s="11"/>
      <c r="RGF5" s="11"/>
      <c r="RGG5" s="11"/>
      <c r="RGH5" s="11"/>
      <c r="RGI5" s="11"/>
      <c r="RGJ5" s="11"/>
      <c r="RGK5" s="11"/>
      <c r="RGL5" s="11"/>
      <c r="RGM5" s="11"/>
      <c r="RGN5" s="11"/>
      <c r="RGO5" s="11"/>
      <c r="RGP5" s="11"/>
      <c r="RGQ5" s="11"/>
      <c r="RGR5" s="11"/>
      <c r="RGS5" s="11"/>
      <c r="RGT5" s="11"/>
      <c r="RGU5" s="11"/>
      <c r="RGV5" s="11"/>
      <c r="RGW5" s="11"/>
      <c r="RGX5" s="11"/>
      <c r="RGY5" s="11"/>
      <c r="RGZ5" s="11"/>
      <c r="RHA5" s="11"/>
      <c r="RHB5" s="11"/>
      <c r="RHC5" s="11"/>
      <c r="RHD5" s="11"/>
      <c r="RHE5" s="11"/>
      <c r="RHF5" s="11"/>
      <c r="RHG5" s="11"/>
      <c r="RHH5" s="11"/>
      <c r="RHI5" s="11"/>
      <c r="RHJ5" s="11"/>
      <c r="RHK5" s="11"/>
      <c r="RHL5" s="11"/>
      <c r="RHM5" s="11"/>
      <c r="RHN5" s="11"/>
      <c r="RHO5" s="11"/>
      <c r="RHP5" s="11"/>
      <c r="RHQ5" s="11"/>
      <c r="RHR5" s="11"/>
      <c r="RHS5" s="11"/>
      <c r="RHT5" s="11"/>
      <c r="RHU5" s="11"/>
      <c r="RHV5" s="11"/>
      <c r="RHW5" s="11"/>
      <c r="RHX5" s="11"/>
      <c r="RHY5" s="11"/>
      <c r="RHZ5" s="11"/>
      <c r="RIA5" s="11"/>
      <c r="RIB5" s="11"/>
      <c r="RIC5" s="11"/>
      <c r="RID5" s="11"/>
      <c r="RIE5" s="11"/>
      <c r="RIF5" s="11"/>
      <c r="RIG5" s="11"/>
      <c r="RIH5" s="11"/>
      <c r="RII5" s="11"/>
      <c r="RIJ5" s="11"/>
      <c r="RIK5" s="11"/>
      <c r="RIL5" s="11"/>
      <c r="RIM5" s="11"/>
      <c r="RIN5" s="11"/>
      <c r="RIO5" s="11"/>
      <c r="RIP5" s="11"/>
      <c r="RIQ5" s="11"/>
      <c r="RIR5" s="11"/>
      <c r="RIS5" s="11"/>
      <c r="RIT5" s="11"/>
      <c r="RIU5" s="11"/>
      <c r="RIV5" s="11"/>
      <c r="RIW5" s="11"/>
      <c r="RIX5" s="11"/>
      <c r="RIY5" s="11"/>
      <c r="RIZ5" s="11"/>
      <c r="RJA5" s="11"/>
      <c r="RJB5" s="11"/>
      <c r="RJC5" s="11"/>
      <c r="RJD5" s="11"/>
      <c r="RJE5" s="11"/>
      <c r="RJF5" s="11"/>
      <c r="RJG5" s="11"/>
      <c r="RJH5" s="11"/>
      <c r="RJI5" s="11"/>
      <c r="RJJ5" s="11"/>
      <c r="RJK5" s="11"/>
      <c r="RJL5" s="11"/>
      <c r="RJM5" s="11"/>
      <c r="RJN5" s="11"/>
      <c r="RJO5" s="11"/>
      <c r="RJP5" s="11"/>
      <c r="RJQ5" s="11"/>
      <c r="RJR5" s="11"/>
      <c r="RJS5" s="11"/>
      <c r="RJT5" s="11"/>
      <c r="RJU5" s="11"/>
      <c r="RJV5" s="11"/>
      <c r="RJW5" s="11"/>
      <c r="RJX5" s="11"/>
      <c r="RJY5" s="11"/>
      <c r="RJZ5" s="11"/>
      <c r="RKA5" s="11"/>
      <c r="RKB5" s="11"/>
      <c r="RKC5" s="11"/>
      <c r="RKD5" s="11"/>
      <c r="RKE5" s="11"/>
      <c r="RKF5" s="11"/>
      <c r="RKG5" s="11"/>
      <c r="RKH5" s="11"/>
      <c r="RKI5" s="11"/>
      <c r="RKJ5" s="11"/>
      <c r="RKK5" s="11"/>
      <c r="RKL5" s="11"/>
      <c r="RKM5" s="11"/>
      <c r="RKN5" s="11"/>
      <c r="RKO5" s="11"/>
      <c r="RKP5" s="11"/>
      <c r="RKQ5" s="11"/>
      <c r="RKR5" s="11"/>
      <c r="RKS5" s="11"/>
      <c r="RKT5" s="11"/>
      <c r="RKU5" s="11"/>
      <c r="RKV5" s="11"/>
      <c r="RKW5" s="11"/>
      <c r="RKX5" s="11"/>
      <c r="RKY5" s="11"/>
      <c r="RKZ5" s="11"/>
      <c r="RLA5" s="11"/>
      <c r="RLB5" s="11"/>
      <c r="RLC5" s="11"/>
      <c r="RLD5" s="11"/>
      <c r="RLE5" s="11"/>
      <c r="RLF5" s="11"/>
      <c r="RLG5" s="11"/>
      <c r="RLH5" s="11"/>
      <c r="RLI5" s="11"/>
      <c r="RLJ5" s="11"/>
      <c r="RLK5" s="11"/>
      <c r="RLL5" s="11"/>
      <c r="RLM5" s="11"/>
      <c r="RLN5" s="11"/>
      <c r="RLO5" s="11"/>
      <c r="RLP5" s="11"/>
      <c r="RLQ5" s="11"/>
      <c r="RLR5" s="11"/>
      <c r="RLS5" s="11"/>
      <c r="RLT5" s="11"/>
      <c r="RLU5" s="11"/>
      <c r="RLV5" s="11"/>
      <c r="RLW5" s="11"/>
      <c r="RLX5" s="11"/>
      <c r="RLY5" s="11"/>
      <c r="RLZ5" s="11"/>
      <c r="RMA5" s="11"/>
      <c r="RMB5" s="11"/>
      <c r="RMC5" s="11"/>
      <c r="RMD5" s="11"/>
      <c r="RME5" s="11"/>
      <c r="RMF5" s="11"/>
      <c r="RMG5" s="11"/>
      <c r="RMH5" s="11"/>
      <c r="RMI5" s="11"/>
      <c r="RMJ5" s="11"/>
      <c r="RMK5" s="11"/>
      <c r="RML5" s="11"/>
      <c r="RMM5" s="11"/>
      <c r="RMN5" s="11"/>
      <c r="RMO5" s="11"/>
      <c r="RMP5" s="11"/>
      <c r="RMQ5" s="11"/>
      <c r="RMR5" s="11"/>
      <c r="RMS5" s="11"/>
      <c r="RMT5" s="11"/>
      <c r="RMU5" s="11"/>
      <c r="RMV5" s="11"/>
      <c r="RMW5" s="11"/>
      <c r="RMX5" s="11"/>
      <c r="RMY5" s="11"/>
      <c r="RMZ5" s="11"/>
      <c r="RNA5" s="11"/>
      <c r="RNB5" s="11"/>
      <c r="RNC5" s="11"/>
      <c r="RND5" s="11"/>
      <c r="RNE5" s="11"/>
      <c r="RNF5" s="11"/>
      <c r="RNG5" s="11"/>
      <c r="RNH5" s="11"/>
      <c r="RNI5" s="11"/>
      <c r="RNJ5" s="11"/>
      <c r="RNK5" s="11"/>
      <c r="RNL5" s="11"/>
      <c r="RNM5" s="11"/>
      <c r="RNN5" s="11"/>
      <c r="RNO5" s="11"/>
      <c r="RNP5" s="11"/>
      <c r="RNQ5" s="11"/>
      <c r="RNR5" s="11"/>
      <c r="RNS5" s="11"/>
      <c r="RNT5" s="11"/>
      <c r="RNU5" s="11"/>
      <c r="RNV5" s="11"/>
      <c r="RNW5" s="11"/>
      <c r="RNX5" s="11"/>
      <c r="RNY5" s="11"/>
      <c r="RNZ5" s="11"/>
      <c r="ROA5" s="11"/>
      <c r="ROB5" s="11"/>
      <c r="ROC5" s="11"/>
      <c r="ROD5" s="11"/>
      <c r="ROE5" s="11"/>
      <c r="ROF5" s="11"/>
      <c r="ROG5" s="11"/>
      <c r="ROH5" s="11"/>
      <c r="ROI5" s="11"/>
      <c r="ROJ5" s="11"/>
      <c r="ROK5" s="11"/>
      <c r="ROL5" s="11"/>
      <c r="ROM5" s="11"/>
      <c r="RON5" s="11"/>
      <c r="ROO5" s="11"/>
      <c r="ROP5" s="11"/>
      <c r="ROQ5" s="11"/>
      <c r="ROR5" s="11"/>
      <c r="ROS5" s="11"/>
      <c r="ROT5" s="11"/>
      <c r="ROU5" s="11"/>
      <c r="ROV5" s="11"/>
      <c r="ROW5" s="11"/>
      <c r="ROX5" s="11"/>
      <c r="ROY5" s="11"/>
      <c r="ROZ5" s="11"/>
      <c r="RPA5" s="11"/>
      <c r="RPB5" s="11"/>
      <c r="RPC5" s="11"/>
      <c r="RPD5" s="11"/>
      <c r="RPE5" s="11"/>
      <c r="RPF5" s="11"/>
      <c r="RPG5" s="11"/>
      <c r="RPH5" s="11"/>
      <c r="RPI5" s="11"/>
      <c r="RPJ5" s="11"/>
      <c r="RPK5" s="11"/>
      <c r="RPL5" s="11"/>
      <c r="RPM5" s="11"/>
      <c r="RPN5" s="11"/>
      <c r="RPO5" s="11"/>
      <c r="RPP5" s="11"/>
      <c r="RPQ5" s="11"/>
      <c r="RPR5" s="11"/>
      <c r="RPS5" s="11"/>
      <c r="RPT5" s="11"/>
      <c r="RPU5" s="11"/>
      <c r="RPV5" s="11"/>
      <c r="RPW5" s="11"/>
      <c r="RPX5" s="11"/>
      <c r="RPY5" s="11"/>
      <c r="RPZ5" s="11"/>
      <c r="RQA5" s="11"/>
      <c r="RQB5" s="11"/>
      <c r="RQC5" s="11"/>
      <c r="RQD5" s="11"/>
      <c r="RQE5" s="11"/>
      <c r="RQF5" s="11"/>
      <c r="RQG5" s="11"/>
      <c r="RQH5" s="11"/>
      <c r="RQI5" s="11"/>
      <c r="RQJ5" s="11"/>
      <c r="RQK5" s="11"/>
      <c r="RQL5" s="11"/>
      <c r="RQM5" s="11"/>
      <c r="RQN5" s="11"/>
      <c r="RQO5" s="11"/>
      <c r="RQP5" s="11"/>
      <c r="RQQ5" s="11"/>
      <c r="RQR5" s="11"/>
      <c r="RQS5" s="11"/>
      <c r="RQT5" s="11"/>
      <c r="RQU5" s="11"/>
      <c r="RQV5" s="11"/>
      <c r="RQW5" s="11"/>
      <c r="RQX5" s="11"/>
      <c r="RQY5" s="11"/>
      <c r="RQZ5" s="11"/>
      <c r="RRA5" s="11"/>
      <c r="RRB5" s="11"/>
      <c r="RRC5" s="11"/>
      <c r="RRD5" s="11"/>
      <c r="RRE5" s="11"/>
      <c r="RRF5" s="11"/>
      <c r="RRG5" s="11"/>
      <c r="RRH5" s="11"/>
      <c r="RRI5" s="11"/>
      <c r="RRJ5" s="11"/>
      <c r="RRK5" s="11"/>
      <c r="RRL5" s="11"/>
      <c r="RRM5" s="11"/>
      <c r="RRN5" s="11"/>
      <c r="RRO5" s="11"/>
      <c r="RRP5" s="11"/>
      <c r="RRQ5" s="11"/>
      <c r="RRR5" s="11"/>
      <c r="RRS5" s="11"/>
      <c r="RRT5" s="11"/>
      <c r="RRU5" s="11"/>
      <c r="RRV5" s="11"/>
      <c r="RRW5" s="11"/>
      <c r="RRX5" s="11"/>
      <c r="RRY5" s="11"/>
      <c r="RRZ5" s="11"/>
      <c r="RSA5" s="11"/>
      <c r="RSB5" s="11"/>
      <c r="RSC5" s="11"/>
      <c r="RSD5" s="11"/>
      <c r="RSE5" s="11"/>
      <c r="RSF5" s="11"/>
      <c r="RSG5" s="11"/>
      <c r="RSH5" s="11"/>
      <c r="RSI5" s="11"/>
      <c r="RSJ5" s="11"/>
      <c r="RSK5" s="11"/>
      <c r="RSL5" s="11"/>
      <c r="RSM5" s="11"/>
      <c r="RSN5" s="11"/>
      <c r="RSO5" s="11"/>
      <c r="RSP5" s="11"/>
      <c r="RSQ5" s="11"/>
      <c r="RSR5" s="11"/>
      <c r="RSS5" s="11"/>
      <c r="RST5" s="11"/>
      <c r="RSU5" s="11"/>
      <c r="RSV5" s="11"/>
      <c r="RSW5" s="11"/>
      <c r="RSX5" s="11"/>
      <c r="RSY5" s="11"/>
      <c r="RSZ5" s="11"/>
      <c r="RTA5" s="11"/>
      <c r="RTB5" s="11"/>
      <c r="RTC5" s="11"/>
      <c r="RTD5" s="11"/>
      <c r="RTE5" s="11"/>
      <c r="RTF5" s="11"/>
      <c r="RTG5" s="11"/>
      <c r="RTH5" s="11"/>
      <c r="RTI5" s="11"/>
      <c r="RTJ5" s="11"/>
      <c r="RTK5" s="11"/>
      <c r="RTL5" s="11"/>
      <c r="RTM5" s="11"/>
      <c r="RTN5" s="11"/>
      <c r="RTO5" s="11"/>
      <c r="RTP5" s="11"/>
      <c r="RTQ5" s="11"/>
      <c r="RTR5" s="11"/>
      <c r="RTS5" s="11"/>
      <c r="RTT5" s="11"/>
      <c r="RTU5" s="11"/>
      <c r="RTV5" s="11"/>
      <c r="RTW5" s="11"/>
      <c r="RTX5" s="11"/>
      <c r="RTY5" s="11"/>
      <c r="RTZ5" s="11"/>
      <c r="RUA5" s="11"/>
      <c r="RUB5" s="11"/>
      <c r="RUC5" s="11"/>
      <c r="RUD5" s="11"/>
      <c r="RUE5" s="11"/>
      <c r="RUF5" s="11"/>
      <c r="RUG5" s="11"/>
      <c r="RUH5" s="11"/>
      <c r="RUI5" s="11"/>
      <c r="RUJ5" s="11"/>
      <c r="RUK5" s="11"/>
      <c r="RUL5" s="11"/>
      <c r="RUM5" s="11"/>
      <c r="RUN5" s="11"/>
      <c r="RUO5" s="11"/>
      <c r="RUP5" s="11"/>
      <c r="RUQ5" s="11"/>
      <c r="RUR5" s="11"/>
      <c r="RUS5" s="11"/>
      <c r="RUT5" s="11"/>
      <c r="RUU5" s="11"/>
      <c r="RUV5" s="11"/>
      <c r="RUW5" s="11"/>
      <c r="RUX5" s="11"/>
      <c r="RUY5" s="11"/>
      <c r="RUZ5" s="11"/>
      <c r="RVA5" s="11"/>
      <c r="RVB5" s="11"/>
      <c r="RVC5" s="11"/>
      <c r="RVD5" s="11"/>
      <c r="RVE5" s="11"/>
      <c r="RVF5" s="11"/>
      <c r="RVG5" s="11"/>
      <c r="RVH5" s="11"/>
      <c r="RVI5" s="11"/>
      <c r="RVJ5" s="11"/>
      <c r="RVK5" s="11"/>
      <c r="RVL5" s="11"/>
      <c r="RVM5" s="11"/>
      <c r="RVN5" s="11"/>
      <c r="RVO5" s="11"/>
      <c r="RVP5" s="11"/>
      <c r="RVQ5" s="11"/>
      <c r="RVR5" s="11"/>
      <c r="RVS5" s="11"/>
      <c r="RVT5" s="11"/>
      <c r="RVU5" s="11"/>
      <c r="RVV5" s="11"/>
      <c r="RVW5" s="11"/>
      <c r="RVX5" s="11"/>
      <c r="RVY5" s="11"/>
      <c r="RVZ5" s="11"/>
      <c r="RWA5" s="11"/>
      <c r="RWB5" s="11"/>
      <c r="RWC5" s="11"/>
      <c r="RWD5" s="11"/>
      <c r="RWE5" s="11"/>
      <c r="RWF5" s="11"/>
      <c r="RWG5" s="11"/>
      <c r="RWH5" s="11"/>
      <c r="RWI5" s="11"/>
      <c r="RWJ5" s="11"/>
      <c r="RWK5" s="11"/>
      <c r="RWL5" s="11"/>
      <c r="RWM5" s="11"/>
      <c r="RWN5" s="11"/>
      <c r="RWO5" s="11"/>
      <c r="RWP5" s="11"/>
      <c r="RWQ5" s="11"/>
      <c r="RWR5" s="11"/>
      <c r="RWS5" s="11"/>
      <c r="RWT5" s="11"/>
      <c r="RWU5" s="11"/>
      <c r="RWV5" s="11"/>
      <c r="RWW5" s="11"/>
      <c r="RWX5" s="11"/>
      <c r="RWY5" s="11"/>
      <c r="RWZ5" s="11"/>
      <c r="RXA5" s="11"/>
      <c r="RXB5" s="11"/>
      <c r="RXC5" s="11"/>
      <c r="RXD5" s="11"/>
      <c r="RXE5" s="11"/>
      <c r="RXF5" s="11"/>
      <c r="RXG5" s="11"/>
      <c r="RXH5" s="11"/>
      <c r="RXI5" s="11"/>
      <c r="RXJ5" s="11"/>
      <c r="RXK5" s="11"/>
      <c r="RXL5" s="11"/>
      <c r="RXM5" s="11"/>
      <c r="RXN5" s="11"/>
      <c r="RXO5" s="11"/>
      <c r="RXP5" s="11"/>
      <c r="RXQ5" s="11"/>
      <c r="RXR5" s="11"/>
      <c r="RXS5" s="11"/>
      <c r="RXT5" s="11"/>
      <c r="RXU5" s="11"/>
      <c r="RXV5" s="11"/>
      <c r="RXW5" s="11"/>
      <c r="RXX5" s="11"/>
      <c r="RXY5" s="11"/>
      <c r="RXZ5" s="11"/>
      <c r="RYA5" s="11"/>
      <c r="RYB5" s="11"/>
      <c r="RYC5" s="11"/>
      <c r="RYD5" s="11"/>
      <c r="RYE5" s="11"/>
      <c r="RYF5" s="11"/>
      <c r="RYG5" s="11"/>
      <c r="RYH5" s="11"/>
      <c r="RYI5" s="11"/>
      <c r="RYJ5" s="11"/>
      <c r="RYK5" s="11"/>
      <c r="RYL5" s="11"/>
      <c r="RYM5" s="11"/>
      <c r="RYN5" s="11"/>
      <c r="RYO5" s="11"/>
      <c r="RYP5" s="11"/>
      <c r="RYQ5" s="11"/>
      <c r="RYR5" s="11"/>
      <c r="RYS5" s="11"/>
      <c r="RYT5" s="11"/>
      <c r="RYU5" s="11"/>
      <c r="RYV5" s="11"/>
      <c r="RYW5" s="11"/>
      <c r="RYX5" s="11"/>
      <c r="RYY5" s="11"/>
      <c r="RYZ5" s="11"/>
      <c r="RZA5" s="11"/>
      <c r="RZB5" s="11"/>
      <c r="RZC5" s="11"/>
      <c r="RZD5" s="11"/>
      <c r="RZE5" s="11"/>
      <c r="RZF5" s="11"/>
      <c r="RZG5" s="11"/>
      <c r="RZH5" s="11"/>
      <c r="RZI5" s="11"/>
      <c r="RZJ5" s="11"/>
      <c r="RZK5" s="11"/>
      <c r="RZL5" s="11"/>
      <c r="RZM5" s="11"/>
      <c r="RZN5" s="11"/>
      <c r="RZO5" s="11"/>
      <c r="RZP5" s="11"/>
      <c r="RZQ5" s="11"/>
      <c r="RZR5" s="11"/>
      <c r="RZS5" s="11"/>
      <c r="RZT5" s="11"/>
      <c r="RZU5" s="11"/>
      <c r="RZV5" s="11"/>
      <c r="RZW5" s="11"/>
      <c r="RZX5" s="11"/>
      <c r="RZY5" s="11"/>
      <c r="RZZ5" s="11"/>
      <c r="SAA5" s="11"/>
      <c r="SAB5" s="11"/>
      <c r="SAC5" s="11"/>
      <c r="SAD5" s="11"/>
      <c r="SAE5" s="11"/>
      <c r="SAF5" s="11"/>
      <c r="SAG5" s="11"/>
      <c r="SAH5" s="11"/>
      <c r="SAI5" s="11"/>
      <c r="SAJ5" s="11"/>
      <c r="SAK5" s="11"/>
      <c r="SAL5" s="11"/>
      <c r="SAM5" s="11"/>
      <c r="SAN5" s="11"/>
      <c r="SAO5" s="11"/>
      <c r="SAP5" s="11"/>
      <c r="SAQ5" s="11"/>
      <c r="SAR5" s="11"/>
      <c r="SAS5" s="11"/>
      <c r="SAT5" s="11"/>
      <c r="SAU5" s="11"/>
      <c r="SAV5" s="11"/>
      <c r="SAW5" s="11"/>
      <c r="SAX5" s="11"/>
      <c r="SAY5" s="11"/>
      <c r="SAZ5" s="11"/>
      <c r="SBA5" s="11"/>
      <c r="SBB5" s="11"/>
      <c r="SBC5" s="11"/>
      <c r="SBD5" s="11"/>
      <c r="SBE5" s="11"/>
      <c r="SBF5" s="11"/>
      <c r="SBG5" s="11"/>
      <c r="SBH5" s="11"/>
      <c r="SBI5" s="11"/>
      <c r="SBJ5" s="11"/>
      <c r="SBK5" s="11"/>
      <c r="SBL5" s="11"/>
      <c r="SBM5" s="11"/>
      <c r="SBN5" s="11"/>
      <c r="SBO5" s="11"/>
      <c r="SBP5" s="11"/>
      <c r="SBQ5" s="11"/>
      <c r="SBR5" s="11"/>
      <c r="SBS5" s="11"/>
      <c r="SBT5" s="11"/>
      <c r="SBU5" s="11"/>
      <c r="SBV5" s="11"/>
      <c r="SBW5" s="11"/>
      <c r="SBX5" s="11"/>
      <c r="SBY5" s="11"/>
      <c r="SBZ5" s="11"/>
      <c r="SCA5" s="11"/>
      <c r="SCB5" s="11"/>
      <c r="SCC5" s="11"/>
      <c r="SCD5" s="11"/>
      <c r="SCE5" s="11"/>
      <c r="SCF5" s="11"/>
      <c r="SCG5" s="11"/>
      <c r="SCH5" s="11"/>
      <c r="SCI5" s="11"/>
      <c r="SCJ5" s="11"/>
      <c r="SCK5" s="11"/>
      <c r="SCL5" s="11"/>
      <c r="SCM5" s="11"/>
      <c r="SCN5" s="11"/>
      <c r="SCO5" s="11"/>
      <c r="SCP5" s="11"/>
      <c r="SCQ5" s="11"/>
      <c r="SCR5" s="11"/>
      <c r="SCS5" s="11"/>
      <c r="SCT5" s="11"/>
      <c r="SCU5" s="11"/>
      <c r="SCV5" s="11"/>
      <c r="SCW5" s="11"/>
      <c r="SCX5" s="11"/>
      <c r="SCY5" s="11"/>
      <c r="SCZ5" s="11"/>
      <c r="SDA5" s="11"/>
      <c r="SDB5" s="11"/>
      <c r="SDC5" s="11"/>
      <c r="SDD5" s="11"/>
      <c r="SDE5" s="11"/>
      <c r="SDF5" s="11"/>
      <c r="SDG5" s="11"/>
      <c r="SDH5" s="11"/>
      <c r="SDI5" s="11"/>
      <c r="SDJ5" s="11"/>
      <c r="SDK5" s="11"/>
      <c r="SDL5" s="11"/>
      <c r="SDM5" s="11"/>
      <c r="SDN5" s="11"/>
      <c r="SDO5" s="11"/>
      <c r="SDP5" s="11"/>
      <c r="SDQ5" s="11"/>
      <c r="SDR5" s="11"/>
      <c r="SDS5" s="11"/>
      <c r="SDT5" s="11"/>
      <c r="SDU5" s="11"/>
      <c r="SDV5" s="11"/>
      <c r="SDW5" s="11"/>
      <c r="SDX5" s="11"/>
      <c r="SDY5" s="11"/>
      <c r="SDZ5" s="11"/>
      <c r="SEA5" s="11"/>
      <c r="SEB5" s="11"/>
      <c r="SEC5" s="11"/>
      <c r="SED5" s="11"/>
      <c r="SEE5" s="11"/>
      <c r="SEF5" s="11"/>
      <c r="SEG5" s="11"/>
      <c r="SEH5" s="11"/>
      <c r="SEI5" s="11"/>
      <c r="SEJ5" s="11"/>
      <c r="SEK5" s="11"/>
      <c r="SEL5" s="11"/>
      <c r="SEM5" s="11"/>
      <c r="SEN5" s="11"/>
      <c r="SEO5" s="11"/>
      <c r="SEP5" s="11"/>
      <c r="SEQ5" s="11"/>
      <c r="SER5" s="11"/>
      <c r="SES5" s="11"/>
      <c r="SET5" s="11"/>
      <c r="SEU5" s="11"/>
      <c r="SEV5" s="11"/>
      <c r="SEW5" s="11"/>
      <c r="SEX5" s="11"/>
      <c r="SEY5" s="11"/>
      <c r="SEZ5" s="11"/>
      <c r="SFA5" s="11"/>
      <c r="SFB5" s="11"/>
      <c r="SFC5" s="11"/>
      <c r="SFD5" s="11"/>
      <c r="SFE5" s="11"/>
      <c r="SFF5" s="11"/>
      <c r="SFG5" s="11"/>
      <c r="SFH5" s="11"/>
      <c r="SFI5" s="11"/>
      <c r="SFJ5" s="11"/>
      <c r="SFK5" s="11"/>
      <c r="SFL5" s="11"/>
      <c r="SFM5" s="11"/>
      <c r="SFN5" s="11"/>
      <c r="SFO5" s="11"/>
      <c r="SFP5" s="11"/>
      <c r="SFQ5" s="11"/>
      <c r="SFR5" s="11"/>
      <c r="SFS5" s="11"/>
      <c r="SFT5" s="11"/>
      <c r="SFU5" s="11"/>
      <c r="SFV5" s="11"/>
      <c r="SFW5" s="11"/>
      <c r="SFX5" s="11"/>
      <c r="SFY5" s="11"/>
      <c r="SFZ5" s="11"/>
      <c r="SGA5" s="11"/>
      <c r="SGB5" s="11"/>
      <c r="SGC5" s="11"/>
      <c r="SGD5" s="11"/>
      <c r="SGE5" s="11"/>
      <c r="SGF5" s="11"/>
      <c r="SGG5" s="11"/>
      <c r="SGH5" s="11"/>
      <c r="SGI5" s="11"/>
      <c r="SGJ5" s="11"/>
      <c r="SGK5" s="11"/>
      <c r="SGL5" s="11"/>
      <c r="SGM5" s="11"/>
      <c r="SGN5" s="11"/>
      <c r="SGO5" s="11"/>
      <c r="SGP5" s="11"/>
      <c r="SGQ5" s="11"/>
      <c r="SGR5" s="11"/>
      <c r="SGS5" s="11"/>
      <c r="SGT5" s="11"/>
      <c r="SGU5" s="11"/>
      <c r="SGV5" s="11"/>
      <c r="SGW5" s="11"/>
      <c r="SGX5" s="11"/>
      <c r="SGY5" s="11"/>
      <c r="SGZ5" s="11"/>
      <c r="SHA5" s="11"/>
      <c r="SHB5" s="11"/>
      <c r="SHC5" s="11"/>
      <c r="SHD5" s="11"/>
      <c r="SHE5" s="11"/>
      <c r="SHF5" s="11"/>
      <c r="SHG5" s="11"/>
      <c r="SHH5" s="11"/>
      <c r="SHI5" s="11"/>
      <c r="SHJ5" s="11"/>
      <c r="SHK5" s="11"/>
      <c r="SHL5" s="11"/>
      <c r="SHM5" s="11"/>
      <c r="SHN5" s="11"/>
      <c r="SHO5" s="11"/>
      <c r="SHP5" s="11"/>
      <c r="SHQ5" s="11"/>
      <c r="SHR5" s="11"/>
      <c r="SHS5" s="11"/>
      <c r="SHT5" s="11"/>
      <c r="SHU5" s="11"/>
      <c r="SHV5" s="11"/>
      <c r="SHW5" s="11"/>
      <c r="SHX5" s="11"/>
      <c r="SHY5" s="11"/>
      <c r="SHZ5" s="11"/>
      <c r="SIA5" s="11"/>
      <c r="SIB5" s="11"/>
      <c r="SIC5" s="11"/>
      <c r="SID5" s="11"/>
      <c r="SIE5" s="11"/>
      <c r="SIF5" s="11"/>
      <c r="SIG5" s="11"/>
      <c r="SIH5" s="11"/>
      <c r="SII5" s="11"/>
      <c r="SIJ5" s="11"/>
      <c r="SIK5" s="11"/>
      <c r="SIL5" s="11"/>
      <c r="SIM5" s="11"/>
      <c r="SIN5" s="11"/>
      <c r="SIO5" s="11"/>
      <c r="SIP5" s="11"/>
      <c r="SIQ5" s="11"/>
      <c r="SIR5" s="11"/>
      <c r="SIS5" s="11"/>
      <c r="SIT5" s="11"/>
      <c r="SIU5" s="11"/>
      <c r="SIV5" s="11"/>
      <c r="SIW5" s="11"/>
      <c r="SIX5" s="11"/>
      <c r="SIY5" s="11"/>
      <c r="SIZ5" s="11"/>
      <c r="SJA5" s="11"/>
      <c r="SJB5" s="11"/>
      <c r="SJC5" s="11"/>
      <c r="SJD5" s="11"/>
      <c r="SJE5" s="11"/>
      <c r="SJF5" s="11"/>
      <c r="SJG5" s="11"/>
      <c r="SJH5" s="11"/>
      <c r="SJI5" s="11"/>
      <c r="SJJ5" s="11"/>
      <c r="SJK5" s="11"/>
      <c r="SJL5" s="11"/>
      <c r="SJM5" s="11"/>
      <c r="SJN5" s="11"/>
      <c r="SJO5" s="11"/>
      <c r="SJP5" s="11"/>
      <c r="SJQ5" s="11"/>
      <c r="SJR5" s="11"/>
      <c r="SJS5" s="11"/>
      <c r="SJT5" s="11"/>
      <c r="SJU5" s="11"/>
      <c r="SJV5" s="11"/>
      <c r="SJW5" s="11"/>
      <c r="SJX5" s="11"/>
      <c r="SJY5" s="11"/>
      <c r="SJZ5" s="11"/>
      <c r="SKA5" s="11"/>
      <c r="SKB5" s="11"/>
      <c r="SKC5" s="11"/>
      <c r="SKD5" s="11"/>
      <c r="SKE5" s="11"/>
      <c r="SKF5" s="11"/>
      <c r="SKG5" s="11"/>
      <c r="SKH5" s="11"/>
      <c r="SKI5" s="11"/>
      <c r="SKJ5" s="11"/>
      <c r="SKK5" s="11"/>
      <c r="SKL5" s="11"/>
      <c r="SKM5" s="11"/>
      <c r="SKN5" s="11"/>
      <c r="SKO5" s="11"/>
      <c r="SKP5" s="11"/>
      <c r="SKQ5" s="11"/>
      <c r="SKR5" s="11"/>
      <c r="SKS5" s="11"/>
      <c r="SKT5" s="11"/>
      <c r="SKU5" s="11"/>
      <c r="SKV5" s="11"/>
      <c r="SKW5" s="11"/>
      <c r="SKX5" s="11"/>
      <c r="SKY5" s="11"/>
      <c r="SKZ5" s="11"/>
      <c r="SLA5" s="11"/>
      <c r="SLB5" s="11"/>
      <c r="SLC5" s="11"/>
      <c r="SLD5" s="11"/>
      <c r="SLE5" s="11"/>
      <c r="SLF5" s="11"/>
      <c r="SLG5" s="11"/>
      <c r="SLH5" s="11"/>
      <c r="SLI5" s="11"/>
      <c r="SLJ5" s="11"/>
      <c r="SLK5" s="11"/>
      <c r="SLL5" s="11"/>
      <c r="SLM5" s="11"/>
      <c r="SLN5" s="11"/>
      <c r="SLO5" s="11"/>
      <c r="SLP5" s="11"/>
      <c r="SLQ5" s="11"/>
      <c r="SLR5" s="11"/>
      <c r="SLS5" s="11"/>
      <c r="SLT5" s="11"/>
      <c r="SLU5" s="11"/>
      <c r="SLV5" s="11"/>
      <c r="SLW5" s="11"/>
      <c r="SLX5" s="11"/>
      <c r="SLY5" s="11"/>
      <c r="SLZ5" s="11"/>
      <c r="SMA5" s="11"/>
      <c r="SMB5" s="11"/>
      <c r="SMC5" s="11"/>
      <c r="SMD5" s="11"/>
      <c r="SME5" s="11"/>
      <c r="SMF5" s="11"/>
      <c r="SMG5" s="11"/>
      <c r="SMH5" s="11"/>
      <c r="SMI5" s="11"/>
      <c r="SMJ5" s="11"/>
      <c r="SMK5" s="11"/>
      <c r="SML5" s="11"/>
      <c r="SMM5" s="11"/>
      <c r="SMN5" s="11"/>
      <c r="SMO5" s="11"/>
      <c r="SMP5" s="11"/>
      <c r="SMQ5" s="11"/>
      <c r="SMR5" s="11"/>
      <c r="SMS5" s="11"/>
      <c r="SMT5" s="11"/>
      <c r="SMU5" s="11"/>
      <c r="SMV5" s="11"/>
      <c r="SMW5" s="11"/>
      <c r="SMX5" s="11"/>
      <c r="SMY5" s="11"/>
      <c r="SMZ5" s="11"/>
      <c r="SNA5" s="11"/>
      <c r="SNB5" s="11"/>
      <c r="SNC5" s="11"/>
      <c r="SND5" s="11"/>
      <c r="SNE5" s="11"/>
      <c r="SNF5" s="11"/>
      <c r="SNG5" s="11"/>
      <c r="SNH5" s="11"/>
      <c r="SNI5" s="11"/>
      <c r="SNJ5" s="11"/>
      <c r="SNK5" s="11"/>
      <c r="SNL5" s="11"/>
      <c r="SNM5" s="11"/>
      <c r="SNN5" s="11"/>
      <c r="SNO5" s="11"/>
      <c r="SNP5" s="11"/>
      <c r="SNQ5" s="11"/>
      <c r="SNR5" s="11"/>
      <c r="SNS5" s="11"/>
      <c r="SNT5" s="11"/>
      <c r="SNU5" s="11"/>
      <c r="SNV5" s="11"/>
      <c r="SNW5" s="11"/>
      <c r="SNX5" s="11"/>
      <c r="SNY5" s="11"/>
      <c r="SNZ5" s="11"/>
      <c r="SOA5" s="11"/>
      <c r="SOB5" s="11"/>
      <c r="SOC5" s="11"/>
      <c r="SOD5" s="11"/>
      <c r="SOE5" s="11"/>
      <c r="SOF5" s="11"/>
      <c r="SOG5" s="11"/>
      <c r="SOH5" s="11"/>
      <c r="SOI5" s="11"/>
      <c r="SOJ5" s="11"/>
      <c r="SOK5" s="11"/>
      <c r="SOL5" s="11"/>
      <c r="SOM5" s="11"/>
      <c r="SON5" s="11"/>
      <c r="SOO5" s="11"/>
      <c r="SOP5" s="11"/>
      <c r="SOQ5" s="11"/>
      <c r="SOR5" s="11"/>
      <c r="SOS5" s="11"/>
      <c r="SOT5" s="11"/>
      <c r="SOU5" s="11"/>
      <c r="SOV5" s="11"/>
      <c r="SOW5" s="11"/>
      <c r="SOX5" s="11"/>
      <c r="SOY5" s="11"/>
      <c r="SOZ5" s="11"/>
      <c r="SPA5" s="11"/>
      <c r="SPB5" s="11"/>
      <c r="SPC5" s="11"/>
      <c r="SPD5" s="11"/>
      <c r="SPE5" s="11"/>
      <c r="SPF5" s="11"/>
      <c r="SPG5" s="11"/>
      <c r="SPH5" s="11"/>
      <c r="SPI5" s="11"/>
      <c r="SPJ5" s="11"/>
      <c r="SPK5" s="11"/>
      <c r="SPL5" s="11"/>
      <c r="SPM5" s="11"/>
      <c r="SPN5" s="11"/>
      <c r="SPO5" s="11"/>
      <c r="SPP5" s="11"/>
      <c r="SPQ5" s="11"/>
      <c r="SPR5" s="11"/>
      <c r="SPS5" s="11"/>
      <c r="SPT5" s="11"/>
      <c r="SPU5" s="11"/>
      <c r="SPV5" s="11"/>
      <c r="SPW5" s="11"/>
      <c r="SPX5" s="11"/>
      <c r="SPY5" s="11"/>
      <c r="SPZ5" s="11"/>
      <c r="SQA5" s="11"/>
      <c r="SQB5" s="11"/>
      <c r="SQC5" s="11"/>
      <c r="SQD5" s="11"/>
      <c r="SQE5" s="11"/>
      <c r="SQF5" s="11"/>
      <c r="SQG5" s="11"/>
      <c r="SQH5" s="11"/>
      <c r="SQI5" s="11"/>
      <c r="SQJ5" s="11"/>
      <c r="SQK5" s="11"/>
      <c r="SQL5" s="11"/>
      <c r="SQM5" s="11"/>
      <c r="SQN5" s="11"/>
      <c r="SQO5" s="11"/>
      <c r="SQP5" s="11"/>
      <c r="SQQ5" s="11"/>
      <c r="SQR5" s="11"/>
      <c r="SQS5" s="11"/>
      <c r="SQT5" s="11"/>
      <c r="SQU5" s="11"/>
      <c r="SQV5" s="11"/>
      <c r="SQW5" s="11"/>
      <c r="SQX5" s="11"/>
      <c r="SQY5" s="11"/>
      <c r="SQZ5" s="11"/>
      <c r="SRA5" s="11"/>
      <c r="SRB5" s="11"/>
      <c r="SRC5" s="11"/>
      <c r="SRD5" s="11"/>
      <c r="SRE5" s="11"/>
      <c r="SRF5" s="11"/>
      <c r="SRG5" s="11"/>
      <c r="SRH5" s="11"/>
      <c r="SRI5" s="11"/>
      <c r="SRJ5" s="11"/>
      <c r="SRK5" s="11"/>
      <c r="SRL5" s="11"/>
      <c r="SRM5" s="11"/>
      <c r="SRN5" s="11"/>
      <c r="SRO5" s="11"/>
      <c r="SRP5" s="11"/>
      <c r="SRQ5" s="11"/>
      <c r="SRR5" s="11"/>
      <c r="SRS5" s="11"/>
      <c r="SRT5" s="11"/>
      <c r="SRU5" s="11"/>
      <c r="SRV5" s="11"/>
      <c r="SRW5" s="11"/>
      <c r="SRX5" s="11"/>
      <c r="SRY5" s="11"/>
      <c r="SRZ5" s="11"/>
      <c r="SSA5" s="11"/>
      <c r="SSB5" s="11"/>
      <c r="SSC5" s="11"/>
      <c r="SSD5" s="11"/>
      <c r="SSE5" s="11"/>
      <c r="SSF5" s="11"/>
      <c r="SSG5" s="11"/>
      <c r="SSH5" s="11"/>
      <c r="SSI5" s="11"/>
      <c r="SSJ5" s="11"/>
      <c r="SSK5" s="11"/>
      <c r="SSL5" s="11"/>
      <c r="SSM5" s="11"/>
      <c r="SSN5" s="11"/>
      <c r="SSO5" s="11"/>
      <c r="SSP5" s="11"/>
      <c r="SSQ5" s="11"/>
      <c r="SSR5" s="11"/>
      <c r="SSS5" s="11"/>
      <c r="SST5" s="11"/>
      <c r="SSU5" s="11"/>
      <c r="SSV5" s="11"/>
      <c r="SSW5" s="11"/>
      <c r="SSX5" s="11"/>
      <c r="SSY5" s="11"/>
      <c r="SSZ5" s="11"/>
      <c r="STA5" s="11"/>
      <c r="STB5" s="11"/>
      <c r="STC5" s="11"/>
      <c r="STD5" s="11"/>
      <c r="STE5" s="11"/>
      <c r="STF5" s="11"/>
      <c r="STG5" s="11"/>
      <c r="STH5" s="11"/>
      <c r="STI5" s="11"/>
      <c r="STJ5" s="11"/>
      <c r="STK5" s="11"/>
      <c r="STL5" s="11"/>
      <c r="STM5" s="11"/>
      <c r="STN5" s="11"/>
      <c r="STO5" s="11"/>
      <c r="STP5" s="11"/>
      <c r="STQ5" s="11"/>
      <c r="STR5" s="11"/>
      <c r="STS5" s="11"/>
      <c r="STT5" s="11"/>
      <c r="STU5" s="11"/>
      <c r="STV5" s="11"/>
      <c r="STW5" s="11"/>
      <c r="STX5" s="11"/>
      <c r="STY5" s="11"/>
      <c r="STZ5" s="11"/>
      <c r="SUA5" s="11"/>
      <c r="SUB5" s="11"/>
      <c r="SUC5" s="11"/>
      <c r="SUD5" s="11"/>
      <c r="SUE5" s="11"/>
      <c r="SUF5" s="11"/>
      <c r="SUG5" s="11"/>
      <c r="SUH5" s="11"/>
      <c r="SUI5" s="11"/>
      <c r="SUJ5" s="11"/>
      <c r="SUK5" s="11"/>
      <c r="SUL5" s="11"/>
      <c r="SUM5" s="11"/>
      <c r="SUN5" s="11"/>
      <c r="SUO5" s="11"/>
      <c r="SUP5" s="11"/>
      <c r="SUQ5" s="11"/>
      <c r="SUR5" s="11"/>
      <c r="SUS5" s="11"/>
      <c r="SUT5" s="11"/>
      <c r="SUU5" s="11"/>
      <c r="SUV5" s="11"/>
      <c r="SUW5" s="11"/>
      <c r="SUX5" s="11"/>
      <c r="SUY5" s="11"/>
      <c r="SUZ5" s="11"/>
      <c r="SVA5" s="11"/>
      <c r="SVB5" s="11"/>
      <c r="SVC5" s="11"/>
      <c r="SVD5" s="11"/>
      <c r="SVE5" s="11"/>
      <c r="SVF5" s="11"/>
      <c r="SVG5" s="11"/>
      <c r="SVH5" s="11"/>
      <c r="SVI5" s="11"/>
      <c r="SVJ5" s="11"/>
      <c r="SVK5" s="11"/>
      <c r="SVL5" s="11"/>
      <c r="SVM5" s="11"/>
      <c r="SVN5" s="11"/>
      <c r="SVO5" s="11"/>
      <c r="SVP5" s="11"/>
      <c r="SVQ5" s="11"/>
      <c r="SVR5" s="11"/>
      <c r="SVS5" s="11"/>
      <c r="SVT5" s="11"/>
      <c r="SVU5" s="11"/>
      <c r="SVV5" s="11"/>
      <c r="SVW5" s="11"/>
      <c r="SVX5" s="11"/>
      <c r="SVY5" s="11"/>
      <c r="SVZ5" s="11"/>
      <c r="SWA5" s="11"/>
      <c r="SWB5" s="11"/>
      <c r="SWC5" s="11"/>
      <c r="SWD5" s="11"/>
      <c r="SWE5" s="11"/>
      <c r="SWF5" s="11"/>
      <c r="SWG5" s="11"/>
      <c r="SWH5" s="11"/>
      <c r="SWI5" s="11"/>
      <c r="SWJ5" s="11"/>
      <c r="SWK5" s="11"/>
      <c r="SWL5" s="11"/>
      <c r="SWM5" s="11"/>
      <c r="SWN5" s="11"/>
      <c r="SWO5" s="11"/>
      <c r="SWP5" s="11"/>
      <c r="SWQ5" s="11"/>
      <c r="SWR5" s="11"/>
      <c r="SWS5" s="11"/>
      <c r="SWT5" s="11"/>
      <c r="SWU5" s="11"/>
      <c r="SWV5" s="11"/>
      <c r="SWW5" s="11"/>
      <c r="SWX5" s="11"/>
      <c r="SWY5" s="11"/>
      <c r="SWZ5" s="11"/>
      <c r="SXA5" s="11"/>
      <c r="SXB5" s="11"/>
      <c r="SXC5" s="11"/>
      <c r="SXD5" s="11"/>
      <c r="SXE5" s="11"/>
      <c r="SXF5" s="11"/>
      <c r="SXG5" s="11"/>
      <c r="SXH5" s="11"/>
      <c r="SXI5" s="11"/>
      <c r="SXJ5" s="11"/>
      <c r="SXK5" s="11"/>
      <c r="SXL5" s="11"/>
      <c r="SXM5" s="11"/>
      <c r="SXN5" s="11"/>
      <c r="SXO5" s="11"/>
      <c r="SXP5" s="11"/>
      <c r="SXQ5" s="11"/>
      <c r="SXR5" s="11"/>
      <c r="SXS5" s="11"/>
      <c r="SXT5" s="11"/>
      <c r="SXU5" s="11"/>
      <c r="SXV5" s="11"/>
      <c r="SXW5" s="11"/>
      <c r="SXX5" s="11"/>
      <c r="SXY5" s="11"/>
      <c r="SXZ5" s="11"/>
      <c r="SYA5" s="11"/>
      <c r="SYB5" s="11"/>
      <c r="SYC5" s="11"/>
      <c r="SYD5" s="11"/>
      <c r="SYE5" s="11"/>
      <c r="SYF5" s="11"/>
      <c r="SYG5" s="11"/>
      <c r="SYH5" s="11"/>
      <c r="SYI5" s="11"/>
      <c r="SYJ5" s="11"/>
      <c r="SYK5" s="11"/>
      <c r="SYL5" s="11"/>
      <c r="SYM5" s="11"/>
      <c r="SYN5" s="11"/>
      <c r="SYO5" s="11"/>
      <c r="SYP5" s="11"/>
      <c r="SYQ5" s="11"/>
      <c r="SYR5" s="11"/>
      <c r="SYS5" s="11"/>
      <c r="SYT5" s="11"/>
      <c r="SYU5" s="11"/>
      <c r="SYV5" s="11"/>
      <c r="SYW5" s="11"/>
      <c r="SYX5" s="11"/>
      <c r="SYY5" s="11"/>
      <c r="SYZ5" s="11"/>
      <c r="SZA5" s="11"/>
      <c r="SZB5" s="11"/>
      <c r="SZC5" s="11"/>
      <c r="SZD5" s="11"/>
      <c r="SZE5" s="11"/>
      <c r="SZF5" s="11"/>
      <c r="SZG5" s="11"/>
      <c r="SZH5" s="11"/>
      <c r="SZI5" s="11"/>
      <c r="SZJ5" s="11"/>
      <c r="SZK5" s="11"/>
      <c r="SZL5" s="11"/>
      <c r="SZM5" s="11"/>
      <c r="SZN5" s="11"/>
      <c r="SZO5" s="11"/>
      <c r="SZP5" s="11"/>
      <c r="SZQ5" s="11"/>
      <c r="SZR5" s="11"/>
      <c r="SZS5" s="11"/>
      <c r="SZT5" s="11"/>
      <c r="SZU5" s="11"/>
      <c r="SZV5" s="11"/>
      <c r="SZW5" s="11"/>
      <c r="SZX5" s="11"/>
      <c r="SZY5" s="11"/>
      <c r="SZZ5" s="11"/>
      <c r="TAA5" s="11"/>
      <c r="TAB5" s="11"/>
      <c r="TAC5" s="11"/>
      <c r="TAD5" s="11"/>
      <c r="TAE5" s="11"/>
      <c r="TAF5" s="11"/>
      <c r="TAG5" s="11"/>
      <c r="TAH5" s="11"/>
      <c r="TAI5" s="11"/>
      <c r="TAJ5" s="11"/>
      <c r="TAK5" s="11"/>
      <c r="TAL5" s="11"/>
      <c r="TAM5" s="11"/>
      <c r="TAN5" s="11"/>
      <c r="TAO5" s="11"/>
      <c r="TAP5" s="11"/>
      <c r="TAQ5" s="11"/>
      <c r="TAR5" s="11"/>
      <c r="TAS5" s="11"/>
      <c r="TAT5" s="11"/>
      <c r="TAU5" s="11"/>
      <c r="TAV5" s="11"/>
      <c r="TAW5" s="11"/>
      <c r="TAX5" s="11"/>
      <c r="TAY5" s="11"/>
      <c r="TAZ5" s="11"/>
      <c r="TBA5" s="11"/>
      <c r="TBB5" s="11"/>
      <c r="TBC5" s="11"/>
      <c r="TBD5" s="11"/>
      <c r="TBE5" s="11"/>
      <c r="TBF5" s="11"/>
      <c r="TBG5" s="11"/>
      <c r="TBH5" s="11"/>
      <c r="TBI5" s="11"/>
      <c r="TBJ5" s="11"/>
      <c r="TBK5" s="11"/>
      <c r="TBL5" s="11"/>
      <c r="TBM5" s="11"/>
      <c r="TBN5" s="11"/>
      <c r="TBO5" s="11"/>
      <c r="TBP5" s="11"/>
      <c r="TBQ5" s="11"/>
      <c r="TBR5" s="11"/>
      <c r="TBS5" s="11"/>
      <c r="TBT5" s="11"/>
      <c r="TBU5" s="11"/>
      <c r="TBV5" s="11"/>
      <c r="TBW5" s="11"/>
      <c r="TBX5" s="11"/>
      <c r="TBY5" s="11"/>
      <c r="TBZ5" s="11"/>
      <c r="TCA5" s="11"/>
      <c r="TCB5" s="11"/>
      <c r="TCC5" s="11"/>
      <c r="TCD5" s="11"/>
      <c r="TCE5" s="11"/>
      <c r="TCF5" s="11"/>
      <c r="TCG5" s="11"/>
      <c r="TCH5" s="11"/>
      <c r="TCI5" s="11"/>
      <c r="TCJ5" s="11"/>
      <c r="TCK5" s="11"/>
      <c r="TCL5" s="11"/>
      <c r="TCM5" s="11"/>
      <c r="TCN5" s="11"/>
      <c r="TCO5" s="11"/>
      <c r="TCP5" s="11"/>
      <c r="TCQ5" s="11"/>
      <c r="TCR5" s="11"/>
      <c r="TCS5" s="11"/>
      <c r="TCT5" s="11"/>
      <c r="TCU5" s="11"/>
      <c r="TCV5" s="11"/>
      <c r="TCW5" s="11"/>
      <c r="TCX5" s="11"/>
      <c r="TCY5" s="11"/>
      <c r="TCZ5" s="11"/>
      <c r="TDA5" s="11"/>
      <c r="TDB5" s="11"/>
      <c r="TDC5" s="11"/>
      <c r="TDD5" s="11"/>
      <c r="TDE5" s="11"/>
      <c r="TDF5" s="11"/>
      <c r="TDG5" s="11"/>
      <c r="TDH5" s="11"/>
      <c r="TDI5" s="11"/>
      <c r="TDJ5" s="11"/>
      <c r="TDK5" s="11"/>
      <c r="TDL5" s="11"/>
      <c r="TDM5" s="11"/>
      <c r="TDN5" s="11"/>
      <c r="TDO5" s="11"/>
      <c r="TDP5" s="11"/>
      <c r="TDQ5" s="11"/>
      <c r="TDR5" s="11"/>
      <c r="TDS5" s="11"/>
      <c r="TDT5" s="11"/>
      <c r="TDU5" s="11"/>
      <c r="TDV5" s="11"/>
      <c r="TDW5" s="11"/>
      <c r="TDX5" s="11"/>
      <c r="TDY5" s="11"/>
      <c r="TDZ5" s="11"/>
      <c r="TEA5" s="11"/>
      <c r="TEB5" s="11"/>
      <c r="TEC5" s="11"/>
      <c r="TED5" s="11"/>
      <c r="TEE5" s="11"/>
      <c r="TEF5" s="11"/>
      <c r="TEG5" s="11"/>
      <c r="TEH5" s="11"/>
      <c r="TEI5" s="11"/>
      <c r="TEJ5" s="11"/>
      <c r="TEK5" s="11"/>
      <c r="TEL5" s="11"/>
      <c r="TEM5" s="11"/>
      <c r="TEN5" s="11"/>
      <c r="TEO5" s="11"/>
      <c r="TEP5" s="11"/>
      <c r="TEQ5" s="11"/>
      <c r="TER5" s="11"/>
      <c r="TES5" s="11"/>
      <c r="TET5" s="11"/>
      <c r="TEU5" s="11"/>
      <c r="TEV5" s="11"/>
      <c r="TEW5" s="11"/>
      <c r="TEX5" s="11"/>
      <c r="TEY5" s="11"/>
      <c r="TEZ5" s="11"/>
      <c r="TFA5" s="11"/>
      <c r="TFB5" s="11"/>
      <c r="TFC5" s="11"/>
      <c r="TFD5" s="11"/>
      <c r="TFE5" s="11"/>
      <c r="TFF5" s="11"/>
      <c r="TFG5" s="11"/>
      <c r="TFH5" s="11"/>
      <c r="TFI5" s="11"/>
      <c r="TFJ5" s="11"/>
      <c r="TFK5" s="11"/>
      <c r="TFL5" s="11"/>
      <c r="TFM5" s="11"/>
      <c r="TFN5" s="11"/>
      <c r="TFO5" s="11"/>
      <c r="TFP5" s="11"/>
      <c r="TFQ5" s="11"/>
      <c r="TFR5" s="11"/>
      <c r="TFS5" s="11"/>
      <c r="TFT5" s="11"/>
      <c r="TFU5" s="11"/>
      <c r="TFV5" s="11"/>
      <c r="TFW5" s="11"/>
      <c r="TFX5" s="11"/>
      <c r="TFY5" s="11"/>
      <c r="TFZ5" s="11"/>
      <c r="TGA5" s="11"/>
      <c r="TGB5" s="11"/>
      <c r="TGC5" s="11"/>
      <c r="TGD5" s="11"/>
      <c r="TGE5" s="11"/>
      <c r="TGF5" s="11"/>
      <c r="TGG5" s="11"/>
      <c r="TGH5" s="11"/>
      <c r="TGI5" s="11"/>
      <c r="TGJ5" s="11"/>
      <c r="TGK5" s="11"/>
      <c r="TGL5" s="11"/>
      <c r="TGM5" s="11"/>
      <c r="TGN5" s="11"/>
      <c r="TGO5" s="11"/>
      <c r="TGP5" s="11"/>
      <c r="TGQ5" s="11"/>
      <c r="TGR5" s="11"/>
      <c r="TGS5" s="11"/>
      <c r="TGT5" s="11"/>
      <c r="TGU5" s="11"/>
      <c r="TGV5" s="11"/>
      <c r="TGW5" s="11"/>
      <c r="TGX5" s="11"/>
      <c r="TGY5" s="11"/>
      <c r="TGZ5" s="11"/>
      <c r="THA5" s="11"/>
      <c r="THB5" s="11"/>
      <c r="THC5" s="11"/>
      <c r="THD5" s="11"/>
      <c r="THE5" s="11"/>
      <c r="THF5" s="11"/>
      <c r="THG5" s="11"/>
      <c r="THH5" s="11"/>
      <c r="THI5" s="11"/>
      <c r="THJ5" s="11"/>
      <c r="THK5" s="11"/>
      <c r="THL5" s="11"/>
      <c r="THM5" s="11"/>
      <c r="THN5" s="11"/>
      <c r="THO5" s="11"/>
      <c r="THP5" s="11"/>
      <c r="THQ5" s="11"/>
      <c r="THR5" s="11"/>
      <c r="THS5" s="11"/>
      <c r="THT5" s="11"/>
      <c r="THU5" s="11"/>
      <c r="THV5" s="11"/>
      <c r="THW5" s="11"/>
      <c r="THX5" s="11"/>
      <c r="THY5" s="11"/>
      <c r="THZ5" s="11"/>
      <c r="TIA5" s="11"/>
      <c r="TIB5" s="11"/>
      <c r="TIC5" s="11"/>
      <c r="TID5" s="11"/>
      <c r="TIE5" s="11"/>
      <c r="TIF5" s="11"/>
      <c r="TIG5" s="11"/>
      <c r="TIH5" s="11"/>
      <c r="TII5" s="11"/>
      <c r="TIJ5" s="11"/>
      <c r="TIK5" s="11"/>
      <c r="TIL5" s="11"/>
      <c r="TIM5" s="11"/>
      <c r="TIN5" s="11"/>
      <c r="TIO5" s="11"/>
      <c r="TIP5" s="11"/>
      <c r="TIQ5" s="11"/>
      <c r="TIR5" s="11"/>
      <c r="TIS5" s="11"/>
      <c r="TIT5" s="11"/>
      <c r="TIU5" s="11"/>
      <c r="TIV5" s="11"/>
      <c r="TIW5" s="11"/>
      <c r="TIX5" s="11"/>
      <c r="TIY5" s="11"/>
      <c r="TIZ5" s="11"/>
      <c r="TJA5" s="11"/>
      <c r="TJB5" s="11"/>
      <c r="TJC5" s="11"/>
      <c r="TJD5" s="11"/>
      <c r="TJE5" s="11"/>
      <c r="TJF5" s="11"/>
      <c r="TJG5" s="11"/>
      <c r="TJH5" s="11"/>
      <c r="TJI5" s="11"/>
      <c r="TJJ5" s="11"/>
      <c r="TJK5" s="11"/>
      <c r="TJL5" s="11"/>
      <c r="TJM5" s="11"/>
      <c r="TJN5" s="11"/>
      <c r="TJO5" s="11"/>
      <c r="TJP5" s="11"/>
      <c r="TJQ5" s="11"/>
      <c r="TJR5" s="11"/>
      <c r="TJS5" s="11"/>
      <c r="TJT5" s="11"/>
      <c r="TJU5" s="11"/>
      <c r="TJV5" s="11"/>
      <c r="TJW5" s="11"/>
      <c r="TJX5" s="11"/>
      <c r="TJY5" s="11"/>
      <c r="TJZ5" s="11"/>
      <c r="TKA5" s="11"/>
      <c r="TKB5" s="11"/>
      <c r="TKC5" s="11"/>
      <c r="TKD5" s="11"/>
      <c r="TKE5" s="11"/>
      <c r="TKF5" s="11"/>
      <c r="TKG5" s="11"/>
      <c r="TKH5" s="11"/>
      <c r="TKI5" s="11"/>
      <c r="TKJ5" s="11"/>
      <c r="TKK5" s="11"/>
      <c r="TKL5" s="11"/>
      <c r="TKM5" s="11"/>
      <c r="TKN5" s="11"/>
      <c r="TKO5" s="11"/>
      <c r="TKP5" s="11"/>
      <c r="TKQ5" s="11"/>
      <c r="TKR5" s="11"/>
      <c r="TKS5" s="11"/>
      <c r="TKT5" s="11"/>
      <c r="TKU5" s="11"/>
      <c r="TKV5" s="11"/>
      <c r="TKW5" s="11"/>
      <c r="TKX5" s="11"/>
      <c r="TKY5" s="11"/>
      <c r="TKZ5" s="11"/>
      <c r="TLA5" s="11"/>
      <c r="TLB5" s="11"/>
      <c r="TLC5" s="11"/>
      <c r="TLD5" s="11"/>
      <c r="TLE5" s="11"/>
      <c r="TLF5" s="11"/>
      <c r="TLG5" s="11"/>
      <c r="TLH5" s="11"/>
      <c r="TLI5" s="11"/>
      <c r="TLJ5" s="11"/>
      <c r="TLK5" s="11"/>
      <c r="TLL5" s="11"/>
      <c r="TLM5" s="11"/>
      <c r="TLN5" s="11"/>
      <c r="TLO5" s="11"/>
      <c r="TLP5" s="11"/>
      <c r="TLQ5" s="11"/>
      <c r="TLR5" s="11"/>
      <c r="TLS5" s="11"/>
      <c r="TLT5" s="11"/>
      <c r="TLU5" s="11"/>
      <c r="TLV5" s="11"/>
      <c r="TLW5" s="11"/>
      <c r="TLX5" s="11"/>
      <c r="TLY5" s="11"/>
      <c r="TLZ5" s="11"/>
      <c r="TMA5" s="11"/>
      <c r="TMB5" s="11"/>
      <c r="TMC5" s="11"/>
      <c r="TMD5" s="11"/>
      <c r="TME5" s="11"/>
      <c r="TMF5" s="11"/>
      <c r="TMG5" s="11"/>
      <c r="TMH5" s="11"/>
      <c r="TMI5" s="11"/>
      <c r="TMJ5" s="11"/>
      <c r="TMK5" s="11"/>
      <c r="TML5" s="11"/>
      <c r="TMM5" s="11"/>
      <c r="TMN5" s="11"/>
      <c r="TMO5" s="11"/>
      <c r="TMP5" s="11"/>
      <c r="TMQ5" s="11"/>
      <c r="TMR5" s="11"/>
      <c r="TMS5" s="11"/>
      <c r="TMT5" s="11"/>
      <c r="TMU5" s="11"/>
      <c r="TMV5" s="11"/>
      <c r="TMW5" s="11"/>
      <c r="TMX5" s="11"/>
      <c r="TMY5" s="11"/>
      <c r="TMZ5" s="11"/>
      <c r="TNA5" s="11"/>
      <c r="TNB5" s="11"/>
      <c r="TNC5" s="11"/>
      <c r="TND5" s="11"/>
      <c r="TNE5" s="11"/>
      <c r="TNF5" s="11"/>
      <c r="TNG5" s="11"/>
      <c r="TNH5" s="11"/>
      <c r="TNI5" s="11"/>
      <c r="TNJ5" s="11"/>
      <c r="TNK5" s="11"/>
      <c r="TNL5" s="11"/>
      <c r="TNM5" s="11"/>
      <c r="TNN5" s="11"/>
      <c r="TNO5" s="11"/>
      <c r="TNP5" s="11"/>
      <c r="TNQ5" s="11"/>
      <c r="TNR5" s="11"/>
      <c r="TNS5" s="11"/>
      <c r="TNT5" s="11"/>
      <c r="TNU5" s="11"/>
      <c r="TNV5" s="11"/>
      <c r="TNW5" s="11"/>
      <c r="TNX5" s="11"/>
      <c r="TNY5" s="11"/>
      <c r="TNZ5" s="11"/>
      <c r="TOA5" s="11"/>
      <c r="TOB5" s="11"/>
      <c r="TOC5" s="11"/>
      <c r="TOD5" s="11"/>
      <c r="TOE5" s="11"/>
      <c r="TOF5" s="11"/>
      <c r="TOG5" s="11"/>
      <c r="TOH5" s="11"/>
      <c r="TOI5" s="11"/>
      <c r="TOJ5" s="11"/>
      <c r="TOK5" s="11"/>
      <c r="TOL5" s="11"/>
      <c r="TOM5" s="11"/>
      <c r="TON5" s="11"/>
      <c r="TOO5" s="11"/>
      <c r="TOP5" s="11"/>
      <c r="TOQ5" s="11"/>
      <c r="TOR5" s="11"/>
      <c r="TOS5" s="11"/>
      <c r="TOT5" s="11"/>
      <c r="TOU5" s="11"/>
      <c r="TOV5" s="11"/>
      <c r="TOW5" s="11"/>
      <c r="TOX5" s="11"/>
      <c r="TOY5" s="11"/>
      <c r="TOZ5" s="11"/>
      <c r="TPA5" s="11"/>
      <c r="TPB5" s="11"/>
      <c r="TPC5" s="11"/>
      <c r="TPD5" s="11"/>
      <c r="TPE5" s="11"/>
      <c r="TPF5" s="11"/>
      <c r="TPG5" s="11"/>
      <c r="TPH5" s="11"/>
      <c r="TPI5" s="11"/>
      <c r="TPJ5" s="11"/>
      <c r="TPK5" s="11"/>
      <c r="TPL5" s="11"/>
      <c r="TPM5" s="11"/>
      <c r="TPN5" s="11"/>
      <c r="TPO5" s="11"/>
      <c r="TPP5" s="11"/>
      <c r="TPQ5" s="11"/>
      <c r="TPR5" s="11"/>
      <c r="TPS5" s="11"/>
      <c r="TPT5" s="11"/>
      <c r="TPU5" s="11"/>
      <c r="TPV5" s="11"/>
      <c r="TPW5" s="11"/>
      <c r="TPX5" s="11"/>
      <c r="TPY5" s="11"/>
      <c r="TPZ5" s="11"/>
      <c r="TQA5" s="11"/>
      <c r="TQB5" s="11"/>
      <c r="TQC5" s="11"/>
      <c r="TQD5" s="11"/>
      <c r="TQE5" s="11"/>
      <c r="TQF5" s="11"/>
      <c r="TQG5" s="11"/>
      <c r="TQH5" s="11"/>
      <c r="TQI5" s="11"/>
      <c r="TQJ5" s="11"/>
      <c r="TQK5" s="11"/>
      <c r="TQL5" s="11"/>
      <c r="TQM5" s="11"/>
      <c r="TQN5" s="11"/>
      <c r="TQO5" s="11"/>
      <c r="TQP5" s="11"/>
      <c r="TQQ5" s="11"/>
      <c r="TQR5" s="11"/>
      <c r="TQS5" s="11"/>
      <c r="TQT5" s="11"/>
      <c r="TQU5" s="11"/>
      <c r="TQV5" s="11"/>
      <c r="TQW5" s="11"/>
      <c r="TQX5" s="11"/>
      <c r="TQY5" s="11"/>
      <c r="TQZ5" s="11"/>
      <c r="TRA5" s="11"/>
      <c r="TRB5" s="11"/>
      <c r="TRC5" s="11"/>
      <c r="TRD5" s="11"/>
      <c r="TRE5" s="11"/>
      <c r="TRF5" s="11"/>
      <c r="TRG5" s="11"/>
      <c r="TRH5" s="11"/>
      <c r="TRI5" s="11"/>
      <c r="TRJ5" s="11"/>
      <c r="TRK5" s="11"/>
      <c r="TRL5" s="11"/>
      <c r="TRM5" s="11"/>
      <c r="TRN5" s="11"/>
      <c r="TRO5" s="11"/>
      <c r="TRP5" s="11"/>
      <c r="TRQ5" s="11"/>
      <c r="TRR5" s="11"/>
      <c r="TRS5" s="11"/>
      <c r="TRT5" s="11"/>
      <c r="TRU5" s="11"/>
      <c r="TRV5" s="11"/>
      <c r="TRW5" s="11"/>
      <c r="TRX5" s="11"/>
      <c r="TRY5" s="11"/>
      <c r="TRZ5" s="11"/>
      <c r="TSA5" s="11"/>
      <c r="TSB5" s="11"/>
      <c r="TSC5" s="11"/>
      <c r="TSD5" s="11"/>
      <c r="TSE5" s="11"/>
      <c r="TSF5" s="11"/>
      <c r="TSG5" s="11"/>
      <c r="TSH5" s="11"/>
      <c r="TSI5" s="11"/>
      <c r="TSJ5" s="11"/>
      <c r="TSK5" s="11"/>
      <c r="TSL5" s="11"/>
      <c r="TSM5" s="11"/>
      <c r="TSN5" s="11"/>
      <c r="TSO5" s="11"/>
      <c r="TSP5" s="11"/>
      <c r="TSQ5" s="11"/>
      <c r="TSR5" s="11"/>
      <c r="TSS5" s="11"/>
      <c r="TST5" s="11"/>
      <c r="TSU5" s="11"/>
      <c r="TSV5" s="11"/>
      <c r="TSW5" s="11"/>
      <c r="TSX5" s="11"/>
      <c r="TSY5" s="11"/>
      <c r="TSZ5" s="11"/>
      <c r="TTA5" s="11"/>
      <c r="TTB5" s="11"/>
      <c r="TTC5" s="11"/>
      <c r="TTD5" s="11"/>
      <c r="TTE5" s="11"/>
      <c r="TTF5" s="11"/>
      <c r="TTG5" s="11"/>
      <c r="TTH5" s="11"/>
      <c r="TTI5" s="11"/>
      <c r="TTJ5" s="11"/>
      <c r="TTK5" s="11"/>
      <c r="TTL5" s="11"/>
      <c r="TTM5" s="11"/>
      <c r="TTN5" s="11"/>
      <c r="TTO5" s="11"/>
      <c r="TTP5" s="11"/>
      <c r="TTQ5" s="11"/>
      <c r="TTR5" s="11"/>
      <c r="TTS5" s="11"/>
      <c r="TTT5" s="11"/>
      <c r="TTU5" s="11"/>
      <c r="TTV5" s="11"/>
      <c r="TTW5" s="11"/>
      <c r="TTX5" s="11"/>
      <c r="TTY5" s="11"/>
      <c r="TTZ5" s="11"/>
      <c r="TUA5" s="11"/>
      <c r="TUB5" s="11"/>
      <c r="TUC5" s="11"/>
      <c r="TUD5" s="11"/>
      <c r="TUE5" s="11"/>
      <c r="TUF5" s="11"/>
      <c r="TUG5" s="11"/>
      <c r="TUH5" s="11"/>
      <c r="TUI5" s="11"/>
      <c r="TUJ5" s="11"/>
      <c r="TUK5" s="11"/>
      <c r="TUL5" s="11"/>
      <c r="TUM5" s="11"/>
      <c r="TUN5" s="11"/>
      <c r="TUO5" s="11"/>
      <c r="TUP5" s="11"/>
      <c r="TUQ5" s="11"/>
      <c r="TUR5" s="11"/>
      <c r="TUS5" s="11"/>
      <c r="TUT5" s="11"/>
      <c r="TUU5" s="11"/>
      <c r="TUV5" s="11"/>
      <c r="TUW5" s="11"/>
      <c r="TUX5" s="11"/>
      <c r="TUY5" s="11"/>
      <c r="TUZ5" s="11"/>
      <c r="TVA5" s="11"/>
      <c r="TVB5" s="11"/>
      <c r="TVC5" s="11"/>
      <c r="TVD5" s="11"/>
      <c r="TVE5" s="11"/>
      <c r="TVF5" s="11"/>
      <c r="TVG5" s="11"/>
      <c r="TVH5" s="11"/>
      <c r="TVI5" s="11"/>
      <c r="TVJ5" s="11"/>
      <c r="TVK5" s="11"/>
      <c r="TVL5" s="11"/>
      <c r="TVM5" s="11"/>
      <c r="TVN5" s="11"/>
      <c r="TVO5" s="11"/>
      <c r="TVP5" s="11"/>
      <c r="TVQ5" s="11"/>
      <c r="TVR5" s="11"/>
      <c r="TVS5" s="11"/>
      <c r="TVT5" s="11"/>
      <c r="TVU5" s="11"/>
      <c r="TVV5" s="11"/>
      <c r="TVW5" s="11"/>
      <c r="TVX5" s="11"/>
      <c r="TVY5" s="11"/>
      <c r="TVZ5" s="11"/>
      <c r="TWA5" s="11"/>
      <c r="TWB5" s="11"/>
      <c r="TWC5" s="11"/>
      <c r="TWD5" s="11"/>
      <c r="TWE5" s="11"/>
      <c r="TWF5" s="11"/>
      <c r="TWG5" s="11"/>
      <c r="TWH5" s="11"/>
      <c r="TWI5" s="11"/>
      <c r="TWJ5" s="11"/>
      <c r="TWK5" s="11"/>
      <c r="TWL5" s="11"/>
      <c r="TWM5" s="11"/>
      <c r="TWN5" s="11"/>
      <c r="TWO5" s="11"/>
      <c r="TWP5" s="11"/>
      <c r="TWQ5" s="11"/>
      <c r="TWR5" s="11"/>
      <c r="TWS5" s="11"/>
      <c r="TWT5" s="11"/>
      <c r="TWU5" s="11"/>
      <c r="TWV5" s="11"/>
      <c r="TWW5" s="11"/>
      <c r="TWX5" s="11"/>
      <c r="TWY5" s="11"/>
      <c r="TWZ5" s="11"/>
      <c r="TXA5" s="11"/>
      <c r="TXB5" s="11"/>
      <c r="TXC5" s="11"/>
      <c r="TXD5" s="11"/>
      <c r="TXE5" s="11"/>
      <c r="TXF5" s="11"/>
      <c r="TXG5" s="11"/>
      <c r="TXH5" s="11"/>
      <c r="TXI5" s="11"/>
      <c r="TXJ5" s="11"/>
      <c r="TXK5" s="11"/>
      <c r="TXL5" s="11"/>
      <c r="TXM5" s="11"/>
      <c r="TXN5" s="11"/>
      <c r="TXO5" s="11"/>
      <c r="TXP5" s="11"/>
      <c r="TXQ5" s="11"/>
      <c r="TXR5" s="11"/>
      <c r="TXS5" s="11"/>
      <c r="TXT5" s="11"/>
      <c r="TXU5" s="11"/>
      <c r="TXV5" s="11"/>
      <c r="TXW5" s="11"/>
      <c r="TXX5" s="11"/>
      <c r="TXY5" s="11"/>
      <c r="TXZ5" s="11"/>
      <c r="TYA5" s="11"/>
      <c r="TYB5" s="11"/>
      <c r="TYC5" s="11"/>
      <c r="TYD5" s="11"/>
      <c r="TYE5" s="11"/>
      <c r="TYF5" s="11"/>
      <c r="TYG5" s="11"/>
      <c r="TYH5" s="11"/>
      <c r="TYI5" s="11"/>
      <c r="TYJ5" s="11"/>
      <c r="TYK5" s="11"/>
      <c r="TYL5" s="11"/>
      <c r="TYM5" s="11"/>
      <c r="TYN5" s="11"/>
      <c r="TYO5" s="11"/>
      <c r="TYP5" s="11"/>
      <c r="TYQ5" s="11"/>
      <c r="TYR5" s="11"/>
      <c r="TYS5" s="11"/>
      <c r="TYT5" s="11"/>
      <c r="TYU5" s="11"/>
      <c r="TYV5" s="11"/>
      <c r="TYW5" s="11"/>
      <c r="TYX5" s="11"/>
      <c r="TYY5" s="11"/>
      <c r="TYZ5" s="11"/>
      <c r="TZA5" s="11"/>
      <c r="TZB5" s="11"/>
      <c r="TZC5" s="11"/>
      <c r="TZD5" s="11"/>
      <c r="TZE5" s="11"/>
      <c r="TZF5" s="11"/>
      <c r="TZG5" s="11"/>
      <c r="TZH5" s="11"/>
      <c r="TZI5" s="11"/>
      <c r="TZJ5" s="11"/>
      <c r="TZK5" s="11"/>
      <c r="TZL5" s="11"/>
      <c r="TZM5" s="11"/>
      <c r="TZN5" s="11"/>
      <c r="TZO5" s="11"/>
      <c r="TZP5" s="11"/>
      <c r="TZQ5" s="11"/>
      <c r="TZR5" s="11"/>
      <c r="TZS5" s="11"/>
      <c r="TZT5" s="11"/>
      <c r="TZU5" s="11"/>
      <c r="TZV5" s="11"/>
      <c r="TZW5" s="11"/>
      <c r="TZX5" s="11"/>
      <c r="TZY5" s="11"/>
      <c r="TZZ5" s="11"/>
      <c r="UAA5" s="11"/>
      <c r="UAB5" s="11"/>
      <c r="UAC5" s="11"/>
      <c r="UAD5" s="11"/>
      <c r="UAE5" s="11"/>
      <c r="UAF5" s="11"/>
      <c r="UAG5" s="11"/>
      <c r="UAH5" s="11"/>
      <c r="UAI5" s="11"/>
      <c r="UAJ5" s="11"/>
      <c r="UAK5" s="11"/>
      <c r="UAL5" s="11"/>
      <c r="UAM5" s="11"/>
      <c r="UAN5" s="11"/>
      <c r="UAO5" s="11"/>
      <c r="UAP5" s="11"/>
      <c r="UAQ5" s="11"/>
      <c r="UAR5" s="11"/>
      <c r="UAS5" s="11"/>
      <c r="UAT5" s="11"/>
      <c r="UAU5" s="11"/>
      <c r="UAV5" s="11"/>
      <c r="UAW5" s="11"/>
      <c r="UAX5" s="11"/>
      <c r="UAY5" s="11"/>
      <c r="UAZ5" s="11"/>
      <c r="UBA5" s="11"/>
      <c r="UBB5" s="11"/>
      <c r="UBC5" s="11"/>
      <c r="UBD5" s="11"/>
      <c r="UBE5" s="11"/>
      <c r="UBF5" s="11"/>
      <c r="UBG5" s="11"/>
      <c r="UBH5" s="11"/>
      <c r="UBI5" s="11"/>
      <c r="UBJ5" s="11"/>
      <c r="UBK5" s="11"/>
      <c r="UBL5" s="11"/>
      <c r="UBM5" s="11"/>
      <c r="UBN5" s="11"/>
      <c r="UBO5" s="11"/>
      <c r="UBP5" s="11"/>
      <c r="UBQ5" s="11"/>
      <c r="UBR5" s="11"/>
      <c r="UBS5" s="11"/>
      <c r="UBT5" s="11"/>
      <c r="UBU5" s="11"/>
      <c r="UBV5" s="11"/>
      <c r="UBW5" s="11"/>
      <c r="UBX5" s="11"/>
      <c r="UBY5" s="11"/>
      <c r="UBZ5" s="11"/>
      <c r="UCA5" s="11"/>
      <c r="UCB5" s="11"/>
      <c r="UCC5" s="11"/>
      <c r="UCD5" s="11"/>
      <c r="UCE5" s="11"/>
      <c r="UCF5" s="11"/>
      <c r="UCG5" s="11"/>
      <c r="UCH5" s="11"/>
      <c r="UCI5" s="11"/>
      <c r="UCJ5" s="11"/>
      <c r="UCK5" s="11"/>
      <c r="UCL5" s="11"/>
      <c r="UCM5" s="11"/>
      <c r="UCN5" s="11"/>
      <c r="UCO5" s="11"/>
      <c r="UCP5" s="11"/>
      <c r="UCQ5" s="11"/>
      <c r="UCR5" s="11"/>
      <c r="UCS5" s="11"/>
      <c r="UCT5" s="11"/>
      <c r="UCU5" s="11"/>
      <c r="UCV5" s="11"/>
      <c r="UCW5" s="11"/>
      <c r="UCX5" s="11"/>
      <c r="UCY5" s="11"/>
      <c r="UCZ5" s="11"/>
      <c r="UDA5" s="11"/>
      <c r="UDB5" s="11"/>
      <c r="UDC5" s="11"/>
      <c r="UDD5" s="11"/>
      <c r="UDE5" s="11"/>
      <c r="UDF5" s="11"/>
      <c r="UDG5" s="11"/>
      <c r="UDH5" s="11"/>
      <c r="UDI5" s="11"/>
      <c r="UDJ5" s="11"/>
      <c r="UDK5" s="11"/>
      <c r="UDL5" s="11"/>
      <c r="UDM5" s="11"/>
      <c r="UDN5" s="11"/>
      <c r="UDO5" s="11"/>
      <c r="UDP5" s="11"/>
      <c r="UDQ5" s="11"/>
      <c r="UDR5" s="11"/>
      <c r="UDS5" s="11"/>
      <c r="UDT5" s="11"/>
      <c r="UDU5" s="11"/>
      <c r="UDV5" s="11"/>
      <c r="UDW5" s="11"/>
      <c r="UDX5" s="11"/>
      <c r="UDY5" s="11"/>
      <c r="UDZ5" s="11"/>
      <c r="UEA5" s="11"/>
      <c r="UEB5" s="11"/>
      <c r="UEC5" s="11"/>
      <c r="UED5" s="11"/>
      <c r="UEE5" s="11"/>
      <c r="UEF5" s="11"/>
      <c r="UEG5" s="11"/>
      <c r="UEH5" s="11"/>
      <c r="UEI5" s="11"/>
      <c r="UEJ5" s="11"/>
      <c r="UEK5" s="11"/>
      <c r="UEL5" s="11"/>
      <c r="UEM5" s="11"/>
      <c r="UEN5" s="11"/>
      <c r="UEO5" s="11"/>
      <c r="UEP5" s="11"/>
      <c r="UEQ5" s="11"/>
      <c r="UER5" s="11"/>
      <c r="UES5" s="11"/>
      <c r="UET5" s="11"/>
      <c r="UEU5" s="11"/>
      <c r="UEV5" s="11"/>
      <c r="UEW5" s="11"/>
      <c r="UEX5" s="11"/>
      <c r="UEY5" s="11"/>
      <c r="UEZ5" s="11"/>
      <c r="UFA5" s="11"/>
      <c r="UFB5" s="11"/>
      <c r="UFC5" s="11"/>
      <c r="UFD5" s="11"/>
      <c r="UFE5" s="11"/>
      <c r="UFF5" s="11"/>
      <c r="UFG5" s="11"/>
      <c r="UFH5" s="11"/>
      <c r="UFI5" s="11"/>
      <c r="UFJ5" s="11"/>
      <c r="UFK5" s="11"/>
      <c r="UFL5" s="11"/>
      <c r="UFM5" s="11"/>
      <c r="UFN5" s="11"/>
      <c r="UFO5" s="11"/>
      <c r="UFP5" s="11"/>
      <c r="UFQ5" s="11"/>
      <c r="UFR5" s="11"/>
      <c r="UFS5" s="11"/>
      <c r="UFT5" s="11"/>
      <c r="UFU5" s="11"/>
      <c r="UFV5" s="11"/>
      <c r="UFW5" s="11"/>
      <c r="UFX5" s="11"/>
      <c r="UFY5" s="11"/>
      <c r="UFZ5" s="11"/>
      <c r="UGA5" s="11"/>
      <c r="UGB5" s="11"/>
      <c r="UGC5" s="11"/>
      <c r="UGD5" s="11"/>
      <c r="UGE5" s="11"/>
      <c r="UGF5" s="11"/>
      <c r="UGG5" s="11"/>
      <c r="UGH5" s="11"/>
      <c r="UGI5" s="11"/>
      <c r="UGJ5" s="11"/>
      <c r="UGK5" s="11"/>
      <c r="UGL5" s="11"/>
      <c r="UGM5" s="11"/>
      <c r="UGN5" s="11"/>
      <c r="UGO5" s="11"/>
      <c r="UGP5" s="11"/>
      <c r="UGQ5" s="11"/>
      <c r="UGR5" s="11"/>
      <c r="UGS5" s="11"/>
      <c r="UGT5" s="11"/>
      <c r="UGU5" s="11"/>
      <c r="UGV5" s="11"/>
      <c r="UGW5" s="11"/>
      <c r="UGX5" s="11"/>
      <c r="UGY5" s="11"/>
      <c r="UGZ5" s="11"/>
      <c r="UHA5" s="11"/>
      <c r="UHB5" s="11"/>
      <c r="UHC5" s="11"/>
      <c r="UHD5" s="11"/>
      <c r="UHE5" s="11"/>
      <c r="UHF5" s="11"/>
      <c r="UHG5" s="11"/>
      <c r="UHH5" s="11"/>
      <c r="UHI5" s="11"/>
      <c r="UHJ5" s="11"/>
      <c r="UHK5" s="11"/>
      <c r="UHL5" s="11"/>
      <c r="UHM5" s="11"/>
      <c r="UHN5" s="11"/>
      <c r="UHO5" s="11"/>
      <c r="UHP5" s="11"/>
      <c r="UHQ5" s="11"/>
      <c r="UHR5" s="11"/>
      <c r="UHS5" s="11"/>
      <c r="UHT5" s="11"/>
      <c r="UHU5" s="11"/>
      <c r="UHV5" s="11"/>
      <c r="UHW5" s="11"/>
      <c r="UHX5" s="11"/>
      <c r="UHY5" s="11"/>
      <c r="UHZ5" s="11"/>
      <c r="UIA5" s="11"/>
      <c r="UIB5" s="11"/>
      <c r="UIC5" s="11"/>
      <c r="UID5" s="11"/>
      <c r="UIE5" s="11"/>
      <c r="UIF5" s="11"/>
      <c r="UIG5" s="11"/>
      <c r="UIH5" s="11"/>
      <c r="UII5" s="11"/>
      <c r="UIJ5" s="11"/>
      <c r="UIK5" s="11"/>
      <c r="UIL5" s="11"/>
      <c r="UIM5" s="11"/>
      <c r="UIN5" s="11"/>
      <c r="UIO5" s="11"/>
      <c r="UIP5" s="11"/>
      <c r="UIQ5" s="11"/>
      <c r="UIR5" s="11"/>
      <c r="UIS5" s="11"/>
      <c r="UIT5" s="11"/>
      <c r="UIU5" s="11"/>
      <c r="UIV5" s="11"/>
      <c r="UIW5" s="11"/>
      <c r="UIX5" s="11"/>
      <c r="UIY5" s="11"/>
      <c r="UIZ5" s="11"/>
      <c r="UJA5" s="11"/>
      <c r="UJB5" s="11"/>
      <c r="UJC5" s="11"/>
      <c r="UJD5" s="11"/>
      <c r="UJE5" s="11"/>
      <c r="UJF5" s="11"/>
      <c r="UJG5" s="11"/>
      <c r="UJH5" s="11"/>
      <c r="UJI5" s="11"/>
      <c r="UJJ5" s="11"/>
      <c r="UJK5" s="11"/>
      <c r="UJL5" s="11"/>
      <c r="UJM5" s="11"/>
      <c r="UJN5" s="11"/>
      <c r="UJO5" s="11"/>
      <c r="UJP5" s="11"/>
      <c r="UJQ5" s="11"/>
      <c r="UJR5" s="11"/>
      <c r="UJS5" s="11"/>
      <c r="UJT5" s="11"/>
      <c r="UJU5" s="11"/>
      <c r="UJV5" s="11"/>
      <c r="UJW5" s="11"/>
      <c r="UJX5" s="11"/>
      <c r="UJY5" s="11"/>
      <c r="UJZ5" s="11"/>
      <c r="UKA5" s="11"/>
      <c r="UKB5" s="11"/>
      <c r="UKC5" s="11"/>
      <c r="UKD5" s="11"/>
      <c r="UKE5" s="11"/>
      <c r="UKF5" s="11"/>
      <c r="UKG5" s="11"/>
      <c r="UKH5" s="11"/>
      <c r="UKI5" s="11"/>
      <c r="UKJ5" s="11"/>
      <c r="UKK5" s="11"/>
      <c r="UKL5" s="11"/>
      <c r="UKM5" s="11"/>
      <c r="UKN5" s="11"/>
      <c r="UKO5" s="11"/>
      <c r="UKP5" s="11"/>
      <c r="UKQ5" s="11"/>
      <c r="UKR5" s="11"/>
      <c r="UKS5" s="11"/>
      <c r="UKT5" s="11"/>
      <c r="UKU5" s="11"/>
      <c r="UKV5" s="11"/>
      <c r="UKW5" s="11"/>
      <c r="UKX5" s="11"/>
      <c r="UKY5" s="11"/>
      <c r="UKZ5" s="11"/>
      <c r="ULA5" s="11"/>
      <c r="ULB5" s="11"/>
      <c r="ULC5" s="11"/>
      <c r="ULD5" s="11"/>
      <c r="ULE5" s="11"/>
      <c r="ULF5" s="11"/>
      <c r="ULG5" s="11"/>
      <c r="ULH5" s="11"/>
      <c r="ULI5" s="11"/>
      <c r="ULJ5" s="11"/>
      <c r="ULK5" s="11"/>
      <c r="ULL5" s="11"/>
      <c r="ULM5" s="11"/>
      <c r="ULN5" s="11"/>
      <c r="ULO5" s="11"/>
      <c r="ULP5" s="11"/>
      <c r="ULQ5" s="11"/>
      <c r="ULR5" s="11"/>
      <c r="ULS5" s="11"/>
      <c r="ULT5" s="11"/>
      <c r="ULU5" s="11"/>
      <c r="ULV5" s="11"/>
      <c r="ULW5" s="11"/>
      <c r="ULX5" s="11"/>
      <c r="ULY5" s="11"/>
      <c r="ULZ5" s="11"/>
      <c r="UMA5" s="11"/>
      <c r="UMB5" s="11"/>
      <c r="UMC5" s="11"/>
      <c r="UMD5" s="11"/>
      <c r="UME5" s="11"/>
      <c r="UMF5" s="11"/>
      <c r="UMG5" s="11"/>
      <c r="UMH5" s="11"/>
      <c r="UMI5" s="11"/>
      <c r="UMJ5" s="11"/>
      <c r="UMK5" s="11"/>
      <c r="UML5" s="11"/>
      <c r="UMM5" s="11"/>
      <c r="UMN5" s="11"/>
      <c r="UMO5" s="11"/>
      <c r="UMP5" s="11"/>
      <c r="UMQ5" s="11"/>
      <c r="UMR5" s="11"/>
      <c r="UMS5" s="11"/>
      <c r="UMT5" s="11"/>
      <c r="UMU5" s="11"/>
      <c r="UMV5" s="11"/>
      <c r="UMW5" s="11"/>
      <c r="UMX5" s="11"/>
      <c r="UMY5" s="11"/>
      <c r="UMZ5" s="11"/>
      <c r="UNA5" s="11"/>
      <c r="UNB5" s="11"/>
      <c r="UNC5" s="11"/>
      <c r="UND5" s="11"/>
      <c r="UNE5" s="11"/>
      <c r="UNF5" s="11"/>
      <c r="UNG5" s="11"/>
      <c r="UNH5" s="11"/>
      <c r="UNI5" s="11"/>
      <c r="UNJ5" s="11"/>
      <c r="UNK5" s="11"/>
      <c r="UNL5" s="11"/>
      <c r="UNM5" s="11"/>
      <c r="UNN5" s="11"/>
      <c r="UNO5" s="11"/>
      <c r="UNP5" s="11"/>
      <c r="UNQ5" s="11"/>
      <c r="UNR5" s="11"/>
      <c r="UNS5" s="11"/>
      <c r="UNT5" s="11"/>
      <c r="UNU5" s="11"/>
      <c r="UNV5" s="11"/>
      <c r="UNW5" s="11"/>
      <c r="UNX5" s="11"/>
      <c r="UNY5" s="11"/>
      <c r="UNZ5" s="11"/>
      <c r="UOA5" s="11"/>
      <c r="UOB5" s="11"/>
      <c r="UOC5" s="11"/>
      <c r="UOD5" s="11"/>
      <c r="UOE5" s="11"/>
      <c r="UOF5" s="11"/>
      <c r="UOG5" s="11"/>
      <c r="UOH5" s="11"/>
      <c r="UOI5" s="11"/>
      <c r="UOJ5" s="11"/>
      <c r="UOK5" s="11"/>
      <c r="UOL5" s="11"/>
      <c r="UOM5" s="11"/>
      <c r="UON5" s="11"/>
      <c r="UOO5" s="11"/>
      <c r="UOP5" s="11"/>
      <c r="UOQ5" s="11"/>
      <c r="UOR5" s="11"/>
      <c r="UOS5" s="11"/>
      <c r="UOT5" s="11"/>
      <c r="UOU5" s="11"/>
      <c r="UOV5" s="11"/>
      <c r="UOW5" s="11"/>
      <c r="UOX5" s="11"/>
      <c r="UOY5" s="11"/>
      <c r="UOZ5" s="11"/>
      <c r="UPA5" s="11"/>
      <c r="UPB5" s="11"/>
      <c r="UPC5" s="11"/>
      <c r="UPD5" s="11"/>
      <c r="UPE5" s="11"/>
      <c r="UPF5" s="11"/>
      <c r="UPG5" s="11"/>
      <c r="UPH5" s="11"/>
      <c r="UPI5" s="11"/>
      <c r="UPJ5" s="11"/>
      <c r="UPK5" s="11"/>
      <c r="UPL5" s="11"/>
      <c r="UPM5" s="11"/>
      <c r="UPN5" s="11"/>
      <c r="UPO5" s="11"/>
      <c r="UPP5" s="11"/>
      <c r="UPQ5" s="11"/>
      <c r="UPR5" s="11"/>
      <c r="UPS5" s="11"/>
      <c r="UPT5" s="11"/>
      <c r="UPU5" s="11"/>
      <c r="UPV5" s="11"/>
      <c r="UPW5" s="11"/>
      <c r="UPX5" s="11"/>
      <c r="UPY5" s="11"/>
      <c r="UPZ5" s="11"/>
      <c r="UQA5" s="11"/>
      <c r="UQB5" s="11"/>
      <c r="UQC5" s="11"/>
      <c r="UQD5" s="11"/>
      <c r="UQE5" s="11"/>
      <c r="UQF5" s="11"/>
      <c r="UQG5" s="11"/>
      <c r="UQH5" s="11"/>
      <c r="UQI5" s="11"/>
      <c r="UQJ5" s="11"/>
      <c r="UQK5" s="11"/>
      <c r="UQL5" s="11"/>
      <c r="UQM5" s="11"/>
      <c r="UQN5" s="11"/>
      <c r="UQO5" s="11"/>
      <c r="UQP5" s="11"/>
      <c r="UQQ5" s="11"/>
      <c r="UQR5" s="11"/>
      <c r="UQS5" s="11"/>
      <c r="UQT5" s="11"/>
      <c r="UQU5" s="11"/>
      <c r="UQV5" s="11"/>
      <c r="UQW5" s="11"/>
      <c r="UQX5" s="11"/>
      <c r="UQY5" s="11"/>
      <c r="UQZ5" s="11"/>
      <c r="URA5" s="11"/>
      <c r="URB5" s="11"/>
      <c r="URC5" s="11"/>
      <c r="URD5" s="11"/>
      <c r="URE5" s="11"/>
      <c r="URF5" s="11"/>
      <c r="URG5" s="11"/>
      <c r="URH5" s="11"/>
      <c r="URI5" s="11"/>
      <c r="URJ5" s="11"/>
      <c r="URK5" s="11"/>
      <c r="URL5" s="11"/>
      <c r="URM5" s="11"/>
      <c r="URN5" s="11"/>
      <c r="URO5" s="11"/>
      <c r="URP5" s="11"/>
      <c r="URQ5" s="11"/>
      <c r="URR5" s="11"/>
      <c r="URS5" s="11"/>
      <c r="URT5" s="11"/>
      <c r="URU5" s="11"/>
      <c r="URV5" s="11"/>
      <c r="URW5" s="11"/>
      <c r="URX5" s="11"/>
      <c r="URY5" s="11"/>
      <c r="URZ5" s="11"/>
      <c r="USA5" s="11"/>
      <c r="USB5" s="11"/>
      <c r="USC5" s="11"/>
      <c r="USD5" s="11"/>
      <c r="USE5" s="11"/>
      <c r="USF5" s="11"/>
      <c r="USG5" s="11"/>
      <c r="USH5" s="11"/>
      <c r="USI5" s="11"/>
      <c r="USJ5" s="11"/>
      <c r="USK5" s="11"/>
      <c r="USL5" s="11"/>
      <c r="USM5" s="11"/>
      <c r="USN5" s="11"/>
      <c r="USO5" s="11"/>
      <c r="USP5" s="11"/>
      <c r="USQ5" s="11"/>
      <c r="USR5" s="11"/>
      <c r="USS5" s="11"/>
      <c r="UST5" s="11"/>
      <c r="USU5" s="11"/>
      <c r="USV5" s="11"/>
      <c r="USW5" s="11"/>
      <c r="USX5" s="11"/>
      <c r="USY5" s="11"/>
      <c r="USZ5" s="11"/>
      <c r="UTA5" s="11"/>
      <c r="UTB5" s="11"/>
      <c r="UTC5" s="11"/>
      <c r="UTD5" s="11"/>
      <c r="UTE5" s="11"/>
      <c r="UTF5" s="11"/>
      <c r="UTG5" s="11"/>
      <c r="UTH5" s="11"/>
      <c r="UTI5" s="11"/>
      <c r="UTJ5" s="11"/>
      <c r="UTK5" s="11"/>
      <c r="UTL5" s="11"/>
      <c r="UTM5" s="11"/>
      <c r="UTN5" s="11"/>
      <c r="UTO5" s="11"/>
      <c r="UTP5" s="11"/>
      <c r="UTQ5" s="11"/>
      <c r="UTR5" s="11"/>
      <c r="UTS5" s="11"/>
      <c r="UTT5" s="11"/>
      <c r="UTU5" s="11"/>
      <c r="UTV5" s="11"/>
      <c r="UTW5" s="11"/>
      <c r="UTX5" s="11"/>
      <c r="UTY5" s="11"/>
      <c r="UTZ5" s="11"/>
      <c r="UUA5" s="11"/>
      <c r="UUB5" s="11"/>
      <c r="UUC5" s="11"/>
      <c r="UUD5" s="11"/>
      <c r="UUE5" s="11"/>
      <c r="UUF5" s="11"/>
      <c r="UUG5" s="11"/>
      <c r="UUH5" s="11"/>
      <c r="UUI5" s="11"/>
      <c r="UUJ5" s="11"/>
      <c r="UUK5" s="11"/>
      <c r="UUL5" s="11"/>
      <c r="UUM5" s="11"/>
      <c r="UUN5" s="11"/>
      <c r="UUO5" s="11"/>
      <c r="UUP5" s="11"/>
      <c r="UUQ5" s="11"/>
      <c r="UUR5" s="11"/>
      <c r="UUS5" s="11"/>
      <c r="UUT5" s="11"/>
      <c r="UUU5" s="11"/>
      <c r="UUV5" s="11"/>
      <c r="UUW5" s="11"/>
      <c r="UUX5" s="11"/>
      <c r="UUY5" s="11"/>
      <c r="UUZ5" s="11"/>
      <c r="UVA5" s="11"/>
      <c r="UVB5" s="11"/>
      <c r="UVC5" s="11"/>
      <c r="UVD5" s="11"/>
      <c r="UVE5" s="11"/>
      <c r="UVF5" s="11"/>
      <c r="UVG5" s="11"/>
      <c r="UVH5" s="11"/>
      <c r="UVI5" s="11"/>
      <c r="UVJ5" s="11"/>
      <c r="UVK5" s="11"/>
      <c r="UVL5" s="11"/>
      <c r="UVM5" s="11"/>
      <c r="UVN5" s="11"/>
      <c r="UVO5" s="11"/>
      <c r="UVP5" s="11"/>
      <c r="UVQ5" s="11"/>
      <c r="UVR5" s="11"/>
      <c r="UVS5" s="11"/>
      <c r="UVT5" s="11"/>
      <c r="UVU5" s="11"/>
      <c r="UVV5" s="11"/>
      <c r="UVW5" s="11"/>
      <c r="UVX5" s="11"/>
      <c r="UVY5" s="11"/>
      <c r="UVZ5" s="11"/>
      <c r="UWA5" s="11"/>
      <c r="UWB5" s="11"/>
      <c r="UWC5" s="11"/>
      <c r="UWD5" s="11"/>
      <c r="UWE5" s="11"/>
      <c r="UWF5" s="11"/>
      <c r="UWG5" s="11"/>
      <c r="UWH5" s="11"/>
      <c r="UWI5" s="11"/>
      <c r="UWJ5" s="11"/>
      <c r="UWK5" s="11"/>
      <c r="UWL5" s="11"/>
      <c r="UWM5" s="11"/>
      <c r="UWN5" s="11"/>
      <c r="UWO5" s="11"/>
      <c r="UWP5" s="11"/>
      <c r="UWQ5" s="11"/>
      <c r="UWR5" s="11"/>
      <c r="UWS5" s="11"/>
      <c r="UWT5" s="11"/>
      <c r="UWU5" s="11"/>
      <c r="UWV5" s="11"/>
      <c r="UWW5" s="11"/>
      <c r="UWX5" s="11"/>
      <c r="UWY5" s="11"/>
      <c r="UWZ5" s="11"/>
      <c r="UXA5" s="11"/>
      <c r="UXB5" s="11"/>
      <c r="UXC5" s="11"/>
      <c r="UXD5" s="11"/>
      <c r="UXE5" s="11"/>
      <c r="UXF5" s="11"/>
      <c r="UXG5" s="11"/>
      <c r="UXH5" s="11"/>
      <c r="UXI5" s="11"/>
      <c r="UXJ5" s="11"/>
      <c r="UXK5" s="11"/>
      <c r="UXL5" s="11"/>
      <c r="UXM5" s="11"/>
      <c r="UXN5" s="11"/>
      <c r="UXO5" s="11"/>
      <c r="UXP5" s="11"/>
      <c r="UXQ5" s="11"/>
      <c r="UXR5" s="11"/>
      <c r="UXS5" s="11"/>
      <c r="UXT5" s="11"/>
      <c r="UXU5" s="11"/>
      <c r="UXV5" s="11"/>
      <c r="UXW5" s="11"/>
      <c r="UXX5" s="11"/>
      <c r="UXY5" s="11"/>
      <c r="UXZ5" s="11"/>
      <c r="UYA5" s="11"/>
      <c r="UYB5" s="11"/>
      <c r="UYC5" s="11"/>
      <c r="UYD5" s="11"/>
      <c r="UYE5" s="11"/>
      <c r="UYF5" s="11"/>
      <c r="UYG5" s="11"/>
      <c r="UYH5" s="11"/>
      <c r="UYI5" s="11"/>
      <c r="UYJ5" s="11"/>
      <c r="UYK5" s="11"/>
      <c r="UYL5" s="11"/>
      <c r="UYM5" s="11"/>
      <c r="UYN5" s="11"/>
      <c r="UYO5" s="11"/>
      <c r="UYP5" s="11"/>
      <c r="UYQ5" s="11"/>
      <c r="UYR5" s="11"/>
      <c r="UYS5" s="11"/>
      <c r="UYT5" s="11"/>
      <c r="UYU5" s="11"/>
      <c r="UYV5" s="11"/>
      <c r="UYW5" s="11"/>
      <c r="UYX5" s="11"/>
      <c r="UYY5" s="11"/>
      <c r="UYZ5" s="11"/>
      <c r="UZA5" s="11"/>
      <c r="UZB5" s="11"/>
      <c r="UZC5" s="11"/>
      <c r="UZD5" s="11"/>
      <c r="UZE5" s="11"/>
      <c r="UZF5" s="11"/>
      <c r="UZG5" s="11"/>
      <c r="UZH5" s="11"/>
      <c r="UZI5" s="11"/>
      <c r="UZJ5" s="11"/>
      <c r="UZK5" s="11"/>
      <c r="UZL5" s="11"/>
      <c r="UZM5" s="11"/>
      <c r="UZN5" s="11"/>
      <c r="UZO5" s="11"/>
      <c r="UZP5" s="11"/>
      <c r="UZQ5" s="11"/>
      <c r="UZR5" s="11"/>
      <c r="UZS5" s="11"/>
      <c r="UZT5" s="11"/>
      <c r="UZU5" s="11"/>
      <c r="UZV5" s="11"/>
      <c r="UZW5" s="11"/>
      <c r="UZX5" s="11"/>
      <c r="UZY5" s="11"/>
      <c r="UZZ5" s="11"/>
      <c r="VAA5" s="11"/>
      <c r="VAB5" s="11"/>
      <c r="VAC5" s="11"/>
      <c r="VAD5" s="11"/>
      <c r="VAE5" s="11"/>
      <c r="VAF5" s="11"/>
      <c r="VAG5" s="11"/>
      <c r="VAH5" s="11"/>
      <c r="VAI5" s="11"/>
      <c r="VAJ5" s="11"/>
      <c r="VAK5" s="11"/>
      <c r="VAL5" s="11"/>
      <c r="VAM5" s="11"/>
      <c r="VAN5" s="11"/>
      <c r="VAO5" s="11"/>
      <c r="VAP5" s="11"/>
      <c r="VAQ5" s="11"/>
      <c r="VAR5" s="11"/>
      <c r="VAS5" s="11"/>
      <c r="VAT5" s="11"/>
      <c r="VAU5" s="11"/>
      <c r="VAV5" s="11"/>
      <c r="VAW5" s="11"/>
      <c r="VAX5" s="11"/>
      <c r="VAY5" s="11"/>
      <c r="VAZ5" s="11"/>
      <c r="VBA5" s="11"/>
      <c r="VBB5" s="11"/>
      <c r="VBC5" s="11"/>
      <c r="VBD5" s="11"/>
      <c r="VBE5" s="11"/>
      <c r="VBF5" s="11"/>
      <c r="VBG5" s="11"/>
      <c r="VBH5" s="11"/>
      <c r="VBI5" s="11"/>
      <c r="VBJ5" s="11"/>
      <c r="VBK5" s="11"/>
      <c r="VBL5" s="11"/>
      <c r="VBM5" s="11"/>
      <c r="VBN5" s="11"/>
      <c r="VBO5" s="11"/>
      <c r="VBP5" s="11"/>
      <c r="VBQ5" s="11"/>
      <c r="VBR5" s="11"/>
      <c r="VBS5" s="11"/>
      <c r="VBT5" s="11"/>
      <c r="VBU5" s="11"/>
      <c r="VBV5" s="11"/>
      <c r="VBW5" s="11"/>
      <c r="VBX5" s="11"/>
      <c r="VBY5" s="11"/>
      <c r="VBZ5" s="11"/>
      <c r="VCA5" s="11"/>
      <c r="VCB5" s="11"/>
      <c r="VCC5" s="11"/>
      <c r="VCD5" s="11"/>
      <c r="VCE5" s="11"/>
      <c r="VCF5" s="11"/>
      <c r="VCG5" s="11"/>
      <c r="VCH5" s="11"/>
      <c r="VCI5" s="11"/>
      <c r="VCJ5" s="11"/>
      <c r="VCK5" s="11"/>
      <c r="VCL5" s="11"/>
      <c r="VCM5" s="11"/>
      <c r="VCN5" s="11"/>
      <c r="VCO5" s="11"/>
      <c r="VCP5" s="11"/>
      <c r="VCQ5" s="11"/>
      <c r="VCR5" s="11"/>
      <c r="VCS5" s="11"/>
      <c r="VCT5" s="11"/>
      <c r="VCU5" s="11"/>
      <c r="VCV5" s="11"/>
      <c r="VCW5" s="11"/>
      <c r="VCX5" s="11"/>
      <c r="VCY5" s="11"/>
      <c r="VCZ5" s="11"/>
      <c r="VDA5" s="11"/>
      <c r="VDB5" s="11"/>
      <c r="VDC5" s="11"/>
      <c r="VDD5" s="11"/>
      <c r="VDE5" s="11"/>
      <c r="VDF5" s="11"/>
      <c r="VDG5" s="11"/>
      <c r="VDH5" s="11"/>
      <c r="VDI5" s="11"/>
      <c r="VDJ5" s="11"/>
      <c r="VDK5" s="11"/>
      <c r="VDL5" s="11"/>
      <c r="VDM5" s="11"/>
      <c r="VDN5" s="11"/>
      <c r="VDO5" s="11"/>
      <c r="VDP5" s="11"/>
      <c r="VDQ5" s="11"/>
      <c r="VDR5" s="11"/>
      <c r="VDS5" s="11"/>
      <c r="VDT5" s="11"/>
      <c r="VDU5" s="11"/>
      <c r="VDV5" s="11"/>
      <c r="VDW5" s="11"/>
      <c r="VDX5" s="11"/>
      <c r="VDY5" s="11"/>
      <c r="VDZ5" s="11"/>
      <c r="VEA5" s="11"/>
      <c r="VEB5" s="11"/>
      <c r="VEC5" s="11"/>
      <c r="VED5" s="11"/>
      <c r="VEE5" s="11"/>
      <c r="VEF5" s="11"/>
      <c r="VEG5" s="11"/>
      <c r="VEH5" s="11"/>
      <c r="VEI5" s="11"/>
      <c r="VEJ5" s="11"/>
      <c r="VEK5" s="11"/>
      <c r="VEL5" s="11"/>
      <c r="VEM5" s="11"/>
      <c r="VEN5" s="11"/>
      <c r="VEO5" s="11"/>
      <c r="VEP5" s="11"/>
      <c r="VEQ5" s="11"/>
      <c r="VER5" s="11"/>
      <c r="VES5" s="11"/>
      <c r="VET5" s="11"/>
      <c r="VEU5" s="11"/>
      <c r="VEV5" s="11"/>
      <c r="VEW5" s="11"/>
      <c r="VEX5" s="11"/>
      <c r="VEY5" s="11"/>
      <c r="VEZ5" s="11"/>
      <c r="VFA5" s="11"/>
      <c r="VFB5" s="11"/>
      <c r="VFC5" s="11"/>
      <c r="VFD5" s="11"/>
      <c r="VFE5" s="11"/>
      <c r="VFF5" s="11"/>
      <c r="VFG5" s="11"/>
      <c r="VFH5" s="11"/>
      <c r="VFI5" s="11"/>
      <c r="VFJ5" s="11"/>
      <c r="VFK5" s="11"/>
      <c r="VFL5" s="11"/>
      <c r="VFM5" s="11"/>
      <c r="VFN5" s="11"/>
      <c r="VFO5" s="11"/>
      <c r="VFP5" s="11"/>
      <c r="VFQ5" s="11"/>
      <c r="VFR5" s="11"/>
      <c r="VFS5" s="11"/>
      <c r="VFT5" s="11"/>
      <c r="VFU5" s="11"/>
      <c r="VFV5" s="11"/>
      <c r="VFW5" s="11"/>
      <c r="VFX5" s="11"/>
      <c r="VFY5" s="11"/>
      <c r="VFZ5" s="11"/>
      <c r="VGA5" s="11"/>
      <c r="VGB5" s="11"/>
      <c r="VGC5" s="11"/>
      <c r="VGD5" s="11"/>
      <c r="VGE5" s="11"/>
      <c r="VGF5" s="11"/>
      <c r="VGG5" s="11"/>
      <c r="VGH5" s="11"/>
      <c r="VGI5" s="11"/>
      <c r="VGJ5" s="11"/>
      <c r="VGK5" s="11"/>
      <c r="VGL5" s="11"/>
      <c r="VGM5" s="11"/>
      <c r="VGN5" s="11"/>
      <c r="VGO5" s="11"/>
      <c r="VGP5" s="11"/>
      <c r="VGQ5" s="11"/>
      <c r="VGR5" s="11"/>
      <c r="VGS5" s="11"/>
      <c r="VGT5" s="11"/>
      <c r="VGU5" s="11"/>
      <c r="VGV5" s="11"/>
      <c r="VGW5" s="11"/>
      <c r="VGX5" s="11"/>
      <c r="VGY5" s="11"/>
      <c r="VGZ5" s="11"/>
      <c r="VHA5" s="11"/>
      <c r="VHB5" s="11"/>
      <c r="VHC5" s="11"/>
      <c r="VHD5" s="11"/>
      <c r="VHE5" s="11"/>
      <c r="VHF5" s="11"/>
      <c r="VHG5" s="11"/>
      <c r="VHH5" s="11"/>
      <c r="VHI5" s="11"/>
      <c r="VHJ5" s="11"/>
      <c r="VHK5" s="11"/>
      <c r="VHL5" s="11"/>
      <c r="VHM5" s="11"/>
      <c r="VHN5" s="11"/>
      <c r="VHO5" s="11"/>
      <c r="VHP5" s="11"/>
      <c r="VHQ5" s="11"/>
      <c r="VHR5" s="11"/>
      <c r="VHS5" s="11"/>
      <c r="VHT5" s="11"/>
      <c r="VHU5" s="11"/>
      <c r="VHV5" s="11"/>
      <c r="VHW5" s="11"/>
      <c r="VHX5" s="11"/>
      <c r="VHY5" s="11"/>
      <c r="VHZ5" s="11"/>
      <c r="VIA5" s="11"/>
      <c r="VIB5" s="11"/>
      <c r="VIC5" s="11"/>
      <c r="VID5" s="11"/>
      <c r="VIE5" s="11"/>
      <c r="VIF5" s="11"/>
      <c r="VIG5" s="11"/>
      <c r="VIH5" s="11"/>
      <c r="VII5" s="11"/>
      <c r="VIJ5" s="11"/>
      <c r="VIK5" s="11"/>
      <c r="VIL5" s="11"/>
      <c r="VIM5" s="11"/>
      <c r="VIN5" s="11"/>
      <c r="VIO5" s="11"/>
      <c r="VIP5" s="11"/>
      <c r="VIQ5" s="11"/>
      <c r="VIR5" s="11"/>
      <c r="VIS5" s="11"/>
      <c r="VIT5" s="11"/>
      <c r="VIU5" s="11"/>
      <c r="VIV5" s="11"/>
      <c r="VIW5" s="11"/>
      <c r="VIX5" s="11"/>
      <c r="VIY5" s="11"/>
      <c r="VIZ5" s="11"/>
      <c r="VJA5" s="11"/>
      <c r="VJB5" s="11"/>
      <c r="VJC5" s="11"/>
      <c r="VJD5" s="11"/>
      <c r="VJE5" s="11"/>
      <c r="VJF5" s="11"/>
      <c r="VJG5" s="11"/>
      <c r="VJH5" s="11"/>
      <c r="VJI5" s="11"/>
      <c r="VJJ5" s="11"/>
      <c r="VJK5" s="11"/>
      <c r="VJL5" s="11"/>
      <c r="VJM5" s="11"/>
      <c r="VJN5" s="11"/>
      <c r="VJO5" s="11"/>
      <c r="VJP5" s="11"/>
      <c r="VJQ5" s="11"/>
      <c r="VJR5" s="11"/>
      <c r="VJS5" s="11"/>
      <c r="VJT5" s="11"/>
      <c r="VJU5" s="11"/>
      <c r="VJV5" s="11"/>
      <c r="VJW5" s="11"/>
      <c r="VJX5" s="11"/>
      <c r="VJY5" s="11"/>
      <c r="VJZ5" s="11"/>
      <c r="VKA5" s="11"/>
      <c r="VKB5" s="11"/>
      <c r="VKC5" s="11"/>
      <c r="VKD5" s="11"/>
      <c r="VKE5" s="11"/>
      <c r="VKF5" s="11"/>
      <c r="VKG5" s="11"/>
      <c r="VKH5" s="11"/>
      <c r="VKI5" s="11"/>
      <c r="VKJ5" s="11"/>
      <c r="VKK5" s="11"/>
      <c r="VKL5" s="11"/>
      <c r="VKM5" s="11"/>
      <c r="VKN5" s="11"/>
      <c r="VKO5" s="11"/>
      <c r="VKP5" s="11"/>
      <c r="VKQ5" s="11"/>
      <c r="VKR5" s="11"/>
      <c r="VKS5" s="11"/>
      <c r="VKT5" s="11"/>
      <c r="VKU5" s="11"/>
      <c r="VKV5" s="11"/>
      <c r="VKW5" s="11"/>
      <c r="VKX5" s="11"/>
      <c r="VKY5" s="11"/>
      <c r="VKZ5" s="11"/>
      <c r="VLA5" s="11"/>
      <c r="VLB5" s="11"/>
      <c r="VLC5" s="11"/>
      <c r="VLD5" s="11"/>
      <c r="VLE5" s="11"/>
      <c r="VLF5" s="11"/>
      <c r="VLG5" s="11"/>
      <c r="VLH5" s="11"/>
      <c r="VLI5" s="11"/>
      <c r="VLJ5" s="11"/>
      <c r="VLK5" s="11"/>
      <c r="VLL5" s="11"/>
      <c r="VLM5" s="11"/>
      <c r="VLN5" s="11"/>
      <c r="VLO5" s="11"/>
      <c r="VLP5" s="11"/>
      <c r="VLQ5" s="11"/>
      <c r="VLR5" s="11"/>
      <c r="VLS5" s="11"/>
      <c r="VLT5" s="11"/>
      <c r="VLU5" s="11"/>
      <c r="VLV5" s="11"/>
      <c r="VLW5" s="11"/>
      <c r="VLX5" s="11"/>
      <c r="VLY5" s="11"/>
      <c r="VLZ5" s="11"/>
      <c r="VMA5" s="11"/>
      <c r="VMB5" s="11"/>
      <c r="VMC5" s="11"/>
      <c r="VMD5" s="11"/>
      <c r="VME5" s="11"/>
      <c r="VMF5" s="11"/>
      <c r="VMG5" s="11"/>
      <c r="VMH5" s="11"/>
      <c r="VMI5" s="11"/>
      <c r="VMJ5" s="11"/>
      <c r="VMK5" s="11"/>
      <c r="VML5" s="11"/>
      <c r="VMM5" s="11"/>
      <c r="VMN5" s="11"/>
      <c r="VMO5" s="11"/>
      <c r="VMP5" s="11"/>
      <c r="VMQ5" s="11"/>
      <c r="VMR5" s="11"/>
      <c r="VMS5" s="11"/>
      <c r="VMT5" s="11"/>
      <c r="VMU5" s="11"/>
      <c r="VMV5" s="11"/>
      <c r="VMW5" s="11"/>
      <c r="VMX5" s="11"/>
      <c r="VMY5" s="11"/>
      <c r="VMZ5" s="11"/>
      <c r="VNA5" s="11"/>
      <c r="VNB5" s="11"/>
      <c r="VNC5" s="11"/>
      <c r="VND5" s="11"/>
      <c r="VNE5" s="11"/>
      <c r="VNF5" s="11"/>
      <c r="VNG5" s="11"/>
      <c r="VNH5" s="11"/>
      <c r="VNI5" s="11"/>
      <c r="VNJ5" s="11"/>
      <c r="VNK5" s="11"/>
      <c r="VNL5" s="11"/>
      <c r="VNM5" s="11"/>
      <c r="VNN5" s="11"/>
      <c r="VNO5" s="11"/>
      <c r="VNP5" s="11"/>
      <c r="VNQ5" s="11"/>
      <c r="VNR5" s="11"/>
      <c r="VNS5" s="11"/>
      <c r="VNT5" s="11"/>
      <c r="VNU5" s="11"/>
      <c r="VNV5" s="11"/>
      <c r="VNW5" s="11"/>
      <c r="VNX5" s="11"/>
      <c r="VNY5" s="11"/>
      <c r="VNZ5" s="11"/>
      <c r="VOA5" s="11"/>
      <c r="VOB5" s="11"/>
      <c r="VOC5" s="11"/>
      <c r="VOD5" s="11"/>
      <c r="VOE5" s="11"/>
      <c r="VOF5" s="11"/>
      <c r="VOG5" s="11"/>
      <c r="VOH5" s="11"/>
      <c r="VOI5" s="11"/>
      <c r="VOJ5" s="11"/>
      <c r="VOK5" s="11"/>
      <c r="VOL5" s="11"/>
      <c r="VOM5" s="11"/>
      <c r="VON5" s="11"/>
      <c r="VOO5" s="11"/>
      <c r="VOP5" s="11"/>
      <c r="VOQ5" s="11"/>
      <c r="VOR5" s="11"/>
      <c r="VOS5" s="11"/>
      <c r="VOT5" s="11"/>
      <c r="VOU5" s="11"/>
      <c r="VOV5" s="11"/>
      <c r="VOW5" s="11"/>
      <c r="VOX5" s="11"/>
      <c r="VOY5" s="11"/>
      <c r="VOZ5" s="11"/>
      <c r="VPA5" s="11"/>
      <c r="VPB5" s="11"/>
      <c r="VPC5" s="11"/>
      <c r="VPD5" s="11"/>
      <c r="VPE5" s="11"/>
      <c r="VPF5" s="11"/>
      <c r="VPG5" s="11"/>
      <c r="VPH5" s="11"/>
      <c r="VPI5" s="11"/>
      <c r="VPJ5" s="11"/>
      <c r="VPK5" s="11"/>
      <c r="VPL5" s="11"/>
      <c r="VPM5" s="11"/>
      <c r="VPN5" s="11"/>
      <c r="VPO5" s="11"/>
      <c r="VPP5" s="11"/>
      <c r="VPQ5" s="11"/>
      <c r="VPR5" s="11"/>
      <c r="VPS5" s="11"/>
      <c r="VPT5" s="11"/>
      <c r="VPU5" s="11"/>
      <c r="VPV5" s="11"/>
      <c r="VPW5" s="11"/>
      <c r="VPX5" s="11"/>
      <c r="VPY5" s="11"/>
      <c r="VPZ5" s="11"/>
      <c r="VQA5" s="11"/>
      <c r="VQB5" s="11"/>
      <c r="VQC5" s="11"/>
      <c r="VQD5" s="11"/>
      <c r="VQE5" s="11"/>
      <c r="VQF5" s="11"/>
      <c r="VQG5" s="11"/>
      <c r="VQH5" s="11"/>
      <c r="VQI5" s="11"/>
      <c r="VQJ5" s="11"/>
      <c r="VQK5" s="11"/>
      <c r="VQL5" s="11"/>
      <c r="VQM5" s="11"/>
      <c r="VQN5" s="11"/>
      <c r="VQO5" s="11"/>
      <c r="VQP5" s="11"/>
      <c r="VQQ5" s="11"/>
      <c r="VQR5" s="11"/>
      <c r="VQS5" s="11"/>
      <c r="VQT5" s="11"/>
      <c r="VQU5" s="11"/>
      <c r="VQV5" s="11"/>
      <c r="VQW5" s="11"/>
      <c r="VQX5" s="11"/>
      <c r="VQY5" s="11"/>
      <c r="VQZ5" s="11"/>
      <c r="VRA5" s="11"/>
      <c r="VRB5" s="11"/>
      <c r="VRC5" s="11"/>
      <c r="VRD5" s="11"/>
      <c r="VRE5" s="11"/>
      <c r="VRF5" s="11"/>
      <c r="VRG5" s="11"/>
      <c r="VRH5" s="11"/>
      <c r="VRI5" s="11"/>
      <c r="VRJ5" s="11"/>
      <c r="VRK5" s="11"/>
      <c r="VRL5" s="11"/>
      <c r="VRM5" s="11"/>
      <c r="VRN5" s="11"/>
      <c r="VRO5" s="11"/>
      <c r="VRP5" s="11"/>
      <c r="VRQ5" s="11"/>
      <c r="VRR5" s="11"/>
      <c r="VRS5" s="11"/>
      <c r="VRT5" s="11"/>
      <c r="VRU5" s="11"/>
      <c r="VRV5" s="11"/>
      <c r="VRW5" s="11"/>
      <c r="VRX5" s="11"/>
      <c r="VRY5" s="11"/>
      <c r="VRZ5" s="11"/>
      <c r="VSA5" s="11"/>
      <c r="VSB5" s="11"/>
      <c r="VSC5" s="11"/>
      <c r="VSD5" s="11"/>
      <c r="VSE5" s="11"/>
      <c r="VSF5" s="11"/>
      <c r="VSG5" s="11"/>
      <c r="VSH5" s="11"/>
      <c r="VSI5" s="11"/>
      <c r="VSJ5" s="11"/>
      <c r="VSK5" s="11"/>
      <c r="VSL5" s="11"/>
      <c r="VSM5" s="11"/>
      <c r="VSN5" s="11"/>
      <c r="VSO5" s="11"/>
      <c r="VSP5" s="11"/>
      <c r="VSQ5" s="11"/>
      <c r="VSR5" s="11"/>
      <c r="VSS5" s="11"/>
      <c r="VST5" s="11"/>
      <c r="VSU5" s="11"/>
      <c r="VSV5" s="11"/>
      <c r="VSW5" s="11"/>
      <c r="VSX5" s="11"/>
      <c r="VSY5" s="11"/>
      <c r="VSZ5" s="11"/>
      <c r="VTA5" s="11"/>
      <c r="VTB5" s="11"/>
      <c r="VTC5" s="11"/>
      <c r="VTD5" s="11"/>
      <c r="VTE5" s="11"/>
      <c r="VTF5" s="11"/>
      <c r="VTG5" s="11"/>
      <c r="VTH5" s="11"/>
      <c r="VTI5" s="11"/>
      <c r="VTJ5" s="11"/>
      <c r="VTK5" s="11"/>
      <c r="VTL5" s="11"/>
      <c r="VTM5" s="11"/>
      <c r="VTN5" s="11"/>
      <c r="VTO5" s="11"/>
      <c r="VTP5" s="11"/>
      <c r="VTQ5" s="11"/>
      <c r="VTR5" s="11"/>
      <c r="VTS5" s="11"/>
      <c r="VTT5" s="11"/>
      <c r="VTU5" s="11"/>
      <c r="VTV5" s="11"/>
      <c r="VTW5" s="11"/>
      <c r="VTX5" s="11"/>
      <c r="VTY5" s="11"/>
      <c r="VTZ5" s="11"/>
      <c r="VUA5" s="11"/>
      <c r="VUB5" s="11"/>
      <c r="VUC5" s="11"/>
      <c r="VUD5" s="11"/>
      <c r="VUE5" s="11"/>
      <c r="VUF5" s="11"/>
      <c r="VUG5" s="11"/>
      <c r="VUH5" s="11"/>
      <c r="VUI5" s="11"/>
      <c r="VUJ5" s="11"/>
      <c r="VUK5" s="11"/>
      <c r="VUL5" s="11"/>
      <c r="VUM5" s="11"/>
      <c r="VUN5" s="11"/>
      <c r="VUO5" s="11"/>
      <c r="VUP5" s="11"/>
      <c r="VUQ5" s="11"/>
      <c r="VUR5" s="11"/>
      <c r="VUS5" s="11"/>
      <c r="VUT5" s="11"/>
      <c r="VUU5" s="11"/>
      <c r="VUV5" s="11"/>
      <c r="VUW5" s="11"/>
      <c r="VUX5" s="11"/>
      <c r="VUY5" s="11"/>
      <c r="VUZ5" s="11"/>
      <c r="VVA5" s="11"/>
      <c r="VVB5" s="11"/>
      <c r="VVC5" s="11"/>
      <c r="VVD5" s="11"/>
      <c r="VVE5" s="11"/>
      <c r="VVF5" s="11"/>
      <c r="VVG5" s="11"/>
      <c r="VVH5" s="11"/>
      <c r="VVI5" s="11"/>
      <c r="VVJ5" s="11"/>
      <c r="VVK5" s="11"/>
      <c r="VVL5" s="11"/>
      <c r="VVM5" s="11"/>
      <c r="VVN5" s="11"/>
      <c r="VVO5" s="11"/>
      <c r="VVP5" s="11"/>
      <c r="VVQ5" s="11"/>
      <c r="VVR5" s="11"/>
      <c r="VVS5" s="11"/>
      <c r="VVT5" s="11"/>
      <c r="VVU5" s="11"/>
      <c r="VVV5" s="11"/>
      <c r="VVW5" s="11"/>
      <c r="VVX5" s="11"/>
      <c r="VVY5" s="11"/>
      <c r="VVZ5" s="11"/>
      <c r="VWA5" s="11"/>
      <c r="VWB5" s="11"/>
      <c r="VWC5" s="11"/>
      <c r="VWD5" s="11"/>
      <c r="VWE5" s="11"/>
      <c r="VWF5" s="11"/>
      <c r="VWG5" s="11"/>
      <c r="VWH5" s="11"/>
      <c r="VWI5" s="11"/>
      <c r="VWJ5" s="11"/>
      <c r="VWK5" s="11"/>
      <c r="VWL5" s="11"/>
      <c r="VWM5" s="11"/>
      <c r="VWN5" s="11"/>
      <c r="VWO5" s="11"/>
      <c r="VWP5" s="11"/>
      <c r="VWQ5" s="11"/>
      <c r="VWR5" s="11"/>
      <c r="VWS5" s="11"/>
      <c r="VWT5" s="11"/>
      <c r="VWU5" s="11"/>
      <c r="VWV5" s="11"/>
      <c r="VWW5" s="11"/>
      <c r="VWX5" s="11"/>
      <c r="VWY5" s="11"/>
      <c r="VWZ5" s="11"/>
      <c r="VXA5" s="11"/>
      <c r="VXB5" s="11"/>
      <c r="VXC5" s="11"/>
      <c r="VXD5" s="11"/>
      <c r="VXE5" s="11"/>
      <c r="VXF5" s="11"/>
      <c r="VXG5" s="11"/>
      <c r="VXH5" s="11"/>
      <c r="VXI5" s="11"/>
      <c r="VXJ5" s="11"/>
      <c r="VXK5" s="11"/>
      <c r="VXL5" s="11"/>
      <c r="VXM5" s="11"/>
      <c r="VXN5" s="11"/>
      <c r="VXO5" s="11"/>
      <c r="VXP5" s="11"/>
      <c r="VXQ5" s="11"/>
      <c r="VXR5" s="11"/>
      <c r="VXS5" s="11"/>
      <c r="VXT5" s="11"/>
      <c r="VXU5" s="11"/>
      <c r="VXV5" s="11"/>
      <c r="VXW5" s="11"/>
      <c r="VXX5" s="11"/>
      <c r="VXY5" s="11"/>
      <c r="VXZ5" s="11"/>
      <c r="VYA5" s="11"/>
      <c r="VYB5" s="11"/>
      <c r="VYC5" s="11"/>
      <c r="VYD5" s="11"/>
      <c r="VYE5" s="11"/>
      <c r="VYF5" s="11"/>
      <c r="VYG5" s="11"/>
      <c r="VYH5" s="11"/>
      <c r="VYI5" s="11"/>
      <c r="VYJ5" s="11"/>
      <c r="VYK5" s="11"/>
      <c r="VYL5" s="11"/>
      <c r="VYM5" s="11"/>
      <c r="VYN5" s="11"/>
      <c r="VYO5" s="11"/>
      <c r="VYP5" s="11"/>
      <c r="VYQ5" s="11"/>
      <c r="VYR5" s="11"/>
      <c r="VYS5" s="11"/>
      <c r="VYT5" s="11"/>
      <c r="VYU5" s="11"/>
      <c r="VYV5" s="11"/>
      <c r="VYW5" s="11"/>
      <c r="VYX5" s="11"/>
      <c r="VYY5" s="11"/>
      <c r="VYZ5" s="11"/>
      <c r="VZA5" s="11"/>
      <c r="VZB5" s="11"/>
      <c r="VZC5" s="11"/>
      <c r="VZD5" s="11"/>
      <c r="VZE5" s="11"/>
      <c r="VZF5" s="11"/>
      <c r="VZG5" s="11"/>
      <c r="VZH5" s="11"/>
      <c r="VZI5" s="11"/>
      <c r="VZJ5" s="11"/>
      <c r="VZK5" s="11"/>
      <c r="VZL5" s="11"/>
      <c r="VZM5" s="11"/>
      <c r="VZN5" s="11"/>
      <c r="VZO5" s="11"/>
      <c r="VZP5" s="11"/>
      <c r="VZQ5" s="11"/>
      <c r="VZR5" s="11"/>
      <c r="VZS5" s="11"/>
      <c r="VZT5" s="11"/>
      <c r="VZU5" s="11"/>
      <c r="VZV5" s="11"/>
      <c r="VZW5" s="11"/>
      <c r="VZX5" s="11"/>
      <c r="VZY5" s="11"/>
      <c r="VZZ5" s="11"/>
      <c r="WAA5" s="11"/>
      <c r="WAB5" s="11"/>
      <c r="WAC5" s="11"/>
      <c r="WAD5" s="11"/>
      <c r="WAE5" s="11"/>
      <c r="WAF5" s="11"/>
      <c r="WAG5" s="11"/>
      <c r="WAH5" s="11"/>
      <c r="WAI5" s="11"/>
      <c r="WAJ5" s="11"/>
      <c r="WAK5" s="11"/>
      <c r="WAL5" s="11"/>
      <c r="WAM5" s="11"/>
      <c r="WAN5" s="11"/>
      <c r="WAO5" s="11"/>
      <c r="WAP5" s="11"/>
      <c r="WAQ5" s="11"/>
      <c r="WAR5" s="11"/>
      <c r="WAS5" s="11"/>
      <c r="WAT5" s="11"/>
      <c r="WAU5" s="11"/>
      <c r="WAV5" s="11"/>
      <c r="WAW5" s="11"/>
      <c r="WAX5" s="11"/>
      <c r="WAY5" s="11"/>
      <c r="WAZ5" s="11"/>
      <c r="WBA5" s="11"/>
      <c r="WBB5" s="11"/>
      <c r="WBC5" s="11"/>
      <c r="WBD5" s="11"/>
      <c r="WBE5" s="11"/>
      <c r="WBF5" s="11"/>
      <c r="WBG5" s="11"/>
      <c r="WBH5" s="11"/>
      <c r="WBI5" s="11"/>
      <c r="WBJ5" s="11"/>
      <c r="WBK5" s="11"/>
      <c r="WBL5" s="11"/>
      <c r="WBM5" s="11"/>
      <c r="WBN5" s="11"/>
      <c r="WBO5" s="11"/>
      <c r="WBP5" s="11"/>
      <c r="WBQ5" s="11"/>
      <c r="WBR5" s="11"/>
      <c r="WBS5" s="11"/>
      <c r="WBT5" s="11"/>
      <c r="WBU5" s="11"/>
      <c r="WBV5" s="11"/>
      <c r="WBW5" s="11"/>
      <c r="WBX5" s="11"/>
      <c r="WBY5" s="11"/>
      <c r="WBZ5" s="11"/>
      <c r="WCA5" s="11"/>
      <c r="WCB5" s="11"/>
      <c r="WCC5" s="11"/>
      <c r="WCD5" s="11"/>
      <c r="WCE5" s="11"/>
      <c r="WCF5" s="11"/>
      <c r="WCG5" s="11"/>
      <c r="WCH5" s="11"/>
      <c r="WCI5" s="11"/>
      <c r="WCJ5" s="11"/>
      <c r="WCK5" s="11"/>
      <c r="WCL5" s="11"/>
      <c r="WCM5" s="11"/>
      <c r="WCN5" s="11"/>
      <c r="WCO5" s="11"/>
      <c r="WCP5" s="11"/>
      <c r="WCQ5" s="11"/>
      <c r="WCR5" s="11"/>
      <c r="WCS5" s="11"/>
      <c r="WCT5" s="11"/>
      <c r="WCU5" s="11"/>
      <c r="WCV5" s="11"/>
      <c r="WCW5" s="11"/>
      <c r="WCX5" s="11"/>
      <c r="WCY5" s="11"/>
      <c r="WCZ5" s="11"/>
      <c r="WDA5" s="11"/>
      <c r="WDB5" s="11"/>
      <c r="WDC5" s="11"/>
      <c r="WDD5" s="11"/>
      <c r="WDE5" s="11"/>
      <c r="WDF5" s="11"/>
      <c r="WDG5" s="11"/>
      <c r="WDH5" s="11"/>
      <c r="WDI5" s="11"/>
      <c r="WDJ5" s="11"/>
      <c r="WDK5" s="11"/>
      <c r="WDL5" s="11"/>
      <c r="WDM5" s="11"/>
      <c r="WDN5" s="11"/>
      <c r="WDO5" s="11"/>
      <c r="WDP5" s="11"/>
      <c r="WDQ5" s="11"/>
      <c r="WDR5" s="11"/>
      <c r="WDS5" s="11"/>
      <c r="WDT5" s="11"/>
      <c r="WDU5" s="11"/>
      <c r="WDV5" s="11"/>
      <c r="WDW5" s="11"/>
      <c r="WDX5" s="11"/>
      <c r="WDY5" s="11"/>
      <c r="WDZ5" s="11"/>
      <c r="WEA5" s="11"/>
      <c r="WEB5" s="11"/>
      <c r="WEC5" s="11"/>
      <c r="WED5" s="11"/>
      <c r="WEE5" s="11"/>
      <c r="WEF5" s="11"/>
      <c r="WEG5" s="11"/>
      <c r="WEH5" s="11"/>
      <c r="WEI5" s="11"/>
      <c r="WEJ5" s="11"/>
      <c r="WEK5" s="11"/>
      <c r="WEL5" s="11"/>
      <c r="WEM5" s="11"/>
      <c r="WEN5" s="11"/>
      <c r="WEO5" s="11"/>
      <c r="WEP5" s="11"/>
      <c r="WEQ5" s="11"/>
      <c r="WER5" s="11"/>
      <c r="WES5" s="11"/>
      <c r="WET5" s="11"/>
      <c r="WEU5" s="11"/>
      <c r="WEV5" s="11"/>
      <c r="WEW5" s="11"/>
      <c r="WEX5" s="11"/>
      <c r="WEY5" s="11"/>
      <c r="WEZ5" s="11"/>
      <c r="WFA5" s="11"/>
      <c r="WFB5" s="11"/>
      <c r="WFC5" s="11"/>
      <c r="WFD5" s="11"/>
      <c r="WFE5" s="11"/>
      <c r="WFF5" s="11"/>
      <c r="WFG5" s="11"/>
      <c r="WFH5" s="11"/>
      <c r="WFI5" s="11"/>
      <c r="WFJ5" s="11"/>
      <c r="WFK5" s="11"/>
      <c r="WFL5" s="11"/>
      <c r="WFM5" s="11"/>
      <c r="WFN5" s="11"/>
      <c r="WFO5" s="11"/>
      <c r="WFP5" s="11"/>
      <c r="WFQ5" s="11"/>
      <c r="WFR5" s="11"/>
      <c r="WFS5" s="11"/>
      <c r="WFT5" s="11"/>
      <c r="WFU5" s="11"/>
      <c r="WFV5" s="11"/>
      <c r="WFW5" s="11"/>
      <c r="WFX5" s="11"/>
      <c r="WFY5" s="11"/>
      <c r="WFZ5" s="11"/>
      <c r="WGA5" s="11"/>
      <c r="WGB5" s="11"/>
      <c r="WGC5" s="11"/>
      <c r="WGD5" s="11"/>
      <c r="WGE5" s="11"/>
      <c r="WGF5" s="11"/>
      <c r="WGG5" s="11"/>
      <c r="WGH5" s="11"/>
      <c r="WGI5" s="11"/>
      <c r="WGJ5" s="11"/>
      <c r="WGK5" s="11"/>
      <c r="WGL5" s="11"/>
      <c r="WGM5" s="11"/>
      <c r="WGN5" s="11"/>
      <c r="WGO5" s="11"/>
      <c r="WGP5" s="11"/>
      <c r="WGQ5" s="11"/>
      <c r="WGR5" s="11"/>
      <c r="WGS5" s="11"/>
      <c r="WGT5" s="11"/>
      <c r="WGU5" s="11"/>
      <c r="WGV5" s="11"/>
      <c r="WGW5" s="11"/>
      <c r="WGX5" s="11"/>
      <c r="WGY5" s="11"/>
      <c r="WGZ5" s="11"/>
      <c r="WHA5" s="11"/>
      <c r="WHB5" s="11"/>
      <c r="WHC5" s="11"/>
      <c r="WHD5" s="11"/>
      <c r="WHE5" s="11"/>
      <c r="WHF5" s="11"/>
      <c r="WHG5" s="11"/>
      <c r="WHH5" s="11"/>
      <c r="WHI5" s="11"/>
      <c r="WHJ5" s="11"/>
      <c r="WHK5" s="11"/>
      <c r="WHL5" s="11"/>
      <c r="WHM5" s="11"/>
      <c r="WHN5" s="11"/>
      <c r="WHO5" s="11"/>
      <c r="WHP5" s="11"/>
      <c r="WHQ5" s="11"/>
      <c r="WHR5" s="11"/>
      <c r="WHS5" s="11"/>
      <c r="WHT5" s="11"/>
      <c r="WHU5" s="11"/>
      <c r="WHV5" s="11"/>
      <c r="WHW5" s="11"/>
      <c r="WHX5" s="11"/>
      <c r="WHY5" s="11"/>
      <c r="WHZ5" s="11"/>
      <c r="WIA5" s="11"/>
      <c r="WIB5" s="11"/>
      <c r="WIC5" s="11"/>
      <c r="WID5" s="11"/>
      <c r="WIE5" s="11"/>
      <c r="WIF5" s="11"/>
      <c r="WIG5" s="11"/>
      <c r="WIH5" s="11"/>
      <c r="WII5" s="11"/>
      <c r="WIJ5" s="11"/>
      <c r="WIK5" s="11"/>
      <c r="WIL5" s="11"/>
      <c r="WIM5" s="11"/>
      <c r="WIN5" s="11"/>
      <c r="WIO5" s="11"/>
      <c r="WIP5" s="11"/>
      <c r="WIQ5" s="11"/>
      <c r="WIR5" s="11"/>
      <c r="WIS5" s="11"/>
      <c r="WIT5" s="11"/>
      <c r="WIU5" s="11"/>
      <c r="WIV5" s="11"/>
      <c r="WIW5" s="11"/>
      <c r="WIX5" s="11"/>
      <c r="WIY5" s="11"/>
      <c r="WIZ5" s="11"/>
      <c r="WJA5" s="11"/>
      <c r="WJB5" s="11"/>
      <c r="WJC5" s="11"/>
      <c r="WJD5" s="11"/>
      <c r="WJE5" s="11"/>
      <c r="WJF5" s="11"/>
      <c r="WJG5" s="11"/>
      <c r="WJH5" s="11"/>
      <c r="WJI5" s="11"/>
      <c r="WJJ5" s="11"/>
      <c r="WJK5" s="11"/>
      <c r="WJL5" s="11"/>
      <c r="WJM5" s="11"/>
      <c r="WJN5" s="11"/>
      <c r="WJO5" s="11"/>
      <c r="WJP5" s="11"/>
      <c r="WJQ5" s="11"/>
      <c r="WJR5" s="11"/>
      <c r="WJS5" s="11"/>
      <c r="WJT5" s="11"/>
      <c r="WJU5" s="11"/>
      <c r="WJV5" s="11"/>
      <c r="WJW5" s="11"/>
      <c r="WJX5" s="11"/>
      <c r="WJY5" s="11"/>
      <c r="WJZ5" s="11"/>
      <c r="WKA5" s="11"/>
      <c r="WKB5" s="11"/>
      <c r="WKC5" s="11"/>
      <c r="WKD5" s="11"/>
      <c r="WKE5" s="11"/>
      <c r="WKF5" s="11"/>
      <c r="WKG5" s="11"/>
      <c r="WKH5" s="11"/>
      <c r="WKI5" s="11"/>
      <c r="WKJ5" s="11"/>
      <c r="WKK5" s="11"/>
      <c r="WKL5" s="11"/>
      <c r="WKM5" s="11"/>
      <c r="WKN5" s="11"/>
      <c r="WKO5" s="11"/>
      <c r="WKP5" s="11"/>
      <c r="WKQ5" s="11"/>
      <c r="WKR5" s="11"/>
      <c r="WKS5" s="11"/>
      <c r="WKT5" s="11"/>
      <c r="WKU5" s="11"/>
      <c r="WKV5" s="11"/>
      <c r="WKW5" s="11"/>
      <c r="WKX5" s="11"/>
      <c r="WKY5" s="11"/>
      <c r="WKZ5" s="11"/>
      <c r="WLA5" s="11"/>
      <c r="WLB5" s="11"/>
      <c r="WLC5" s="11"/>
      <c r="WLD5" s="11"/>
      <c r="WLE5" s="11"/>
      <c r="WLF5" s="11"/>
      <c r="WLG5" s="11"/>
      <c r="WLH5" s="11"/>
      <c r="WLI5" s="11"/>
      <c r="WLJ5" s="11"/>
      <c r="WLK5" s="11"/>
      <c r="WLL5" s="11"/>
      <c r="WLM5" s="11"/>
      <c r="WLN5" s="11"/>
      <c r="WLO5" s="11"/>
      <c r="WLP5" s="11"/>
      <c r="WLQ5" s="11"/>
      <c r="WLR5" s="11"/>
      <c r="WLS5" s="11"/>
      <c r="WLT5" s="11"/>
      <c r="WLU5" s="11"/>
      <c r="WLV5" s="11"/>
      <c r="WLW5" s="11"/>
      <c r="WLX5" s="11"/>
      <c r="WLY5" s="11"/>
      <c r="WLZ5" s="11"/>
      <c r="WMA5" s="11"/>
      <c r="WMB5" s="11"/>
      <c r="WMC5" s="11"/>
      <c r="WMD5" s="11"/>
      <c r="WME5" s="11"/>
      <c r="WMF5" s="11"/>
      <c r="WMG5" s="11"/>
      <c r="WMH5" s="11"/>
      <c r="WMI5" s="11"/>
      <c r="WMJ5" s="11"/>
      <c r="WMK5" s="11"/>
      <c r="WML5" s="11"/>
      <c r="WMM5" s="11"/>
      <c r="WMN5" s="11"/>
      <c r="WMO5" s="11"/>
      <c r="WMP5" s="11"/>
      <c r="WMQ5" s="11"/>
      <c r="WMR5" s="11"/>
      <c r="WMS5" s="11"/>
      <c r="WMT5" s="11"/>
      <c r="WMU5" s="11"/>
      <c r="WMV5" s="11"/>
      <c r="WMW5" s="11"/>
      <c r="WMX5" s="11"/>
      <c r="WMY5" s="11"/>
      <c r="WMZ5" s="11"/>
      <c r="WNA5" s="11"/>
      <c r="WNB5" s="11"/>
      <c r="WNC5" s="11"/>
      <c r="WND5" s="11"/>
      <c r="WNE5" s="11"/>
      <c r="WNF5" s="11"/>
      <c r="WNG5" s="11"/>
      <c r="WNH5" s="11"/>
      <c r="WNI5" s="11"/>
      <c r="WNJ5" s="11"/>
      <c r="WNK5" s="11"/>
      <c r="WNL5" s="11"/>
      <c r="WNM5" s="11"/>
      <c r="WNN5" s="11"/>
      <c r="WNO5" s="11"/>
      <c r="WNP5" s="11"/>
      <c r="WNQ5" s="11"/>
      <c r="WNR5" s="11"/>
      <c r="WNS5" s="11"/>
      <c r="WNT5" s="11"/>
      <c r="WNU5" s="11"/>
      <c r="WNV5" s="11"/>
      <c r="WNW5" s="11"/>
      <c r="WNX5" s="11"/>
      <c r="WNY5" s="11"/>
      <c r="WNZ5" s="11"/>
      <c r="WOA5" s="11"/>
      <c r="WOB5" s="11"/>
      <c r="WOC5" s="11"/>
      <c r="WOD5" s="11"/>
      <c r="WOE5" s="11"/>
      <c r="WOF5" s="11"/>
      <c r="WOG5" s="11"/>
      <c r="WOH5" s="11"/>
      <c r="WOI5" s="11"/>
      <c r="WOJ5" s="11"/>
      <c r="WOK5" s="11"/>
      <c r="WOL5" s="11"/>
      <c r="WOM5" s="11"/>
      <c r="WON5" s="11"/>
      <c r="WOO5" s="11"/>
      <c r="WOP5" s="11"/>
      <c r="WOQ5" s="11"/>
      <c r="WOR5" s="11"/>
      <c r="WOS5" s="11"/>
      <c r="WOT5" s="11"/>
      <c r="WOU5" s="11"/>
      <c r="WOV5" s="11"/>
      <c r="WOW5" s="11"/>
      <c r="WOX5" s="11"/>
      <c r="WOY5" s="11"/>
      <c r="WOZ5" s="11"/>
      <c r="WPA5" s="11"/>
      <c r="WPB5" s="11"/>
      <c r="WPC5" s="11"/>
      <c r="WPD5" s="11"/>
      <c r="WPE5" s="11"/>
      <c r="WPF5" s="11"/>
      <c r="WPG5" s="11"/>
      <c r="WPH5" s="11"/>
      <c r="WPI5" s="11"/>
      <c r="WPJ5" s="11"/>
      <c r="WPK5" s="11"/>
      <c r="WPL5" s="11"/>
      <c r="WPM5" s="11"/>
      <c r="WPN5" s="11"/>
      <c r="WPO5" s="11"/>
      <c r="WPP5" s="11"/>
      <c r="WPQ5" s="11"/>
      <c r="WPR5" s="11"/>
      <c r="WPS5" s="11"/>
      <c r="WPT5" s="11"/>
      <c r="WPU5" s="11"/>
      <c r="WPV5" s="11"/>
      <c r="WPW5" s="11"/>
      <c r="WPX5" s="11"/>
      <c r="WPY5" s="11"/>
      <c r="WPZ5" s="11"/>
      <c r="WQA5" s="11"/>
      <c r="WQB5" s="11"/>
      <c r="WQC5" s="11"/>
      <c r="WQD5" s="11"/>
      <c r="WQE5" s="11"/>
      <c r="WQF5" s="11"/>
      <c r="WQG5" s="11"/>
      <c r="WQH5" s="11"/>
      <c r="WQI5" s="11"/>
      <c r="WQJ5" s="11"/>
      <c r="WQK5" s="11"/>
      <c r="WQL5" s="11"/>
      <c r="WQM5" s="11"/>
      <c r="WQN5" s="11"/>
      <c r="WQO5" s="11"/>
      <c r="WQP5" s="11"/>
      <c r="WQQ5" s="11"/>
      <c r="WQR5" s="11"/>
      <c r="WQS5" s="11"/>
      <c r="WQT5" s="11"/>
      <c r="WQU5" s="11"/>
      <c r="WQV5" s="11"/>
      <c r="WQW5" s="11"/>
      <c r="WQX5" s="11"/>
      <c r="WQY5" s="11"/>
      <c r="WQZ5" s="11"/>
      <c r="WRA5" s="11"/>
      <c r="WRB5" s="11"/>
      <c r="WRC5" s="11"/>
      <c r="WRD5" s="11"/>
      <c r="WRE5" s="11"/>
      <c r="WRF5" s="11"/>
      <c r="WRG5" s="11"/>
      <c r="WRH5" s="11"/>
      <c r="WRI5" s="11"/>
      <c r="WRJ5" s="11"/>
      <c r="WRK5" s="11"/>
      <c r="WRL5" s="11"/>
      <c r="WRM5" s="11"/>
      <c r="WRN5" s="11"/>
      <c r="WRO5" s="11"/>
      <c r="WRP5" s="11"/>
      <c r="WRQ5" s="11"/>
      <c r="WRR5" s="11"/>
      <c r="WRS5" s="11"/>
      <c r="WRT5" s="11"/>
      <c r="WRU5" s="11"/>
      <c r="WRV5" s="11"/>
      <c r="WRW5" s="11"/>
      <c r="WRX5" s="11"/>
      <c r="WRY5" s="11"/>
      <c r="WRZ5" s="11"/>
      <c r="WSA5" s="11"/>
      <c r="WSB5" s="11"/>
      <c r="WSC5" s="11"/>
      <c r="WSD5" s="11"/>
      <c r="WSE5" s="11"/>
      <c r="WSF5" s="11"/>
      <c r="WSG5" s="11"/>
      <c r="WSH5" s="11"/>
      <c r="WSI5" s="11"/>
      <c r="WSJ5" s="11"/>
      <c r="WSK5" s="11"/>
      <c r="WSL5" s="11"/>
      <c r="WSM5" s="11"/>
      <c r="WSN5" s="11"/>
      <c r="WSO5" s="11"/>
      <c r="WSP5" s="11"/>
      <c r="WSQ5" s="11"/>
      <c r="WSR5" s="11"/>
      <c r="WSS5" s="11"/>
      <c r="WST5" s="11"/>
      <c r="WSU5" s="11"/>
      <c r="WSV5" s="11"/>
      <c r="WSW5" s="11"/>
      <c r="WSX5" s="11"/>
      <c r="WSY5" s="11"/>
      <c r="WSZ5" s="11"/>
      <c r="WTA5" s="11"/>
      <c r="WTB5" s="11"/>
      <c r="WTC5" s="11"/>
      <c r="WTD5" s="11"/>
      <c r="WTE5" s="11"/>
      <c r="WTF5" s="11"/>
      <c r="WTG5" s="11"/>
      <c r="WTH5" s="11"/>
      <c r="WTI5" s="11"/>
      <c r="WTJ5" s="11"/>
      <c r="WTK5" s="11"/>
      <c r="WTL5" s="11"/>
      <c r="WTM5" s="11"/>
      <c r="WTN5" s="11"/>
      <c r="WTO5" s="11"/>
      <c r="WTP5" s="11"/>
      <c r="WTQ5" s="11"/>
      <c r="WTR5" s="11"/>
      <c r="WTS5" s="11"/>
      <c r="WTT5" s="11"/>
      <c r="WTU5" s="11"/>
      <c r="WTV5" s="11"/>
      <c r="WTW5" s="11"/>
      <c r="WTX5" s="11"/>
      <c r="WTY5" s="11"/>
      <c r="WTZ5" s="11"/>
      <c r="WUA5" s="11"/>
      <c r="WUB5" s="11"/>
      <c r="WUC5" s="11"/>
      <c r="WUD5" s="11"/>
      <c r="WUE5" s="11"/>
      <c r="WUF5" s="11"/>
      <c r="WUG5" s="11"/>
      <c r="WUH5" s="11"/>
      <c r="WUI5" s="11"/>
      <c r="WUJ5" s="11"/>
      <c r="WUK5" s="11"/>
      <c r="WUL5" s="11"/>
      <c r="WUM5" s="11"/>
      <c r="WUN5" s="11"/>
      <c r="WUO5" s="11"/>
      <c r="WUP5" s="11"/>
      <c r="WUQ5" s="11"/>
      <c r="WUR5" s="11"/>
      <c r="WUS5" s="11"/>
      <c r="WUT5" s="11"/>
      <c r="WUU5" s="11"/>
      <c r="WUV5" s="11"/>
      <c r="WUW5" s="11"/>
      <c r="WUX5" s="11"/>
      <c r="WUY5" s="11"/>
      <c r="WUZ5" s="11"/>
      <c r="WVA5" s="11"/>
      <c r="WVB5" s="11"/>
      <c r="WVC5" s="11"/>
      <c r="WVD5" s="11"/>
      <c r="WVE5" s="11"/>
      <c r="WVF5" s="11"/>
      <c r="WVG5" s="11"/>
      <c r="WVH5" s="11"/>
      <c r="WVI5" s="11"/>
      <c r="WVJ5" s="11"/>
      <c r="WVK5" s="11"/>
      <c r="WVL5" s="11"/>
      <c r="WVM5" s="11"/>
      <c r="WVN5" s="11"/>
      <c r="WVO5" s="11"/>
      <c r="WVP5" s="11"/>
      <c r="WVQ5" s="11"/>
      <c r="WVR5" s="11"/>
      <c r="WVS5" s="11"/>
      <c r="WVT5" s="11"/>
      <c r="WVU5" s="11"/>
      <c r="WVV5" s="11"/>
      <c r="WVW5" s="11"/>
      <c r="WVX5" s="11"/>
      <c r="WVY5" s="11"/>
      <c r="WVZ5" s="11"/>
      <c r="WWA5" s="11"/>
      <c r="WWB5" s="11"/>
      <c r="WWC5" s="11"/>
      <c r="WWD5" s="11"/>
      <c r="WWE5" s="11"/>
      <c r="WWF5" s="11"/>
      <c r="WWG5" s="11"/>
      <c r="WWH5" s="11"/>
      <c r="WWI5" s="11"/>
      <c r="WWJ5" s="11"/>
      <c r="WWK5" s="11"/>
      <c r="WWL5" s="11"/>
      <c r="WWM5" s="11"/>
      <c r="WWN5" s="11"/>
      <c r="WWO5" s="11"/>
      <c r="WWP5" s="11"/>
      <c r="WWQ5" s="11"/>
      <c r="WWR5" s="11"/>
      <c r="WWS5" s="11"/>
      <c r="WWT5" s="11"/>
      <c r="WWU5" s="11"/>
      <c r="WWV5" s="11"/>
      <c r="WWW5" s="11"/>
      <c r="WWX5" s="11"/>
      <c r="WWY5" s="11"/>
      <c r="WWZ5" s="11"/>
      <c r="WXA5" s="11"/>
      <c r="WXB5" s="11"/>
      <c r="WXC5" s="11"/>
      <c r="WXD5" s="11"/>
      <c r="WXE5" s="11"/>
      <c r="WXF5" s="11"/>
      <c r="WXG5" s="11"/>
      <c r="WXH5" s="11"/>
      <c r="WXI5" s="11"/>
      <c r="WXJ5" s="11"/>
      <c r="WXK5" s="11"/>
      <c r="WXL5" s="11"/>
      <c r="WXM5" s="11"/>
      <c r="WXN5" s="11"/>
      <c r="WXO5" s="11"/>
      <c r="WXP5" s="11"/>
      <c r="WXQ5" s="11"/>
      <c r="WXR5" s="11"/>
      <c r="WXS5" s="11"/>
      <c r="WXT5" s="11"/>
      <c r="WXU5" s="11"/>
      <c r="WXV5" s="11"/>
      <c r="WXW5" s="11"/>
      <c r="WXX5" s="11"/>
      <c r="WXY5" s="11"/>
      <c r="WXZ5" s="11"/>
      <c r="WYA5" s="11"/>
      <c r="WYB5" s="11"/>
      <c r="WYC5" s="11"/>
      <c r="WYD5" s="11"/>
      <c r="WYE5" s="11"/>
      <c r="WYF5" s="11"/>
      <c r="WYG5" s="11"/>
      <c r="WYH5" s="11"/>
      <c r="WYI5" s="11"/>
      <c r="WYJ5" s="11"/>
      <c r="WYK5" s="11"/>
      <c r="WYL5" s="11"/>
      <c r="WYM5" s="11"/>
      <c r="WYN5" s="11"/>
      <c r="WYO5" s="11"/>
      <c r="WYP5" s="11"/>
      <c r="WYQ5" s="11"/>
      <c r="WYR5" s="11"/>
      <c r="WYS5" s="11"/>
      <c r="WYT5" s="11"/>
      <c r="WYU5" s="11"/>
      <c r="WYV5" s="11"/>
      <c r="WYW5" s="11"/>
      <c r="WYX5" s="11"/>
      <c r="WYY5" s="11"/>
      <c r="WYZ5" s="11"/>
      <c r="WZA5" s="11"/>
      <c r="WZB5" s="11"/>
      <c r="WZC5" s="11"/>
      <c r="WZD5" s="11"/>
      <c r="WZE5" s="11"/>
      <c r="WZF5" s="11"/>
      <c r="WZG5" s="11"/>
      <c r="WZH5" s="11"/>
      <c r="WZI5" s="11"/>
      <c r="WZJ5" s="11"/>
      <c r="WZK5" s="11"/>
      <c r="WZL5" s="11"/>
      <c r="WZM5" s="11"/>
      <c r="WZN5" s="11"/>
      <c r="WZO5" s="11"/>
      <c r="WZP5" s="11"/>
      <c r="WZQ5" s="11"/>
      <c r="WZR5" s="11"/>
      <c r="WZS5" s="11"/>
      <c r="WZT5" s="11"/>
      <c r="WZU5" s="11"/>
      <c r="WZV5" s="11"/>
      <c r="WZW5" s="11"/>
      <c r="WZX5" s="11"/>
      <c r="WZY5" s="11"/>
      <c r="WZZ5" s="11"/>
      <c r="XAA5" s="11"/>
      <c r="XAB5" s="11"/>
      <c r="XAC5" s="11"/>
      <c r="XAD5" s="11"/>
      <c r="XAE5" s="11"/>
      <c r="XAF5" s="11"/>
      <c r="XAG5" s="11"/>
      <c r="XAH5" s="11"/>
      <c r="XAI5" s="11"/>
      <c r="XAJ5" s="11"/>
      <c r="XAK5" s="11"/>
      <c r="XAL5" s="11"/>
      <c r="XAM5" s="11"/>
      <c r="XAN5" s="11"/>
      <c r="XAO5" s="11"/>
      <c r="XAP5" s="11"/>
      <c r="XAQ5" s="11"/>
      <c r="XAR5" s="11"/>
      <c r="XAS5" s="11"/>
      <c r="XAT5" s="11"/>
      <c r="XAU5" s="11"/>
      <c r="XAV5" s="11"/>
      <c r="XAW5" s="11"/>
      <c r="XAX5" s="11"/>
      <c r="XAY5" s="11"/>
      <c r="XAZ5" s="11"/>
      <c r="XBA5" s="11"/>
      <c r="XBB5" s="11"/>
      <c r="XBC5" s="11"/>
      <c r="XBD5" s="11"/>
      <c r="XBE5" s="11"/>
      <c r="XBF5" s="11"/>
      <c r="XBG5" s="11"/>
      <c r="XBH5" s="11"/>
      <c r="XBI5" s="11"/>
      <c r="XBJ5" s="11"/>
      <c r="XBK5" s="11"/>
      <c r="XBL5" s="11"/>
      <c r="XBM5" s="11"/>
      <c r="XBN5" s="11"/>
      <c r="XBO5" s="11"/>
      <c r="XBP5" s="11"/>
      <c r="XBQ5" s="11"/>
      <c r="XBR5" s="11"/>
      <c r="XBS5" s="11"/>
      <c r="XBT5" s="11"/>
      <c r="XBU5" s="11"/>
      <c r="XBV5" s="11"/>
      <c r="XBW5" s="11"/>
      <c r="XBX5" s="11"/>
      <c r="XBY5" s="11"/>
      <c r="XBZ5" s="11"/>
      <c r="XCA5" s="11"/>
      <c r="XCB5" s="11"/>
      <c r="XCC5" s="11"/>
      <c r="XCD5" s="11"/>
      <c r="XCE5" s="11"/>
      <c r="XCF5" s="11"/>
      <c r="XCG5" s="11"/>
      <c r="XCH5" s="11"/>
      <c r="XCI5" s="11"/>
      <c r="XCJ5" s="11"/>
      <c r="XCK5" s="11"/>
      <c r="XCL5" s="11"/>
      <c r="XCM5" s="11"/>
      <c r="XCN5" s="11"/>
      <c r="XCO5" s="11"/>
      <c r="XCP5" s="11"/>
      <c r="XCQ5" s="11"/>
      <c r="XCR5" s="11"/>
      <c r="XCS5" s="11"/>
      <c r="XCT5" s="11"/>
      <c r="XCU5" s="11"/>
      <c r="XCV5" s="11"/>
      <c r="XCW5" s="11"/>
      <c r="XCX5" s="11"/>
      <c r="XCY5" s="11"/>
      <c r="XCZ5" s="11"/>
      <c r="XDA5" s="11"/>
      <c r="XDB5" s="11"/>
      <c r="XDC5" s="11"/>
      <c r="XDD5" s="11"/>
      <c r="XDE5" s="11"/>
      <c r="XDF5" s="11"/>
      <c r="XDG5" s="11"/>
      <c r="XDH5" s="11"/>
      <c r="XDI5" s="11"/>
      <c r="XDJ5" s="11"/>
      <c r="XDK5" s="11"/>
      <c r="XDL5" s="11"/>
      <c r="XDM5" s="11"/>
      <c r="XDN5" s="11"/>
      <c r="XDO5" s="11"/>
      <c r="XDP5" s="11"/>
      <c r="XDQ5" s="11"/>
      <c r="XDR5" s="11"/>
      <c r="XDS5" s="11"/>
      <c r="XDT5" s="11"/>
      <c r="XDU5" s="11"/>
      <c r="XDV5" s="11"/>
      <c r="XDW5" s="11"/>
      <c r="XDX5" s="11"/>
      <c r="XDY5" s="11"/>
      <c r="XDZ5" s="11"/>
      <c r="XEA5" s="11"/>
      <c r="XEB5" s="11"/>
      <c r="XEC5" s="11"/>
      <c r="XED5" s="11"/>
      <c r="XEE5" s="11"/>
      <c r="XEF5" s="11"/>
      <c r="XEG5" s="11"/>
      <c r="XEH5" s="11"/>
      <c r="XEI5" s="11"/>
      <c r="XEJ5" s="11"/>
      <c r="XEK5" s="11"/>
      <c r="XEL5" s="11"/>
      <c r="XEM5" s="11"/>
      <c r="XEN5" s="11"/>
      <c r="XEO5" s="11"/>
      <c r="XEP5" s="11"/>
      <c r="XEQ5" s="11"/>
      <c r="XER5" s="11"/>
      <c r="XES5" s="11"/>
      <c r="XET5" s="11"/>
      <c r="XEU5" s="11"/>
      <c r="XEV5" s="11"/>
      <c r="XEW5" s="11"/>
      <c r="XEX5" s="11"/>
      <c r="XEY5" s="11"/>
      <c r="XEZ5" s="11"/>
      <c r="XFA5" s="11"/>
      <c r="XFB5" s="11"/>
    </row>
    <row r="6" spans="1:16382" s="4" customFormat="1" ht="5.25" customHeight="1" x14ac:dyDescent="0.25">
      <c r="A6" s="6"/>
      <c r="B6" s="7"/>
      <c r="C6" s="6"/>
      <c r="D6" s="6"/>
      <c r="E6" s="6"/>
      <c r="F6" s="6"/>
      <c r="G6" s="6"/>
      <c r="H6" s="6"/>
      <c r="I6" s="6"/>
      <c r="J6" s="6"/>
      <c r="K6" s="6"/>
      <c r="L6" s="6"/>
      <c r="M6" s="6"/>
      <c r="N6" s="6"/>
      <c r="O6" s="6"/>
      <c r="P6" s="6"/>
      <c r="Q6" s="6"/>
      <c r="R6" s="6"/>
      <c r="S6" s="6"/>
      <c r="T6" s="6"/>
      <c r="U6" s="6"/>
      <c r="V6" s="6"/>
      <c r="W6" s="6"/>
      <c r="X6" s="6"/>
      <c r="Y6" s="6"/>
      <c r="Z6" s="6"/>
      <c r="AA6" s="6"/>
      <c r="AB6" s="6"/>
      <c r="AC6" s="6"/>
      <c r="AD6" s="6"/>
    </row>
    <row r="7" spans="1:16382" x14ac:dyDescent="0.25">
      <c r="D7" s="126"/>
      <c r="E7" s="126"/>
      <c r="F7" s="126"/>
      <c r="G7" s="126"/>
      <c r="H7" s="126"/>
      <c r="I7" s="126"/>
      <c r="N7" s="5"/>
      <c r="R7" s="5"/>
    </row>
    <row r="8" spans="1:16382" ht="15.75" customHeight="1" x14ac:dyDescent="0.25">
      <c r="D8" s="126"/>
      <c r="E8" s="126"/>
      <c r="F8" s="126"/>
      <c r="G8" s="126"/>
      <c r="H8" s="126"/>
      <c r="I8" s="126"/>
    </row>
    <row r="9" spans="1:16382" ht="7.5" customHeight="1" x14ac:dyDescent="0.25">
      <c r="B9" s="9"/>
      <c r="C9" s="9"/>
      <c r="D9" s="80"/>
      <c r="E9" s="78" t="s">
        <v>1</v>
      </c>
      <c r="F9" s="79" t="str">
        <f>E9</f>
        <v>Horas extras</v>
      </c>
      <c r="G9" s="79" t="str">
        <f>F9</f>
        <v>Horas extras</v>
      </c>
      <c r="H9" s="79" t="str">
        <f>G9</f>
        <v>Horas extras</v>
      </c>
      <c r="I9" s="78" t="s">
        <v>2</v>
      </c>
      <c r="J9" s="79" t="str">
        <f>I9</f>
        <v>Alimentación</v>
      </c>
      <c r="K9" s="79" t="str">
        <f>J9</f>
        <v>Alimentación</v>
      </c>
      <c r="L9" s="79" t="str">
        <f>K9</f>
        <v>Alimentación</v>
      </c>
      <c r="M9" s="79" t="s">
        <v>3</v>
      </c>
      <c r="N9" s="79" t="str">
        <f>M9</f>
        <v>Viáticos</v>
      </c>
      <c r="O9" s="79" t="str">
        <f>N9</f>
        <v>Viáticos</v>
      </c>
      <c r="P9" s="79" t="str">
        <f>O9</f>
        <v>Viáticos</v>
      </c>
      <c r="Q9" s="79" t="s">
        <v>4</v>
      </c>
      <c r="R9" s="79" t="str">
        <f>Q9</f>
        <v>Reconocimientos</v>
      </c>
      <c r="S9" s="79" t="str">
        <f>R9</f>
        <v>Reconocimientos</v>
      </c>
      <c r="T9" s="79" t="str">
        <f>S9</f>
        <v>Reconocimientos</v>
      </c>
      <c r="U9" s="79" t="s">
        <v>5</v>
      </c>
      <c r="V9" s="79" t="str">
        <f>U9</f>
        <v>Celebraciones</v>
      </c>
      <c r="W9" s="79" t="str">
        <f>V9</f>
        <v>Celebraciones</v>
      </c>
      <c r="X9" s="79" t="str">
        <f>W9</f>
        <v>Celebraciones</v>
      </c>
      <c r="Y9" s="79" t="s">
        <v>22</v>
      </c>
      <c r="Z9" s="79" t="str">
        <f>Y9</f>
        <v>Brindis participación</v>
      </c>
      <c r="AA9" s="79" t="str">
        <f>Z9</f>
        <v>Brindis participación</v>
      </c>
      <c r="AB9" s="79" t="str">
        <f>AA9</f>
        <v>Brindis participación</v>
      </c>
      <c r="AC9" s="9"/>
    </row>
    <row r="10" spans="1:16382" ht="11.25" customHeight="1" x14ac:dyDescent="0.25">
      <c r="B10" s="9"/>
      <c r="C10" s="9"/>
      <c r="D10" s="80"/>
      <c r="E10" s="78"/>
      <c r="F10" s="79"/>
      <c r="G10" s="79"/>
      <c r="H10" s="79"/>
      <c r="I10" s="78"/>
      <c r="J10" s="119"/>
      <c r="K10" s="119"/>
      <c r="L10" s="79"/>
      <c r="M10" s="79"/>
      <c r="N10" s="79"/>
      <c r="O10" s="79"/>
      <c r="P10" s="79"/>
      <c r="Q10" s="79"/>
      <c r="R10" s="79"/>
      <c r="S10" s="79"/>
      <c r="T10" s="79"/>
      <c r="U10" s="79"/>
      <c r="V10" s="79"/>
      <c r="W10" s="79"/>
      <c r="X10" s="79"/>
      <c r="Y10" s="79"/>
      <c r="Z10" s="79"/>
      <c r="AA10" s="79"/>
      <c r="AB10" s="79"/>
      <c r="AC10" s="9"/>
    </row>
    <row r="11" spans="1:16382" ht="36.75" customHeight="1" x14ac:dyDescent="0.3">
      <c r="B11" s="81"/>
      <c r="C11" s="82"/>
      <c r="D11" s="83"/>
      <c r="E11" s="124" t="s">
        <v>1</v>
      </c>
      <c r="F11" s="124"/>
      <c r="G11" s="124"/>
      <c r="H11" s="124"/>
      <c r="I11" s="123" t="s">
        <v>2</v>
      </c>
      <c r="J11" s="123"/>
      <c r="K11" s="123"/>
      <c r="L11" s="123"/>
      <c r="M11" s="123" t="s">
        <v>3</v>
      </c>
      <c r="N11" s="123"/>
      <c r="O11" s="123"/>
      <c r="P11" s="123"/>
      <c r="Q11" s="123" t="s">
        <v>4</v>
      </c>
      <c r="R11" s="123"/>
      <c r="S11" s="123"/>
      <c r="T11" s="123"/>
      <c r="U11" s="123" t="s">
        <v>5</v>
      </c>
      <c r="V11" s="123"/>
      <c r="W11" s="123"/>
      <c r="X11" s="123"/>
      <c r="Y11" s="123" t="s">
        <v>22</v>
      </c>
      <c r="Z11" s="123"/>
      <c r="AA11" s="123"/>
      <c r="AB11" s="123"/>
      <c r="AC11" s="11"/>
    </row>
    <row r="12" spans="1:16382" ht="11.25" customHeight="1" x14ac:dyDescent="0.25">
      <c r="B12" s="84"/>
      <c r="C12" s="127"/>
      <c r="D12" s="127"/>
      <c r="E12" s="128" t="str">
        <f>IFERROR(HYPERLINK(highlightSeries(E11)),"6")</f>
        <v>6</v>
      </c>
      <c r="F12" s="128"/>
      <c r="G12" s="128"/>
      <c r="H12" s="128"/>
      <c r="I12" s="128" t="str">
        <f>IFERROR(HYPERLINK(highlightSeries(I11)),"6")</f>
        <v>6</v>
      </c>
      <c r="J12" s="128"/>
      <c r="K12" s="128"/>
      <c r="L12" s="128"/>
      <c r="M12" s="128" t="str">
        <f>IFERROR(HYPERLINK(highlightSeries(M11)),"6")</f>
        <v>6</v>
      </c>
      <c r="N12" s="128"/>
      <c r="O12" s="128"/>
      <c r="P12" s="128"/>
      <c r="Q12" s="128" t="str">
        <f>IFERROR(HYPERLINK(highlightSeries(Q11)),"6")</f>
        <v>6</v>
      </c>
      <c r="R12" s="128"/>
      <c r="S12" s="128"/>
      <c r="T12" s="128"/>
      <c r="U12" s="128" t="str">
        <f>IFERROR(HYPERLINK(highlightSeries(U11)),"6")</f>
        <v>6</v>
      </c>
      <c r="V12" s="128"/>
      <c r="W12" s="128"/>
      <c r="X12" s="128"/>
      <c r="Y12" s="128" t="str">
        <f>IFERROR(HYPERLINK(highlightSeries(Y11)),"6")</f>
        <v>6</v>
      </c>
      <c r="Z12" s="128"/>
      <c r="AA12" s="128"/>
      <c r="AB12" s="128"/>
      <c r="AC12" s="11"/>
    </row>
    <row r="13" spans="1:16382" ht="11.25" customHeight="1" x14ac:dyDescent="0.25">
      <c r="B13" s="84"/>
      <c r="C13" s="85"/>
      <c r="D13" s="85"/>
      <c r="E13" s="31"/>
      <c r="F13" s="31"/>
      <c r="G13" s="31"/>
      <c r="H13" s="31"/>
      <c r="I13" s="31"/>
      <c r="J13" s="31"/>
      <c r="K13" s="31"/>
      <c r="L13" s="31"/>
      <c r="M13" s="31"/>
      <c r="N13" s="31"/>
      <c r="O13" s="31"/>
      <c r="P13" s="31"/>
      <c r="Q13" s="31"/>
      <c r="R13" s="31"/>
      <c r="S13" s="31"/>
      <c r="T13" s="31"/>
      <c r="U13" s="31"/>
      <c r="V13" s="31"/>
      <c r="W13" s="31"/>
      <c r="X13" s="31"/>
      <c r="Y13" s="31"/>
      <c r="Z13" s="31"/>
      <c r="AA13" s="31"/>
      <c r="AB13" s="31"/>
      <c r="AC13" s="11"/>
    </row>
    <row r="14" spans="1:16382" ht="30.75" customHeight="1" x14ac:dyDescent="0.25">
      <c r="B14" s="86"/>
      <c r="C14" s="32" t="s">
        <v>7</v>
      </c>
      <c r="D14" s="33"/>
      <c r="E14" s="100"/>
      <c r="F14" s="118">
        <f>GETPIVOTDATA("Suma de BALANCE",Data!$B$27,"DESCRIPCION",E$11)</f>
        <v>136.03</v>
      </c>
      <c r="G14" s="118"/>
      <c r="H14" s="94"/>
      <c r="I14" s="94"/>
      <c r="J14" s="118">
        <f>GETPIVOTDATA("Suma de BALANCE",Data!$B$27,"DESCRIPCION",I$11)</f>
        <v>32</v>
      </c>
      <c r="K14" s="118"/>
      <c r="L14" s="94"/>
      <c r="M14" s="94"/>
      <c r="N14" s="118">
        <f>GETPIVOTDATA("Suma de BALANCE",Data!$B$27,"DESCRIPCION",M$11)</f>
        <v>165.3</v>
      </c>
      <c r="O14" s="118"/>
      <c r="P14" s="94"/>
      <c r="Q14" s="94"/>
      <c r="R14" s="118">
        <f>GETPIVOTDATA("Suma de BALANCE",Data!$B$27,"DESCRIPCION",Q$11)</f>
        <v>0</v>
      </c>
      <c r="S14" s="118"/>
      <c r="T14" s="94"/>
      <c r="U14" s="94"/>
      <c r="V14" s="118">
        <f>GETPIVOTDATA("Suma de BALANCE",Data!$B$27,"DESCRIPCION",U$11)</f>
        <v>0</v>
      </c>
      <c r="W14" s="118"/>
      <c r="X14" s="94"/>
      <c r="Y14" s="94"/>
      <c r="Z14" s="118">
        <f>GETPIVOTDATA("Suma de BALANCE",Data!$B$27,"DESCRIPCION",Y$11)</f>
        <v>0</v>
      </c>
      <c r="AA14" s="118"/>
      <c r="AB14" s="95"/>
      <c r="AC14" s="86"/>
    </row>
    <row r="15" spans="1:16382" ht="30.75" customHeight="1" x14ac:dyDescent="0.25">
      <c r="B15" s="86"/>
      <c r="C15" s="34" t="s">
        <v>6</v>
      </c>
      <c r="D15" s="33"/>
      <c r="E15" s="100"/>
      <c r="F15" s="117">
        <f>GETPIVOTDATA("Suma de PLAN",Data!$B$27,"DESCRIPCION",E$11)</f>
        <v>2706.8566999999998</v>
      </c>
      <c r="G15" s="117"/>
      <c r="H15" s="96"/>
      <c r="I15" s="96"/>
      <c r="J15" s="117">
        <f>GETPIVOTDATA("Suma de PLAN",Data!$B$27,"DESCRIPCION",I$11)</f>
        <v>206.6756</v>
      </c>
      <c r="K15" s="117"/>
      <c r="L15" s="96"/>
      <c r="M15" s="96"/>
      <c r="N15" s="117">
        <f>GETPIVOTDATA("Suma de PLAN",Data!$B$27,"DESCRIPCION",M$11)</f>
        <v>1391.5451</v>
      </c>
      <c r="O15" s="117"/>
      <c r="P15" s="96"/>
      <c r="Q15" s="96"/>
      <c r="R15" s="117">
        <f>GETPIVOTDATA("Suma de PLAN",Data!$B$27,"DESCRIPCION",Q$11)</f>
        <v>50</v>
      </c>
      <c r="S15" s="117"/>
      <c r="T15" s="96"/>
      <c r="U15" s="96"/>
      <c r="V15" s="117">
        <f>GETPIVOTDATA("Suma de PLAN",Data!$B$27,"DESCRIPCION",U$11)</f>
        <v>1044</v>
      </c>
      <c r="W15" s="117"/>
      <c r="X15" s="96"/>
      <c r="Y15" s="96"/>
      <c r="Z15" s="117">
        <f>GETPIVOTDATA("Suma de PLAN",Data!$B$27,"DESCRIPCION",Y$11)</f>
        <v>197</v>
      </c>
      <c r="AA15" s="117"/>
      <c r="AB15" s="95"/>
      <c r="AC15" s="86"/>
    </row>
    <row r="16" spans="1:16382" ht="30.75" customHeight="1" x14ac:dyDescent="0.25">
      <c r="B16" s="86"/>
      <c r="C16" s="34" t="s">
        <v>9</v>
      </c>
      <c r="D16" s="33"/>
      <c r="E16" s="100"/>
      <c r="F16" s="120">
        <f>F17/F15</f>
        <v>0.94974613912882788</v>
      </c>
      <c r="G16" s="120"/>
      <c r="H16" s="97"/>
      <c r="I16" s="97"/>
      <c r="J16" s="120">
        <f>J17/J15</f>
        <v>0.8451679830613773</v>
      </c>
      <c r="K16" s="120"/>
      <c r="L16" s="97"/>
      <c r="M16" s="97"/>
      <c r="N16" s="120">
        <f>N17/N15</f>
        <v>0.88121118029160539</v>
      </c>
      <c r="O16" s="120"/>
      <c r="P16" s="97"/>
      <c r="Q16" s="97"/>
      <c r="R16" s="120">
        <f>R17/R15</f>
        <v>1</v>
      </c>
      <c r="S16" s="120"/>
      <c r="T16" s="97"/>
      <c r="U16" s="97"/>
      <c r="V16" s="120">
        <f>V17/V15</f>
        <v>1</v>
      </c>
      <c r="W16" s="120"/>
      <c r="X16" s="97"/>
      <c r="Y16" s="97"/>
      <c r="Z16" s="120">
        <f>Z17/Z15</f>
        <v>1</v>
      </c>
      <c r="AA16" s="120"/>
      <c r="AB16" s="95"/>
      <c r="AC16" s="86"/>
    </row>
    <row r="17" spans="2:29" ht="30.75" customHeight="1" x14ac:dyDescent="0.25">
      <c r="B17" s="86"/>
      <c r="C17" s="34" t="s">
        <v>8</v>
      </c>
      <c r="D17" s="35"/>
      <c r="E17" s="100"/>
      <c r="F17" s="121">
        <f>F15-F14</f>
        <v>2570.8266999999996</v>
      </c>
      <c r="G17" s="121"/>
      <c r="H17" s="98"/>
      <c r="I17" s="98"/>
      <c r="J17" s="121">
        <f>J15-J14</f>
        <v>174.6756</v>
      </c>
      <c r="K17" s="121"/>
      <c r="L17" s="98"/>
      <c r="M17" s="98"/>
      <c r="N17" s="121">
        <f>N15-N14</f>
        <v>1226.2451000000001</v>
      </c>
      <c r="O17" s="121"/>
      <c r="P17" s="98"/>
      <c r="Q17" s="98"/>
      <c r="R17" s="121">
        <f>R15-R14</f>
        <v>50</v>
      </c>
      <c r="S17" s="121"/>
      <c r="T17" s="98"/>
      <c r="U17" s="98"/>
      <c r="V17" s="121">
        <f>V15-V14</f>
        <v>1044</v>
      </c>
      <c r="W17" s="121"/>
      <c r="X17" s="98"/>
      <c r="Y17" s="98"/>
      <c r="Z17" s="121">
        <f>Z15-Z14</f>
        <v>197</v>
      </c>
      <c r="AA17" s="121"/>
      <c r="AB17" s="95"/>
      <c r="AC17" s="86"/>
    </row>
    <row r="18" spans="2:29" ht="58.5" customHeight="1" x14ac:dyDescent="0.25">
      <c r="B18" s="86"/>
      <c r="C18" s="129"/>
      <c r="D18" s="129"/>
      <c r="E18" s="122">
        <f>1-F16</f>
        <v>5.0253860871172118E-2</v>
      </c>
      <c r="F18" s="122"/>
      <c r="G18" s="122"/>
      <c r="H18" s="122"/>
      <c r="I18" s="99"/>
      <c r="J18" s="101">
        <f>1-J16</f>
        <v>0.1548320169386227</v>
      </c>
      <c r="K18" s="102"/>
      <c r="L18" s="99"/>
      <c r="M18" s="99"/>
      <c r="N18" s="99">
        <f>1-N16</f>
        <v>0.11878881970839461</v>
      </c>
      <c r="O18" s="99"/>
      <c r="P18" s="99"/>
      <c r="Q18" s="99"/>
      <c r="R18" s="99">
        <f>1-R16</f>
        <v>0</v>
      </c>
      <c r="S18" s="99"/>
      <c r="T18" s="99"/>
      <c r="U18" s="99"/>
      <c r="V18" s="99"/>
      <c r="W18" s="99"/>
      <c r="X18" s="99"/>
      <c r="Y18" s="99"/>
      <c r="Z18" s="99">
        <f>1-Z16</f>
        <v>0</v>
      </c>
      <c r="AA18" s="99"/>
      <c r="AB18" s="95"/>
      <c r="AC18" s="88"/>
    </row>
    <row r="19" spans="2:29" ht="18" customHeight="1" x14ac:dyDescent="0.25">
      <c r="B19" s="84"/>
      <c r="C19" s="132"/>
      <c r="D19" s="132"/>
      <c r="E19" s="125" t="str">
        <f>IF(E11=valSelOption,"5","")</f>
        <v/>
      </c>
      <c r="F19" s="125"/>
      <c r="G19" s="125"/>
      <c r="H19" s="125"/>
      <c r="I19" s="125" t="str">
        <f>IF(I11=valSelOption,"5","")</f>
        <v/>
      </c>
      <c r="J19" s="125"/>
      <c r="K19" s="125"/>
      <c r="L19" s="125"/>
      <c r="M19" s="125" t="str">
        <f>IF(M11=valSelOption,"5","")</f>
        <v/>
      </c>
      <c r="N19" s="125"/>
      <c r="O19" s="125"/>
      <c r="P19" s="125"/>
      <c r="Q19" s="125" t="str">
        <f>IF(Q11=valSelOption,"5","")</f>
        <v>5</v>
      </c>
      <c r="R19" s="125"/>
      <c r="S19" s="125"/>
      <c r="T19" s="125"/>
      <c r="U19" s="125" t="str">
        <f>IF(U11=valSelOption,"5","")</f>
        <v/>
      </c>
      <c r="V19" s="125"/>
      <c r="W19" s="125"/>
      <c r="X19" s="125"/>
      <c r="Y19" s="125" t="str">
        <f>IF(Y11=valSelOption,"5","")</f>
        <v/>
      </c>
      <c r="Z19" s="125"/>
      <c r="AA19" s="125"/>
      <c r="AB19" s="125"/>
      <c r="AC19" s="11"/>
    </row>
    <row r="20" spans="2:29" ht="12.75" customHeight="1" x14ac:dyDescent="0.25">
      <c r="B20" s="84"/>
      <c r="C20" s="127"/>
      <c r="D20" s="127"/>
      <c r="E20" s="115"/>
      <c r="F20" s="115"/>
      <c r="G20" s="115"/>
      <c r="H20" s="115"/>
      <c r="I20" s="115"/>
      <c r="J20" s="115"/>
      <c r="K20" s="115"/>
      <c r="L20" s="115"/>
      <c r="M20" s="115"/>
      <c r="N20" s="115"/>
      <c r="O20" s="115"/>
      <c r="P20" s="115"/>
      <c r="Q20" s="115"/>
      <c r="R20" s="115"/>
      <c r="S20" s="115"/>
      <c r="T20" s="115"/>
      <c r="U20" s="115"/>
      <c r="V20" s="115"/>
      <c r="W20" s="115"/>
      <c r="X20" s="115"/>
      <c r="Y20" s="115"/>
      <c r="Z20" s="115"/>
      <c r="AA20" s="115"/>
      <c r="AB20" s="115"/>
      <c r="AC20" s="11"/>
    </row>
    <row r="21" spans="2:29" ht="18" customHeight="1" x14ac:dyDescent="0.25">
      <c r="B21" s="84"/>
      <c r="C21" s="85"/>
      <c r="D21" s="85"/>
      <c r="E21" s="87"/>
      <c r="F21" s="87"/>
      <c r="G21" s="87"/>
      <c r="H21" s="87"/>
      <c r="I21" s="87"/>
      <c r="J21" s="87"/>
      <c r="K21" s="87"/>
      <c r="L21" s="87"/>
      <c r="M21" s="87"/>
      <c r="N21" s="87"/>
      <c r="O21" s="87"/>
      <c r="P21" s="87"/>
      <c r="Q21" s="87"/>
      <c r="R21" s="87"/>
      <c r="S21" s="87"/>
      <c r="T21" s="87"/>
      <c r="U21" s="87"/>
      <c r="V21" s="87"/>
      <c r="W21" s="87"/>
      <c r="X21" s="87"/>
      <c r="Y21" s="87"/>
      <c r="Z21" s="87"/>
      <c r="AA21" s="87"/>
      <c r="AB21" s="87"/>
      <c r="AC21" s="11"/>
    </row>
    <row r="22" spans="2:29" s="37" customFormat="1" ht="18" customHeight="1" x14ac:dyDescent="0.25">
      <c r="B22" s="38"/>
      <c r="C22" s="39"/>
      <c r="D22" s="39"/>
      <c r="E22" s="36"/>
      <c r="F22" s="36"/>
      <c r="G22" s="36"/>
      <c r="H22" s="36"/>
      <c r="I22" s="36"/>
      <c r="J22" s="36"/>
      <c r="K22" s="36"/>
      <c r="L22" s="36"/>
      <c r="M22" s="36"/>
      <c r="N22" s="36"/>
      <c r="O22" s="36"/>
      <c r="P22" s="36"/>
      <c r="Q22" s="36"/>
      <c r="R22" s="36"/>
      <c r="S22" s="36"/>
      <c r="T22" s="36"/>
      <c r="U22" s="36"/>
      <c r="V22" s="36"/>
      <c r="W22" s="36"/>
      <c r="X22" s="36"/>
      <c r="Y22" s="36"/>
      <c r="Z22" s="36"/>
      <c r="AA22" s="36"/>
      <c r="AB22" s="36"/>
      <c r="AC22" s="40"/>
    </row>
    <row r="23" spans="2:29" ht="18" customHeight="1" x14ac:dyDescent="0.25">
      <c r="B23" s="74"/>
      <c r="C23" s="75"/>
      <c r="D23" s="75"/>
      <c r="E23" s="76"/>
      <c r="F23" s="76"/>
      <c r="G23" s="76"/>
      <c r="H23" s="76"/>
      <c r="I23" s="76"/>
      <c r="J23" s="76"/>
      <c r="K23" s="76"/>
      <c r="L23" s="76"/>
      <c r="M23" s="76"/>
      <c r="N23" s="76"/>
      <c r="O23" s="76"/>
      <c r="P23" s="76"/>
      <c r="Q23" s="76"/>
      <c r="R23" s="76"/>
      <c r="S23" s="76"/>
      <c r="T23" s="76"/>
      <c r="U23" s="76"/>
      <c r="V23" s="76"/>
      <c r="W23" s="76"/>
      <c r="X23" s="76"/>
      <c r="Y23" s="76"/>
      <c r="Z23" s="76"/>
      <c r="AA23" s="76"/>
      <c r="AB23" s="76"/>
      <c r="AC23" s="77"/>
    </row>
    <row r="24" spans="2:29" ht="18" customHeight="1" x14ac:dyDescent="0.25">
      <c r="B24" s="84"/>
      <c r="C24" s="85"/>
      <c r="D24" s="85"/>
      <c r="E24" s="87"/>
      <c r="F24" s="87"/>
      <c r="G24" s="87"/>
      <c r="H24" s="87"/>
      <c r="I24" s="87"/>
      <c r="J24" s="87"/>
      <c r="K24" s="87"/>
      <c r="L24" s="87"/>
      <c r="M24" s="87"/>
      <c r="N24" s="87"/>
      <c r="O24" s="87"/>
      <c r="P24" s="87"/>
      <c r="Q24" s="87"/>
      <c r="R24" s="87"/>
      <c r="S24" s="87"/>
      <c r="T24" s="87"/>
      <c r="U24" s="87"/>
      <c r="V24" s="87"/>
      <c r="W24" s="87"/>
      <c r="X24" s="87"/>
      <c r="Y24" s="87"/>
      <c r="Z24" s="87"/>
      <c r="AA24" s="87"/>
      <c r="AB24" s="87"/>
      <c r="AC24" s="11"/>
    </row>
    <row r="25" spans="2:29" ht="30.75" customHeight="1" x14ac:dyDescent="0.25">
      <c r="B25" s="91"/>
      <c r="C25" s="130" t="str">
        <f>IF(Data!$B$10=Dashboard!C34,CHOOSE(Data!$E$20,5,6),"")</f>
        <v/>
      </c>
      <c r="D25" s="130"/>
      <c r="E25" s="131">
        <f>IF(Data!$B$10=Dashboard!E34,CHOOSE(Data!$E$20,5,6),"")</f>
        <v>5</v>
      </c>
      <c r="F25" s="131"/>
      <c r="G25" s="131"/>
      <c r="H25" s="131"/>
      <c r="I25" s="131"/>
      <c r="J25" s="131" t="str">
        <f>IF(Data!$B$10=Dashboard!J34,CHOOSE(Data!$E$20,5,6),"")</f>
        <v/>
      </c>
      <c r="K25" s="131"/>
      <c r="L25" s="131"/>
      <c r="M25" s="131"/>
      <c r="N25" s="131"/>
      <c r="O25" s="131"/>
      <c r="P25" s="130" t="str">
        <f>IF(Data!$B$10=Dashboard!P34,CHOOSE(Data!$E$20,5,6),"")</f>
        <v/>
      </c>
      <c r="Q25" s="130"/>
      <c r="R25" s="130"/>
      <c r="S25" s="130"/>
      <c r="T25" s="130"/>
      <c r="U25" s="130"/>
      <c r="V25" s="130"/>
      <c r="W25" s="130"/>
      <c r="X25" s="112" t="str">
        <f>IF(Data!$B$10=Dashboard!X34,CHOOSE(Data!$E$20,5,6),"")</f>
        <v/>
      </c>
      <c r="Y25" s="112"/>
      <c r="Z25" s="112" t="str">
        <f>IF(Data!$B$10=Dashboard!Z34,CHOOSE(Data!$E$20,5,6),"")</f>
        <v/>
      </c>
      <c r="AA25" s="112"/>
      <c r="AB25" s="41"/>
      <c r="AC25" s="89"/>
    </row>
    <row r="26" spans="2:29" ht="27" customHeight="1" x14ac:dyDescent="0.25">
      <c r="B26" s="92" t="str">
        <f t="shared" ref="B26:B30" si="0">IF(ROW()=valRowGrid,4,"")</f>
        <v/>
      </c>
      <c r="C26" s="113">
        <v>43110</v>
      </c>
      <c r="D26" s="114"/>
      <c r="E26" s="107" t="s">
        <v>25</v>
      </c>
      <c r="F26" s="107"/>
      <c r="G26" s="107"/>
      <c r="H26" s="107"/>
      <c r="I26" s="107"/>
      <c r="J26" s="109" t="s">
        <v>26</v>
      </c>
      <c r="K26" s="109"/>
      <c r="L26" s="109"/>
      <c r="M26" s="109"/>
      <c r="N26" s="109"/>
      <c r="O26" s="109"/>
      <c r="P26" s="107" t="s">
        <v>24</v>
      </c>
      <c r="Q26" s="107"/>
      <c r="R26" s="107"/>
      <c r="S26" s="107"/>
      <c r="T26" s="107"/>
      <c r="U26" s="107"/>
      <c r="V26" s="107"/>
      <c r="W26" s="107"/>
      <c r="X26" s="111">
        <v>155.66999999999999</v>
      </c>
      <c r="Y26" s="111"/>
      <c r="Z26" s="111">
        <v>0</v>
      </c>
      <c r="AA26" s="116"/>
      <c r="AB26" s="47"/>
      <c r="AC26" s="89"/>
    </row>
    <row r="27" spans="2:29" ht="27" customHeight="1" x14ac:dyDescent="0.25">
      <c r="B27" s="93" t="str">
        <f t="shared" si="0"/>
        <v/>
      </c>
      <c r="C27" s="113">
        <v>43125</v>
      </c>
      <c r="D27" s="114"/>
      <c r="E27" s="107" t="s">
        <v>25</v>
      </c>
      <c r="F27" s="107"/>
      <c r="G27" s="107"/>
      <c r="H27" s="107"/>
      <c r="I27" s="107"/>
      <c r="J27" s="109" t="s">
        <v>26</v>
      </c>
      <c r="K27" s="109"/>
      <c r="L27" s="109"/>
      <c r="M27" s="109"/>
      <c r="N27" s="109"/>
      <c r="O27" s="109"/>
      <c r="P27" s="107" t="s">
        <v>24</v>
      </c>
      <c r="Q27" s="107"/>
      <c r="R27" s="107"/>
      <c r="S27" s="107"/>
      <c r="T27" s="107"/>
      <c r="U27" s="107"/>
      <c r="V27" s="107">
        <v>87.61</v>
      </c>
      <c r="W27" s="107"/>
      <c r="X27" s="111">
        <v>87.61</v>
      </c>
      <c r="Y27" s="111"/>
      <c r="Z27" s="111">
        <v>0</v>
      </c>
      <c r="AA27" s="116"/>
      <c r="AB27" s="47"/>
      <c r="AC27" s="89"/>
    </row>
    <row r="28" spans="2:29" ht="27" customHeight="1" x14ac:dyDescent="0.25">
      <c r="B28" s="93">
        <f t="shared" si="0"/>
        <v>4</v>
      </c>
      <c r="C28" s="113">
        <v>43169</v>
      </c>
      <c r="D28" s="114"/>
      <c r="E28" s="107" t="s">
        <v>27</v>
      </c>
      <c r="F28" s="107"/>
      <c r="G28" s="107"/>
      <c r="H28" s="107"/>
      <c r="I28" s="107"/>
      <c r="J28" s="109" t="s">
        <v>26</v>
      </c>
      <c r="K28" s="109"/>
      <c r="L28" s="109"/>
      <c r="M28" s="109"/>
      <c r="N28" s="109"/>
      <c r="O28" s="109"/>
      <c r="P28" s="107" t="s">
        <v>24</v>
      </c>
      <c r="Q28" s="107"/>
      <c r="R28" s="107"/>
      <c r="S28" s="107"/>
      <c r="T28" s="107"/>
      <c r="U28" s="107"/>
      <c r="V28" s="107">
        <v>27.32</v>
      </c>
      <c r="W28" s="107"/>
      <c r="X28" s="111">
        <v>27.32</v>
      </c>
      <c r="Y28" s="111"/>
      <c r="Z28" s="111">
        <v>0</v>
      </c>
      <c r="AA28" s="116"/>
      <c r="AB28" s="47"/>
      <c r="AC28" s="89"/>
    </row>
    <row r="29" spans="2:29" ht="27" customHeight="1" x14ac:dyDescent="0.25">
      <c r="B29" s="93" t="str">
        <f t="shared" si="0"/>
        <v/>
      </c>
      <c r="C29" s="113">
        <v>43152</v>
      </c>
      <c r="D29" s="114"/>
      <c r="E29" s="107" t="s">
        <v>28</v>
      </c>
      <c r="F29" s="107"/>
      <c r="G29" s="107"/>
      <c r="H29" s="107"/>
      <c r="I29" s="107"/>
      <c r="J29" s="109" t="s">
        <v>26</v>
      </c>
      <c r="K29" s="109"/>
      <c r="L29" s="109"/>
      <c r="M29" s="109"/>
      <c r="N29" s="109"/>
      <c r="O29" s="109"/>
      <c r="P29" s="107" t="s">
        <v>24</v>
      </c>
      <c r="Q29" s="107"/>
      <c r="R29" s="107"/>
      <c r="S29" s="107"/>
      <c r="T29" s="107"/>
      <c r="U29" s="107"/>
      <c r="V29" s="107">
        <v>2.4</v>
      </c>
      <c r="W29" s="107"/>
      <c r="X29" s="111">
        <v>2.4</v>
      </c>
      <c r="Y29" s="111"/>
      <c r="Z29" s="111">
        <v>0</v>
      </c>
      <c r="AA29" s="116"/>
      <c r="AB29" s="47"/>
      <c r="AC29" s="89"/>
    </row>
    <row r="30" spans="2:29" ht="27" customHeight="1" x14ac:dyDescent="0.25">
      <c r="B30" s="93" t="str">
        <f t="shared" si="0"/>
        <v/>
      </c>
      <c r="C30" s="113">
        <v>43161</v>
      </c>
      <c r="D30" s="114"/>
      <c r="E30" s="107" t="s">
        <v>28</v>
      </c>
      <c r="F30" s="107"/>
      <c r="G30" s="107"/>
      <c r="H30" s="107"/>
      <c r="I30" s="107"/>
      <c r="J30" s="109" t="s">
        <v>26</v>
      </c>
      <c r="K30" s="109"/>
      <c r="L30" s="109"/>
      <c r="M30" s="109"/>
      <c r="N30" s="109"/>
      <c r="O30" s="109"/>
      <c r="P30" s="107" t="s">
        <v>24</v>
      </c>
      <c r="Q30" s="107"/>
      <c r="R30" s="107"/>
      <c r="S30" s="107"/>
      <c r="T30" s="107"/>
      <c r="U30" s="107"/>
      <c r="V30" s="107">
        <v>2.4</v>
      </c>
      <c r="W30" s="107"/>
      <c r="X30" s="111">
        <v>2.4</v>
      </c>
      <c r="Y30" s="111"/>
      <c r="Z30" s="111">
        <v>0</v>
      </c>
      <c r="AA30" s="116"/>
      <c r="AB30" s="47"/>
      <c r="AC30" s="89"/>
    </row>
    <row r="31" spans="2:29" x14ac:dyDescent="0.25">
      <c r="B31" s="9"/>
      <c r="C31" s="108"/>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c r="AB31" s="9"/>
      <c r="AC31" s="9"/>
    </row>
    <row r="32" spans="2:29" ht="30" customHeight="1" x14ac:dyDescent="0.25">
      <c r="B32" s="9"/>
      <c r="C32" s="90"/>
      <c r="D32" s="90"/>
      <c r="E32" s="90"/>
      <c r="F32" s="90"/>
      <c r="G32" s="90"/>
      <c r="H32" s="90"/>
      <c r="I32" s="90"/>
      <c r="J32" s="90"/>
      <c r="K32" s="90"/>
      <c r="L32" s="90"/>
      <c r="M32" s="90"/>
      <c r="N32" s="90"/>
      <c r="O32" s="90"/>
      <c r="P32" s="90"/>
      <c r="Q32" s="90"/>
      <c r="R32" s="90"/>
      <c r="S32" s="90"/>
      <c r="T32" s="90"/>
      <c r="U32" s="90"/>
      <c r="V32" s="90"/>
      <c r="W32" s="90"/>
      <c r="X32" s="90"/>
      <c r="Y32" s="90"/>
      <c r="Z32" s="90"/>
      <c r="AA32" s="90"/>
      <c r="AB32" s="9"/>
      <c r="AC32" s="9"/>
    </row>
    <row r="34" spans="3:27" x14ac:dyDescent="0.25">
      <c r="C34" s="106">
        <v>6</v>
      </c>
      <c r="D34" s="106"/>
      <c r="E34" s="110">
        <v>5</v>
      </c>
      <c r="F34" s="110"/>
      <c r="G34" s="110"/>
      <c r="H34" s="110"/>
      <c r="I34" s="110"/>
      <c r="J34" s="106">
        <v>1</v>
      </c>
      <c r="K34" s="106"/>
      <c r="L34" s="106"/>
      <c r="M34" s="106"/>
      <c r="N34" s="106"/>
      <c r="O34" s="106"/>
      <c r="P34" s="106">
        <v>2</v>
      </c>
      <c r="Q34" s="106"/>
      <c r="R34" s="106"/>
      <c r="S34" s="106"/>
      <c r="T34" s="106"/>
      <c r="U34" s="106"/>
      <c r="V34" s="106"/>
      <c r="W34" s="106"/>
      <c r="X34" s="106">
        <v>3</v>
      </c>
      <c r="Y34" s="106"/>
      <c r="Z34" s="106">
        <v>4</v>
      </c>
      <c r="AA34" s="106"/>
    </row>
  </sheetData>
  <sheetProtection selectLockedCells="1" selectUnlockedCells="1"/>
  <dataConsolidate/>
  <mergeCells count="103">
    <mergeCell ref="C18:D18"/>
    <mergeCell ref="C20:D20"/>
    <mergeCell ref="E20:H20"/>
    <mergeCell ref="I20:L20"/>
    <mergeCell ref="M20:P20"/>
    <mergeCell ref="C27:D27"/>
    <mergeCell ref="C28:D28"/>
    <mergeCell ref="C29:D29"/>
    <mergeCell ref="E26:I26"/>
    <mergeCell ref="E27:I27"/>
    <mergeCell ref="C25:D25"/>
    <mergeCell ref="C26:D26"/>
    <mergeCell ref="P25:W25"/>
    <mergeCell ref="E25:I25"/>
    <mergeCell ref="J25:O25"/>
    <mergeCell ref="J26:O26"/>
    <mergeCell ref="J27:O27"/>
    <mergeCell ref="J28:O28"/>
    <mergeCell ref="P26:W26"/>
    <mergeCell ref="P27:W27"/>
    <mergeCell ref="P28:W28"/>
    <mergeCell ref="P29:W29"/>
    <mergeCell ref="C19:D19"/>
    <mergeCell ref="E19:H19"/>
    <mergeCell ref="I19:L19"/>
    <mergeCell ref="M19:P19"/>
    <mergeCell ref="Q19:T19"/>
    <mergeCell ref="U19:X19"/>
    <mergeCell ref="Y19:AB19"/>
    <mergeCell ref="Q20:T20"/>
    <mergeCell ref="U20:X20"/>
    <mergeCell ref="D7:I8"/>
    <mergeCell ref="C12:D12"/>
    <mergeCell ref="I12:L12"/>
    <mergeCell ref="Q12:T12"/>
    <mergeCell ref="M12:P12"/>
    <mergeCell ref="Y12:AB12"/>
    <mergeCell ref="E12:H12"/>
    <mergeCell ref="F14:G14"/>
    <mergeCell ref="F15:G15"/>
    <mergeCell ref="Z14:AA14"/>
    <mergeCell ref="Z15:AA15"/>
    <mergeCell ref="U12:X12"/>
    <mergeCell ref="J14:K14"/>
    <mergeCell ref="J15:K15"/>
    <mergeCell ref="N14:O14"/>
    <mergeCell ref="N15:O15"/>
    <mergeCell ref="R14:S14"/>
    <mergeCell ref="J10:K10"/>
    <mergeCell ref="F16:G16"/>
    <mergeCell ref="F17:G17"/>
    <mergeCell ref="E18:H18"/>
    <mergeCell ref="Y11:AB11"/>
    <mergeCell ref="E11:H11"/>
    <mergeCell ref="I11:L11"/>
    <mergeCell ref="M11:P11"/>
    <mergeCell ref="Q11:T11"/>
    <mergeCell ref="U11:X11"/>
    <mergeCell ref="V17:W17"/>
    <mergeCell ref="Z16:AA16"/>
    <mergeCell ref="Z17:AA17"/>
    <mergeCell ref="J16:K16"/>
    <mergeCell ref="J17:K17"/>
    <mergeCell ref="N16:O16"/>
    <mergeCell ref="N17:O17"/>
    <mergeCell ref="R16:S16"/>
    <mergeCell ref="R17:S17"/>
    <mergeCell ref="V16:W16"/>
    <mergeCell ref="Y20:AB20"/>
    <mergeCell ref="Z25:AA25"/>
    <mergeCell ref="Z26:AA26"/>
    <mergeCell ref="Z27:AA27"/>
    <mergeCell ref="Z28:AA28"/>
    <mergeCell ref="Z29:AA29"/>
    <mergeCell ref="Z30:AA30"/>
    <mergeCell ref="R15:S15"/>
    <mergeCell ref="V14:W14"/>
    <mergeCell ref="V15:W15"/>
    <mergeCell ref="X25:Y25"/>
    <mergeCell ref="X26:Y26"/>
    <mergeCell ref="C31:D31"/>
    <mergeCell ref="E31:I31"/>
    <mergeCell ref="J31:O31"/>
    <mergeCell ref="P31:W31"/>
    <mergeCell ref="X31:Y31"/>
    <mergeCell ref="C30:D30"/>
    <mergeCell ref="P34:W34"/>
    <mergeCell ref="X34:Y34"/>
    <mergeCell ref="X27:Y27"/>
    <mergeCell ref="X28:Y28"/>
    <mergeCell ref="Z34:AA34"/>
    <mergeCell ref="E28:I28"/>
    <mergeCell ref="E29:I29"/>
    <mergeCell ref="E30:I30"/>
    <mergeCell ref="Z31:AA31"/>
    <mergeCell ref="P30:W30"/>
    <mergeCell ref="J29:O29"/>
    <mergeCell ref="J30:O30"/>
    <mergeCell ref="C34:D34"/>
    <mergeCell ref="E34:I34"/>
    <mergeCell ref="J34:O34"/>
    <mergeCell ref="X29:Y29"/>
    <mergeCell ref="X30:Y30"/>
  </mergeCells>
  <conditionalFormatting sqref="E11:AB13 E10:J10 L10:AB10">
    <cfRule type="expression" dxfId="5" priority="39">
      <formula>E$9=valSelOption</formula>
    </cfRule>
  </conditionalFormatting>
  <conditionalFormatting sqref="E14:AB18">
    <cfRule type="expression" dxfId="4" priority="17">
      <formula>E$9=valSelOption</formula>
    </cfRule>
  </conditionalFormatting>
  <conditionalFormatting sqref="E19:AB19">
    <cfRule type="expression" dxfId="3" priority="4">
      <formula>E$9=valSelOption</formula>
    </cfRule>
  </conditionalFormatting>
  <conditionalFormatting sqref="E20:AB20">
    <cfRule type="expression" dxfId="2" priority="3">
      <formula>E$9=valSelOption</formula>
    </cfRule>
  </conditionalFormatting>
  <conditionalFormatting sqref="C26:AB30">
    <cfRule type="expression" dxfId="1" priority="1">
      <formula>ROW(C26)=valRowGrid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Scroll Bar 2">
              <controlPr defaultSize="0" autoPict="0">
                <anchor moveWithCells="1">
                  <from>
                    <xdr:col>26</xdr:col>
                    <xdr:colOff>514350</xdr:colOff>
                    <xdr:row>24</xdr:row>
                    <xdr:rowOff>0</xdr:rowOff>
                  </from>
                  <to>
                    <xdr:col>28</xdr:col>
                    <xdr:colOff>28575</xdr:colOff>
                    <xdr:row>29</xdr:row>
                    <xdr:rowOff>323850</xdr:rowOff>
                  </to>
                </anchor>
              </controlPr>
            </control>
          </mc:Choice>
        </mc:AlternateContent>
        <mc:AlternateContent xmlns:mc="http://schemas.openxmlformats.org/markup-compatibility/2006">
          <mc:Choice Requires="x14">
            <control shapeId="2053" r:id="rId5" name="Drop Down 5">
              <controlPr defaultSize="0" autoLine="0" autoPict="0">
                <anchor moveWithCells="1">
                  <from>
                    <xdr:col>25</xdr:col>
                    <xdr:colOff>190500</xdr:colOff>
                    <xdr:row>1</xdr:row>
                    <xdr:rowOff>66675</xdr:rowOff>
                  </from>
                  <to>
                    <xdr:col>29</xdr:col>
                    <xdr:colOff>0</xdr:colOff>
                    <xdr:row>3</xdr:row>
                    <xdr:rowOff>38100</xdr:rowOff>
                  </to>
                </anchor>
              </controlPr>
            </control>
          </mc:Choice>
        </mc:AlternateContent>
        <mc:AlternateContent xmlns:mc="http://schemas.openxmlformats.org/markup-compatibility/2006">
          <mc:Choice Requires="x14">
            <control shapeId="2056" r:id="rId6" name="Option Button 8">
              <controlPr defaultSize="0" autoFill="0" autoLine="0" autoPict="0" macro="[0]!PivotTableSort2">
                <anchor moveWithCells="1">
                  <from>
                    <xdr:col>11</xdr:col>
                    <xdr:colOff>95250</xdr:colOff>
                    <xdr:row>36</xdr:row>
                    <xdr:rowOff>76200</xdr:rowOff>
                  </from>
                  <to>
                    <xdr:col>11</xdr:col>
                    <xdr:colOff>400050</xdr:colOff>
                    <xdr:row>37</xdr:row>
                    <xdr:rowOff>114300</xdr:rowOff>
                  </to>
                </anchor>
              </controlPr>
            </control>
          </mc:Choice>
        </mc:AlternateContent>
        <mc:AlternateContent xmlns:mc="http://schemas.openxmlformats.org/markup-compatibility/2006">
          <mc:Choice Requires="x14">
            <control shapeId="2057" r:id="rId7" name="Option Button 9">
              <controlPr defaultSize="0" autoFill="0" autoLine="0" autoPict="0">
                <anchor moveWithCells="1">
                  <from>
                    <xdr:col>17</xdr:col>
                    <xdr:colOff>171450</xdr:colOff>
                    <xdr:row>36</xdr:row>
                    <xdr:rowOff>66675</xdr:rowOff>
                  </from>
                  <to>
                    <xdr:col>17</xdr:col>
                    <xdr:colOff>476250</xdr:colOff>
                    <xdr:row>37</xdr:row>
                    <xdr:rowOff>114300</xdr:rowOff>
                  </to>
                </anchor>
              </controlPr>
            </control>
          </mc:Choice>
        </mc:AlternateContent>
        <mc:AlternateContent xmlns:mc="http://schemas.openxmlformats.org/markup-compatibility/2006">
          <mc:Choice Requires="x14">
            <control shapeId="2058" r:id="rId8" name="Option Button 10">
              <controlPr defaultSize="0" autoFill="0" autoLine="0" autoPict="0">
                <anchor moveWithCells="1">
                  <from>
                    <xdr:col>25</xdr:col>
                    <xdr:colOff>66675</xdr:colOff>
                    <xdr:row>36</xdr:row>
                    <xdr:rowOff>66675</xdr:rowOff>
                  </from>
                  <to>
                    <xdr:col>25</xdr:col>
                    <xdr:colOff>371475</xdr:colOff>
                    <xdr:row>37</xdr:row>
                    <xdr:rowOff>114300</xdr:rowOff>
                  </to>
                </anchor>
              </controlPr>
            </control>
          </mc:Choice>
        </mc:AlternateContent>
        <mc:AlternateContent xmlns:mc="http://schemas.openxmlformats.org/markup-compatibility/2006">
          <mc:Choice Requires="x14">
            <control shapeId="2059" r:id="rId9" name="Option Button 11">
              <controlPr defaultSize="0" autoFill="0" autoLine="0" autoPict="0">
                <anchor moveWithCells="1">
                  <from>
                    <xdr:col>26</xdr:col>
                    <xdr:colOff>438150</xdr:colOff>
                    <xdr:row>36</xdr:row>
                    <xdr:rowOff>66675</xdr:rowOff>
                  </from>
                  <to>
                    <xdr:col>27</xdr:col>
                    <xdr:colOff>219075</xdr:colOff>
                    <xdr:row>37</xdr:row>
                    <xdr:rowOff>114300</xdr:rowOff>
                  </to>
                </anchor>
              </controlPr>
            </control>
          </mc:Choice>
        </mc:AlternateContent>
        <mc:AlternateContent xmlns:mc="http://schemas.openxmlformats.org/markup-compatibility/2006">
          <mc:Choice Requires="x14">
            <control shapeId="2060" r:id="rId10" name="Option Button 12">
              <controlPr defaultSize="0" autoFill="0" autoLine="0" autoPict="0">
                <anchor moveWithCells="1">
                  <from>
                    <xdr:col>6</xdr:col>
                    <xdr:colOff>57150</xdr:colOff>
                    <xdr:row>36</xdr:row>
                    <xdr:rowOff>76200</xdr:rowOff>
                  </from>
                  <to>
                    <xdr:col>6</xdr:col>
                    <xdr:colOff>361950</xdr:colOff>
                    <xdr:row>37</xdr:row>
                    <xdr:rowOff>114300</xdr:rowOff>
                  </to>
                </anchor>
              </controlPr>
            </control>
          </mc:Choice>
        </mc:AlternateContent>
        <mc:AlternateContent xmlns:mc="http://schemas.openxmlformats.org/markup-compatibility/2006">
          <mc:Choice Requires="x14">
            <control shapeId="2061" r:id="rId11" name="Option Button 13">
              <controlPr defaultSize="0" autoFill="0" autoLine="0" autoPict="0">
                <anchor moveWithCells="1">
                  <from>
                    <xdr:col>3</xdr:col>
                    <xdr:colOff>495300</xdr:colOff>
                    <xdr:row>36</xdr:row>
                    <xdr:rowOff>66675</xdr:rowOff>
                  </from>
                  <to>
                    <xdr:col>4</xdr:col>
                    <xdr:colOff>209550</xdr:colOff>
                    <xdr:row>37</xdr:row>
                    <xdr:rowOff>114300</xdr:rowOff>
                  </to>
                </anchor>
              </controlPr>
            </control>
          </mc:Choice>
        </mc:AlternateContent>
        <mc:AlternateContent xmlns:mc="http://schemas.openxmlformats.org/markup-compatibility/2006">
          <mc:Choice Requires="x14">
            <control shapeId="2063" r:id="rId12" name="List Box 15">
              <controlPr defaultSize="0" autoLine="0" autoPict="0">
                <anchor moveWithCells="1">
                  <from>
                    <xdr:col>16</xdr:col>
                    <xdr:colOff>133350</xdr:colOff>
                    <xdr:row>21</xdr:row>
                    <xdr:rowOff>219075</xdr:rowOff>
                  </from>
                  <to>
                    <xdr:col>19</xdr:col>
                    <xdr:colOff>133350</xdr:colOff>
                    <xdr:row>23</xdr:row>
                    <xdr:rowOff>66675</xdr:rowOff>
                  </to>
                </anchor>
              </controlPr>
            </control>
          </mc:Choice>
        </mc:AlternateContent>
        <mc:AlternateContent xmlns:mc="http://schemas.openxmlformats.org/markup-compatibility/2006">
          <mc:Choice Requires="x14">
            <control shapeId="2064" r:id="rId13" name="Drop Down 16">
              <controlPr defaultSize="0" autoLine="0" autoPict="0">
                <anchor moveWithCells="1">
                  <from>
                    <xdr:col>23</xdr:col>
                    <xdr:colOff>285750</xdr:colOff>
                    <xdr:row>22</xdr:row>
                    <xdr:rowOff>28575</xdr:rowOff>
                  </from>
                  <to>
                    <xdr:col>26</xdr:col>
                    <xdr:colOff>438150</xdr:colOff>
                    <xdr:row>23</xdr:row>
                    <xdr:rowOff>57150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33E99C40-2A31-43F0-93F1-B6F0983523BD}">
            <xm:f>AND(C$34=Data!$B$10)</xm:f>
            <x14:dxf>
              <fill>
                <patternFill>
                  <bgColor theme="0" tint="-4.9989318521683403E-2"/>
                </patternFill>
              </fill>
            </x14:dxf>
          </x14:cfRule>
          <xm:sqref>C26:AB30</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B4:L7484"/>
  <sheetViews>
    <sheetView topLeftCell="A3" workbookViewId="0">
      <selection activeCell="B15" sqref="B6:E15"/>
    </sheetView>
  </sheetViews>
  <sheetFormatPr baseColWidth="10" defaultRowHeight="15" x14ac:dyDescent="0.25"/>
  <cols>
    <col min="2" max="2" width="25.42578125" bestFit="1" customWidth="1"/>
    <col min="3" max="3" width="15.85546875" customWidth="1"/>
    <col min="4" max="4" width="12.85546875" customWidth="1"/>
    <col min="7" max="7" width="12.7109375" customWidth="1"/>
    <col min="8" max="8" width="33.7109375" customWidth="1"/>
    <col min="9" max="9" width="25.85546875" customWidth="1"/>
    <col min="10" max="10" width="24.7109375" customWidth="1"/>
    <col min="11" max="11" width="12" customWidth="1"/>
    <col min="12" max="12" width="11.140625" customWidth="1"/>
  </cols>
  <sheetData>
    <row r="4" spans="2:12" x14ac:dyDescent="0.25">
      <c r="B4" s="48" t="s">
        <v>96</v>
      </c>
      <c r="C4" t="s">
        <v>95</v>
      </c>
      <c r="G4" s="48" t="s">
        <v>96</v>
      </c>
      <c r="H4" t="s">
        <v>95</v>
      </c>
    </row>
    <row r="5" spans="2:12" x14ac:dyDescent="0.25">
      <c r="B5" s="48" t="s">
        <v>94</v>
      </c>
      <c r="C5" t="s">
        <v>95</v>
      </c>
      <c r="G5" s="48" t="s">
        <v>648</v>
      </c>
      <c r="H5" t="s">
        <v>95</v>
      </c>
    </row>
    <row r="6" spans="2:12" x14ac:dyDescent="0.25">
      <c r="G6" s="48" t="s">
        <v>94</v>
      </c>
      <c r="H6" t="s">
        <v>95</v>
      </c>
    </row>
    <row r="7" spans="2:12" x14ac:dyDescent="0.25">
      <c r="B7" s="48" t="s">
        <v>39</v>
      </c>
      <c r="C7" t="s">
        <v>97</v>
      </c>
      <c r="D7" t="s">
        <v>93</v>
      </c>
    </row>
    <row r="8" spans="2:12" x14ac:dyDescent="0.25">
      <c r="B8" s="1" t="s">
        <v>42</v>
      </c>
      <c r="C8" s="137">
        <v>10660.680000000002</v>
      </c>
      <c r="D8" s="137">
        <v>34176.158800000019</v>
      </c>
      <c r="G8" s="48" t="s">
        <v>39</v>
      </c>
      <c r="H8" s="48" t="s">
        <v>651</v>
      </c>
      <c r="I8" s="48" t="s">
        <v>18</v>
      </c>
      <c r="J8" s="48" t="s">
        <v>17</v>
      </c>
      <c r="K8" s="48" t="s">
        <v>650</v>
      </c>
      <c r="L8" s="48" t="s">
        <v>649</v>
      </c>
    </row>
    <row r="9" spans="2:12" x14ac:dyDescent="0.25">
      <c r="B9" s="1" t="s">
        <v>92</v>
      </c>
      <c r="C9" s="137">
        <v>39.639999999999979</v>
      </c>
      <c r="D9" s="137">
        <v>4770</v>
      </c>
      <c r="G9" s="136">
        <v>43252</v>
      </c>
      <c r="H9" t="s">
        <v>27</v>
      </c>
      <c r="I9" t="s">
        <v>63</v>
      </c>
      <c r="J9" t="s">
        <v>265</v>
      </c>
      <c r="K9" s="138">
        <v>16</v>
      </c>
      <c r="L9" s="137">
        <v>0</v>
      </c>
    </row>
    <row r="10" spans="2:12" x14ac:dyDescent="0.25">
      <c r="B10" s="1" t="s">
        <v>41</v>
      </c>
      <c r="C10" s="137">
        <v>44529.229999999996</v>
      </c>
      <c r="D10" s="137">
        <v>249052.18210000003</v>
      </c>
      <c r="G10" s="136">
        <v>43252</v>
      </c>
      <c r="H10" t="s">
        <v>186</v>
      </c>
      <c r="I10" t="s">
        <v>112</v>
      </c>
      <c r="J10" t="s">
        <v>265</v>
      </c>
      <c r="K10" s="138">
        <v>51.75</v>
      </c>
      <c r="L10" s="137">
        <v>0</v>
      </c>
    </row>
    <row r="11" spans="2:12" x14ac:dyDescent="0.25">
      <c r="B11" s="1" t="s">
        <v>91</v>
      </c>
      <c r="C11" s="137">
        <v>9098.8600000000024</v>
      </c>
      <c r="D11" s="137">
        <v>46512</v>
      </c>
      <c r="G11" s="136">
        <v>43252</v>
      </c>
      <c r="H11" t="s">
        <v>185</v>
      </c>
      <c r="I11" t="s">
        <v>42</v>
      </c>
      <c r="J11" t="s">
        <v>265</v>
      </c>
      <c r="K11" s="138">
        <v>152</v>
      </c>
      <c r="L11" s="137">
        <v>0</v>
      </c>
    </row>
    <row r="12" spans="2:12" x14ac:dyDescent="0.25">
      <c r="B12" s="1" t="s">
        <v>90</v>
      </c>
      <c r="C12" s="137"/>
      <c r="D12" s="137">
        <v>8814</v>
      </c>
      <c r="G12" s="136">
        <v>43252</v>
      </c>
      <c r="H12" t="s">
        <v>184</v>
      </c>
      <c r="I12" t="s">
        <v>178</v>
      </c>
      <c r="J12" t="s">
        <v>265</v>
      </c>
      <c r="K12" s="138">
        <v>400</v>
      </c>
      <c r="L12" s="137">
        <v>0</v>
      </c>
    </row>
    <row r="13" spans="2:12" x14ac:dyDescent="0.25">
      <c r="B13" s="1" t="s">
        <v>40</v>
      </c>
      <c r="C13" s="137">
        <v>10818.300000000001</v>
      </c>
      <c r="D13" s="137">
        <v>46615.708099999989</v>
      </c>
      <c r="G13" s="136">
        <v>43252</v>
      </c>
      <c r="H13" t="s">
        <v>184</v>
      </c>
      <c r="I13" t="s">
        <v>171</v>
      </c>
      <c r="J13" t="s">
        <v>265</v>
      </c>
      <c r="K13" s="138">
        <v>60</v>
      </c>
      <c r="L13" s="137">
        <v>0</v>
      </c>
    </row>
    <row r="14" spans="2:12" x14ac:dyDescent="0.25">
      <c r="G14" s="136">
        <v>43252</v>
      </c>
      <c r="H14" t="s">
        <v>183</v>
      </c>
      <c r="I14" t="s">
        <v>42</v>
      </c>
      <c r="J14" t="s">
        <v>265</v>
      </c>
      <c r="K14" s="138">
        <v>5</v>
      </c>
      <c r="L14" s="137">
        <v>0</v>
      </c>
    </row>
    <row r="15" spans="2:12" x14ac:dyDescent="0.25">
      <c r="G15" s="136">
        <v>43252</v>
      </c>
      <c r="H15" t="s">
        <v>25</v>
      </c>
      <c r="I15" t="s">
        <v>63</v>
      </c>
      <c r="J15" t="s">
        <v>265</v>
      </c>
      <c r="K15" s="138">
        <v>56</v>
      </c>
      <c r="L15" s="137">
        <v>0</v>
      </c>
    </row>
    <row r="16" spans="2:12" x14ac:dyDescent="0.25">
      <c r="G16" s="136">
        <v>43252</v>
      </c>
      <c r="H16" t="s">
        <v>25</v>
      </c>
      <c r="I16" t="s">
        <v>63</v>
      </c>
      <c r="J16" t="s">
        <v>265</v>
      </c>
      <c r="K16" s="138">
        <v>24</v>
      </c>
      <c r="L16" s="137">
        <v>0</v>
      </c>
    </row>
    <row r="17" spans="7:12" x14ac:dyDescent="0.25">
      <c r="G17" s="136">
        <v>43252</v>
      </c>
      <c r="H17" t="s">
        <v>25</v>
      </c>
      <c r="I17" t="s">
        <v>63</v>
      </c>
      <c r="J17" t="s">
        <v>265</v>
      </c>
      <c r="K17" s="138">
        <v>16</v>
      </c>
      <c r="L17" s="137">
        <v>0</v>
      </c>
    </row>
    <row r="18" spans="7:12" x14ac:dyDescent="0.25">
      <c r="G18" s="136">
        <v>43252</v>
      </c>
      <c r="H18" t="s">
        <v>25</v>
      </c>
      <c r="I18" t="s">
        <v>42</v>
      </c>
      <c r="J18" t="s">
        <v>265</v>
      </c>
      <c r="K18" s="138">
        <v>364</v>
      </c>
      <c r="L18" s="137">
        <v>0</v>
      </c>
    </row>
    <row r="19" spans="7:12" x14ac:dyDescent="0.25">
      <c r="G19" s="136">
        <v>43252</v>
      </c>
      <c r="H19" t="s">
        <v>25</v>
      </c>
      <c r="I19" t="s">
        <v>42</v>
      </c>
      <c r="J19" t="s">
        <v>265</v>
      </c>
      <c r="K19" s="138">
        <v>252</v>
      </c>
      <c r="L19" s="137">
        <v>0</v>
      </c>
    </row>
    <row r="20" spans="7:12" x14ac:dyDescent="0.25">
      <c r="G20" s="136">
        <v>43252</v>
      </c>
      <c r="H20" t="s">
        <v>182</v>
      </c>
      <c r="I20" t="s">
        <v>63</v>
      </c>
      <c r="J20" t="s">
        <v>265</v>
      </c>
      <c r="K20" s="138">
        <v>118.18</v>
      </c>
      <c r="L20" s="137">
        <v>0</v>
      </c>
    </row>
    <row r="21" spans="7:12" x14ac:dyDescent="0.25">
      <c r="G21" s="136">
        <v>43252</v>
      </c>
      <c r="H21" t="s">
        <v>181</v>
      </c>
      <c r="I21" t="s">
        <v>42</v>
      </c>
      <c r="J21" t="s">
        <v>265</v>
      </c>
      <c r="K21" s="138">
        <v>174.7</v>
      </c>
      <c r="L21" s="137">
        <v>0</v>
      </c>
    </row>
    <row r="22" spans="7:12" x14ac:dyDescent="0.25">
      <c r="G22" s="136">
        <v>43252</v>
      </c>
      <c r="H22" t="s">
        <v>180</v>
      </c>
      <c r="I22" t="s">
        <v>42</v>
      </c>
      <c r="J22" t="s">
        <v>265</v>
      </c>
      <c r="K22" s="138">
        <v>10</v>
      </c>
      <c r="L22" s="137">
        <v>0</v>
      </c>
    </row>
    <row r="23" spans="7:12" x14ac:dyDescent="0.25">
      <c r="G23" s="136">
        <v>43252</v>
      </c>
      <c r="H23" t="s">
        <v>179</v>
      </c>
      <c r="I23" t="s">
        <v>63</v>
      </c>
      <c r="J23" t="s">
        <v>265</v>
      </c>
      <c r="K23" s="138">
        <v>22.59</v>
      </c>
      <c r="L23" s="137">
        <v>0</v>
      </c>
    </row>
    <row r="24" spans="7:12" x14ac:dyDescent="0.25">
      <c r="G24" s="136">
        <v>43252</v>
      </c>
      <c r="H24" t="s">
        <v>179</v>
      </c>
      <c r="I24" t="s">
        <v>163</v>
      </c>
      <c r="J24" t="s">
        <v>265</v>
      </c>
      <c r="K24" s="138">
        <v>11.8</v>
      </c>
      <c r="L24" s="137">
        <v>0</v>
      </c>
    </row>
    <row r="25" spans="7:12" x14ac:dyDescent="0.25">
      <c r="G25" s="136">
        <v>43252</v>
      </c>
      <c r="H25" t="s">
        <v>179</v>
      </c>
      <c r="I25" t="s">
        <v>112</v>
      </c>
      <c r="J25" t="s">
        <v>265</v>
      </c>
      <c r="K25" s="138">
        <v>28.2</v>
      </c>
      <c r="L25" s="137">
        <v>0</v>
      </c>
    </row>
    <row r="26" spans="7:12" x14ac:dyDescent="0.25">
      <c r="G26" s="136">
        <v>43252</v>
      </c>
      <c r="H26" t="s">
        <v>179</v>
      </c>
      <c r="I26" t="s">
        <v>155</v>
      </c>
      <c r="J26" t="s">
        <v>265</v>
      </c>
      <c r="K26" s="138">
        <v>80</v>
      </c>
      <c r="L26" s="137">
        <v>0</v>
      </c>
    </row>
    <row r="27" spans="7:12" x14ac:dyDescent="0.25">
      <c r="G27" s="136">
        <v>43252</v>
      </c>
      <c r="H27" t="s">
        <v>28</v>
      </c>
      <c r="I27" t="s">
        <v>63</v>
      </c>
      <c r="J27" t="s">
        <v>265</v>
      </c>
      <c r="K27" s="138">
        <v>8</v>
      </c>
      <c r="L27" s="137">
        <v>0</v>
      </c>
    </row>
    <row r="28" spans="7:12" x14ac:dyDescent="0.25">
      <c r="G28" s="136">
        <v>43252</v>
      </c>
      <c r="H28" t="s">
        <v>28</v>
      </c>
      <c r="I28" t="s">
        <v>163</v>
      </c>
      <c r="J28" t="s">
        <v>265</v>
      </c>
      <c r="K28" s="138">
        <v>187.5</v>
      </c>
      <c r="L28" s="137">
        <v>0</v>
      </c>
    </row>
    <row r="29" spans="7:12" x14ac:dyDescent="0.25">
      <c r="G29" s="136">
        <v>43252</v>
      </c>
      <c r="H29" t="s">
        <v>28</v>
      </c>
      <c r="I29" t="s">
        <v>178</v>
      </c>
      <c r="J29" t="s">
        <v>265</v>
      </c>
      <c r="K29" s="138">
        <v>37.47</v>
      </c>
      <c r="L29" s="137">
        <v>0</v>
      </c>
    </row>
    <row r="30" spans="7:12" x14ac:dyDescent="0.25">
      <c r="G30" s="136">
        <v>43252</v>
      </c>
      <c r="H30" t="s">
        <v>28</v>
      </c>
      <c r="I30" t="s">
        <v>112</v>
      </c>
      <c r="J30" t="s">
        <v>265</v>
      </c>
      <c r="K30" s="138">
        <v>143.16999999999999</v>
      </c>
      <c r="L30" s="137">
        <v>0</v>
      </c>
    </row>
    <row r="31" spans="7:12" x14ac:dyDescent="0.25">
      <c r="G31" s="136">
        <v>43252</v>
      </c>
      <c r="H31" t="s">
        <v>28</v>
      </c>
      <c r="I31" t="s">
        <v>112</v>
      </c>
      <c r="J31" t="s">
        <v>265</v>
      </c>
      <c r="K31" s="138">
        <v>25.82</v>
      </c>
      <c r="L31" s="137">
        <v>0</v>
      </c>
    </row>
    <row r="32" spans="7:12" x14ac:dyDescent="0.25">
      <c r="G32" s="136">
        <v>43252</v>
      </c>
      <c r="H32" t="s">
        <v>28</v>
      </c>
      <c r="I32" t="s">
        <v>112</v>
      </c>
      <c r="J32" t="s">
        <v>265</v>
      </c>
      <c r="K32" s="138">
        <v>21.89</v>
      </c>
      <c r="L32" s="137">
        <v>0</v>
      </c>
    </row>
    <row r="33" spans="7:12" x14ac:dyDescent="0.25">
      <c r="G33" s="136">
        <v>43252</v>
      </c>
      <c r="H33" t="s">
        <v>28</v>
      </c>
      <c r="I33" t="s">
        <v>112</v>
      </c>
      <c r="J33" t="s">
        <v>265</v>
      </c>
      <c r="K33" s="138">
        <v>18.75</v>
      </c>
      <c r="L33" s="137">
        <v>0</v>
      </c>
    </row>
    <row r="34" spans="7:12" x14ac:dyDescent="0.25">
      <c r="G34" s="136">
        <v>43252</v>
      </c>
      <c r="H34" t="s">
        <v>28</v>
      </c>
      <c r="I34" t="s">
        <v>112</v>
      </c>
      <c r="J34" t="s">
        <v>265</v>
      </c>
      <c r="K34" s="138">
        <v>17.96</v>
      </c>
      <c r="L34" s="137">
        <v>0</v>
      </c>
    </row>
    <row r="35" spans="7:12" x14ac:dyDescent="0.25">
      <c r="G35" s="136">
        <v>43252</v>
      </c>
      <c r="H35" t="s">
        <v>28</v>
      </c>
      <c r="I35" t="s">
        <v>112</v>
      </c>
      <c r="J35" t="s">
        <v>265</v>
      </c>
      <c r="K35" s="138">
        <v>10.5</v>
      </c>
      <c r="L35" s="137">
        <v>0</v>
      </c>
    </row>
    <row r="36" spans="7:12" x14ac:dyDescent="0.25">
      <c r="G36" s="136">
        <v>43252</v>
      </c>
      <c r="H36" t="s">
        <v>28</v>
      </c>
      <c r="I36" t="s">
        <v>155</v>
      </c>
      <c r="J36" t="s">
        <v>265</v>
      </c>
      <c r="K36" s="138">
        <v>140.30000000000001</v>
      </c>
      <c r="L36" s="137">
        <v>0</v>
      </c>
    </row>
    <row r="37" spans="7:12" x14ac:dyDescent="0.25">
      <c r="G37" s="136">
        <v>43252</v>
      </c>
      <c r="H37" t="s">
        <v>28</v>
      </c>
      <c r="I37" t="s">
        <v>155</v>
      </c>
      <c r="J37" t="s">
        <v>265</v>
      </c>
      <c r="K37" s="138">
        <v>110.69</v>
      </c>
      <c r="L37" s="137">
        <v>0</v>
      </c>
    </row>
    <row r="38" spans="7:12" x14ac:dyDescent="0.25">
      <c r="G38" s="136">
        <v>43252</v>
      </c>
      <c r="H38" t="s">
        <v>28</v>
      </c>
      <c r="I38" t="s">
        <v>155</v>
      </c>
      <c r="J38" t="s">
        <v>265</v>
      </c>
      <c r="K38" s="138">
        <v>98.21</v>
      </c>
      <c r="L38" s="137">
        <v>0</v>
      </c>
    </row>
    <row r="39" spans="7:12" x14ac:dyDescent="0.25">
      <c r="G39" s="136">
        <v>43252</v>
      </c>
      <c r="H39" t="s">
        <v>28</v>
      </c>
      <c r="I39" t="s">
        <v>155</v>
      </c>
      <c r="J39" t="s">
        <v>265</v>
      </c>
      <c r="K39" s="138">
        <v>88.19</v>
      </c>
      <c r="L39" s="137">
        <v>0</v>
      </c>
    </row>
    <row r="40" spans="7:12" x14ac:dyDescent="0.25">
      <c r="G40" s="136">
        <v>43252</v>
      </c>
      <c r="H40" t="s">
        <v>28</v>
      </c>
      <c r="I40" t="s">
        <v>155</v>
      </c>
      <c r="J40" t="s">
        <v>265</v>
      </c>
      <c r="K40" s="138">
        <v>78.66</v>
      </c>
      <c r="L40" s="137">
        <v>0</v>
      </c>
    </row>
    <row r="41" spans="7:12" x14ac:dyDescent="0.25">
      <c r="G41" s="136">
        <v>43252</v>
      </c>
      <c r="H41" t="s">
        <v>28</v>
      </c>
      <c r="I41" t="s">
        <v>155</v>
      </c>
      <c r="J41" t="s">
        <v>265</v>
      </c>
      <c r="K41" s="138">
        <v>46.56</v>
      </c>
      <c r="L41" s="137">
        <v>0</v>
      </c>
    </row>
    <row r="42" spans="7:12" x14ac:dyDescent="0.25">
      <c r="G42" s="136">
        <v>43252</v>
      </c>
      <c r="H42" t="s">
        <v>28</v>
      </c>
      <c r="I42" t="s">
        <v>155</v>
      </c>
      <c r="J42" t="s">
        <v>265</v>
      </c>
      <c r="K42" s="138">
        <v>40.89</v>
      </c>
      <c r="L42" s="137">
        <v>0</v>
      </c>
    </row>
    <row r="43" spans="7:12" x14ac:dyDescent="0.25">
      <c r="G43" s="136">
        <v>43252</v>
      </c>
      <c r="H43" t="s">
        <v>28</v>
      </c>
      <c r="I43" t="s">
        <v>155</v>
      </c>
      <c r="J43" t="s">
        <v>265</v>
      </c>
      <c r="K43" s="138">
        <v>35.880000000000003</v>
      </c>
      <c r="L43" s="137">
        <v>0</v>
      </c>
    </row>
    <row r="44" spans="7:12" x14ac:dyDescent="0.25">
      <c r="G44" s="136">
        <v>43252</v>
      </c>
      <c r="H44" t="s">
        <v>28</v>
      </c>
      <c r="I44" t="s">
        <v>155</v>
      </c>
      <c r="J44" t="s">
        <v>265</v>
      </c>
      <c r="K44" s="138">
        <v>29.9</v>
      </c>
      <c r="L44" s="137">
        <v>0</v>
      </c>
    </row>
    <row r="45" spans="7:12" x14ac:dyDescent="0.25">
      <c r="G45" s="136">
        <v>43252</v>
      </c>
      <c r="H45" t="s">
        <v>28</v>
      </c>
      <c r="I45" t="s">
        <v>155</v>
      </c>
      <c r="J45" t="s">
        <v>265</v>
      </c>
      <c r="K45" s="138">
        <v>24.86</v>
      </c>
      <c r="L45" s="137">
        <v>0</v>
      </c>
    </row>
    <row r="46" spans="7:12" x14ac:dyDescent="0.25">
      <c r="G46" s="136">
        <v>43252</v>
      </c>
      <c r="H46" t="s">
        <v>28</v>
      </c>
      <c r="I46" t="s">
        <v>155</v>
      </c>
      <c r="J46" t="s">
        <v>265</v>
      </c>
      <c r="K46" s="138">
        <v>10.75</v>
      </c>
      <c r="L46" s="137">
        <v>0</v>
      </c>
    </row>
    <row r="47" spans="7:12" x14ac:dyDescent="0.25">
      <c r="G47" s="136">
        <v>43252</v>
      </c>
      <c r="H47" t="s">
        <v>28</v>
      </c>
      <c r="I47" t="s">
        <v>155</v>
      </c>
      <c r="J47" t="s">
        <v>265</v>
      </c>
      <c r="K47" s="138">
        <v>8.6999999999999993</v>
      </c>
      <c r="L47" s="137">
        <v>0</v>
      </c>
    </row>
    <row r="48" spans="7:12" x14ac:dyDescent="0.25">
      <c r="G48" s="136">
        <v>43252</v>
      </c>
      <c r="H48" t="s">
        <v>28</v>
      </c>
      <c r="I48" t="s">
        <v>176</v>
      </c>
      <c r="J48" t="s">
        <v>265</v>
      </c>
      <c r="K48" s="138">
        <v>47</v>
      </c>
      <c r="L48" s="137">
        <v>0</v>
      </c>
    </row>
    <row r="49" spans="7:12" x14ac:dyDescent="0.25">
      <c r="G49" s="136">
        <v>43252</v>
      </c>
      <c r="H49" t="s">
        <v>28</v>
      </c>
      <c r="I49" t="s">
        <v>66</v>
      </c>
      <c r="J49" t="s">
        <v>143</v>
      </c>
      <c r="K49" s="138">
        <v>26</v>
      </c>
      <c r="L49" s="137">
        <v>0</v>
      </c>
    </row>
    <row r="50" spans="7:12" x14ac:dyDescent="0.25">
      <c r="G50" s="136">
        <v>43252</v>
      </c>
      <c r="H50" t="s">
        <v>28</v>
      </c>
      <c r="I50" t="s">
        <v>66</v>
      </c>
      <c r="J50" t="s">
        <v>266</v>
      </c>
      <c r="K50" s="138">
        <v>4.75</v>
      </c>
      <c r="L50" s="137">
        <v>0</v>
      </c>
    </row>
    <row r="51" spans="7:12" x14ac:dyDescent="0.25">
      <c r="G51" s="136">
        <v>43252</v>
      </c>
      <c r="H51" t="s">
        <v>28</v>
      </c>
      <c r="I51" t="s">
        <v>42</v>
      </c>
      <c r="J51" t="s">
        <v>265</v>
      </c>
      <c r="K51" s="138">
        <v>104</v>
      </c>
      <c r="L51" s="137">
        <v>0</v>
      </c>
    </row>
    <row r="52" spans="7:12" x14ac:dyDescent="0.25">
      <c r="G52" s="136">
        <v>43252</v>
      </c>
      <c r="H52" t="s">
        <v>28</v>
      </c>
      <c r="I52" t="s">
        <v>42</v>
      </c>
      <c r="J52" t="s">
        <v>265</v>
      </c>
      <c r="K52" s="138">
        <v>39</v>
      </c>
      <c r="L52" s="137">
        <v>0</v>
      </c>
    </row>
    <row r="53" spans="7:12" x14ac:dyDescent="0.25">
      <c r="G53" s="136">
        <v>43252</v>
      </c>
      <c r="H53" t="s">
        <v>28</v>
      </c>
      <c r="I53" t="s">
        <v>42</v>
      </c>
      <c r="J53" t="s">
        <v>265</v>
      </c>
      <c r="K53" s="138">
        <v>30</v>
      </c>
      <c r="L53" s="137">
        <v>0</v>
      </c>
    </row>
    <row r="54" spans="7:12" x14ac:dyDescent="0.25">
      <c r="G54" s="136">
        <v>43252</v>
      </c>
      <c r="H54" t="s">
        <v>28</v>
      </c>
      <c r="I54" t="s">
        <v>42</v>
      </c>
      <c r="J54" t="s">
        <v>265</v>
      </c>
      <c r="K54" s="138">
        <v>19</v>
      </c>
      <c r="L54" s="137">
        <v>0</v>
      </c>
    </row>
    <row r="55" spans="7:12" x14ac:dyDescent="0.25">
      <c r="G55" s="136">
        <v>43253</v>
      </c>
      <c r="H55" t="s">
        <v>27</v>
      </c>
      <c r="I55" t="s">
        <v>63</v>
      </c>
      <c r="J55" t="s">
        <v>267</v>
      </c>
      <c r="K55" s="138">
        <v>8</v>
      </c>
      <c r="L55" s="137">
        <v>0</v>
      </c>
    </row>
    <row r="56" spans="7:12" x14ac:dyDescent="0.25">
      <c r="G56" s="136">
        <v>43253</v>
      </c>
      <c r="H56" t="s">
        <v>183</v>
      </c>
      <c r="I56" t="s">
        <v>171</v>
      </c>
      <c r="J56" t="s">
        <v>267</v>
      </c>
      <c r="K56" s="138">
        <v>2700</v>
      </c>
      <c r="L56" s="137">
        <v>0</v>
      </c>
    </row>
    <row r="57" spans="7:12" x14ac:dyDescent="0.25">
      <c r="G57" s="136">
        <v>43253</v>
      </c>
      <c r="H57" t="s">
        <v>189</v>
      </c>
      <c r="I57" t="s">
        <v>171</v>
      </c>
      <c r="J57" t="s">
        <v>267</v>
      </c>
      <c r="K57" s="138">
        <v>300</v>
      </c>
      <c r="L57" s="137">
        <v>0</v>
      </c>
    </row>
    <row r="58" spans="7:12" x14ac:dyDescent="0.25">
      <c r="G58" s="136">
        <v>43253</v>
      </c>
      <c r="H58" t="s">
        <v>188</v>
      </c>
      <c r="I58" t="s">
        <v>171</v>
      </c>
      <c r="J58" t="s">
        <v>267</v>
      </c>
      <c r="K58" s="138">
        <v>150</v>
      </c>
      <c r="L58" s="137">
        <v>0</v>
      </c>
    </row>
    <row r="59" spans="7:12" x14ac:dyDescent="0.25">
      <c r="G59" s="136">
        <v>43253</v>
      </c>
      <c r="H59" t="s">
        <v>25</v>
      </c>
      <c r="I59" t="s">
        <v>63</v>
      </c>
      <c r="J59" t="s">
        <v>267</v>
      </c>
      <c r="K59" s="138">
        <v>8</v>
      </c>
      <c r="L59" s="137">
        <v>0</v>
      </c>
    </row>
    <row r="60" spans="7:12" x14ac:dyDescent="0.25">
      <c r="G60" s="136">
        <v>43253</v>
      </c>
      <c r="H60" t="s">
        <v>187</v>
      </c>
      <c r="I60" t="s">
        <v>42</v>
      </c>
      <c r="J60" t="s">
        <v>267</v>
      </c>
      <c r="K60" s="138">
        <v>112</v>
      </c>
      <c r="L60" s="137">
        <v>0</v>
      </c>
    </row>
    <row r="61" spans="7:12" x14ac:dyDescent="0.25">
      <c r="G61" s="136">
        <v>43253</v>
      </c>
      <c r="H61" t="s">
        <v>180</v>
      </c>
      <c r="I61" t="s">
        <v>42</v>
      </c>
      <c r="J61" t="s">
        <v>267</v>
      </c>
      <c r="K61" s="138">
        <v>10</v>
      </c>
      <c r="L61" s="137">
        <v>0</v>
      </c>
    </row>
    <row r="62" spans="7:12" x14ac:dyDescent="0.25">
      <c r="G62" s="136">
        <v>43253</v>
      </c>
      <c r="H62" t="s">
        <v>179</v>
      </c>
      <c r="I62" t="s">
        <v>42</v>
      </c>
      <c r="J62" t="s">
        <v>267</v>
      </c>
      <c r="K62" s="138">
        <v>4.87</v>
      </c>
      <c r="L62" s="137">
        <v>0</v>
      </c>
    </row>
    <row r="63" spans="7:12" x14ac:dyDescent="0.25">
      <c r="G63" s="136">
        <v>43255</v>
      </c>
      <c r="H63" t="s">
        <v>28</v>
      </c>
      <c r="I63" t="s">
        <v>163</v>
      </c>
      <c r="J63" t="s">
        <v>268</v>
      </c>
      <c r="K63" s="138">
        <v>18</v>
      </c>
      <c r="L63" s="137">
        <v>0</v>
      </c>
    </row>
    <row r="64" spans="7:12" x14ac:dyDescent="0.25">
      <c r="G64" s="136">
        <v>43255</v>
      </c>
      <c r="H64" t="s">
        <v>28</v>
      </c>
      <c r="I64" t="s">
        <v>112</v>
      </c>
      <c r="J64" t="s">
        <v>268</v>
      </c>
      <c r="K64" s="138">
        <v>96</v>
      </c>
      <c r="L64" s="137">
        <v>0</v>
      </c>
    </row>
    <row r="65" spans="7:12" x14ac:dyDescent="0.25">
      <c r="G65" s="136">
        <v>43256</v>
      </c>
      <c r="H65" t="s">
        <v>185</v>
      </c>
      <c r="I65" t="s">
        <v>163</v>
      </c>
      <c r="J65" t="s">
        <v>269</v>
      </c>
      <c r="K65" s="138">
        <v>92.32</v>
      </c>
      <c r="L65" s="137">
        <v>0</v>
      </c>
    </row>
    <row r="66" spans="7:12" x14ac:dyDescent="0.25">
      <c r="G66" s="136">
        <v>43256</v>
      </c>
      <c r="H66" t="s">
        <v>183</v>
      </c>
      <c r="I66" t="s">
        <v>42</v>
      </c>
      <c r="J66" t="s">
        <v>269</v>
      </c>
      <c r="K66" s="138">
        <v>116.82</v>
      </c>
      <c r="L66" s="137">
        <v>0</v>
      </c>
    </row>
    <row r="67" spans="7:12" x14ac:dyDescent="0.25">
      <c r="G67" s="136">
        <v>43256</v>
      </c>
      <c r="H67" t="s">
        <v>190</v>
      </c>
      <c r="I67" t="s">
        <v>42</v>
      </c>
      <c r="J67" t="s">
        <v>269</v>
      </c>
      <c r="K67" s="138">
        <v>0.96</v>
      </c>
      <c r="L67" s="137">
        <v>0</v>
      </c>
    </row>
    <row r="68" spans="7:12" x14ac:dyDescent="0.25">
      <c r="G68" s="136">
        <v>43256</v>
      </c>
      <c r="H68" t="s">
        <v>25</v>
      </c>
      <c r="I68" t="s">
        <v>63</v>
      </c>
      <c r="J68" t="s">
        <v>269</v>
      </c>
      <c r="K68" s="138">
        <v>112</v>
      </c>
      <c r="L68" s="137">
        <v>0</v>
      </c>
    </row>
    <row r="69" spans="7:12" x14ac:dyDescent="0.25">
      <c r="G69" s="136">
        <v>43256</v>
      </c>
      <c r="H69" t="s">
        <v>25</v>
      </c>
      <c r="I69" t="s">
        <v>63</v>
      </c>
      <c r="J69" t="s">
        <v>269</v>
      </c>
      <c r="K69" s="138">
        <v>48</v>
      </c>
      <c r="L69" s="137">
        <v>0</v>
      </c>
    </row>
    <row r="70" spans="7:12" x14ac:dyDescent="0.25">
      <c r="G70" s="136">
        <v>43256</v>
      </c>
      <c r="H70" t="s">
        <v>25</v>
      </c>
      <c r="I70" t="s">
        <v>63</v>
      </c>
      <c r="J70" t="s">
        <v>269</v>
      </c>
      <c r="K70" s="138">
        <v>40</v>
      </c>
      <c r="L70" s="137">
        <v>0</v>
      </c>
    </row>
    <row r="71" spans="7:12" x14ac:dyDescent="0.25">
      <c r="G71" s="136">
        <v>43256</v>
      </c>
      <c r="H71" t="s">
        <v>25</v>
      </c>
      <c r="I71" t="s">
        <v>63</v>
      </c>
      <c r="J71" t="s">
        <v>269</v>
      </c>
      <c r="K71" s="138">
        <v>32</v>
      </c>
      <c r="L71" s="137">
        <v>0</v>
      </c>
    </row>
    <row r="72" spans="7:12" x14ac:dyDescent="0.25">
      <c r="G72" s="136">
        <v>43256</v>
      </c>
      <c r="H72" t="s">
        <v>25</v>
      </c>
      <c r="I72" t="s">
        <v>63</v>
      </c>
      <c r="J72" t="s">
        <v>269</v>
      </c>
      <c r="K72" s="138">
        <v>16</v>
      </c>
      <c r="L72" s="137">
        <v>0</v>
      </c>
    </row>
    <row r="73" spans="7:12" x14ac:dyDescent="0.25">
      <c r="G73" s="136">
        <v>43256</v>
      </c>
      <c r="H73" t="s">
        <v>25</v>
      </c>
      <c r="I73" t="s">
        <v>63</v>
      </c>
      <c r="J73" t="s">
        <v>269</v>
      </c>
      <c r="K73" s="138">
        <v>8</v>
      </c>
      <c r="L73" s="137">
        <v>0</v>
      </c>
    </row>
    <row r="74" spans="7:12" x14ac:dyDescent="0.25">
      <c r="G74" s="136">
        <v>43256</v>
      </c>
      <c r="H74" t="s">
        <v>25</v>
      </c>
      <c r="I74" t="s">
        <v>217</v>
      </c>
      <c r="J74" t="s">
        <v>270</v>
      </c>
      <c r="K74" s="138">
        <v>111.78</v>
      </c>
      <c r="L74" s="137">
        <v>0</v>
      </c>
    </row>
    <row r="75" spans="7:12" x14ac:dyDescent="0.25">
      <c r="G75" s="136">
        <v>43256</v>
      </c>
      <c r="H75" t="s">
        <v>25</v>
      </c>
      <c r="I75" t="s">
        <v>42</v>
      </c>
      <c r="J75" t="s">
        <v>269</v>
      </c>
      <c r="K75" s="138">
        <v>113.1</v>
      </c>
      <c r="L75" s="137">
        <v>0</v>
      </c>
    </row>
    <row r="76" spans="7:12" x14ac:dyDescent="0.25">
      <c r="G76" s="136">
        <v>43256</v>
      </c>
      <c r="H76" t="s">
        <v>181</v>
      </c>
      <c r="I76" t="s">
        <v>42</v>
      </c>
      <c r="J76" t="s">
        <v>269</v>
      </c>
      <c r="K76" s="138">
        <v>53.65</v>
      </c>
      <c r="L76" s="137">
        <v>0</v>
      </c>
    </row>
    <row r="77" spans="7:12" x14ac:dyDescent="0.25">
      <c r="G77" s="136">
        <v>43256</v>
      </c>
      <c r="H77" t="s">
        <v>28</v>
      </c>
      <c r="I77" t="s">
        <v>66</v>
      </c>
      <c r="J77" t="s">
        <v>129</v>
      </c>
      <c r="K77" s="138">
        <v>1.25</v>
      </c>
      <c r="L77" s="137">
        <v>0</v>
      </c>
    </row>
    <row r="78" spans="7:12" x14ac:dyDescent="0.25">
      <c r="G78" s="136">
        <v>43257</v>
      </c>
      <c r="H78" t="s">
        <v>192</v>
      </c>
      <c r="I78" t="s">
        <v>63</v>
      </c>
      <c r="J78" t="s">
        <v>271</v>
      </c>
      <c r="K78" s="138">
        <v>33</v>
      </c>
      <c r="L78" s="137">
        <v>0</v>
      </c>
    </row>
    <row r="79" spans="7:12" x14ac:dyDescent="0.25">
      <c r="G79" s="136">
        <v>43257</v>
      </c>
      <c r="H79" t="s">
        <v>27</v>
      </c>
      <c r="I79" t="s">
        <v>63</v>
      </c>
      <c r="J79" t="s">
        <v>271</v>
      </c>
      <c r="K79" s="138">
        <v>8</v>
      </c>
      <c r="L79" s="137">
        <v>0</v>
      </c>
    </row>
    <row r="80" spans="7:12" x14ac:dyDescent="0.25">
      <c r="G80" s="136">
        <v>43257</v>
      </c>
      <c r="H80" t="s">
        <v>191</v>
      </c>
      <c r="I80" t="s">
        <v>163</v>
      </c>
      <c r="J80" t="s">
        <v>271</v>
      </c>
      <c r="K80" s="138">
        <v>62.6</v>
      </c>
      <c r="L80" s="137">
        <v>0</v>
      </c>
    </row>
    <row r="81" spans="7:12" x14ac:dyDescent="0.25">
      <c r="G81" s="136">
        <v>43257</v>
      </c>
      <c r="H81" t="s">
        <v>25</v>
      </c>
      <c r="I81" t="s">
        <v>63</v>
      </c>
      <c r="J81" t="s">
        <v>271</v>
      </c>
      <c r="K81" s="138">
        <v>56</v>
      </c>
      <c r="L81" s="137">
        <v>0</v>
      </c>
    </row>
    <row r="82" spans="7:12" x14ac:dyDescent="0.25">
      <c r="G82" s="136">
        <v>43257</v>
      </c>
      <c r="H82" t="s">
        <v>25</v>
      </c>
      <c r="I82" t="s">
        <v>63</v>
      </c>
      <c r="J82" t="s">
        <v>271</v>
      </c>
      <c r="K82" s="138">
        <v>48</v>
      </c>
      <c r="L82" s="137">
        <v>0</v>
      </c>
    </row>
    <row r="83" spans="7:12" x14ac:dyDescent="0.25">
      <c r="G83" s="136">
        <v>43257</v>
      </c>
      <c r="H83" t="s">
        <v>25</v>
      </c>
      <c r="I83" t="s">
        <v>63</v>
      </c>
      <c r="J83" t="s">
        <v>271</v>
      </c>
      <c r="K83" s="138">
        <v>24</v>
      </c>
      <c r="L83" s="137">
        <v>0</v>
      </c>
    </row>
    <row r="84" spans="7:12" x14ac:dyDescent="0.25">
      <c r="G84" s="136">
        <v>43257</v>
      </c>
      <c r="H84" t="s">
        <v>25</v>
      </c>
      <c r="I84" t="s">
        <v>63</v>
      </c>
      <c r="J84" t="s">
        <v>271</v>
      </c>
      <c r="K84" s="138">
        <v>16</v>
      </c>
      <c r="L84" s="137">
        <v>0</v>
      </c>
    </row>
    <row r="85" spans="7:12" x14ac:dyDescent="0.25">
      <c r="G85" s="136">
        <v>43257</v>
      </c>
      <c r="H85" t="s">
        <v>25</v>
      </c>
      <c r="I85" t="s">
        <v>63</v>
      </c>
      <c r="J85" t="s">
        <v>271</v>
      </c>
      <c r="K85" s="138">
        <v>8</v>
      </c>
      <c r="L85" s="137">
        <v>0</v>
      </c>
    </row>
    <row r="86" spans="7:12" x14ac:dyDescent="0.25">
      <c r="G86" s="136">
        <v>43257</v>
      </c>
      <c r="H86" t="s">
        <v>181</v>
      </c>
      <c r="I86" t="s">
        <v>42</v>
      </c>
      <c r="J86" t="s">
        <v>271</v>
      </c>
      <c r="K86" s="138">
        <v>127</v>
      </c>
      <c r="L86" s="137">
        <v>0</v>
      </c>
    </row>
    <row r="87" spans="7:12" x14ac:dyDescent="0.25">
      <c r="G87" s="136">
        <v>43257</v>
      </c>
      <c r="H87" t="s">
        <v>28</v>
      </c>
      <c r="I87" t="s">
        <v>163</v>
      </c>
      <c r="J87" t="s">
        <v>271</v>
      </c>
      <c r="K87" s="138">
        <v>48.2</v>
      </c>
      <c r="L87" s="137">
        <v>0</v>
      </c>
    </row>
    <row r="88" spans="7:12" x14ac:dyDescent="0.25">
      <c r="G88" s="136">
        <v>43257</v>
      </c>
      <c r="H88" t="s">
        <v>28</v>
      </c>
      <c r="I88" t="s">
        <v>66</v>
      </c>
      <c r="J88" t="s">
        <v>124</v>
      </c>
      <c r="K88" s="138">
        <v>3.7</v>
      </c>
      <c r="L88" s="137">
        <v>0</v>
      </c>
    </row>
    <row r="89" spans="7:12" x14ac:dyDescent="0.25">
      <c r="G89" s="136">
        <v>43257</v>
      </c>
      <c r="H89" t="s">
        <v>28</v>
      </c>
      <c r="I89" t="s">
        <v>42</v>
      </c>
      <c r="J89" t="s">
        <v>271</v>
      </c>
      <c r="K89" s="138">
        <v>30</v>
      </c>
      <c r="L89" s="137">
        <v>0</v>
      </c>
    </row>
    <row r="90" spans="7:12" x14ac:dyDescent="0.25">
      <c r="G90" s="136">
        <v>43258</v>
      </c>
      <c r="H90" t="s">
        <v>194</v>
      </c>
      <c r="I90" t="s">
        <v>171</v>
      </c>
      <c r="J90" t="s">
        <v>272</v>
      </c>
      <c r="K90" s="138">
        <v>620.70000000000005</v>
      </c>
      <c r="L90" s="137">
        <v>0</v>
      </c>
    </row>
    <row r="91" spans="7:12" x14ac:dyDescent="0.25">
      <c r="G91" s="136">
        <v>43258</v>
      </c>
      <c r="H91" t="s">
        <v>185</v>
      </c>
      <c r="I91" t="s">
        <v>171</v>
      </c>
      <c r="J91" t="s">
        <v>272</v>
      </c>
      <c r="K91" s="138">
        <v>104.6</v>
      </c>
      <c r="L91" s="137">
        <v>0</v>
      </c>
    </row>
    <row r="92" spans="7:12" x14ac:dyDescent="0.25">
      <c r="G92" s="136">
        <v>43258</v>
      </c>
      <c r="H92" t="s">
        <v>184</v>
      </c>
      <c r="I92" t="s">
        <v>42</v>
      </c>
      <c r="J92" t="s">
        <v>272</v>
      </c>
      <c r="K92" s="138">
        <v>60</v>
      </c>
      <c r="L92" s="137">
        <v>0</v>
      </c>
    </row>
    <row r="93" spans="7:12" x14ac:dyDescent="0.25">
      <c r="G93" s="136">
        <v>43258</v>
      </c>
      <c r="H93" t="s">
        <v>193</v>
      </c>
      <c r="I93" t="s">
        <v>176</v>
      </c>
      <c r="J93" t="s">
        <v>272</v>
      </c>
      <c r="K93" s="138">
        <v>1734.36</v>
      </c>
      <c r="L93" s="137">
        <v>0</v>
      </c>
    </row>
    <row r="94" spans="7:12" x14ac:dyDescent="0.25">
      <c r="G94" s="136">
        <v>43258</v>
      </c>
      <c r="H94" t="s">
        <v>188</v>
      </c>
      <c r="I94" t="s">
        <v>171</v>
      </c>
      <c r="J94" t="s">
        <v>272</v>
      </c>
      <c r="K94" s="138">
        <v>722.68</v>
      </c>
      <c r="L94" s="137">
        <v>0</v>
      </c>
    </row>
    <row r="95" spans="7:12" x14ac:dyDescent="0.25">
      <c r="G95" s="136">
        <v>43258</v>
      </c>
      <c r="H95" t="s">
        <v>180</v>
      </c>
      <c r="I95" t="s">
        <v>171</v>
      </c>
      <c r="J95" t="s">
        <v>272</v>
      </c>
      <c r="K95" s="138">
        <v>205.8</v>
      </c>
      <c r="L95" s="137">
        <v>0</v>
      </c>
    </row>
    <row r="96" spans="7:12" x14ac:dyDescent="0.25">
      <c r="G96" s="136">
        <v>43258</v>
      </c>
      <c r="H96" t="s">
        <v>28</v>
      </c>
      <c r="I96" t="s">
        <v>112</v>
      </c>
      <c r="J96" t="s">
        <v>272</v>
      </c>
      <c r="K96" s="138">
        <v>123.62</v>
      </c>
      <c r="L96" s="137">
        <v>0</v>
      </c>
    </row>
    <row r="97" spans="7:12" x14ac:dyDescent="0.25">
      <c r="G97" s="136">
        <v>43258</v>
      </c>
      <c r="H97" t="s">
        <v>28</v>
      </c>
      <c r="I97" t="s">
        <v>112</v>
      </c>
      <c r="J97" t="s">
        <v>272</v>
      </c>
      <c r="K97" s="138">
        <v>60.1</v>
      </c>
      <c r="L97" s="137">
        <v>0</v>
      </c>
    </row>
    <row r="98" spans="7:12" x14ac:dyDescent="0.25">
      <c r="G98" s="136">
        <v>43258</v>
      </c>
      <c r="H98" t="s">
        <v>28</v>
      </c>
      <c r="I98" t="s">
        <v>112</v>
      </c>
      <c r="J98" t="s">
        <v>272</v>
      </c>
      <c r="K98" s="138">
        <v>32.299999999999997</v>
      </c>
      <c r="L98" s="137">
        <v>0</v>
      </c>
    </row>
    <row r="99" spans="7:12" x14ac:dyDescent="0.25">
      <c r="G99" s="136">
        <v>43258</v>
      </c>
      <c r="H99" t="s">
        <v>28</v>
      </c>
      <c r="I99" t="s">
        <v>112</v>
      </c>
      <c r="J99" t="s">
        <v>272</v>
      </c>
      <c r="K99" s="138">
        <v>26.77</v>
      </c>
      <c r="L99" s="137">
        <v>0</v>
      </c>
    </row>
    <row r="100" spans="7:12" x14ac:dyDescent="0.25">
      <c r="G100" s="136">
        <v>43258</v>
      </c>
      <c r="H100" t="s">
        <v>28</v>
      </c>
      <c r="I100" t="s">
        <v>112</v>
      </c>
      <c r="J100" t="s">
        <v>272</v>
      </c>
      <c r="K100" s="138">
        <v>25.19</v>
      </c>
      <c r="L100" s="137">
        <v>0</v>
      </c>
    </row>
    <row r="101" spans="7:12" x14ac:dyDescent="0.25">
      <c r="G101" s="136">
        <v>43258</v>
      </c>
      <c r="H101" t="s">
        <v>28</v>
      </c>
      <c r="I101" t="s">
        <v>112</v>
      </c>
      <c r="J101" t="s">
        <v>272</v>
      </c>
      <c r="K101" s="138">
        <v>23.96</v>
      </c>
      <c r="L101" s="137">
        <v>0</v>
      </c>
    </row>
    <row r="102" spans="7:12" x14ac:dyDescent="0.25">
      <c r="G102" s="136">
        <v>43258</v>
      </c>
      <c r="H102" t="s">
        <v>28</v>
      </c>
      <c r="I102" t="s">
        <v>112</v>
      </c>
      <c r="J102" t="s">
        <v>272</v>
      </c>
      <c r="K102" s="138">
        <v>21.98</v>
      </c>
      <c r="L102" s="137">
        <v>0</v>
      </c>
    </row>
    <row r="103" spans="7:12" x14ac:dyDescent="0.25">
      <c r="G103" s="136">
        <v>43258</v>
      </c>
      <c r="H103" t="s">
        <v>28</v>
      </c>
      <c r="I103" t="s">
        <v>155</v>
      </c>
      <c r="J103" t="s">
        <v>272</v>
      </c>
      <c r="K103" s="138">
        <v>152.75</v>
      </c>
      <c r="L103" s="137">
        <v>0</v>
      </c>
    </row>
    <row r="104" spans="7:12" x14ac:dyDescent="0.25">
      <c r="G104" s="136">
        <v>43258</v>
      </c>
      <c r="H104" t="s">
        <v>28</v>
      </c>
      <c r="I104" t="s">
        <v>155</v>
      </c>
      <c r="J104" t="s">
        <v>272</v>
      </c>
      <c r="K104" s="138">
        <v>87.91</v>
      </c>
      <c r="L104" s="137">
        <v>0</v>
      </c>
    </row>
    <row r="105" spans="7:12" x14ac:dyDescent="0.25">
      <c r="G105" s="136">
        <v>43258</v>
      </c>
      <c r="H105" t="s">
        <v>28</v>
      </c>
      <c r="I105" t="s">
        <v>155</v>
      </c>
      <c r="J105" t="s">
        <v>272</v>
      </c>
      <c r="K105" s="138">
        <v>70.739999999999995</v>
      </c>
      <c r="L105" s="137">
        <v>0</v>
      </c>
    </row>
    <row r="106" spans="7:12" x14ac:dyDescent="0.25">
      <c r="G106" s="136">
        <v>43258</v>
      </c>
      <c r="H106" t="s">
        <v>28</v>
      </c>
      <c r="I106" t="s">
        <v>155</v>
      </c>
      <c r="J106" t="s">
        <v>272</v>
      </c>
      <c r="K106" s="138">
        <v>48.5</v>
      </c>
      <c r="L106" s="137">
        <v>0</v>
      </c>
    </row>
    <row r="107" spans="7:12" x14ac:dyDescent="0.25">
      <c r="G107" s="136">
        <v>43258</v>
      </c>
      <c r="H107" t="s">
        <v>28</v>
      </c>
      <c r="I107" t="s">
        <v>155</v>
      </c>
      <c r="J107" t="s">
        <v>272</v>
      </c>
      <c r="K107" s="138">
        <v>43.05</v>
      </c>
      <c r="L107" s="137">
        <v>0</v>
      </c>
    </row>
    <row r="108" spans="7:12" x14ac:dyDescent="0.25">
      <c r="G108" s="136">
        <v>43258</v>
      </c>
      <c r="H108" t="s">
        <v>28</v>
      </c>
      <c r="I108" t="s">
        <v>155</v>
      </c>
      <c r="J108" t="s">
        <v>272</v>
      </c>
      <c r="K108" s="138">
        <v>42.38</v>
      </c>
      <c r="L108" s="137">
        <v>0</v>
      </c>
    </row>
    <row r="109" spans="7:12" x14ac:dyDescent="0.25">
      <c r="G109" s="136">
        <v>43258</v>
      </c>
      <c r="H109" t="s">
        <v>28</v>
      </c>
      <c r="I109" t="s">
        <v>155</v>
      </c>
      <c r="J109" t="s">
        <v>272</v>
      </c>
      <c r="K109" s="138">
        <v>35</v>
      </c>
      <c r="L109" s="137">
        <v>0</v>
      </c>
    </row>
    <row r="110" spans="7:12" x14ac:dyDescent="0.25">
      <c r="G110" s="136">
        <v>43258</v>
      </c>
      <c r="H110" t="s">
        <v>28</v>
      </c>
      <c r="I110" t="s">
        <v>155</v>
      </c>
      <c r="J110" t="s">
        <v>272</v>
      </c>
      <c r="K110" s="138">
        <v>29.39</v>
      </c>
      <c r="L110" s="137">
        <v>0</v>
      </c>
    </row>
    <row r="111" spans="7:12" x14ac:dyDescent="0.25">
      <c r="G111" s="136">
        <v>43258</v>
      </c>
      <c r="H111" t="s">
        <v>28</v>
      </c>
      <c r="I111" t="s">
        <v>155</v>
      </c>
      <c r="J111" t="s">
        <v>272</v>
      </c>
      <c r="K111" s="138">
        <v>20.99</v>
      </c>
      <c r="L111" s="137">
        <v>0</v>
      </c>
    </row>
    <row r="112" spans="7:12" x14ac:dyDescent="0.25">
      <c r="G112" s="136">
        <v>43258</v>
      </c>
      <c r="H112" t="s">
        <v>28</v>
      </c>
      <c r="I112" t="s">
        <v>155</v>
      </c>
      <c r="J112" t="s">
        <v>272</v>
      </c>
      <c r="K112" s="138">
        <v>10.25</v>
      </c>
      <c r="L112" s="137">
        <v>0</v>
      </c>
    </row>
    <row r="113" spans="7:12" x14ac:dyDescent="0.25">
      <c r="G113" s="136">
        <v>43258</v>
      </c>
      <c r="H113" t="s">
        <v>28</v>
      </c>
      <c r="I113" t="s">
        <v>66</v>
      </c>
      <c r="J113" t="s">
        <v>136</v>
      </c>
      <c r="K113" s="138">
        <v>9.5500000000000007</v>
      </c>
      <c r="L113" s="137">
        <v>0</v>
      </c>
    </row>
    <row r="114" spans="7:12" x14ac:dyDescent="0.25">
      <c r="G114" s="136">
        <v>43258</v>
      </c>
      <c r="H114" t="s">
        <v>28</v>
      </c>
      <c r="I114" t="s">
        <v>66</v>
      </c>
      <c r="J114" t="s">
        <v>140</v>
      </c>
      <c r="K114" s="138">
        <v>4.5</v>
      </c>
      <c r="L114" s="137">
        <v>0</v>
      </c>
    </row>
    <row r="115" spans="7:12" x14ac:dyDescent="0.25">
      <c r="G115" s="136">
        <v>43259</v>
      </c>
      <c r="H115" t="s">
        <v>183</v>
      </c>
      <c r="I115" t="s">
        <v>42</v>
      </c>
      <c r="J115" t="s">
        <v>273</v>
      </c>
      <c r="K115" s="138">
        <v>26.1</v>
      </c>
      <c r="L115" s="137">
        <v>0</v>
      </c>
    </row>
    <row r="116" spans="7:12" x14ac:dyDescent="0.25">
      <c r="G116" s="136">
        <v>43259</v>
      </c>
      <c r="H116" t="s">
        <v>191</v>
      </c>
      <c r="I116" t="s">
        <v>42</v>
      </c>
      <c r="J116" t="s">
        <v>273</v>
      </c>
      <c r="K116" s="138">
        <v>100.6</v>
      </c>
      <c r="L116" s="137">
        <v>0</v>
      </c>
    </row>
    <row r="117" spans="7:12" x14ac:dyDescent="0.25">
      <c r="G117" s="136">
        <v>43259</v>
      </c>
      <c r="H117" t="s">
        <v>25</v>
      </c>
      <c r="I117" t="s">
        <v>63</v>
      </c>
      <c r="J117" t="s">
        <v>273</v>
      </c>
      <c r="K117" s="138">
        <v>48</v>
      </c>
      <c r="L117" s="137">
        <v>0</v>
      </c>
    </row>
    <row r="118" spans="7:12" x14ac:dyDescent="0.25">
      <c r="G118" s="136">
        <v>43259</v>
      </c>
      <c r="H118" t="s">
        <v>25</v>
      </c>
      <c r="I118" t="s">
        <v>63</v>
      </c>
      <c r="J118" t="s">
        <v>273</v>
      </c>
      <c r="K118" s="138">
        <v>32</v>
      </c>
      <c r="L118" s="137">
        <v>0</v>
      </c>
    </row>
    <row r="119" spans="7:12" x14ac:dyDescent="0.25">
      <c r="G119" s="136">
        <v>43259</v>
      </c>
      <c r="H119" t="s">
        <v>25</v>
      </c>
      <c r="I119" t="s">
        <v>63</v>
      </c>
      <c r="J119" t="s">
        <v>273</v>
      </c>
      <c r="K119" s="138">
        <v>16</v>
      </c>
      <c r="L119" s="137">
        <v>0</v>
      </c>
    </row>
    <row r="120" spans="7:12" x14ac:dyDescent="0.25">
      <c r="G120" s="136">
        <v>43259</v>
      </c>
      <c r="H120" t="s">
        <v>25</v>
      </c>
      <c r="I120" t="s">
        <v>63</v>
      </c>
      <c r="J120" t="s">
        <v>273</v>
      </c>
      <c r="K120" s="138">
        <v>8</v>
      </c>
      <c r="L120" s="137">
        <v>0</v>
      </c>
    </row>
    <row r="121" spans="7:12" x14ac:dyDescent="0.25">
      <c r="G121" s="136">
        <v>43259</v>
      </c>
      <c r="H121" t="s">
        <v>181</v>
      </c>
      <c r="I121" t="s">
        <v>42</v>
      </c>
      <c r="J121" t="s">
        <v>273</v>
      </c>
      <c r="K121" s="138">
        <v>41</v>
      </c>
      <c r="L121" s="137">
        <v>0</v>
      </c>
    </row>
    <row r="122" spans="7:12" x14ac:dyDescent="0.25">
      <c r="G122" s="136">
        <v>43259</v>
      </c>
      <c r="H122" t="s">
        <v>180</v>
      </c>
      <c r="I122" t="s">
        <v>63</v>
      </c>
      <c r="J122" t="s">
        <v>273</v>
      </c>
      <c r="K122" s="138">
        <v>51.97</v>
      </c>
      <c r="L122" s="137">
        <v>0</v>
      </c>
    </row>
    <row r="123" spans="7:12" x14ac:dyDescent="0.25">
      <c r="G123" s="136">
        <v>43259</v>
      </c>
      <c r="H123" t="s">
        <v>180</v>
      </c>
      <c r="I123" t="s">
        <v>163</v>
      </c>
      <c r="J123" t="s">
        <v>273</v>
      </c>
      <c r="K123" s="138">
        <v>20.95</v>
      </c>
      <c r="L123" s="137">
        <v>0</v>
      </c>
    </row>
    <row r="124" spans="7:12" x14ac:dyDescent="0.25">
      <c r="G124" s="136">
        <v>43259</v>
      </c>
      <c r="H124" t="s">
        <v>180</v>
      </c>
      <c r="I124" t="s">
        <v>42</v>
      </c>
      <c r="J124" t="s">
        <v>273</v>
      </c>
      <c r="K124" s="138">
        <v>22.92</v>
      </c>
      <c r="L124" s="137">
        <v>0</v>
      </c>
    </row>
    <row r="125" spans="7:12" x14ac:dyDescent="0.25">
      <c r="G125" s="136">
        <v>43259</v>
      </c>
      <c r="H125" t="s">
        <v>179</v>
      </c>
      <c r="I125" t="s">
        <v>63</v>
      </c>
      <c r="J125" t="s">
        <v>273</v>
      </c>
      <c r="K125" s="138">
        <v>22.45</v>
      </c>
      <c r="L125" s="137">
        <v>0</v>
      </c>
    </row>
    <row r="126" spans="7:12" x14ac:dyDescent="0.25">
      <c r="G126" s="136">
        <v>43259</v>
      </c>
      <c r="H126" t="s">
        <v>179</v>
      </c>
      <c r="I126" t="s">
        <v>163</v>
      </c>
      <c r="J126" t="s">
        <v>273</v>
      </c>
      <c r="K126" s="138">
        <v>51.92</v>
      </c>
      <c r="L126" s="137">
        <v>0</v>
      </c>
    </row>
    <row r="127" spans="7:12" x14ac:dyDescent="0.25">
      <c r="G127" s="136">
        <v>43259</v>
      </c>
      <c r="H127" t="s">
        <v>28</v>
      </c>
      <c r="I127" t="s">
        <v>163</v>
      </c>
      <c r="J127" t="s">
        <v>273</v>
      </c>
      <c r="K127" s="138">
        <v>61.42</v>
      </c>
      <c r="L127" s="137">
        <v>0</v>
      </c>
    </row>
    <row r="128" spans="7:12" x14ac:dyDescent="0.25">
      <c r="G128" s="136">
        <v>43259</v>
      </c>
      <c r="H128" t="s">
        <v>28</v>
      </c>
      <c r="I128" t="s">
        <v>66</v>
      </c>
      <c r="J128" t="s">
        <v>141</v>
      </c>
      <c r="K128" s="138">
        <v>6.6</v>
      </c>
      <c r="L128" s="137">
        <v>0</v>
      </c>
    </row>
    <row r="129" spans="7:12" x14ac:dyDescent="0.25">
      <c r="G129" s="136">
        <v>43259</v>
      </c>
      <c r="H129" t="s">
        <v>28</v>
      </c>
      <c r="I129" t="s">
        <v>66</v>
      </c>
      <c r="J129" t="s">
        <v>131</v>
      </c>
      <c r="K129" s="138">
        <v>9.1999999999999993</v>
      </c>
      <c r="L129" s="137">
        <v>0</v>
      </c>
    </row>
    <row r="130" spans="7:12" x14ac:dyDescent="0.25">
      <c r="G130" s="136">
        <v>43259</v>
      </c>
      <c r="H130" t="s">
        <v>28</v>
      </c>
      <c r="I130" t="s">
        <v>66</v>
      </c>
      <c r="J130" t="s">
        <v>129</v>
      </c>
      <c r="K130" s="138">
        <v>2.25</v>
      </c>
      <c r="L130" s="137">
        <v>0</v>
      </c>
    </row>
    <row r="131" spans="7:12" x14ac:dyDescent="0.25">
      <c r="G131" s="136">
        <v>43259</v>
      </c>
      <c r="H131" t="s">
        <v>28</v>
      </c>
      <c r="I131" t="s">
        <v>42</v>
      </c>
      <c r="J131" t="s">
        <v>273</v>
      </c>
      <c r="K131" s="138">
        <v>19</v>
      </c>
      <c r="L131" s="137">
        <v>0</v>
      </c>
    </row>
    <row r="132" spans="7:12" x14ac:dyDescent="0.25">
      <c r="G132" s="136">
        <v>43260</v>
      </c>
      <c r="H132" t="s">
        <v>27</v>
      </c>
      <c r="I132" t="s">
        <v>218</v>
      </c>
      <c r="J132" t="s">
        <v>274</v>
      </c>
      <c r="K132" s="138">
        <v>84.76</v>
      </c>
      <c r="L132" s="137">
        <v>0</v>
      </c>
    </row>
    <row r="133" spans="7:12" x14ac:dyDescent="0.25">
      <c r="G133" s="136">
        <v>43260</v>
      </c>
      <c r="H133" t="s">
        <v>27</v>
      </c>
      <c r="I133" t="s">
        <v>218</v>
      </c>
      <c r="J133" t="s">
        <v>274</v>
      </c>
      <c r="K133" s="138">
        <v>75.209999999999994</v>
      </c>
      <c r="L133" s="137">
        <v>0</v>
      </c>
    </row>
    <row r="134" spans="7:12" x14ac:dyDescent="0.25">
      <c r="G134" s="136">
        <v>43260</v>
      </c>
      <c r="H134" t="s">
        <v>27</v>
      </c>
      <c r="I134" t="s">
        <v>218</v>
      </c>
      <c r="J134" t="s">
        <v>274</v>
      </c>
      <c r="K134" s="138">
        <v>74.63</v>
      </c>
      <c r="L134" s="137">
        <v>0</v>
      </c>
    </row>
    <row r="135" spans="7:12" x14ac:dyDescent="0.25">
      <c r="G135" s="136">
        <v>43260</v>
      </c>
      <c r="H135" t="s">
        <v>27</v>
      </c>
      <c r="I135" t="s">
        <v>218</v>
      </c>
      <c r="J135" t="s">
        <v>274</v>
      </c>
      <c r="K135" s="138">
        <v>72.03</v>
      </c>
      <c r="L135" s="137">
        <v>0</v>
      </c>
    </row>
    <row r="136" spans="7:12" x14ac:dyDescent="0.25">
      <c r="G136" s="136">
        <v>43260</v>
      </c>
      <c r="H136" t="s">
        <v>27</v>
      </c>
      <c r="I136" t="s">
        <v>218</v>
      </c>
      <c r="J136" t="s">
        <v>274</v>
      </c>
      <c r="K136" s="138">
        <v>59.61</v>
      </c>
      <c r="L136" s="137">
        <v>0</v>
      </c>
    </row>
    <row r="137" spans="7:12" x14ac:dyDescent="0.25">
      <c r="G137" s="136">
        <v>43260</v>
      </c>
      <c r="H137" t="s">
        <v>27</v>
      </c>
      <c r="I137" t="s">
        <v>218</v>
      </c>
      <c r="J137" t="s">
        <v>274</v>
      </c>
      <c r="K137" s="138">
        <v>51.66</v>
      </c>
      <c r="L137" s="137">
        <v>0</v>
      </c>
    </row>
    <row r="138" spans="7:12" x14ac:dyDescent="0.25">
      <c r="G138" s="136">
        <v>43260</v>
      </c>
      <c r="H138" t="s">
        <v>27</v>
      </c>
      <c r="I138" t="s">
        <v>218</v>
      </c>
      <c r="J138" t="s">
        <v>274</v>
      </c>
      <c r="K138" s="138">
        <v>44.52</v>
      </c>
      <c r="L138" s="137">
        <v>0</v>
      </c>
    </row>
    <row r="139" spans="7:12" x14ac:dyDescent="0.25">
      <c r="G139" s="136">
        <v>43260</v>
      </c>
      <c r="H139" t="s">
        <v>27</v>
      </c>
      <c r="I139" t="s">
        <v>218</v>
      </c>
      <c r="J139" t="s">
        <v>274</v>
      </c>
      <c r="K139" s="138">
        <v>31.74</v>
      </c>
      <c r="L139" s="137">
        <v>0</v>
      </c>
    </row>
    <row r="140" spans="7:12" x14ac:dyDescent="0.25">
      <c r="G140" s="136">
        <v>43260</v>
      </c>
      <c r="H140" t="s">
        <v>27</v>
      </c>
      <c r="I140" t="s">
        <v>218</v>
      </c>
      <c r="J140" t="s">
        <v>274</v>
      </c>
      <c r="K140" s="138">
        <v>28.84</v>
      </c>
      <c r="L140" s="137">
        <v>0</v>
      </c>
    </row>
    <row r="141" spans="7:12" x14ac:dyDescent="0.25">
      <c r="G141" s="136">
        <v>43260</v>
      </c>
      <c r="H141" t="s">
        <v>27</v>
      </c>
      <c r="I141" t="s">
        <v>218</v>
      </c>
      <c r="J141" t="s">
        <v>274</v>
      </c>
      <c r="K141" s="138">
        <v>28.57</v>
      </c>
      <c r="L141" s="137">
        <v>0</v>
      </c>
    </row>
    <row r="142" spans="7:12" x14ac:dyDescent="0.25">
      <c r="G142" s="136">
        <v>43260</v>
      </c>
      <c r="H142" t="s">
        <v>27</v>
      </c>
      <c r="I142" t="s">
        <v>218</v>
      </c>
      <c r="J142" t="s">
        <v>274</v>
      </c>
      <c r="K142" s="138">
        <v>26.27</v>
      </c>
      <c r="L142" s="137">
        <v>0</v>
      </c>
    </row>
    <row r="143" spans="7:12" x14ac:dyDescent="0.25">
      <c r="G143" s="136">
        <v>43260</v>
      </c>
      <c r="H143" t="s">
        <v>27</v>
      </c>
      <c r="I143" t="s">
        <v>218</v>
      </c>
      <c r="J143" t="s">
        <v>274</v>
      </c>
      <c r="K143" s="138">
        <v>21.74</v>
      </c>
      <c r="L143" s="137">
        <v>0</v>
      </c>
    </row>
    <row r="144" spans="7:12" x14ac:dyDescent="0.25">
      <c r="G144" s="136">
        <v>43260</v>
      </c>
      <c r="H144" t="s">
        <v>27</v>
      </c>
      <c r="I144" t="s">
        <v>218</v>
      </c>
      <c r="J144" t="s">
        <v>274</v>
      </c>
      <c r="K144" s="138">
        <v>21.26</v>
      </c>
      <c r="L144" s="137">
        <v>0</v>
      </c>
    </row>
    <row r="145" spans="7:12" x14ac:dyDescent="0.25">
      <c r="G145" s="136">
        <v>43260</v>
      </c>
      <c r="H145" t="s">
        <v>27</v>
      </c>
      <c r="I145" t="s">
        <v>218</v>
      </c>
      <c r="J145" t="s">
        <v>274</v>
      </c>
      <c r="K145" s="138">
        <v>17.350000000000001</v>
      </c>
      <c r="L145" s="137">
        <v>0</v>
      </c>
    </row>
    <row r="146" spans="7:12" x14ac:dyDescent="0.25">
      <c r="G146" s="136">
        <v>43260</v>
      </c>
      <c r="H146" t="s">
        <v>195</v>
      </c>
      <c r="I146" t="s">
        <v>218</v>
      </c>
      <c r="J146" t="s">
        <v>274</v>
      </c>
      <c r="K146" s="138">
        <v>164.44</v>
      </c>
      <c r="L146" s="137">
        <v>0</v>
      </c>
    </row>
    <row r="147" spans="7:12" x14ac:dyDescent="0.25">
      <c r="G147" s="136">
        <v>43260</v>
      </c>
      <c r="H147" t="s">
        <v>183</v>
      </c>
      <c r="I147" t="s">
        <v>218</v>
      </c>
      <c r="J147" t="s">
        <v>274</v>
      </c>
      <c r="K147" s="138">
        <v>2846.89</v>
      </c>
      <c r="L147" s="137">
        <v>0</v>
      </c>
    </row>
    <row r="148" spans="7:12" x14ac:dyDescent="0.25">
      <c r="G148" s="136">
        <v>43260</v>
      </c>
      <c r="H148" t="s">
        <v>189</v>
      </c>
      <c r="I148" t="s">
        <v>218</v>
      </c>
      <c r="J148" t="s">
        <v>274</v>
      </c>
      <c r="K148" s="138">
        <v>480.62</v>
      </c>
      <c r="L148" s="137">
        <v>0</v>
      </c>
    </row>
    <row r="149" spans="7:12" x14ac:dyDescent="0.25">
      <c r="G149" s="136">
        <v>43260</v>
      </c>
      <c r="H149" t="s">
        <v>193</v>
      </c>
      <c r="I149" t="s">
        <v>218</v>
      </c>
      <c r="J149" t="s">
        <v>274</v>
      </c>
      <c r="K149" s="138">
        <v>114.84</v>
      </c>
      <c r="L149" s="137">
        <v>0</v>
      </c>
    </row>
    <row r="150" spans="7:12" x14ac:dyDescent="0.25">
      <c r="G150" s="136">
        <v>43260</v>
      </c>
      <c r="H150" t="s">
        <v>188</v>
      </c>
      <c r="I150" t="s">
        <v>218</v>
      </c>
      <c r="J150" t="s">
        <v>274</v>
      </c>
      <c r="K150" s="138">
        <v>77.819999999999993</v>
      </c>
      <c r="L150" s="137">
        <v>0</v>
      </c>
    </row>
    <row r="151" spans="7:12" x14ac:dyDescent="0.25">
      <c r="G151" s="136">
        <v>43260</v>
      </c>
      <c r="H151" t="s">
        <v>25</v>
      </c>
      <c r="I151" t="s">
        <v>218</v>
      </c>
      <c r="J151" t="s">
        <v>274</v>
      </c>
      <c r="K151" s="138">
        <v>1317.94</v>
      </c>
      <c r="L151" s="137">
        <v>0</v>
      </c>
    </row>
    <row r="152" spans="7:12" x14ac:dyDescent="0.25">
      <c r="G152" s="136">
        <v>43260</v>
      </c>
      <c r="H152" t="s">
        <v>25</v>
      </c>
      <c r="I152" t="s">
        <v>218</v>
      </c>
      <c r="J152" t="s">
        <v>274</v>
      </c>
      <c r="K152" s="138">
        <v>1082.95</v>
      </c>
      <c r="L152" s="137">
        <v>0</v>
      </c>
    </row>
    <row r="153" spans="7:12" x14ac:dyDescent="0.25">
      <c r="G153" s="136">
        <v>43260</v>
      </c>
      <c r="H153" t="s">
        <v>25</v>
      </c>
      <c r="I153" t="s">
        <v>218</v>
      </c>
      <c r="J153" t="s">
        <v>274</v>
      </c>
      <c r="K153" s="138">
        <v>941.68</v>
      </c>
      <c r="L153" s="137">
        <v>0</v>
      </c>
    </row>
    <row r="154" spans="7:12" x14ac:dyDescent="0.25">
      <c r="G154" s="136">
        <v>43260</v>
      </c>
      <c r="H154" t="s">
        <v>25</v>
      </c>
      <c r="I154" t="s">
        <v>218</v>
      </c>
      <c r="J154" t="s">
        <v>274</v>
      </c>
      <c r="K154" s="138">
        <v>636.30999999999995</v>
      </c>
      <c r="L154" s="137">
        <v>0</v>
      </c>
    </row>
    <row r="155" spans="7:12" x14ac:dyDescent="0.25">
      <c r="G155" s="136">
        <v>43260</v>
      </c>
      <c r="H155" t="s">
        <v>25</v>
      </c>
      <c r="I155" t="s">
        <v>218</v>
      </c>
      <c r="J155" t="s">
        <v>274</v>
      </c>
      <c r="K155" s="138">
        <v>571.73</v>
      </c>
      <c r="L155" s="137">
        <v>0</v>
      </c>
    </row>
    <row r="156" spans="7:12" x14ac:dyDescent="0.25">
      <c r="G156" s="136">
        <v>43260</v>
      </c>
      <c r="H156" t="s">
        <v>25</v>
      </c>
      <c r="I156" t="s">
        <v>218</v>
      </c>
      <c r="J156" t="s">
        <v>274</v>
      </c>
      <c r="K156" s="138">
        <v>556.64</v>
      </c>
      <c r="L156" s="137">
        <v>0</v>
      </c>
    </row>
    <row r="157" spans="7:12" x14ac:dyDescent="0.25">
      <c r="G157" s="136">
        <v>43260</v>
      </c>
      <c r="H157" t="s">
        <v>25</v>
      </c>
      <c r="I157" t="s">
        <v>218</v>
      </c>
      <c r="J157" t="s">
        <v>274</v>
      </c>
      <c r="K157" s="138">
        <v>523.71</v>
      </c>
      <c r="L157" s="137">
        <v>0</v>
      </c>
    </row>
    <row r="158" spans="7:12" x14ac:dyDescent="0.25">
      <c r="G158" s="136">
        <v>43260</v>
      </c>
      <c r="H158" t="s">
        <v>25</v>
      </c>
      <c r="I158" t="s">
        <v>218</v>
      </c>
      <c r="J158" t="s">
        <v>274</v>
      </c>
      <c r="K158" s="138">
        <v>441.03</v>
      </c>
      <c r="L158" s="137">
        <v>0</v>
      </c>
    </row>
    <row r="159" spans="7:12" x14ac:dyDescent="0.25">
      <c r="G159" s="136">
        <v>43260</v>
      </c>
      <c r="H159" t="s">
        <v>25</v>
      </c>
      <c r="I159" t="s">
        <v>218</v>
      </c>
      <c r="J159" t="s">
        <v>274</v>
      </c>
      <c r="K159" s="138">
        <v>426.16</v>
      </c>
      <c r="L159" s="137">
        <v>0</v>
      </c>
    </row>
    <row r="160" spans="7:12" x14ac:dyDescent="0.25">
      <c r="G160" s="136">
        <v>43260</v>
      </c>
      <c r="H160" t="s">
        <v>25</v>
      </c>
      <c r="I160" t="s">
        <v>218</v>
      </c>
      <c r="J160" t="s">
        <v>274</v>
      </c>
      <c r="K160" s="138">
        <v>415.06</v>
      </c>
      <c r="L160" s="137">
        <v>0</v>
      </c>
    </row>
    <row r="161" spans="7:12" x14ac:dyDescent="0.25">
      <c r="G161" s="136">
        <v>43260</v>
      </c>
      <c r="H161" t="s">
        <v>25</v>
      </c>
      <c r="I161" t="s">
        <v>218</v>
      </c>
      <c r="J161" t="s">
        <v>274</v>
      </c>
      <c r="K161" s="138">
        <v>404.26</v>
      </c>
      <c r="L161" s="137">
        <v>0</v>
      </c>
    </row>
    <row r="162" spans="7:12" x14ac:dyDescent="0.25">
      <c r="G162" s="136">
        <v>43260</v>
      </c>
      <c r="H162" t="s">
        <v>25</v>
      </c>
      <c r="I162" t="s">
        <v>218</v>
      </c>
      <c r="J162" t="s">
        <v>274</v>
      </c>
      <c r="K162" s="138">
        <v>356.87</v>
      </c>
      <c r="L162" s="137">
        <v>0</v>
      </c>
    </row>
    <row r="163" spans="7:12" x14ac:dyDescent="0.25">
      <c r="G163" s="136">
        <v>43260</v>
      </c>
      <c r="H163" t="s">
        <v>25</v>
      </c>
      <c r="I163" t="s">
        <v>218</v>
      </c>
      <c r="J163" t="s">
        <v>274</v>
      </c>
      <c r="K163" s="138">
        <v>299.97000000000003</v>
      </c>
      <c r="L163" s="137">
        <v>0</v>
      </c>
    </row>
    <row r="164" spans="7:12" x14ac:dyDescent="0.25">
      <c r="G164" s="136">
        <v>43260</v>
      </c>
      <c r="H164" t="s">
        <v>25</v>
      </c>
      <c r="I164" t="s">
        <v>218</v>
      </c>
      <c r="J164" t="s">
        <v>274</v>
      </c>
      <c r="K164" s="138">
        <v>224.45</v>
      </c>
      <c r="L164" s="137">
        <v>0</v>
      </c>
    </row>
    <row r="165" spans="7:12" x14ac:dyDescent="0.25">
      <c r="G165" s="136">
        <v>43260</v>
      </c>
      <c r="H165" t="s">
        <v>25</v>
      </c>
      <c r="I165" t="s">
        <v>218</v>
      </c>
      <c r="J165" t="s">
        <v>274</v>
      </c>
      <c r="K165" s="138">
        <v>197.67</v>
      </c>
      <c r="L165" s="137">
        <v>0</v>
      </c>
    </row>
    <row r="166" spans="7:12" x14ac:dyDescent="0.25">
      <c r="G166" s="136">
        <v>43260</v>
      </c>
      <c r="H166" t="s">
        <v>25</v>
      </c>
      <c r="I166" t="s">
        <v>218</v>
      </c>
      <c r="J166" t="s">
        <v>274</v>
      </c>
      <c r="K166" s="138">
        <v>165.96</v>
      </c>
      <c r="L166" s="137">
        <v>0</v>
      </c>
    </row>
    <row r="167" spans="7:12" x14ac:dyDescent="0.25">
      <c r="G167" s="136">
        <v>43260</v>
      </c>
      <c r="H167" t="s">
        <v>25</v>
      </c>
      <c r="I167" t="s">
        <v>218</v>
      </c>
      <c r="J167" t="s">
        <v>274</v>
      </c>
      <c r="K167" s="138">
        <v>162.99</v>
      </c>
      <c r="L167" s="137">
        <v>0</v>
      </c>
    </row>
    <row r="168" spans="7:12" x14ac:dyDescent="0.25">
      <c r="G168" s="136">
        <v>43260</v>
      </c>
      <c r="H168" t="s">
        <v>25</v>
      </c>
      <c r="I168" t="s">
        <v>218</v>
      </c>
      <c r="J168" t="s">
        <v>274</v>
      </c>
      <c r="K168" s="138">
        <v>147.52000000000001</v>
      </c>
      <c r="L168" s="137">
        <v>0</v>
      </c>
    </row>
    <row r="169" spans="7:12" x14ac:dyDescent="0.25">
      <c r="G169" s="136">
        <v>43260</v>
      </c>
      <c r="H169" t="s">
        <v>25</v>
      </c>
      <c r="I169" t="s">
        <v>218</v>
      </c>
      <c r="J169" t="s">
        <v>274</v>
      </c>
      <c r="K169" s="138">
        <v>111.6</v>
      </c>
      <c r="L169" s="137">
        <v>0</v>
      </c>
    </row>
    <row r="170" spans="7:12" x14ac:dyDescent="0.25">
      <c r="G170" s="136">
        <v>43260</v>
      </c>
      <c r="H170" t="s">
        <v>25</v>
      </c>
      <c r="I170" t="s">
        <v>218</v>
      </c>
      <c r="J170" t="s">
        <v>274</v>
      </c>
      <c r="K170" s="138">
        <v>109.68</v>
      </c>
      <c r="L170" s="137">
        <v>0</v>
      </c>
    </row>
    <row r="171" spans="7:12" x14ac:dyDescent="0.25">
      <c r="G171" s="136">
        <v>43260</v>
      </c>
      <c r="H171" t="s">
        <v>179</v>
      </c>
      <c r="I171" t="s">
        <v>218</v>
      </c>
      <c r="J171" t="s">
        <v>274</v>
      </c>
      <c r="K171" s="138">
        <v>2620.46</v>
      </c>
      <c r="L171" s="137">
        <v>0</v>
      </c>
    </row>
    <row r="172" spans="7:12" x14ac:dyDescent="0.25">
      <c r="G172" s="136">
        <v>43260</v>
      </c>
      <c r="H172" t="s">
        <v>28</v>
      </c>
      <c r="I172" t="s">
        <v>218</v>
      </c>
      <c r="J172" t="s">
        <v>274</v>
      </c>
      <c r="K172" s="138">
        <v>72.33</v>
      </c>
      <c r="L172" s="137">
        <v>0</v>
      </c>
    </row>
    <row r="173" spans="7:12" x14ac:dyDescent="0.25">
      <c r="G173" s="136">
        <v>43260</v>
      </c>
      <c r="H173" t="s">
        <v>28</v>
      </c>
      <c r="I173" t="s">
        <v>218</v>
      </c>
      <c r="J173" t="s">
        <v>274</v>
      </c>
      <c r="K173" s="138">
        <v>69.349999999999994</v>
      </c>
      <c r="L173" s="137">
        <v>0</v>
      </c>
    </row>
    <row r="174" spans="7:12" x14ac:dyDescent="0.25">
      <c r="G174" s="136">
        <v>43260</v>
      </c>
      <c r="H174" t="s">
        <v>28</v>
      </c>
      <c r="I174" t="s">
        <v>218</v>
      </c>
      <c r="J174" t="s">
        <v>274</v>
      </c>
      <c r="K174" s="138">
        <v>66.569999999999993</v>
      </c>
      <c r="L174" s="137">
        <v>0</v>
      </c>
    </row>
    <row r="175" spans="7:12" x14ac:dyDescent="0.25">
      <c r="G175" s="136">
        <v>43260</v>
      </c>
      <c r="H175" t="s">
        <v>28</v>
      </c>
      <c r="I175" t="s">
        <v>218</v>
      </c>
      <c r="J175" t="s">
        <v>274</v>
      </c>
      <c r="K175" s="138">
        <v>54.12</v>
      </c>
      <c r="L175" s="137">
        <v>0</v>
      </c>
    </row>
    <row r="176" spans="7:12" x14ac:dyDescent="0.25">
      <c r="G176" s="136">
        <v>43260</v>
      </c>
      <c r="H176" t="s">
        <v>28</v>
      </c>
      <c r="I176" t="s">
        <v>218</v>
      </c>
      <c r="J176" t="s">
        <v>274</v>
      </c>
      <c r="K176" s="138">
        <v>48.24</v>
      </c>
      <c r="L176" s="137">
        <v>0</v>
      </c>
    </row>
    <row r="177" spans="7:12" x14ac:dyDescent="0.25">
      <c r="G177" s="136">
        <v>43260</v>
      </c>
      <c r="H177" t="s">
        <v>28</v>
      </c>
      <c r="I177" t="s">
        <v>218</v>
      </c>
      <c r="J177" t="s">
        <v>274</v>
      </c>
      <c r="K177" s="138">
        <v>42.85</v>
      </c>
      <c r="L177" s="137">
        <v>0</v>
      </c>
    </row>
    <row r="178" spans="7:12" x14ac:dyDescent="0.25">
      <c r="G178" s="136">
        <v>43260</v>
      </c>
      <c r="H178" t="s">
        <v>28</v>
      </c>
      <c r="I178" t="s">
        <v>218</v>
      </c>
      <c r="J178" t="s">
        <v>274</v>
      </c>
      <c r="K178" s="138">
        <v>36.020000000000003</v>
      </c>
      <c r="L178" s="137">
        <v>0</v>
      </c>
    </row>
    <row r="179" spans="7:12" x14ac:dyDescent="0.25">
      <c r="G179" s="136">
        <v>43260</v>
      </c>
      <c r="H179" t="s">
        <v>28</v>
      </c>
      <c r="I179" t="s">
        <v>218</v>
      </c>
      <c r="J179" t="s">
        <v>274</v>
      </c>
      <c r="K179" s="138">
        <v>33.51</v>
      </c>
      <c r="L179" s="137">
        <v>0</v>
      </c>
    </row>
    <row r="180" spans="7:12" x14ac:dyDescent="0.25">
      <c r="G180" s="136">
        <v>43260</v>
      </c>
      <c r="H180" t="s">
        <v>28</v>
      </c>
      <c r="I180" t="s">
        <v>218</v>
      </c>
      <c r="J180" t="s">
        <v>274</v>
      </c>
      <c r="K180" s="138">
        <v>24</v>
      </c>
      <c r="L180" s="137">
        <v>0</v>
      </c>
    </row>
    <row r="181" spans="7:12" x14ac:dyDescent="0.25">
      <c r="G181" s="136">
        <v>43260</v>
      </c>
      <c r="H181" t="s">
        <v>28</v>
      </c>
      <c r="I181" t="s">
        <v>218</v>
      </c>
      <c r="J181" t="s">
        <v>274</v>
      </c>
      <c r="K181" s="138">
        <v>21.15</v>
      </c>
      <c r="L181" s="137">
        <v>0</v>
      </c>
    </row>
    <row r="182" spans="7:12" x14ac:dyDescent="0.25">
      <c r="G182" s="136">
        <v>43262</v>
      </c>
      <c r="H182" t="s">
        <v>192</v>
      </c>
      <c r="I182" t="s">
        <v>63</v>
      </c>
      <c r="J182" t="s">
        <v>275</v>
      </c>
      <c r="K182" s="138">
        <v>35.26</v>
      </c>
      <c r="L182" s="137">
        <v>0</v>
      </c>
    </row>
    <row r="183" spans="7:12" x14ac:dyDescent="0.25">
      <c r="G183" s="136">
        <v>43262</v>
      </c>
      <c r="H183" t="s">
        <v>192</v>
      </c>
      <c r="I183" t="s">
        <v>112</v>
      </c>
      <c r="J183" t="s">
        <v>275</v>
      </c>
      <c r="K183" s="138">
        <v>137.13999999999999</v>
      </c>
      <c r="L183" s="137">
        <v>0</v>
      </c>
    </row>
    <row r="184" spans="7:12" x14ac:dyDescent="0.25">
      <c r="G184" s="136">
        <v>43262</v>
      </c>
      <c r="H184" t="s">
        <v>27</v>
      </c>
      <c r="I184" t="s">
        <v>63</v>
      </c>
      <c r="J184" t="s">
        <v>275</v>
      </c>
      <c r="K184" s="138">
        <v>32</v>
      </c>
      <c r="L184" s="137">
        <v>0</v>
      </c>
    </row>
    <row r="185" spans="7:12" x14ac:dyDescent="0.25">
      <c r="G185" s="136">
        <v>43262</v>
      </c>
      <c r="H185" t="s">
        <v>27</v>
      </c>
      <c r="I185" t="s">
        <v>63</v>
      </c>
      <c r="J185" t="s">
        <v>275</v>
      </c>
      <c r="K185" s="138">
        <v>8</v>
      </c>
      <c r="L185" s="137">
        <v>0</v>
      </c>
    </row>
    <row r="186" spans="7:12" x14ac:dyDescent="0.25">
      <c r="G186" s="136">
        <v>43262</v>
      </c>
      <c r="H186" t="s">
        <v>195</v>
      </c>
      <c r="I186" t="s">
        <v>63</v>
      </c>
      <c r="J186" t="s">
        <v>275</v>
      </c>
      <c r="K186" s="138">
        <v>15</v>
      </c>
      <c r="L186" s="137">
        <v>0</v>
      </c>
    </row>
    <row r="187" spans="7:12" x14ac:dyDescent="0.25">
      <c r="G187" s="136">
        <v>43262</v>
      </c>
      <c r="H187" t="s">
        <v>195</v>
      </c>
      <c r="I187" t="s">
        <v>42</v>
      </c>
      <c r="J187" t="s">
        <v>275</v>
      </c>
      <c r="K187" s="138">
        <v>18</v>
      </c>
      <c r="L187" s="137">
        <v>0</v>
      </c>
    </row>
    <row r="188" spans="7:12" x14ac:dyDescent="0.25">
      <c r="G188" s="136">
        <v>43262</v>
      </c>
      <c r="H188" t="s">
        <v>183</v>
      </c>
      <c r="I188" t="s">
        <v>63</v>
      </c>
      <c r="J188" t="s">
        <v>275</v>
      </c>
      <c r="K188" s="138">
        <v>10</v>
      </c>
      <c r="L188" s="137">
        <v>0</v>
      </c>
    </row>
    <row r="189" spans="7:12" x14ac:dyDescent="0.25">
      <c r="G189" s="136">
        <v>43262</v>
      </c>
      <c r="H189" t="s">
        <v>183</v>
      </c>
      <c r="I189" t="s">
        <v>175</v>
      </c>
      <c r="J189" t="s">
        <v>275</v>
      </c>
      <c r="K189" s="138">
        <v>22.89</v>
      </c>
      <c r="L189" s="137">
        <v>0</v>
      </c>
    </row>
    <row r="190" spans="7:12" x14ac:dyDescent="0.25">
      <c r="G190" s="136">
        <v>43262</v>
      </c>
      <c r="H190" t="s">
        <v>183</v>
      </c>
      <c r="I190" t="s">
        <v>42</v>
      </c>
      <c r="J190" t="s">
        <v>275</v>
      </c>
      <c r="K190" s="138">
        <v>177.6</v>
      </c>
      <c r="L190" s="137">
        <v>0</v>
      </c>
    </row>
    <row r="191" spans="7:12" x14ac:dyDescent="0.25">
      <c r="G191" s="136">
        <v>43262</v>
      </c>
      <c r="H191" t="s">
        <v>193</v>
      </c>
      <c r="I191" t="s">
        <v>163</v>
      </c>
      <c r="J191" t="s">
        <v>275</v>
      </c>
      <c r="K191" s="138">
        <v>154.21</v>
      </c>
      <c r="L191" s="137">
        <v>0</v>
      </c>
    </row>
    <row r="192" spans="7:12" x14ac:dyDescent="0.25">
      <c r="G192" s="136">
        <v>43262</v>
      </c>
      <c r="H192" t="s">
        <v>193</v>
      </c>
      <c r="I192" t="s">
        <v>176</v>
      </c>
      <c r="J192" t="s">
        <v>275</v>
      </c>
      <c r="K192" s="138">
        <v>1172.83</v>
      </c>
      <c r="L192" s="137">
        <v>0</v>
      </c>
    </row>
    <row r="193" spans="7:12" x14ac:dyDescent="0.25">
      <c r="G193" s="136">
        <v>43262</v>
      </c>
      <c r="H193" t="s">
        <v>25</v>
      </c>
      <c r="I193" t="s">
        <v>63</v>
      </c>
      <c r="J193" t="s">
        <v>275</v>
      </c>
      <c r="K193" s="138">
        <v>64</v>
      </c>
      <c r="L193" s="137">
        <v>0</v>
      </c>
    </row>
    <row r="194" spans="7:12" x14ac:dyDescent="0.25">
      <c r="G194" s="136">
        <v>43262</v>
      </c>
      <c r="H194" t="s">
        <v>25</v>
      </c>
      <c r="I194" t="s">
        <v>63</v>
      </c>
      <c r="J194" t="s">
        <v>275</v>
      </c>
      <c r="K194" s="138">
        <v>32</v>
      </c>
      <c r="L194" s="137">
        <v>0</v>
      </c>
    </row>
    <row r="195" spans="7:12" x14ac:dyDescent="0.25">
      <c r="G195" s="136">
        <v>43262</v>
      </c>
      <c r="H195" t="s">
        <v>182</v>
      </c>
      <c r="I195" t="s">
        <v>163</v>
      </c>
      <c r="J195" t="s">
        <v>275</v>
      </c>
      <c r="K195" s="138">
        <v>120</v>
      </c>
      <c r="L195" s="137">
        <v>0</v>
      </c>
    </row>
    <row r="196" spans="7:12" x14ac:dyDescent="0.25">
      <c r="G196" s="136">
        <v>43262</v>
      </c>
      <c r="H196" t="s">
        <v>181</v>
      </c>
      <c r="I196" t="s">
        <v>112</v>
      </c>
      <c r="J196" t="s">
        <v>275</v>
      </c>
      <c r="K196" s="138">
        <v>47.75</v>
      </c>
      <c r="L196" s="137">
        <v>0</v>
      </c>
    </row>
    <row r="197" spans="7:12" x14ac:dyDescent="0.25">
      <c r="G197" s="136">
        <v>43262</v>
      </c>
      <c r="H197" t="s">
        <v>181</v>
      </c>
      <c r="I197" t="s">
        <v>42</v>
      </c>
      <c r="J197" t="s">
        <v>275</v>
      </c>
      <c r="K197" s="138">
        <v>46.3</v>
      </c>
      <c r="L197" s="137">
        <v>0</v>
      </c>
    </row>
    <row r="198" spans="7:12" x14ac:dyDescent="0.25">
      <c r="G198" s="136">
        <v>43262</v>
      </c>
      <c r="H198" t="s">
        <v>197</v>
      </c>
      <c r="I198" t="s">
        <v>42</v>
      </c>
      <c r="J198" t="s">
        <v>275</v>
      </c>
      <c r="K198" s="138">
        <v>49</v>
      </c>
      <c r="L198" s="137">
        <v>0</v>
      </c>
    </row>
    <row r="199" spans="7:12" x14ac:dyDescent="0.25">
      <c r="G199" s="136">
        <v>43262</v>
      </c>
      <c r="H199" t="s">
        <v>196</v>
      </c>
      <c r="I199" t="s">
        <v>178</v>
      </c>
      <c r="J199" t="s">
        <v>275</v>
      </c>
      <c r="K199" s="138">
        <v>95.96</v>
      </c>
      <c r="L199" s="137">
        <v>0</v>
      </c>
    </row>
    <row r="200" spans="7:12" x14ac:dyDescent="0.25">
      <c r="G200" s="136">
        <v>43262</v>
      </c>
      <c r="H200" t="s">
        <v>180</v>
      </c>
      <c r="I200" t="s">
        <v>42</v>
      </c>
      <c r="J200" t="s">
        <v>275</v>
      </c>
      <c r="K200" s="138">
        <v>10</v>
      </c>
      <c r="L200" s="137">
        <v>0</v>
      </c>
    </row>
    <row r="201" spans="7:12" x14ac:dyDescent="0.25">
      <c r="G201" s="136">
        <v>43262</v>
      </c>
      <c r="H201" t="s">
        <v>179</v>
      </c>
      <c r="I201" t="s">
        <v>175</v>
      </c>
      <c r="J201" t="s">
        <v>275</v>
      </c>
      <c r="K201" s="138">
        <v>84</v>
      </c>
      <c r="L201" s="137">
        <v>0</v>
      </c>
    </row>
    <row r="202" spans="7:12" x14ac:dyDescent="0.25">
      <c r="G202" s="136">
        <v>43262</v>
      </c>
      <c r="H202" t="s">
        <v>179</v>
      </c>
      <c r="I202" t="s">
        <v>42</v>
      </c>
      <c r="J202" t="s">
        <v>275</v>
      </c>
      <c r="K202" s="138">
        <v>28.37</v>
      </c>
      <c r="L202" s="137">
        <v>0</v>
      </c>
    </row>
    <row r="203" spans="7:12" x14ac:dyDescent="0.25">
      <c r="G203" s="136">
        <v>43262</v>
      </c>
      <c r="H203" t="s">
        <v>28</v>
      </c>
      <c r="I203" t="s">
        <v>163</v>
      </c>
      <c r="J203" t="s">
        <v>275</v>
      </c>
      <c r="K203" s="138">
        <v>85</v>
      </c>
      <c r="L203" s="137">
        <v>0</v>
      </c>
    </row>
    <row r="204" spans="7:12" x14ac:dyDescent="0.25">
      <c r="G204" s="136">
        <v>43262</v>
      </c>
      <c r="H204" t="s">
        <v>28</v>
      </c>
      <c r="I204" t="s">
        <v>163</v>
      </c>
      <c r="J204" t="s">
        <v>275</v>
      </c>
      <c r="K204" s="138">
        <v>27.65</v>
      </c>
      <c r="L204" s="137">
        <v>0</v>
      </c>
    </row>
    <row r="205" spans="7:12" x14ac:dyDescent="0.25">
      <c r="G205" s="136">
        <v>43262</v>
      </c>
      <c r="H205" t="s">
        <v>28</v>
      </c>
      <c r="I205" t="s">
        <v>112</v>
      </c>
      <c r="J205" t="s">
        <v>275</v>
      </c>
      <c r="K205" s="138">
        <v>61.64</v>
      </c>
      <c r="L205" s="137">
        <v>0</v>
      </c>
    </row>
    <row r="206" spans="7:12" x14ac:dyDescent="0.25">
      <c r="G206" s="136">
        <v>43262</v>
      </c>
      <c r="H206" t="s">
        <v>28</v>
      </c>
      <c r="I206" t="s">
        <v>155</v>
      </c>
      <c r="J206" t="s">
        <v>275</v>
      </c>
      <c r="K206" s="138">
        <v>83.51</v>
      </c>
      <c r="L206" s="137">
        <v>0</v>
      </c>
    </row>
    <row r="207" spans="7:12" x14ac:dyDescent="0.25">
      <c r="G207" s="136">
        <v>43262</v>
      </c>
      <c r="H207" t="s">
        <v>28</v>
      </c>
      <c r="I207" t="s">
        <v>155</v>
      </c>
      <c r="J207" t="s">
        <v>275</v>
      </c>
      <c r="K207" s="138">
        <v>62.44</v>
      </c>
      <c r="L207" s="137">
        <v>0</v>
      </c>
    </row>
    <row r="208" spans="7:12" x14ac:dyDescent="0.25">
      <c r="G208" s="136">
        <v>43262</v>
      </c>
      <c r="H208" t="s">
        <v>28</v>
      </c>
      <c r="I208" t="s">
        <v>155</v>
      </c>
      <c r="J208" t="s">
        <v>275</v>
      </c>
      <c r="K208" s="138">
        <v>53.41</v>
      </c>
      <c r="L208" s="137">
        <v>0</v>
      </c>
    </row>
    <row r="209" spans="7:12" x14ac:dyDescent="0.25">
      <c r="G209" s="136">
        <v>43262</v>
      </c>
      <c r="H209" t="s">
        <v>28</v>
      </c>
      <c r="I209" t="s">
        <v>155</v>
      </c>
      <c r="J209" t="s">
        <v>275</v>
      </c>
      <c r="K209" s="138">
        <v>8.89</v>
      </c>
      <c r="L209" s="137">
        <v>0</v>
      </c>
    </row>
    <row r="210" spans="7:12" x14ac:dyDescent="0.25">
      <c r="G210" s="136">
        <v>43262</v>
      </c>
      <c r="H210" t="s">
        <v>28</v>
      </c>
      <c r="I210" t="s">
        <v>66</v>
      </c>
      <c r="J210" t="s">
        <v>276</v>
      </c>
      <c r="K210" s="138">
        <v>3.15</v>
      </c>
      <c r="L210" s="137">
        <v>0</v>
      </c>
    </row>
    <row r="211" spans="7:12" x14ac:dyDescent="0.25">
      <c r="G211" s="136">
        <v>43262</v>
      </c>
      <c r="H211" t="s">
        <v>28</v>
      </c>
      <c r="I211" t="s">
        <v>66</v>
      </c>
      <c r="J211" t="s">
        <v>145</v>
      </c>
      <c r="K211" s="138">
        <v>4.5</v>
      </c>
      <c r="L211" s="137">
        <v>0</v>
      </c>
    </row>
    <row r="212" spans="7:12" x14ac:dyDescent="0.25">
      <c r="G212" s="136">
        <v>43263</v>
      </c>
      <c r="H212" t="s">
        <v>180</v>
      </c>
      <c r="I212" t="s">
        <v>42</v>
      </c>
      <c r="J212" t="s">
        <v>277</v>
      </c>
      <c r="K212" s="138">
        <v>22</v>
      </c>
      <c r="L212" s="137">
        <v>0</v>
      </c>
    </row>
    <row r="213" spans="7:12" x14ac:dyDescent="0.25">
      <c r="G213" s="136">
        <v>43263</v>
      </c>
      <c r="H213" t="s">
        <v>28</v>
      </c>
      <c r="I213" t="s">
        <v>66</v>
      </c>
      <c r="J213" t="s">
        <v>141</v>
      </c>
      <c r="K213" s="138">
        <v>3.15</v>
      </c>
      <c r="L213" s="137">
        <v>0</v>
      </c>
    </row>
    <row r="214" spans="7:12" x14ac:dyDescent="0.25">
      <c r="G214" s="136">
        <v>43263</v>
      </c>
      <c r="H214" t="s">
        <v>28</v>
      </c>
      <c r="I214" t="s">
        <v>66</v>
      </c>
      <c r="J214" t="s">
        <v>132</v>
      </c>
      <c r="K214" s="138">
        <v>16.649999999999999</v>
      </c>
      <c r="L214" s="137">
        <v>0</v>
      </c>
    </row>
    <row r="215" spans="7:12" x14ac:dyDescent="0.25">
      <c r="G215" s="136">
        <v>43264</v>
      </c>
      <c r="H215" t="s">
        <v>27</v>
      </c>
      <c r="I215" t="s">
        <v>63</v>
      </c>
      <c r="J215" t="s">
        <v>278</v>
      </c>
      <c r="K215" s="138">
        <v>8</v>
      </c>
      <c r="L215" s="137">
        <v>0</v>
      </c>
    </row>
    <row r="216" spans="7:12" x14ac:dyDescent="0.25">
      <c r="G216" s="136">
        <v>43264</v>
      </c>
      <c r="H216" t="s">
        <v>198</v>
      </c>
      <c r="I216" t="s">
        <v>163</v>
      </c>
      <c r="J216" t="s">
        <v>278</v>
      </c>
      <c r="K216" s="138">
        <v>44.58</v>
      </c>
      <c r="L216" s="137">
        <v>0</v>
      </c>
    </row>
    <row r="217" spans="7:12" x14ac:dyDescent="0.25">
      <c r="G217" s="136">
        <v>43264</v>
      </c>
      <c r="H217" t="s">
        <v>183</v>
      </c>
      <c r="I217" t="s">
        <v>42</v>
      </c>
      <c r="J217" t="s">
        <v>278</v>
      </c>
      <c r="K217" s="138">
        <v>27.22</v>
      </c>
      <c r="L217" s="137">
        <v>0</v>
      </c>
    </row>
    <row r="218" spans="7:12" x14ac:dyDescent="0.25">
      <c r="G218" s="136">
        <v>43264</v>
      </c>
      <c r="H218" t="s">
        <v>191</v>
      </c>
      <c r="I218" t="s">
        <v>63</v>
      </c>
      <c r="J218" t="s">
        <v>278</v>
      </c>
      <c r="K218" s="138">
        <v>34.24</v>
      </c>
      <c r="L218" s="137">
        <v>0</v>
      </c>
    </row>
    <row r="219" spans="7:12" x14ac:dyDescent="0.25">
      <c r="G219" s="136">
        <v>43264</v>
      </c>
      <c r="H219" t="s">
        <v>193</v>
      </c>
      <c r="I219" t="s">
        <v>42</v>
      </c>
      <c r="J219" t="s">
        <v>278</v>
      </c>
      <c r="K219" s="138">
        <v>13.25</v>
      </c>
      <c r="L219" s="137">
        <v>0</v>
      </c>
    </row>
    <row r="220" spans="7:12" x14ac:dyDescent="0.25">
      <c r="G220" s="136">
        <v>43264</v>
      </c>
      <c r="H220" t="s">
        <v>188</v>
      </c>
      <c r="I220" t="s">
        <v>63</v>
      </c>
      <c r="J220" t="s">
        <v>278</v>
      </c>
      <c r="K220" s="138">
        <v>297.57</v>
      </c>
      <c r="L220" s="137">
        <v>0</v>
      </c>
    </row>
    <row r="221" spans="7:12" x14ac:dyDescent="0.25">
      <c r="G221" s="136">
        <v>43264</v>
      </c>
      <c r="H221" t="s">
        <v>25</v>
      </c>
      <c r="I221" t="s">
        <v>63</v>
      </c>
      <c r="J221" t="s">
        <v>278</v>
      </c>
      <c r="K221" s="138">
        <v>64</v>
      </c>
      <c r="L221" s="137">
        <v>0</v>
      </c>
    </row>
    <row r="222" spans="7:12" x14ac:dyDescent="0.25">
      <c r="G222" s="136">
        <v>43264</v>
      </c>
      <c r="H222" t="s">
        <v>25</v>
      </c>
      <c r="I222" t="s">
        <v>63</v>
      </c>
      <c r="J222" t="s">
        <v>278</v>
      </c>
      <c r="K222" s="138">
        <v>40</v>
      </c>
      <c r="L222" s="137">
        <v>0</v>
      </c>
    </row>
    <row r="223" spans="7:12" x14ac:dyDescent="0.25">
      <c r="G223" s="136">
        <v>43264</v>
      </c>
      <c r="H223" t="s">
        <v>25</v>
      </c>
      <c r="I223" t="s">
        <v>63</v>
      </c>
      <c r="J223" t="s">
        <v>278</v>
      </c>
      <c r="K223" s="138">
        <v>16</v>
      </c>
      <c r="L223" s="137">
        <v>0</v>
      </c>
    </row>
    <row r="224" spans="7:12" x14ac:dyDescent="0.25">
      <c r="G224" s="136">
        <v>43264</v>
      </c>
      <c r="H224" t="s">
        <v>25</v>
      </c>
      <c r="I224" t="s">
        <v>63</v>
      </c>
      <c r="J224" t="s">
        <v>278</v>
      </c>
      <c r="K224" s="138">
        <v>8</v>
      </c>
      <c r="L224" s="137">
        <v>0</v>
      </c>
    </row>
    <row r="225" spans="7:12" x14ac:dyDescent="0.25">
      <c r="G225" s="136">
        <v>43264</v>
      </c>
      <c r="H225" t="s">
        <v>25</v>
      </c>
      <c r="I225" t="s">
        <v>42</v>
      </c>
      <c r="J225" t="s">
        <v>278</v>
      </c>
      <c r="K225" s="138">
        <v>312</v>
      </c>
      <c r="L225" s="137">
        <v>0</v>
      </c>
    </row>
    <row r="226" spans="7:12" x14ac:dyDescent="0.25">
      <c r="G226" s="136">
        <v>43264</v>
      </c>
      <c r="H226" t="s">
        <v>25</v>
      </c>
      <c r="I226" t="s">
        <v>42</v>
      </c>
      <c r="J226" t="s">
        <v>278</v>
      </c>
      <c r="K226" s="138">
        <v>216</v>
      </c>
      <c r="L226" s="137">
        <v>0</v>
      </c>
    </row>
    <row r="227" spans="7:12" x14ac:dyDescent="0.25">
      <c r="G227" s="136">
        <v>43264</v>
      </c>
      <c r="H227" t="s">
        <v>180</v>
      </c>
      <c r="I227" t="s">
        <v>42</v>
      </c>
      <c r="J227" t="s">
        <v>278</v>
      </c>
      <c r="K227" s="138">
        <v>27.05</v>
      </c>
      <c r="L227" s="137">
        <v>0</v>
      </c>
    </row>
    <row r="228" spans="7:12" x14ac:dyDescent="0.25">
      <c r="G228" s="136">
        <v>43264</v>
      </c>
      <c r="H228" t="s">
        <v>28</v>
      </c>
      <c r="I228" t="s">
        <v>42</v>
      </c>
      <c r="J228" t="s">
        <v>278</v>
      </c>
      <c r="K228" s="138">
        <v>364</v>
      </c>
      <c r="L228" s="137">
        <v>0</v>
      </c>
    </row>
    <row r="229" spans="7:12" x14ac:dyDescent="0.25">
      <c r="G229" s="136">
        <v>43265</v>
      </c>
      <c r="H229" t="s">
        <v>27</v>
      </c>
      <c r="I229" t="s">
        <v>63</v>
      </c>
      <c r="J229" t="s">
        <v>280</v>
      </c>
      <c r="K229" s="138">
        <v>16</v>
      </c>
      <c r="L229" s="137">
        <v>0</v>
      </c>
    </row>
    <row r="230" spans="7:12" x14ac:dyDescent="0.25">
      <c r="G230" s="136">
        <v>43265</v>
      </c>
      <c r="H230" t="s">
        <v>199</v>
      </c>
      <c r="I230" t="s">
        <v>42</v>
      </c>
      <c r="J230" t="s">
        <v>280</v>
      </c>
      <c r="K230" s="138">
        <v>27.9</v>
      </c>
      <c r="L230" s="137">
        <v>0</v>
      </c>
    </row>
    <row r="231" spans="7:12" x14ac:dyDescent="0.25">
      <c r="G231" s="136">
        <v>43265</v>
      </c>
      <c r="H231" t="s">
        <v>183</v>
      </c>
      <c r="I231" t="s">
        <v>42</v>
      </c>
      <c r="J231" t="s">
        <v>280</v>
      </c>
      <c r="K231" s="138">
        <v>37.06</v>
      </c>
      <c r="L231" s="137">
        <v>0</v>
      </c>
    </row>
    <row r="232" spans="7:12" x14ac:dyDescent="0.25">
      <c r="G232" s="136">
        <v>43265</v>
      </c>
      <c r="H232" t="s">
        <v>189</v>
      </c>
      <c r="I232" t="s">
        <v>42</v>
      </c>
      <c r="J232" t="s">
        <v>280</v>
      </c>
      <c r="K232" s="138">
        <v>46.33</v>
      </c>
      <c r="L232" s="137">
        <v>0</v>
      </c>
    </row>
    <row r="233" spans="7:12" x14ac:dyDescent="0.25">
      <c r="G233" s="136">
        <v>43265</v>
      </c>
      <c r="H233" t="s">
        <v>25</v>
      </c>
      <c r="I233" t="s">
        <v>63</v>
      </c>
      <c r="J233" t="s">
        <v>280</v>
      </c>
      <c r="K233" s="138">
        <v>16</v>
      </c>
      <c r="L233" s="137">
        <v>0</v>
      </c>
    </row>
    <row r="234" spans="7:12" x14ac:dyDescent="0.25">
      <c r="G234" s="136">
        <v>43265</v>
      </c>
      <c r="H234" t="s">
        <v>181</v>
      </c>
      <c r="I234" t="s">
        <v>175</v>
      </c>
      <c r="J234" t="s">
        <v>280</v>
      </c>
      <c r="K234" s="138">
        <v>95.96</v>
      </c>
      <c r="L234" s="137">
        <v>0</v>
      </c>
    </row>
    <row r="235" spans="7:12" x14ac:dyDescent="0.25">
      <c r="G235" s="136">
        <v>43265</v>
      </c>
      <c r="H235" t="s">
        <v>197</v>
      </c>
      <c r="I235" t="s">
        <v>42</v>
      </c>
      <c r="J235" t="s">
        <v>280</v>
      </c>
      <c r="K235" s="138">
        <v>121.63</v>
      </c>
      <c r="L235" s="137">
        <v>0</v>
      </c>
    </row>
    <row r="236" spans="7:12" x14ac:dyDescent="0.25">
      <c r="G236" s="136">
        <v>43265</v>
      </c>
      <c r="H236" t="s">
        <v>180</v>
      </c>
      <c r="I236" t="s">
        <v>42</v>
      </c>
      <c r="J236" t="s">
        <v>280</v>
      </c>
      <c r="K236" s="138">
        <v>5</v>
      </c>
      <c r="L236" s="137">
        <v>0</v>
      </c>
    </row>
    <row r="237" spans="7:12" x14ac:dyDescent="0.25">
      <c r="G237" s="136">
        <v>43265</v>
      </c>
      <c r="H237" t="s">
        <v>28</v>
      </c>
      <c r="I237" t="s">
        <v>66</v>
      </c>
      <c r="J237" t="s">
        <v>141</v>
      </c>
      <c r="K237" s="138">
        <v>4.75</v>
      </c>
      <c r="L237" s="137">
        <v>0</v>
      </c>
    </row>
    <row r="238" spans="7:12" x14ac:dyDescent="0.25">
      <c r="G238" s="136">
        <v>43265</v>
      </c>
      <c r="H238" t="s">
        <v>28</v>
      </c>
      <c r="I238" t="s">
        <v>66</v>
      </c>
      <c r="J238" t="s">
        <v>279</v>
      </c>
      <c r="K238" s="138">
        <v>64.400000000000006</v>
      </c>
      <c r="L238" s="137">
        <v>0</v>
      </c>
    </row>
    <row r="239" spans="7:12" x14ac:dyDescent="0.25">
      <c r="G239" s="136">
        <v>43265</v>
      </c>
      <c r="H239" t="s">
        <v>28</v>
      </c>
      <c r="I239" t="s">
        <v>66</v>
      </c>
      <c r="J239" t="s">
        <v>107</v>
      </c>
      <c r="K239" s="138">
        <v>5</v>
      </c>
      <c r="L239" s="137">
        <v>0</v>
      </c>
    </row>
    <row r="240" spans="7:12" x14ac:dyDescent="0.25">
      <c r="G240" s="136">
        <v>43266</v>
      </c>
      <c r="H240" t="s">
        <v>192</v>
      </c>
      <c r="I240" t="s">
        <v>178</v>
      </c>
      <c r="J240" t="s">
        <v>281</v>
      </c>
      <c r="K240" s="138">
        <v>135</v>
      </c>
      <c r="L240" s="137">
        <v>0</v>
      </c>
    </row>
    <row r="241" spans="7:12" x14ac:dyDescent="0.25">
      <c r="G241" s="136">
        <v>43266</v>
      </c>
      <c r="H241" t="s">
        <v>192</v>
      </c>
      <c r="I241" t="s">
        <v>155</v>
      </c>
      <c r="J241" t="s">
        <v>281</v>
      </c>
      <c r="K241" s="138">
        <v>114.97</v>
      </c>
      <c r="L241" s="137">
        <v>0</v>
      </c>
    </row>
    <row r="242" spans="7:12" x14ac:dyDescent="0.25">
      <c r="G242" s="136">
        <v>43266</v>
      </c>
      <c r="H242" t="s">
        <v>27</v>
      </c>
      <c r="I242" t="s">
        <v>63</v>
      </c>
      <c r="J242" t="s">
        <v>281</v>
      </c>
      <c r="K242" s="138">
        <v>16</v>
      </c>
      <c r="L242" s="137">
        <v>0</v>
      </c>
    </row>
    <row r="243" spans="7:12" x14ac:dyDescent="0.25">
      <c r="G243" s="136">
        <v>43266</v>
      </c>
      <c r="H243" t="s">
        <v>27</v>
      </c>
      <c r="I243" t="s">
        <v>63</v>
      </c>
      <c r="J243" t="s">
        <v>281</v>
      </c>
      <c r="K243" s="138">
        <v>8</v>
      </c>
      <c r="L243" s="137">
        <v>0</v>
      </c>
    </row>
    <row r="244" spans="7:12" x14ac:dyDescent="0.25">
      <c r="G244" s="136">
        <v>43266</v>
      </c>
      <c r="H244" t="s">
        <v>195</v>
      </c>
      <c r="I244" t="s">
        <v>63</v>
      </c>
      <c r="J244" t="s">
        <v>281</v>
      </c>
      <c r="K244" s="138">
        <v>10</v>
      </c>
      <c r="L244" s="137">
        <v>0</v>
      </c>
    </row>
    <row r="245" spans="7:12" x14ac:dyDescent="0.25">
      <c r="G245" s="136">
        <v>43266</v>
      </c>
      <c r="H245" t="s">
        <v>195</v>
      </c>
      <c r="I245" t="s">
        <v>42</v>
      </c>
      <c r="J245" t="s">
        <v>281</v>
      </c>
      <c r="K245" s="138">
        <v>12</v>
      </c>
      <c r="L245" s="137">
        <v>0</v>
      </c>
    </row>
    <row r="246" spans="7:12" x14ac:dyDescent="0.25">
      <c r="G246" s="136">
        <v>43266</v>
      </c>
      <c r="H246" t="s">
        <v>183</v>
      </c>
      <c r="I246" t="s">
        <v>42</v>
      </c>
      <c r="J246" t="s">
        <v>281</v>
      </c>
      <c r="K246" s="138">
        <v>10.28</v>
      </c>
      <c r="L246" s="137">
        <v>0</v>
      </c>
    </row>
    <row r="247" spans="7:12" x14ac:dyDescent="0.25">
      <c r="G247" s="136">
        <v>43266</v>
      </c>
      <c r="H247" t="s">
        <v>190</v>
      </c>
      <c r="I247" t="s">
        <v>42</v>
      </c>
      <c r="J247" t="s">
        <v>281</v>
      </c>
      <c r="K247" s="138">
        <v>5</v>
      </c>
      <c r="L247" s="137">
        <v>0</v>
      </c>
    </row>
    <row r="248" spans="7:12" x14ac:dyDescent="0.25">
      <c r="G248" s="136">
        <v>43266</v>
      </c>
      <c r="H248" t="s">
        <v>200</v>
      </c>
      <c r="I248" t="s">
        <v>42</v>
      </c>
      <c r="J248" t="s">
        <v>281</v>
      </c>
      <c r="K248" s="138">
        <v>10.74</v>
      </c>
      <c r="L248" s="137">
        <v>0</v>
      </c>
    </row>
    <row r="249" spans="7:12" x14ac:dyDescent="0.25">
      <c r="G249" s="136">
        <v>43266</v>
      </c>
      <c r="H249" t="s">
        <v>25</v>
      </c>
      <c r="I249" t="s">
        <v>63</v>
      </c>
      <c r="J249" t="s">
        <v>281</v>
      </c>
      <c r="K249" s="138">
        <v>32</v>
      </c>
      <c r="L249" s="137">
        <v>0</v>
      </c>
    </row>
    <row r="250" spans="7:12" x14ac:dyDescent="0.25">
      <c r="G250" s="136">
        <v>43266</v>
      </c>
      <c r="H250" t="s">
        <v>25</v>
      </c>
      <c r="I250" t="s">
        <v>63</v>
      </c>
      <c r="J250" t="s">
        <v>281</v>
      </c>
      <c r="K250" s="138">
        <v>8</v>
      </c>
      <c r="L250" s="137">
        <v>0</v>
      </c>
    </row>
    <row r="251" spans="7:12" x14ac:dyDescent="0.25">
      <c r="G251" s="136">
        <v>43266</v>
      </c>
      <c r="H251" t="s">
        <v>197</v>
      </c>
      <c r="I251" t="s">
        <v>163</v>
      </c>
      <c r="J251" t="s">
        <v>281</v>
      </c>
      <c r="K251" s="138">
        <v>20</v>
      </c>
      <c r="L251" s="137">
        <v>0</v>
      </c>
    </row>
    <row r="252" spans="7:12" x14ac:dyDescent="0.25">
      <c r="G252" s="136">
        <v>43266</v>
      </c>
      <c r="H252" t="s">
        <v>187</v>
      </c>
      <c r="I252" t="s">
        <v>42</v>
      </c>
      <c r="J252" t="s">
        <v>281</v>
      </c>
      <c r="K252" s="138">
        <v>124.27</v>
      </c>
      <c r="L252" s="137">
        <v>0</v>
      </c>
    </row>
    <row r="253" spans="7:12" x14ac:dyDescent="0.25">
      <c r="G253" s="136">
        <v>43266</v>
      </c>
      <c r="H253" t="s">
        <v>196</v>
      </c>
      <c r="I253" t="s">
        <v>178</v>
      </c>
      <c r="J253" t="s">
        <v>281</v>
      </c>
      <c r="K253" s="138">
        <v>71.97</v>
      </c>
      <c r="L253" s="137">
        <v>0</v>
      </c>
    </row>
    <row r="254" spans="7:12" x14ac:dyDescent="0.25">
      <c r="G254" s="136">
        <v>43266</v>
      </c>
      <c r="H254" t="s">
        <v>28</v>
      </c>
      <c r="I254" t="s">
        <v>163</v>
      </c>
      <c r="J254" t="s">
        <v>281</v>
      </c>
      <c r="K254" s="138">
        <v>12.93</v>
      </c>
      <c r="L254" s="137">
        <v>0</v>
      </c>
    </row>
    <row r="255" spans="7:12" x14ac:dyDescent="0.25">
      <c r="G255" s="136">
        <v>43266</v>
      </c>
      <c r="H255" t="s">
        <v>28</v>
      </c>
      <c r="I255" t="s">
        <v>112</v>
      </c>
      <c r="J255" t="s">
        <v>281</v>
      </c>
      <c r="K255" s="138">
        <v>112</v>
      </c>
      <c r="L255" s="137">
        <v>0</v>
      </c>
    </row>
    <row r="256" spans="7:12" x14ac:dyDescent="0.25">
      <c r="G256" s="136">
        <v>43266</v>
      </c>
      <c r="H256" t="s">
        <v>28</v>
      </c>
      <c r="I256" t="s">
        <v>112</v>
      </c>
      <c r="J256" t="s">
        <v>281</v>
      </c>
      <c r="K256" s="138">
        <v>81.47</v>
      </c>
      <c r="L256" s="137">
        <v>0</v>
      </c>
    </row>
    <row r="257" spans="7:12" x14ac:dyDescent="0.25">
      <c r="G257" s="136">
        <v>43266</v>
      </c>
      <c r="H257" t="s">
        <v>28</v>
      </c>
      <c r="I257" t="s">
        <v>155</v>
      </c>
      <c r="J257" t="s">
        <v>281</v>
      </c>
      <c r="K257" s="138">
        <v>197.93</v>
      </c>
      <c r="L257" s="137">
        <v>0</v>
      </c>
    </row>
    <row r="258" spans="7:12" x14ac:dyDescent="0.25">
      <c r="G258" s="136">
        <v>43266</v>
      </c>
      <c r="H258" t="s">
        <v>28</v>
      </c>
      <c r="I258" t="s">
        <v>155</v>
      </c>
      <c r="J258" t="s">
        <v>281</v>
      </c>
      <c r="K258" s="138">
        <v>65</v>
      </c>
      <c r="L258" s="137">
        <v>0</v>
      </c>
    </row>
    <row r="259" spans="7:12" x14ac:dyDescent="0.25">
      <c r="G259" s="136">
        <v>43266</v>
      </c>
      <c r="H259" t="s">
        <v>28</v>
      </c>
      <c r="I259" t="s">
        <v>155</v>
      </c>
      <c r="J259" t="s">
        <v>281</v>
      </c>
      <c r="K259" s="138">
        <v>31.02</v>
      </c>
      <c r="L259" s="137">
        <v>0</v>
      </c>
    </row>
    <row r="260" spans="7:12" x14ac:dyDescent="0.25">
      <c r="G260" s="136">
        <v>43266</v>
      </c>
      <c r="H260" t="s">
        <v>28</v>
      </c>
      <c r="I260" t="s">
        <v>155</v>
      </c>
      <c r="J260" t="s">
        <v>281</v>
      </c>
      <c r="K260" s="138">
        <v>30.84</v>
      </c>
      <c r="L260" s="137">
        <v>0</v>
      </c>
    </row>
    <row r="261" spans="7:12" x14ac:dyDescent="0.25">
      <c r="G261" s="136">
        <v>43266</v>
      </c>
      <c r="H261" t="s">
        <v>28</v>
      </c>
      <c r="I261" t="s">
        <v>155</v>
      </c>
      <c r="J261" t="s">
        <v>281</v>
      </c>
      <c r="K261" s="138">
        <v>29.09</v>
      </c>
      <c r="L261" s="137">
        <v>0</v>
      </c>
    </row>
    <row r="262" spans="7:12" x14ac:dyDescent="0.25">
      <c r="G262" s="136">
        <v>43266</v>
      </c>
      <c r="H262" t="s">
        <v>28</v>
      </c>
      <c r="I262" t="s">
        <v>155</v>
      </c>
      <c r="J262" t="s">
        <v>281</v>
      </c>
      <c r="K262" s="138">
        <v>25.68</v>
      </c>
      <c r="L262" s="137">
        <v>0</v>
      </c>
    </row>
    <row r="263" spans="7:12" x14ac:dyDescent="0.25">
      <c r="G263" s="136">
        <v>43266</v>
      </c>
      <c r="H263" t="s">
        <v>28</v>
      </c>
      <c r="I263" t="s">
        <v>155</v>
      </c>
      <c r="J263" t="s">
        <v>281</v>
      </c>
      <c r="K263" s="138">
        <v>25.53</v>
      </c>
      <c r="L263" s="137">
        <v>0</v>
      </c>
    </row>
    <row r="264" spans="7:12" x14ac:dyDescent="0.25">
      <c r="G264" s="136">
        <v>43266</v>
      </c>
      <c r="H264" t="s">
        <v>28</v>
      </c>
      <c r="I264" t="s">
        <v>66</v>
      </c>
      <c r="J264" t="s">
        <v>282</v>
      </c>
      <c r="K264" s="138">
        <v>1.8</v>
      </c>
      <c r="L264" s="137">
        <v>0</v>
      </c>
    </row>
    <row r="265" spans="7:12" x14ac:dyDescent="0.25">
      <c r="G265" s="136">
        <v>43266</v>
      </c>
      <c r="H265" t="s">
        <v>28</v>
      </c>
      <c r="I265" t="s">
        <v>66</v>
      </c>
      <c r="J265" t="s">
        <v>110</v>
      </c>
      <c r="K265" s="138">
        <v>2.25</v>
      </c>
      <c r="L265" s="137">
        <v>0</v>
      </c>
    </row>
    <row r="266" spans="7:12" x14ac:dyDescent="0.25">
      <c r="G266" s="136">
        <v>43266</v>
      </c>
      <c r="H266" t="s">
        <v>28</v>
      </c>
      <c r="I266" t="s">
        <v>66</v>
      </c>
      <c r="J266" t="s">
        <v>128</v>
      </c>
      <c r="K266" s="138">
        <v>2.25</v>
      </c>
      <c r="L266" s="137">
        <v>0</v>
      </c>
    </row>
    <row r="267" spans="7:12" x14ac:dyDescent="0.25">
      <c r="G267" s="136">
        <v>43266</v>
      </c>
      <c r="H267" t="s">
        <v>28</v>
      </c>
      <c r="I267" t="s">
        <v>66</v>
      </c>
      <c r="J267" t="s">
        <v>279</v>
      </c>
      <c r="K267" s="138">
        <v>36.799999999999997</v>
      </c>
      <c r="L267" s="137">
        <v>0</v>
      </c>
    </row>
    <row r="268" spans="7:12" x14ac:dyDescent="0.25">
      <c r="G268" s="136">
        <v>43266</v>
      </c>
      <c r="H268" t="s">
        <v>28</v>
      </c>
      <c r="I268" t="s">
        <v>66</v>
      </c>
      <c r="J268" t="s">
        <v>124</v>
      </c>
      <c r="K268" s="138">
        <v>3.7</v>
      </c>
      <c r="L268" s="137">
        <v>0</v>
      </c>
    </row>
    <row r="269" spans="7:12" x14ac:dyDescent="0.25">
      <c r="G269" s="136">
        <v>43266</v>
      </c>
      <c r="H269" t="s">
        <v>28</v>
      </c>
      <c r="I269" t="s">
        <v>66</v>
      </c>
      <c r="J269" t="s">
        <v>140</v>
      </c>
      <c r="K269" s="138">
        <v>36</v>
      </c>
      <c r="L269" s="137">
        <v>0</v>
      </c>
    </row>
    <row r="270" spans="7:12" x14ac:dyDescent="0.25">
      <c r="G270" s="136">
        <v>43267</v>
      </c>
      <c r="H270" t="s">
        <v>204</v>
      </c>
      <c r="I270" t="s">
        <v>176</v>
      </c>
      <c r="J270" t="s">
        <v>283</v>
      </c>
      <c r="K270" s="138">
        <v>112.2</v>
      </c>
      <c r="L270" s="137">
        <v>0</v>
      </c>
    </row>
    <row r="271" spans="7:12" x14ac:dyDescent="0.25">
      <c r="G271" s="136">
        <v>43267</v>
      </c>
      <c r="H271" t="s">
        <v>203</v>
      </c>
      <c r="I271" t="s">
        <v>176</v>
      </c>
      <c r="J271" t="s">
        <v>283</v>
      </c>
      <c r="K271" s="138">
        <v>642.15</v>
      </c>
      <c r="L271" s="137">
        <v>0</v>
      </c>
    </row>
    <row r="272" spans="7:12" x14ac:dyDescent="0.25">
      <c r="G272" s="136">
        <v>43267</v>
      </c>
      <c r="H272" t="s">
        <v>192</v>
      </c>
      <c r="I272" t="s">
        <v>176</v>
      </c>
      <c r="J272" t="s">
        <v>283</v>
      </c>
      <c r="K272" s="138">
        <v>638.95000000000005</v>
      </c>
      <c r="L272" s="137">
        <v>0</v>
      </c>
    </row>
    <row r="273" spans="7:12" x14ac:dyDescent="0.25">
      <c r="G273" s="136">
        <v>43267</v>
      </c>
      <c r="H273" t="s">
        <v>194</v>
      </c>
      <c r="I273" t="s">
        <v>63</v>
      </c>
      <c r="J273" t="s">
        <v>283</v>
      </c>
      <c r="K273" s="138">
        <v>30.3</v>
      </c>
      <c r="L273" s="137">
        <v>0</v>
      </c>
    </row>
    <row r="274" spans="7:12" x14ac:dyDescent="0.25">
      <c r="G274" s="136">
        <v>43267</v>
      </c>
      <c r="H274" t="s">
        <v>202</v>
      </c>
      <c r="I274" t="s">
        <v>163</v>
      </c>
      <c r="J274" t="s">
        <v>283</v>
      </c>
      <c r="K274" s="138">
        <v>1020.63</v>
      </c>
      <c r="L274" s="137">
        <v>0</v>
      </c>
    </row>
    <row r="275" spans="7:12" x14ac:dyDescent="0.25">
      <c r="G275" s="136">
        <v>43267</v>
      </c>
      <c r="H275" t="s">
        <v>183</v>
      </c>
      <c r="I275" t="s">
        <v>42</v>
      </c>
      <c r="J275" t="s">
        <v>283</v>
      </c>
      <c r="K275" s="138">
        <v>15.16</v>
      </c>
      <c r="L275" s="137">
        <v>0</v>
      </c>
    </row>
    <row r="276" spans="7:12" x14ac:dyDescent="0.25">
      <c r="G276" s="136">
        <v>43267</v>
      </c>
      <c r="H276" t="s">
        <v>200</v>
      </c>
      <c r="I276" t="s">
        <v>163</v>
      </c>
      <c r="J276" t="s">
        <v>283</v>
      </c>
      <c r="K276" s="138">
        <v>54.1</v>
      </c>
      <c r="L276" s="137">
        <v>0</v>
      </c>
    </row>
    <row r="277" spans="7:12" x14ac:dyDescent="0.25">
      <c r="G277" s="136">
        <v>43267</v>
      </c>
      <c r="H277" t="s">
        <v>201</v>
      </c>
      <c r="I277" t="s">
        <v>176</v>
      </c>
      <c r="J277" t="s">
        <v>283</v>
      </c>
      <c r="K277" s="138">
        <v>89.45</v>
      </c>
      <c r="L277" s="137">
        <v>0</v>
      </c>
    </row>
    <row r="278" spans="7:12" x14ac:dyDescent="0.25">
      <c r="G278" s="136">
        <v>43267</v>
      </c>
      <c r="H278" t="s">
        <v>179</v>
      </c>
      <c r="I278" t="s">
        <v>176</v>
      </c>
      <c r="J278" t="s">
        <v>283</v>
      </c>
      <c r="K278" s="138">
        <v>794.05</v>
      </c>
      <c r="L278" s="137">
        <v>0</v>
      </c>
    </row>
    <row r="279" spans="7:12" x14ac:dyDescent="0.25">
      <c r="G279" s="136">
        <v>43267</v>
      </c>
      <c r="H279" t="s">
        <v>28</v>
      </c>
      <c r="I279" t="s">
        <v>66</v>
      </c>
      <c r="J279" t="s">
        <v>132</v>
      </c>
      <c r="K279" s="138">
        <v>22.2</v>
      </c>
      <c r="L279" s="137">
        <v>0</v>
      </c>
    </row>
    <row r="280" spans="7:12" x14ac:dyDescent="0.25">
      <c r="G280" s="136">
        <v>43269</v>
      </c>
      <c r="H280" t="s">
        <v>192</v>
      </c>
      <c r="I280" t="s">
        <v>63</v>
      </c>
      <c r="J280" t="s">
        <v>284</v>
      </c>
      <c r="K280" s="138">
        <v>47.99</v>
      </c>
      <c r="L280" s="137">
        <v>0</v>
      </c>
    </row>
    <row r="281" spans="7:12" x14ac:dyDescent="0.25">
      <c r="G281" s="136">
        <v>43269</v>
      </c>
      <c r="H281" t="s">
        <v>27</v>
      </c>
      <c r="I281" t="s">
        <v>63</v>
      </c>
      <c r="J281" t="s">
        <v>284</v>
      </c>
      <c r="K281" s="138">
        <v>16</v>
      </c>
      <c r="L281" s="137">
        <v>0</v>
      </c>
    </row>
    <row r="282" spans="7:12" x14ac:dyDescent="0.25">
      <c r="G282" s="136">
        <v>43269</v>
      </c>
      <c r="H282" t="s">
        <v>27</v>
      </c>
      <c r="I282" t="s">
        <v>63</v>
      </c>
      <c r="J282" t="s">
        <v>284</v>
      </c>
      <c r="K282" s="138">
        <v>8</v>
      </c>
      <c r="L282" s="137">
        <v>0</v>
      </c>
    </row>
    <row r="283" spans="7:12" x14ac:dyDescent="0.25">
      <c r="G283" s="136">
        <v>43269</v>
      </c>
      <c r="H283" t="s">
        <v>191</v>
      </c>
      <c r="I283" t="s">
        <v>176</v>
      </c>
      <c r="J283" t="s">
        <v>284</v>
      </c>
      <c r="K283" s="138">
        <v>0</v>
      </c>
      <c r="L283" s="137">
        <v>1765.77</v>
      </c>
    </row>
    <row r="284" spans="7:12" x14ac:dyDescent="0.25">
      <c r="G284" s="136">
        <v>43269</v>
      </c>
      <c r="H284" t="s">
        <v>25</v>
      </c>
      <c r="I284" t="s">
        <v>63</v>
      </c>
      <c r="J284" t="s">
        <v>284</v>
      </c>
      <c r="K284" s="138">
        <v>72</v>
      </c>
      <c r="L284" s="137">
        <v>0</v>
      </c>
    </row>
    <row r="285" spans="7:12" x14ac:dyDescent="0.25">
      <c r="G285" s="136">
        <v>43269</v>
      </c>
      <c r="H285" t="s">
        <v>25</v>
      </c>
      <c r="I285" t="s">
        <v>63</v>
      </c>
      <c r="J285" t="s">
        <v>284</v>
      </c>
      <c r="K285" s="138">
        <v>24</v>
      </c>
      <c r="L285" s="137">
        <v>0</v>
      </c>
    </row>
    <row r="286" spans="7:12" x14ac:dyDescent="0.25">
      <c r="G286" s="136">
        <v>43269</v>
      </c>
      <c r="H286" t="s">
        <v>25</v>
      </c>
      <c r="I286" t="s">
        <v>63</v>
      </c>
      <c r="J286" t="s">
        <v>284</v>
      </c>
      <c r="K286" s="138">
        <v>8</v>
      </c>
      <c r="L286" s="137">
        <v>0</v>
      </c>
    </row>
    <row r="287" spans="7:12" x14ac:dyDescent="0.25">
      <c r="G287" s="136">
        <v>43269</v>
      </c>
      <c r="H287" t="s">
        <v>25</v>
      </c>
      <c r="I287" t="s">
        <v>146</v>
      </c>
      <c r="J287" t="s">
        <v>286</v>
      </c>
      <c r="K287" s="138">
        <v>0</v>
      </c>
      <c r="L287" s="137">
        <v>8.4</v>
      </c>
    </row>
    <row r="288" spans="7:12" x14ac:dyDescent="0.25">
      <c r="G288" s="136">
        <v>43269</v>
      </c>
      <c r="H288" t="s">
        <v>201</v>
      </c>
      <c r="I288" t="s">
        <v>63</v>
      </c>
      <c r="J288" t="s">
        <v>284</v>
      </c>
      <c r="K288" s="138">
        <v>112.77</v>
      </c>
      <c r="L288" s="137">
        <v>0</v>
      </c>
    </row>
    <row r="289" spans="7:12" x14ac:dyDescent="0.25">
      <c r="G289" s="136">
        <v>43269</v>
      </c>
      <c r="H289" t="s">
        <v>201</v>
      </c>
      <c r="I289" t="s">
        <v>42</v>
      </c>
      <c r="J289" t="s">
        <v>284</v>
      </c>
      <c r="K289" s="138">
        <v>287.39999999999998</v>
      </c>
      <c r="L289" s="137">
        <v>0</v>
      </c>
    </row>
    <row r="290" spans="7:12" x14ac:dyDescent="0.25">
      <c r="G290" s="136">
        <v>43269</v>
      </c>
      <c r="H290" t="s">
        <v>28</v>
      </c>
      <c r="I290" t="s">
        <v>163</v>
      </c>
      <c r="J290" t="s">
        <v>284</v>
      </c>
      <c r="K290" s="138">
        <v>61.83</v>
      </c>
      <c r="L290" s="137">
        <v>0</v>
      </c>
    </row>
    <row r="291" spans="7:12" x14ac:dyDescent="0.25">
      <c r="G291" s="136">
        <v>43269</v>
      </c>
      <c r="H291" t="s">
        <v>28</v>
      </c>
      <c r="I291" t="s">
        <v>66</v>
      </c>
      <c r="J291" t="s">
        <v>285</v>
      </c>
      <c r="K291" s="138">
        <v>9.4499999999999993</v>
      </c>
      <c r="L291" s="137">
        <v>0</v>
      </c>
    </row>
    <row r="292" spans="7:12" x14ac:dyDescent="0.25">
      <c r="G292" s="136">
        <v>43270</v>
      </c>
      <c r="H292" t="s">
        <v>192</v>
      </c>
      <c r="I292" t="s">
        <v>163</v>
      </c>
      <c r="J292" t="s">
        <v>287</v>
      </c>
      <c r="K292" s="138">
        <v>107.45</v>
      </c>
      <c r="L292" s="137">
        <v>0</v>
      </c>
    </row>
    <row r="293" spans="7:12" x14ac:dyDescent="0.25">
      <c r="G293" s="136">
        <v>43270</v>
      </c>
      <c r="H293" t="s">
        <v>199</v>
      </c>
      <c r="I293" t="s">
        <v>175</v>
      </c>
      <c r="J293" t="s">
        <v>287</v>
      </c>
      <c r="K293" s="138">
        <v>413</v>
      </c>
      <c r="L293" s="137">
        <v>0</v>
      </c>
    </row>
    <row r="294" spans="7:12" x14ac:dyDescent="0.25">
      <c r="G294" s="136">
        <v>43270</v>
      </c>
      <c r="H294" t="s">
        <v>185</v>
      </c>
      <c r="I294" t="s">
        <v>42</v>
      </c>
      <c r="J294" t="s">
        <v>287</v>
      </c>
      <c r="K294" s="138">
        <v>40</v>
      </c>
      <c r="L294" s="137">
        <v>0</v>
      </c>
    </row>
    <row r="295" spans="7:12" x14ac:dyDescent="0.25">
      <c r="G295" s="136">
        <v>43270</v>
      </c>
      <c r="H295" t="s">
        <v>184</v>
      </c>
      <c r="I295" t="s">
        <v>155</v>
      </c>
      <c r="J295" t="s">
        <v>287</v>
      </c>
      <c r="K295" s="138">
        <v>250</v>
      </c>
      <c r="L295" s="137">
        <v>0</v>
      </c>
    </row>
    <row r="296" spans="7:12" x14ac:dyDescent="0.25">
      <c r="G296" s="136">
        <v>43270</v>
      </c>
      <c r="H296" t="s">
        <v>193</v>
      </c>
      <c r="I296" t="s">
        <v>163</v>
      </c>
      <c r="J296" t="s">
        <v>287</v>
      </c>
      <c r="K296" s="138">
        <v>34.229999999999997</v>
      </c>
      <c r="L296" s="137">
        <v>0</v>
      </c>
    </row>
    <row r="297" spans="7:12" x14ac:dyDescent="0.25">
      <c r="G297" s="136">
        <v>43270</v>
      </c>
      <c r="H297" t="s">
        <v>190</v>
      </c>
      <c r="I297" t="s">
        <v>163</v>
      </c>
      <c r="J297" t="s">
        <v>287</v>
      </c>
      <c r="K297" s="138">
        <v>120</v>
      </c>
      <c r="L297" s="137">
        <v>0</v>
      </c>
    </row>
    <row r="298" spans="7:12" x14ac:dyDescent="0.25">
      <c r="G298" s="136">
        <v>43270</v>
      </c>
      <c r="H298" t="s">
        <v>188</v>
      </c>
      <c r="I298" t="s">
        <v>42</v>
      </c>
      <c r="J298" t="s">
        <v>287</v>
      </c>
      <c r="K298" s="138">
        <v>24</v>
      </c>
      <c r="L298" s="137">
        <v>0</v>
      </c>
    </row>
    <row r="299" spans="7:12" x14ac:dyDescent="0.25">
      <c r="G299" s="136">
        <v>43270</v>
      </c>
      <c r="H299" t="s">
        <v>25</v>
      </c>
      <c r="I299" t="s">
        <v>63</v>
      </c>
      <c r="J299" t="s">
        <v>287</v>
      </c>
      <c r="K299" s="138">
        <v>8</v>
      </c>
      <c r="L299" s="137">
        <v>0</v>
      </c>
    </row>
    <row r="300" spans="7:12" x14ac:dyDescent="0.25">
      <c r="G300" s="136">
        <v>43270</v>
      </c>
      <c r="H300" t="s">
        <v>28</v>
      </c>
      <c r="I300" t="s">
        <v>112</v>
      </c>
      <c r="J300" t="s">
        <v>287</v>
      </c>
      <c r="K300" s="138">
        <v>80</v>
      </c>
      <c r="L300" s="137">
        <v>0</v>
      </c>
    </row>
    <row r="301" spans="7:12" x14ac:dyDescent="0.25">
      <c r="G301" s="136">
        <v>43270</v>
      </c>
      <c r="H301" t="s">
        <v>28</v>
      </c>
      <c r="I301" t="s">
        <v>66</v>
      </c>
      <c r="J301" t="s">
        <v>142</v>
      </c>
      <c r="K301" s="138">
        <v>22</v>
      </c>
      <c r="L301" s="137">
        <v>0</v>
      </c>
    </row>
    <row r="302" spans="7:12" x14ac:dyDescent="0.25">
      <c r="G302" s="136">
        <v>43270</v>
      </c>
      <c r="H302" t="s">
        <v>28</v>
      </c>
      <c r="I302" t="s">
        <v>66</v>
      </c>
      <c r="J302" t="s">
        <v>115</v>
      </c>
      <c r="K302" s="138">
        <v>2.25</v>
      </c>
      <c r="L302" s="137">
        <v>0</v>
      </c>
    </row>
    <row r="303" spans="7:12" x14ac:dyDescent="0.25">
      <c r="G303" s="136">
        <v>43270</v>
      </c>
      <c r="H303" t="s">
        <v>28</v>
      </c>
      <c r="I303" t="s">
        <v>66</v>
      </c>
      <c r="J303" t="s">
        <v>107</v>
      </c>
      <c r="K303" s="138">
        <v>10</v>
      </c>
      <c r="L303" s="137">
        <v>0</v>
      </c>
    </row>
    <row r="304" spans="7:12" x14ac:dyDescent="0.25">
      <c r="G304" s="136">
        <v>43271</v>
      </c>
      <c r="H304" t="s">
        <v>192</v>
      </c>
      <c r="I304" t="s">
        <v>63</v>
      </c>
      <c r="J304" t="s">
        <v>288</v>
      </c>
      <c r="K304" s="138">
        <v>14.24</v>
      </c>
      <c r="L304" s="137">
        <v>0</v>
      </c>
    </row>
    <row r="305" spans="7:12" x14ac:dyDescent="0.25">
      <c r="G305" s="136">
        <v>43271</v>
      </c>
      <c r="H305" t="s">
        <v>192</v>
      </c>
      <c r="I305" t="s">
        <v>163</v>
      </c>
      <c r="J305" t="s">
        <v>288</v>
      </c>
      <c r="K305" s="138">
        <v>25</v>
      </c>
      <c r="L305" s="137">
        <v>0</v>
      </c>
    </row>
    <row r="306" spans="7:12" x14ac:dyDescent="0.25">
      <c r="G306" s="136">
        <v>43271</v>
      </c>
      <c r="H306" t="s">
        <v>192</v>
      </c>
      <c r="I306" t="s">
        <v>155</v>
      </c>
      <c r="J306" t="s">
        <v>288</v>
      </c>
      <c r="K306" s="138">
        <v>135.55000000000001</v>
      </c>
      <c r="L306" s="137">
        <v>0</v>
      </c>
    </row>
    <row r="307" spans="7:12" x14ac:dyDescent="0.25">
      <c r="G307" s="136">
        <v>43271</v>
      </c>
      <c r="H307" t="s">
        <v>27</v>
      </c>
      <c r="I307" t="s">
        <v>63</v>
      </c>
      <c r="J307" t="s">
        <v>288</v>
      </c>
      <c r="K307" s="138">
        <v>16</v>
      </c>
      <c r="L307" s="137">
        <v>0</v>
      </c>
    </row>
    <row r="308" spans="7:12" x14ac:dyDescent="0.25">
      <c r="G308" s="136">
        <v>43271</v>
      </c>
      <c r="H308" t="s">
        <v>186</v>
      </c>
      <c r="I308" t="s">
        <v>112</v>
      </c>
      <c r="J308" t="s">
        <v>288</v>
      </c>
      <c r="K308" s="138">
        <v>23.75</v>
      </c>
      <c r="L308" s="137">
        <v>0</v>
      </c>
    </row>
    <row r="309" spans="7:12" x14ac:dyDescent="0.25">
      <c r="G309" s="136">
        <v>43271</v>
      </c>
      <c r="H309" t="s">
        <v>184</v>
      </c>
      <c r="I309" t="s">
        <v>112</v>
      </c>
      <c r="J309" t="s">
        <v>288</v>
      </c>
      <c r="K309" s="138">
        <v>100.8</v>
      </c>
      <c r="L309" s="137">
        <v>0</v>
      </c>
    </row>
    <row r="310" spans="7:12" x14ac:dyDescent="0.25">
      <c r="G310" s="136">
        <v>43271</v>
      </c>
      <c r="H310" t="s">
        <v>195</v>
      </c>
      <c r="I310" t="s">
        <v>163</v>
      </c>
      <c r="J310" t="s">
        <v>288</v>
      </c>
      <c r="K310" s="138">
        <v>46.99</v>
      </c>
      <c r="L310" s="137">
        <v>0</v>
      </c>
    </row>
    <row r="311" spans="7:12" x14ac:dyDescent="0.25">
      <c r="G311" s="136">
        <v>43271</v>
      </c>
      <c r="H311" t="s">
        <v>195</v>
      </c>
      <c r="I311" t="s">
        <v>42</v>
      </c>
      <c r="J311" t="s">
        <v>288</v>
      </c>
      <c r="K311" s="138">
        <v>7.99</v>
      </c>
      <c r="L311" s="137">
        <v>0</v>
      </c>
    </row>
    <row r="312" spans="7:12" x14ac:dyDescent="0.25">
      <c r="G312" s="136">
        <v>43271</v>
      </c>
      <c r="H312" t="s">
        <v>183</v>
      </c>
      <c r="I312" t="s">
        <v>163</v>
      </c>
      <c r="J312" t="s">
        <v>288</v>
      </c>
      <c r="K312" s="138">
        <v>30.53</v>
      </c>
      <c r="L312" s="137">
        <v>0</v>
      </c>
    </row>
    <row r="313" spans="7:12" x14ac:dyDescent="0.25">
      <c r="G313" s="136">
        <v>43271</v>
      </c>
      <c r="H313" t="s">
        <v>183</v>
      </c>
      <c r="I313" t="s">
        <v>112</v>
      </c>
      <c r="J313" t="s">
        <v>288</v>
      </c>
      <c r="K313" s="138">
        <v>38.5</v>
      </c>
      <c r="L313" s="137">
        <v>0</v>
      </c>
    </row>
    <row r="314" spans="7:12" x14ac:dyDescent="0.25">
      <c r="G314" s="136">
        <v>43271</v>
      </c>
      <c r="H314" t="s">
        <v>183</v>
      </c>
      <c r="I314" t="s">
        <v>175</v>
      </c>
      <c r="J314" t="s">
        <v>288</v>
      </c>
      <c r="K314" s="138">
        <v>25</v>
      </c>
      <c r="L314" s="137">
        <v>0</v>
      </c>
    </row>
    <row r="315" spans="7:12" x14ac:dyDescent="0.25">
      <c r="G315" s="136">
        <v>43271</v>
      </c>
      <c r="H315" t="s">
        <v>25</v>
      </c>
      <c r="I315" t="s">
        <v>63</v>
      </c>
      <c r="J315" t="s">
        <v>288</v>
      </c>
      <c r="K315" s="138">
        <v>72</v>
      </c>
      <c r="L315" s="137">
        <v>0</v>
      </c>
    </row>
    <row r="316" spans="7:12" x14ac:dyDescent="0.25">
      <c r="G316" s="136">
        <v>43271</v>
      </c>
      <c r="H316" t="s">
        <v>25</v>
      </c>
      <c r="I316" t="s">
        <v>63</v>
      </c>
      <c r="J316" t="s">
        <v>288</v>
      </c>
      <c r="K316" s="138">
        <v>56</v>
      </c>
      <c r="L316" s="137">
        <v>0</v>
      </c>
    </row>
    <row r="317" spans="7:12" x14ac:dyDescent="0.25">
      <c r="G317" s="136">
        <v>43271</v>
      </c>
      <c r="H317" t="s">
        <v>25</v>
      </c>
      <c r="I317" t="s">
        <v>63</v>
      </c>
      <c r="J317" t="s">
        <v>288</v>
      </c>
      <c r="K317" s="138">
        <v>48</v>
      </c>
      <c r="L317" s="137">
        <v>0</v>
      </c>
    </row>
    <row r="318" spans="7:12" x14ac:dyDescent="0.25">
      <c r="G318" s="136">
        <v>43271</v>
      </c>
      <c r="H318" t="s">
        <v>25</v>
      </c>
      <c r="I318" t="s">
        <v>63</v>
      </c>
      <c r="J318" t="s">
        <v>288</v>
      </c>
      <c r="K318" s="138">
        <v>40</v>
      </c>
      <c r="L318" s="137">
        <v>0</v>
      </c>
    </row>
    <row r="319" spans="7:12" x14ac:dyDescent="0.25">
      <c r="G319" s="136">
        <v>43271</v>
      </c>
      <c r="H319" t="s">
        <v>25</v>
      </c>
      <c r="I319" t="s">
        <v>63</v>
      </c>
      <c r="J319" t="s">
        <v>288</v>
      </c>
      <c r="K319" s="138">
        <v>32</v>
      </c>
      <c r="L319" s="137">
        <v>0</v>
      </c>
    </row>
    <row r="320" spans="7:12" x14ac:dyDescent="0.25">
      <c r="G320" s="136">
        <v>43271</v>
      </c>
      <c r="H320" t="s">
        <v>25</v>
      </c>
      <c r="I320" t="s">
        <v>63</v>
      </c>
      <c r="J320" t="s">
        <v>288</v>
      </c>
      <c r="K320" s="138">
        <v>24</v>
      </c>
      <c r="L320" s="137">
        <v>0</v>
      </c>
    </row>
    <row r="321" spans="7:12" x14ac:dyDescent="0.25">
      <c r="G321" s="136">
        <v>43271</v>
      </c>
      <c r="H321" t="s">
        <v>25</v>
      </c>
      <c r="I321" t="s">
        <v>63</v>
      </c>
      <c r="J321" t="s">
        <v>288</v>
      </c>
      <c r="K321" s="138">
        <v>16</v>
      </c>
      <c r="L321" s="137">
        <v>0</v>
      </c>
    </row>
    <row r="322" spans="7:12" x14ac:dyDescent="0.25">
      <c r="G322" s="136">
        <v>43271</v>
      </c>
      <c r="H322" t="s">
        <v>25</v>
      </c>
      <c r="I322" t="s">
        <v>63</v>
      </c>
      <c r="J322" t="s">
        <v>288</v>
      </c>
      <c r="K322" s="138">
        <v>8</v>
      </c>
      <c r="L322" s="137">
        <v>0</v>
      </c>
    </row>
    <row r="323" spans="7:12" x14ac:dyDescent="0.25">
      <c r="G323" s="136">
        <v>43271</v>
      </c>
      <c r="H323" t="s">
        <v>197</v>
      </c>
      <c r="I323" t="s">
        <v>112</v>
      </c>
      <c r="J323" t="s">
        <v>288</v>
      </c>
      <c r="K323" s="138">
        <v>324.01</v>
      </c>
      <c r="L323" s="137">
        <v>0</v>
      </c>
    </row>
    <row r="324" spans="7:12" x14ac:dyDescent="0.25">
      <c r="G324" s="136">
        <v>43271</v>
      </c>
      <c r="H324" t="s">
        <v>197</v>
      </c>
      <c r="I324" t="s">
        <v>155</v>
      </c>
      <c r="J324" t="s">
        <v>288</v>
      </c>
      <c r="K324" s="138">
        <v>29.85</v>
      </c>
      <c r="L324" s="137">
        <v>0</v>
      </c>
    </row>
    <row r="325" spans="7:12" x14ac:dyDescent="0.25">
      <c r="G325" s="136">
        <v>43271</v>
      </c>
      <c r="H325" t="s">
        <v>197</v>
      </c>
      <c r="I325" t="s">
        <v>176</v>
      </c>
      <c r="J325" t="s">
        <v>288</v>
      </c>
      <c r="K325" s="138">
        <v>255.81</v>
      </c>
      <c r="L325" s="137">
        <v>0</v>
      </c>
    </row>
    <row r="326" spans="7:12" x14ac:dyDescent="0.25">
      <c r="G326" s="136">
        <v>43271</v>
      </c>
      <c r="H326" t="s">
        <v>180</v>
      </c>
      <c r="I326" t="s">
        <v>163</v>
      </c>
      <c r="J326" t="s">
        <v>288</v>
      </c>
      <c r="K326" s="138">
        <v>37.29</v>
      </c>
      <c r="L326" s="137">
        <v>0</v>
      </c>
    </row>
    <row r="327" spans="7:12" x14ac:dyDescent="0.25">
      <c r="G327" s="136">
        <v>43271</v>
      </c>
      <c r="H327" t="s">
        <v>180</v>
      </c>
      <c r="I327" t="s">
        <v>42</v>
      </c>
      <c r="J327" t="s">
        <v>288</v>
      </c>
      <c r="K327" s="138">
        <v>9.43</v>
      </c>
      <c r="L327" s="137">
        <v>0</v>
      </c>
    </row>
    <row r="328" spans="7:12" x14ac:dyDescent="0.25">
      <c r="G328" s="136">
        <v>43271</v>
      </c>
      <c r="H328" t="s">
        <v>28</v>
      </c>
      <c r="I328" t="s">
        <v>63</v>
      </c>
      <c r="J328" t="s">
        <v>288</v>
      </c>
      <c r="K328" s="138">
        <v>24.42</v>
      </c>
      <c r="L328" s="137">
        <v>0</v>
      </c>
    </row>
    <row r="329" spans="7:12" x14ac:dyDescent="0.25">
      <c r="G329" s="136">
        <v>43271</v>
      </c>
      <c r="H329" t="s">
        <v>28</v>
      </c>
      <c r="I329" t="s">
        <v>63</v>
      </c>
      <c r="J329" t="s">
        <v>288</v>
      </c>
      <c r="K329" s="138">
        <v>8</v>
      </c>
      <c r="L329" s="137">
        <v>0</v>
      </c>
    </row>
    <row r="330" spans="7:12" x14ac:dyDescent="0.25">
      <c r="G330" s="136">
        <v>43271</v>
      </c>
      <c r="H330" t="s">
        <v>28</v>
      </c>
      <c r="I330" t="s">
        <v>112</v>
      </c>
      <c r="J330" t="s">
        <v>288</v>
      </c>
      <c r="K330" s="138">
        <v>113.93</v>
      </c>
      <c r="L330" s="137">
        <v>0</v>
      </c>
    </row>
    <row r="331" spans="7:12" x14ac:dyDescent="0.25">
      <c r="G331" s="136">
        <v>43271</v>
      </c>
      <c r="H331" t="s">
        <v>28</v>
      </c>
      <c r="I331" t="s">
        <v>112</v>
      </c>
      <c r="J331" t="s">
        <v>288</v>
      </c>
      <c r="K331" s="138">
        <v>35.36</v>
      </c>
      <c r="L331" s="137">
        <v>0</v>
      </c>
    </row>
    <row r="332" spans="7:12" x14ac:dyDescent="0.25">
      <c r="G332" s="136">
        <v>43271</v>
      </c>
      <c r="H332" t="s">
        <v>28</v>
      </c>
      <c r="I332" t="s">
        <v>155</v>
      </c>
      <c r="J332" t="s">
        <v>288</v>
      </c>
      <c r="K332" s="138">
        <v>211</v>
      </c>
      <c r="L332" s="137">
        <v>0</v>
      </c>
    </row>
    <row r="333" spans="7:12" x14ac:dyDescent="0.25">
      <c r="G333" s="136">
        <v>43271</v>
      </c>
      <c r="H333" t="s">
        <v>28</v>
      </c>
      <c r="I333" t="s">
        <v>155</v>
      </c>
      <c r="J333" t="s">
        <v>288</v>
      </c>
      <c r="K333" s="138">
        <v>102.84</v>
      </c>
      <c r="L333" s="137">
        <v>0</v>
      </c>
    </row>
    <row r="334" spans="7:12" x14ac:dyDescent="0.25">
      <c r="G334" s="136">
        <v>43271</v>
      </c>
      <c r="H334" t="s">
        <v>28</v>
      </c>
      <c r="I334" t="s">
        <v>155</v>
      </c>
      <c r="J334" t="s">
        <v>288</v>
      </c>
      <c r="K334" s="138">
        <v>86.92</v>
      </c>
      <c r="L334" s="137">
        <v>0</v>
      </c>
    </row>
    <row r="335" spans="7:12" x14ac:dyDescent="0.25">
      <c r="G335" s="136">
        <v>43271</v>
      </c>
      <c r="H335" t="s">
        <v>28</v>
      </c>
      <c r="I335" t="s">
        <v>155</v>
      </c>
      <c r="J335" t="s">
        <v>288</v>
      </c>
      <c r="K335" s="138">
        <v>86.74</v>
      </c>
      <c r="L335" s="137">
        <v>0</v>
      </c>
    </row>
    <row r="336" spans="7:12" x14ac:dyDescent="0.25">
      <c r="G336" s="136">
        <v>43271</v>
      </c>
      <c r="H336" t="s">
        <v>28</v>
      </c>
      <c r="I336" t="s">
        <v>155</v>
      </c>
      <c r="J336" t="s">
        <v>288</v>
      </c>
      <c r="K336" s="138">
        <v>45.94</v>
      </c>
      <c r="L336" s="137">
        <v>0</v>
      </c>
    </row>
    <row r="337" spans="7:12" x14ac:dyDescent="0.25">
      <c r="G337" s="136">
        <v>43271</v>
      </c>
      <c r="H337" t="s">
        <v>28</v>
      </c>
      <c r="I337" t="s">
        <v>155</v>
      </c>
      <c r="J337" t="s">
        <v>288</v>
      </c>
      <c r="K337" s="138">
        <v>42.13</v>
      </c>
      <c r="L337" s="137">
        <v>0</v>
      </c>
    </row>
    <row r="338" spans="7:12" x14ac:dyDescent="0.25">
      <c r="G338" s="136">
        <v>43271</v>
      </c>
      <c r="H338" t="s">
        <v>28</v>
      </c>
      <c r="I338" t="s">
        <v>155</v>
      </c>
      <c r="J338" t="s">
        <v>288</v>
      </c>
      <c r="K338" s="138">
        <v>28.26</v>
      </c>
      <c r="L338" s="137">
        <v>0</v>
      </c>
    </row>
    <row r="339" spans="7:12" x14ac:dyDescent="0.25">
      <c r="G339" s="136">
        <v>43271</v>
      </c>
      <c r="H339" t="s">
        <v>28</v>
      </c>
      <c r="I339" t="s">
        <v>155</v>
      </c>
      <c r="J339" t="s">
        <v>288</v>
      </c>
      <c r="K339" s="138">
        <v>18</v>
      </c>
      <c r="L339" s="137">
        <v>0</v>
      </c>
    </row>
    <row r="340" spans="7:12" x14ac:dyDescent="0.25">
      <c r="G340" s="136">
        <v>43271</v>
      </c>
      <c r="H340" t="s">
        <v>28</v>
      </c>
      <c r="I340" t="s">
        <v>66</v>
      </c>
      <c r="J340" t="s">
        <v>139</v>
      </c>
      <c r="K340" s="138">
        <v>18</v>
      </c>
      <c r="L340" s="137">
        <v>0</v>
      </c>
    </row>
    <row r="341" spans="7:12" x14ac:dyDescent="0.25">
      <c r="G341" s="136">
        <v>43272</v>
      </c>
      <c r="H341" t="s">
        <v>27</v>
      </c>
      <c r="I341" t="s">
        <v>63</v>
      </c>
      <c r="J341" t="s">
        <v>289</v>
      </c>
      <c r="K341" s="138">
        <v>16</v>
      </c>
      <c r="L341" s="137">
        <v>0</v>
      </c>
    </row>
    <row r="342" spans="7:12" x14ac:dyDescent="0.25">
      <c r="G342" s="136">
        <v>43272</v>
      </c>
      <c r="H342" t="s">
        <v>27</v>
      </c>
      <c r="I342" t="s">
        <v>63</v>
      </c>
      <c r="J342" t="s">
        <v>289</v>
      </c>
      <c r="K342" s="138">
        <v>8</v>
      </c>
      <c r="L342" s="137">
        <v>0</v>
      </c>
    </row>
    <row r="343" spans="7:12" x14ac:dyDescent="0.25">
      <c r="G343" s="136">
        <v>43272</v>
      </c>
      <c r="H343" t="s">
        <v>205</v>
      </c>
      <c r="I343" t="s">
        <v>63</v>
      </c>
      <c r="J343" t="s">
        <v>289</v>
      </c>
      <c r="K343" s="138">
        <v>22.28</v>
      </c>
      <c r="L343" s="137">
        <v>0</v>
      </c>
    </row>
    <row r="344" spans="7:12" x14ac:dyDescent="0.25">
      <c r="G344" s="136">
        <v>43272</v>
      </c>
      <c r="H344" t="s">
        <v>205</v>
      </c>
      <c r="I344" t="s">
        <v>175</v>
      </c>
      <c r="J344" t="s">
        <v>289</v>
      </c>
      <c r="K344" s="138">
        <v>106.12</v>
      </c>
      <c r="L344" s="137">
        <v>0</v>
      </c>
    </row>
    <row r="345" spans="7:12" x14ac:dyDescent="0.25">
      <c r="G345" s="136">
        <v>43272</v>
      </c>
      <c r="H345" t="s">
        <v>25</v>
      </c>
      <c r="I345" t="s">
        <v>63</v>
      </c>
      <c r="J345" t="s">
        <v>289</v>
      </c>
      <c r="K345" s="138">
        <v>96</v>
      </c>
      <c r="L345" s="137">
        <v>0</v>
      </c>
    </row>
    <row r="346" spans="7:12" x14ac:dyDescent="0.25">
      <c r="G346" s="136">
        <v>43272</v>
      </c>
      <c r="H346" t="s">
        <v>25</v>
      </c>
      <c r="I346" t="s">
        <v>63</v>
      </c>
      <c r="J346" t="s">
        <v>289</v>
      </c>
      <c r="K346" s="138">
        <v>32</v>
      </c>
      <c r="L346" s="137">
        <v>0</v>
      </c>
    </row>
    <row r="347" spans="7:12" x14ac:dyDescent="0.25">
      <c r="G347" s="136">
        <v>43272</v>
      </c>
      <c r="H347" t="s">
        <v>25</v>
      </c>
      <c r="I347" t="s">
        <v>63</v>
      </c>
      <c r="J347" t="s">
        <v>289</v>
      </c>
      <c r="K347" s="138">
        <v>16</v>
      </c>
      <c r="L347" s="137">
        <v>0</v>
      </c>
    </row>
    <row r="348" spans="7:12" x14ac:dyDescent="0.25">
      <c r="G348" s="136">
        <v>43272</v>
      </c>
      <c r="H348" t="s">
        <v>25</v>
      </c>
      <c r="I348" t="s">
        <v>63</v>
      </c>
      <c r="J348" t="s">
        <v>289</v>
      </c>
      <c r="K348" s="138">
        <v>8</v>
      </c>
      <c r="L348" s="137">
        <v>0</v>
      </c>
    </row>
    <row r="349" spans="7:12" x14ac:dyDescent="0.25">
      <c r="G349" s="136">
        <v>43272</v>
      </c>
      <c r="H349" t="s">
        <v>201</v>
      </c>
      <c r="I349" t="s">
        <v>42</v>
      </c>
      <c r="J349" t="s">
        <v>289</v>
      </c>
      <c r="K349" s="138">
        <v>20.100000000000001</v>
      </c>
      <c r="L349" s="137">
        <v>0</v>
      </c>
    </row>
    <row r="350" spans="7:12" x14ac:dyDescent="0.25">
      <c r="G350" s="136">
        <v>43272</v>
      </c>
      <c r="H350" t="s">
        <v>181</v>
      </c>
      <c r="I350" t="s">
        <v>42</v>
      </c>
      <c r="J350" t="s">
        <v>289</v>
      </c>
      <c r="K350" s="138">
        <v>75.7</v>
      </c>
      <c r="L350" s="137">
        <v>0</v>
      </c>
    </row>
    <row r="351" spans="7:12" x14ac:dyDescent="0.25">
      <c r="G351" s="136">
        <v>43272</v>
      </c>
      <c r="H351" t="s">
        <v>187</v>
      </c>
      <c r="I351" t="s">
        <v>42</v>
      </c>
      <c r="J351" t="s">
        <v>289</v>
      </c>
      <c r="K351" s="138">
        <v>37.25</v>
      </c>
      <c r="L351" s="137">
        <v>0</v>
      </c>
    </row>
    <row r="352" spans="7:12" x14ac:dyDescent="0.25">
      <c r="G352" s="136">
        <v>43272</v>
      </c>
      <c r="H352" t="s">
        <v>180</v>
      </c>
      <c r="I352" t="s">
        <v>42</v>
      </c>
      <c r="J352" t="s">
        <v>289</v>
      </c>
      <c r="K352" s="138">
        <v>22</v>
      </c>
      <c r="L352" s="137">
        <v>0</v>
      </c>
    </row>
    <row r="353" spans="7:12" x14ac:dyDescent="0.25">
      <c r="G353" s="136">
        <v>43272</v>
      </c>
      <c r="H353" t="s">
        <v>28</v>
      </c>
      <c r="I353" t="s">
        <v>63</v>
      </c>
      <c r="J353" t="s">
        <v>289</v>
      </c>
      <c r="K353" s="138">
        <v>15</v>
      </c>
      <c r="L353" s="137">
        <v>0</v>
      </c>
    </row>
    <row r="354" spans="7:12" x14ac:dyDescent="0.25">
      <c r="G354" s="136">
        <v>43272</v>
      </c>
      <c r="H354" t="s">
        <v>28</v>
      </c>
      <c r="I354" t="s">
        <v>63</v>
      </c>
      <c r="J354" t="s">
        <v>289</v>
      </c>
      <c r="K354" s="138">
        <v>6.75</v>
      </c>
      <c r="L354" s="137">
        <v>0</v>
      </c>
    </row>
    <row r="355" spans="7:12" x14ac:dyDescent="0.25">
      <c r="G355" s="136">
        <v>43272</v>
      </c>
      <c r="H355" t="s">
        <v>28</v>
      </c>
      <c r="I355" t="s">
        <v>66</v>
      </c>
      <c r="J355" t="s">
        <v>142</v>
      </c>
      <c r="K355" s="138">
        <v>22</v>
      </c>
      <c r="L355" s="137">
        <v>0</v>
      </c>
    </row>
    <row r="356" spans="7:12" x14ac:dyDescent="0.25">
      <c r="G356" s="136">
        <v>43272</v>
      </c>
      <c r="H356" t="s">
        <v>28</v>
      </c>
      <c r="I356" t="s">
        <v>66</v>
      </c>
      <c r="J356" t="s">
        <v>290</v>
      </c>
      <c r="K356" s="138">
        <v>8.4</v>
      </c>
      <c r="L356" s="137">
        <v>0</v>
      </c>
    </row>
    <row r="357" spans="7:12" x14ac:dyDescent="0.25">
      <c r="G357" s="136">
        <v>43273</v>
      </c>
      <c r="H357" t="s">
        <v>192</v>
      </c>
      <c r="I357" t="s">
        <v>163</v>
      </c>
      <c r="J357" t="s">
        <v>291</v>
      </c>
      <c r="K357" s="138">
        <v>76</v>
      </c>
      <c r="L357" s="137">
        <v>0</v>
      </c>
    </row>
    <row r="358" spans="7:12" x14ac:dyDescent="0.25">
      <c r="G358" s="136">
        <v>43273</v>
      </c>
      <c r="H358" t="s">
        <v>185</v>
      </c>
      <c r="I358" t="s">
        <v>42</v>
      </c>
      <c r="J358" t="s">
        <v>291</v>
      </c>
      <c r="K358" s="138">
        <v>392.89</v>
      </c>
      <c r="L358" s="137">
        <v>0</v>
      </c>
    </row>
    <row r="359" spans="7:12" x14ac:dyDescent="0.25">
      <c r="G359" s="136">
        <v>43273</v>
      </c>
      <c r="H359" t="s">
        <v>183</v>
      </c>
      <c r="I359" t="s">
        <v>42</v>
      </c>
      <c r="J359" t="s">
        <v>291</v>
      </c>
      <c r="K359" s="138">
        <v>12.6</v>
      </c>
      <c r="L359" s="137">
        <v>0</v>
      </c>
    </row>
    <row r="360" spans="7:12" x14ac:dyDescent="0.25">
      <c r="G360" s="136">
        <v>43273</v>
      </c>
      <c r="H360" t="s">
        <v>189</v>
      </c>
      <c r="I360" t="s">
        <v>42</v>
      </c>
      <c r="J360" t="s">
        <v>291</v>
      </c>
      <c r="K360" s="138">
        <v>8</v>
      </c>
      <c r="L360" s="137">
        <v>0</v>
      </c>
    </row>
    <row r="361" spans="7:12" x14ac:dyDescent="0.25">
      <c r="G361" s="136">
        <v>43273</v>
      </c>
      <c r="H361" t="s">
        <v>188</v>
      </c>
      <c r="I361" t="s">
        <v>42</v>
      </c>
      <c r="J361" t="s">
        <v>291</v>
      </c>
      <c r="K361" s="138">
        <v>326.42</v>
      </c>
      <c r="L361" s="137">
        <v>0</v>
      </c>
    </row>
    <row r="362" spans="7:12" x14ac:dyDescent="0.25">
      <c r="G362" s="136">
        <v>43273</v>
      </c>
      <c r="H362" t="s">
        <v>25</v>
      </c>
      <c r="I362" t="s">
        <v>63</v>
      </c>
      <c r="J362" t="s">
        <v>291</v>
      </c>
      <c r="K362" s="138">
        <v>8</v>
      </c>
      <c r="L362" s="137">
        <v>0</v>
      </c>
    </row>
    <row r="363" spans="7:12" x14ac:dyDescent="0.25">
      <c r="G363" s="136">
        <v>43273</v>
      </c>
      <c r="H363" t="s">
        <v>181</v>
      </c>
      <c r="I363" t="s">
        <v>42</v>
      </c>
      <c r="J363" t="s">
        <v>291</v>
      </c>
      <c r="K363" s="138">
        <v>172.7</v>
      </c>
      <c r="L363" s="137">
        <v>0</v>
      </c>
    </row>
    <row r="364" spans="7:12" x14ac:dyDescent="0.25">
      <c r="G364" s="136">
        <v>43273</v>
      </c>
      <c r="H364" t="s">
        <v>196</v>
      </c>
      <c r="I364" t="s">
        <v>42</v>
      </c>
      <c r="J364" t="s">
        <v>291</v>
      </c>
      <c r="K364" s="138">
        <v>204.22</v>
      </c>
      <c r="L364" s="137">
        <v>0</v>
      </c>
    </row>
    <row r="365" spans="7:12" x14ac:dyDescent="0.25">
      <c r="G365" s="136">
        <v>43273</v>
      </c>
      <c r="H365" t="s">
        <v>180</v>
      </c>
      <c r="I365" t="s">
        <v>42</v>
      </c>
      <c r="J365" t="s">
        <v>291</v>
      </c>
      <c r="K365" s="138">
        <v>139.4</v>
      </c>
      <c r="L365" s="137">
        <v>0</v>
      </c>
    </row>
    <row r="366" spans="7:12" x14ac:dyDescent="0.25">
      <c r="G366" s="136">
        <v>43273</v>
      </c>
      <c r="H366" t="s">
        <v>28</v>
      </c>
      <c r="I366" t="s">
        <v>66</v>
      </c>
      <c r="J366" t="s">
        <v>120</v>
      </c>
      <c r="K366" s="138">
        <v>6.5</v>
      </c>
      <c r="L366" s="137">
        <v>0</v>
      </c>
    </row>
    <row r="367" spans="7:12" x14ac:dyDescent="0.25">
      <c r="G367" s="136">
        <v>43273</v>
      </c>
      <c r="H367" t="s">
        <v>28</v>
      </c>
      <c r="I367" t="s">
        <v>66</v>
      </c>
      <c r="J367" t="s">
        <v>137</v>
      </c>
      <c r="K367" s="138">
        <v>3.5</v>
      </c>
      <c r="L367" s="137">
        <v>0</v>
      </c>
    </row>
    <row r="368" spans="7:12" x14ac:dyDescent="0.25">
      <c r="G368" s="136">
        <v>43273</v>
      </c>
      <c r="H368" t="s">
        <v>28</v>
      </c>
      <c r="I368" t="s">
        <v>66</v>
      </c>
      <c r="J368" t="s">
        <v>114</v>
      </c>
      <c r="K368" s="138">
        <v>3.6</v>
      </c>
      <c r="L368" s="137">
        <v>0</v>
      </c>
    </row>
    <row r="369" spans="7:12" x14ac:dyDescent="0.25">
      <c r="G369" s="136">
        <v>43274</v>
      </c>
      <c r="H369" t="s">
        <v>196</v>
      </c>
      <c r="I369" t="s">
        <v>112</v>
      </c>
      <c r="J369" t="s">
        <v>292</v>
      </c>
      <c r="K369" s="138">
        <v>16.75</v>
      </c>
      <c r="L369" s="137">
        <v>0</v>
      </c>
    </row>
    <row r="370" spans="7:12" x14ac:dyDescent="0.25">
      <c r="G370" s="136">
        <v>43274</v>
      </c>
      <c r="H370" t="s">
        <v>28</v>
      </c>
      <c r="I370" t="s">
        <v>155</v>
      </c>
      <c r="J370" t="s">
        <v>292</v>
      </c>
      <c r="K370" s="138">
        <v>64.2</v>
      </c>
      <c r="L370" s="137">
        <v>0</v>
      </c>
    </row>
    <row r="371" spans="7:12" x14ac:dyDescent="0.25">
      <c r="G371" s="136">
        <v>43274</v>
      </c>
      <c r="H371" t="s">
        <v>28</v>
      </c>
      <c r="I371" t="s">
        <v>155</v>
      </c>
      <c r="J371" t="s">
        <v>292</v>
      </c>
      <c r="K371" s="138">
        <v>55.35</v>
      </c>
      <c r="L371" s="137">
        <v>0</v>
      </c>
    </row>
    <row r="372" spans="7:12" x14ac:dyDescent="0.25">
      <c r="G372" s="136">
        <v>43274</v>
      </c>
      <c r="H372" t="s">
        <v>28</v>
      </c>
      <c r="I372" t="s">
        <v>155</v>
      </c>
      <c r="J372" t="s">
        <v>292</v>
      </c>
      <c r="K372" s="138">
        <v>27.75</v>
      </c>
      <c r="L372" s="137">
        <v>0</v>
      </c>
    </row>
    <row r="373" spans="7:12" x14ac:dyDescent="0.25">
      <c r="G373" s="136">
        <v>43274</v>
      </c>
      <c r="H373" t="s">
        <v>28</v>
      </c>
      <c r="I373" t="s">
        <v>155</v>
      </c>
      <c r="J373" t="s">
        <v>292</v>
      </c>
      <c r="K373" s="138">
        <v>24</v>
      </c>
      <c r="L373" s="137">
        <v>0</v>
      </c>
    </row>
    <row r="374" spans="7:12" x14ac:dyDescent="0.25">
      <c r="G374" s="136">
        <v>43274</v>
      </c>
      <c r="H374" t="s">
        <v>28</v>
      </c>
      <c r="I374" t="s">
        <v>66</v>
      </c>
      <c r="J374" t="s">
        <v>109</v>
      </c>
      <c r="K374" s="138">
        <v>14</v>
      </c>
      <c r="L374" s="137">
        <v>0</v>
      </c>
    </row>
    <row r="375" spans="7:12" x14ac:dyDescent="0.25">
      <c r="G375" s="136">
        <v>43276</v>
      </c>
      <c r="H375" t="s">
        <v>27</v>
      </c>
      <c r="I375" t="s">
        <v>63</v>
      </c>
      <c r="J375" t="s">
        <v>295</v>
      </c>
      <c r="K375" s="138">
        <v>8</v>
      </c>
      <c r="L375" s="137">
        <v>0</v>
      </c>
    </row>
    <row r="376" spans="7:12" x14ac:dyDescent="0.25">
      <c r="G376" s="136">
        <v>43276</v>
      </c>
      <c r="H376" t="s">
        <v>27</v>
      </c>
      <c r="I376" t="s">
        <v>219</v>
      </c>
      <c r="J376" t="s">
        <v>294</v>
      </c>
      <c r="K376" s="138">
        <v>58.8</v>
      </c>
      <c r="L376" s="137">
        <v>0</v>
      </c>
    </row>
    <row r="377" spans="7:12" x14ac:dyDescent="0.25">
      <c r="G377" s="136">
        <v>43276</v>
      </c>
      <c r="H377" t="s">
        <v>27</v>
      </c>
      <c r="I377" t="s">
        <v>219</v>
      </c>
      <c r="J377" t="s">
        <v>294</v>
      </c>
      <c r="K377" s="138">
        <v>51.51</v>
      </c>
      <c r="L377" s="137">
        <v>0</v>
      </c>
    </row>
    <row r="378" spans="7:12" x14ac:dyDescent="0.25">
      <c r="G378" s="136">
        <v>43276</v>
      </c>
      <c r="H378" t="s">
        <v>27</v>
      </c>
      <c r="I378" t="s">
        <v>219</v>
      </c>
      <c r="J378" t="s">
        <v>294</v>
      </c>
      <c r="K378" s="138">
        <v>33.28</v>
      </c>
      <c r="L378" s="137">
        <v>0</v>
      </c>
    </row>
    <row r="379" spans="7:12" x14ac:dyDescent="0.25">
      <c r="G379" s="136">
        <v>43276</v>
      </c>
      <c r="H379" t="s">
        <v>27</v>
      </c>
      <c r="I379" t="s">
        <v>219</v>
      </c>
      <c r="J379" t="s">
        <v>294</v>
      </c>
      <c r="K379" s="138">
        <v>28.57</v>
      </c>
      <c r="L379" s="137">
        <v>0</v>
      </c>
    </row>
    <row r="380" spans="7:12" x14ac:dyDescent="0.25">
      <c r="G380" s="136">
        <v>43276</v>
      </c>
      <c r="H380" t="s">
        <v>27</v>
      </c>
      <c r="I380" t="s">
        <v>219</v>
      </c>
      <c r="J380" t="s">
        <v>294</v>
      </c>
      <c r="K380" s="138">
        <v>28.28</v>
      </c>
      <c r="L380" s="137">
        <v>0</v>
      </c>
    </row>
    <row r="381" spans="7:12" x14ac:dyDescent="0.25">
      <c r="G381" s="136">
        <v>43276</v>
      </c>
      <c r="H381" t="s">
        <v>27</v>
      </c>
      <c r="I381" t="s">
        <v>219</v>
      </c>
      <c r="J381" t="s">
        <v>294</v>
      </c>
      <c r="K381" s="138">
        <v>27.87</v>
      </c>
      <c r="L381" s="137">
        <v>0</v>
      </c>
    </row>
    <row r="382" spans="7:12" x14ac:dyDescent="0.25">
      <c r="G382" s="136">
        <v>43276</v>
      </c>
      <c r="H382" t="s">
        <v>27</v>
      </c>
      <c r="I382" t="s">
        <v>219</v>
      </c>
      <c r="J382" t="s">
        <v>294</v>
      </c>
      <c r="K382" s="138">
        <v>24.94</v>
      </c>
      <c r="L382" s="137">
        <v>0</v>
      </c>
    </row>
    <row r="383" spans="7:12" x14ac:dyDescent="0.25">
      <c r="G383" s="136">
        <v>43276</v>
      </c>
      <c r="H383" t="s">
        <v>27</v>
      </c>
      <c r="I383" t="s">
        <v>219</v>
      </c>
      <c r="J383" t="s">
        <v>294</v>
      </c>
      <c r="K383" s="138">
        <v>24.18</v>
      </c>
      <c r="L383" s="137">
        <v>0</v>
      </c>
    </row>
    <row r="384" spans="7:12" x14ac:dyDescent="0.25">
      <c r="G384" s="136">
        <v>43276</v>
      </c>
      <c r="H384" t="s">
        <v>27</v>
      </c>
      <c r="I384" t="s">
        <v>219</v>
      </c>
      <c r="J384" t="s">
        <v>294</v>
      </c>
      <c r="K384" s="138">
        <v>15.68</v>
      </c>
      <c r="L384" s="137">
        <v>0</v>
      </c>
    </row>
    <row r="385" spans="7:12" x14ac:dyDescent="0.25">
      <c r="G385" s="136">
        <v>43276</v>
      </c>
      <c r="H385" t="s">
        <v>27</v>
      </c>
      <c r="I385" t="s">
        <v>219</v>
      </c>
      <c r="J385" t="s">
        <v>294</v>
      </c>
      <c r="K385" s="138">
        <v>14.18</v>
      </c>
      <c r="L385" s="137">
        <v>0</v>
      </c>
    </row>
    <row r="386" spans="7:12" x14ac:dyDescent="0.25">
      <c r="G386" s="136">
        <v>43276</v>
      </c>
      <c r="H386" t="s">
        <v>27</v>
      </c>
      <c r="I386" t="s">
        <v>219</v>
      </c>
      <c r="J386" t="s">
        <v>294</v>
      </c>
      <c r="K386" s="138">
        <v>13.4</v>
      </c>
      <c r="L386" s="137">
        <v>0</v>
      </c>
    </row>
    <row r="387" spans="7:12" x14ac:dyDescent="0.25">
      <c r="G387" s="136">
        <v>43276</v>
      </c>
      <c r="H387" t="s">
        <v>27</v>
      </c>
      <c r="I387" t="s">
        <v>219</v>
      </c>
      <c r="J387" t="s">
        <v>294</v>
      </c>
      <c r="K387" s="138">
        <v>13.04</v>
      </c>
      <c r="L387" s="137">
        <v>0</v>
      </c>
    </row>
    <row r="388" spans="7:12" x14ac:dyDescent="0.25">
      <c r="G388" s="136">
        <v>43276</v>
      </c>
      <c r="H388" t="s">
        <v>27</v>
      </c>
      <c r="I388" t="s">
        <v>219</v>
      </c>
      <c r="J388" t="s">
        <v>294</v>
      </c>
      <c r="K388" s="138">
        <v>8.57</v>
      </c>
      <c r="L388" s="137">
        <v>0</v>
      </c>
    </row>
    <row r="389" spans="7:12" x14ac:dyDescent="0.25">
      <c r="G389" s="136">
        <v>43276</v>
      </c>
      <c r="H389" t="s">
        <v>195</v>
      </c>
      <c r="I389" t="s">
        <v>219</v>
      </c>
      <c r="J389" t="s">
        <v>294</v>
      </c>
      <c r="K389" s="138">
        <v>343.2</v>
      </c>
      <c r="L389" s="137">
        <v>0</v>
      </c>
    </row>
    <row r="390" spans="7:12" x14ac:dyDescent="0.25">
      <c r="G390" s="136">
        <v>43276</v>
      </c>
      <c r="H390" t="s">
        <v>183</v>
      </c>
      <c r="I390" t="s">
        <v>219</v>
      </c>
      <c r="J390" t="s">
        <v>294</v>
      </c>
      <c r="K390" s="138">
        <v>5485.2</v>
      </c>
      <c r="L390" s="137">
        <v>0</v>
      </c>
    </row>
    <row r="391" spans="7:12" x14ac:dyDescent="0.25">
      <c r="G391" s="136">
        <v>43276</v>
      </c>
      <c r="H391" t="s">
        <v>189</v>
      </c>
      <c r="I391" t="s">
        <v>219</v>
      </c>
      <c r="J391" t="s">
        <v>294</v>
      </c>
      <c r="K391" s="138">
        <v>951.08</v>
      </c>
      <c r="L391" s="137">
        <v>0</v>
      </c>
    </row>
    <row r="392" spans="7:12" x14ac:dyDescent="0.25">
      <c r="G392" s="136">
        <v>43276</v>
      </c>
      <c r="H392" t="s">
        <v>193</v>
      </c>
      <c r="I392" t="s">
        <v>219</v>
      </c>
      <c r="J392" t="s">
        <v>294</v>
      </c>
      <c r="K392" s="138">
        <v>8.99</v>
      </c>
      <c r="L392" s="137">
        <v>0</v>
      </c>
    </row>
    <row r="393" spans="7:12" x14ac:dyDescent="0.25">
      <c r="G393" s="136">
        <v>43276</v>
      </c>
      <c r="H393" t="s">
        <v>188</v>
      </c>
      <c r="I393" t="s">
        <v>219</v>
      </c>
      <c r="J393" t="s">
        <v>294</v>
      </c>
      <c r="K393" s="138">
        <v>313.26</v>
      </c>
      <c r="L393" s="137">
        <v>0</v>
      </c>
    </row>
    <row r="394" spans="7:12" x14ac:dyDescent="0.25">
      <c r="G394" s="136">
        <v>43276</v>
      </c>
      <c r="H394" t="s">
        <v>25</v>
      </c>
      <c r="I394" t="s">
        <v>63</v>
      </c>
      <c r="J394" t="s">
        <v>295</v>
      </c>
      <c r="K394" s="138">
        <v>16</v>
      </c>
      <c r="L394" s="137">
        <v>0</v>
      </c>
    </row>
    <row r="395" spans="7:12" x14ac:dyDescent="0.25">
      <c r="G395" s="136">
        <v>43276</v>
      </c>
      <c r="H395" t="s">
        <v>25</v>
      </c>
      <c r="I395" t="s">
        <v>219</v>
      </c>
      <c r="J395" t="s">
        <v>294</v>
      </c>
      <c r="K395" s="138">
        <v>1283.47</v>
      </c>
      <c r="L395" s="137">
        <v>0</v>
      </c>
    </row>
    <row r="396" spans="7:12" x14ac:dyDescent="0.25">
      <c r="G396" s="136">
        <v>43276</v>
      </c>
      <c r="H396" t="s">
        <v>25</v>
      </c>
      <c r="I396" t="s">
        <v>219</v>
      </c>
      <c r="J396" t="s">
        <v>294</v>
      </c>
      <c r="K396" s="138">
        <v>945.08</v>
      </c>
      <c r="L396" s="137">
        <v>0</v>
      </c>
    </row>
    <row r="397" spans="7:12" x14ac:dyDescent="0.25">
      <c r="G397" s="136">
        <v>43276</v>
      </c>
      <c r="H397" t="s">
        <v>25</v>
      </c>
      <c r="I397" t="s">
        <v>219</v>
      </c>
      <c r="J397" t="s">
        <v>294</v>
      </c>
      <c r="K397" s="138">
        <v>927.86</v>
      </c>
      <c r="L397" s="137">
        <v>0</v>
      </c>
    </row>
    <row r="398" spans="7:12" x14ac:dyDescent="0.25">
      <c r="G398" s="136">
        <v>43276</v>
      </c>
      <c r="H398" t="s">
        <v>25</v>
      </c>
      <c r="I398" t="s">
        <v>219</v>
      </c>
      <c r="J398" t="s">
        <v>294</v>
      </c>
      <c r="K398" s="138">
        <v>598.84</v>
      </c>
      <c r="L398" s="137">
        <v>0</v>
      </c>
    </row>
    <row r="399" spans="7:12" x14ac:dyDescent="0.25">
      <c r="G399" s="136">
        <v>43276</v>
      </c>
      <c r="H399" t="s">
        <v>25</v>
      </c>
      <c r="I399" t="s">
        <v>219</v>
      </c>
      <c r="J399" t="s">
        <v>294</v>
      </c>
      <c r="K399" s="138">
        <v>493.74</v>
      </c>
      <c r="L399" s="137">
        <v>0</v>
      </c>
    </row>
    <row r="400" spans="7:12" x14ac:dyDescent="0.25">
      <c r="G400" s="136">
        <v>43276</v>
      </c>
      <c r="H400" t="s">
        <v>25</v>
      </c>
      <c r="I400" t="s">
        <v>219</v>
      </c>
      <c r="J400" t="s">
        <v>294</v>
      </c>
      <c r="K400" s="138">
        <v>481.94</v>
      </c>
      <c r="L400" s="137">
        <v>0</v>
      </c>
    </row>
    <row r="401" spans="7:12" x14ac:dyDescent="0.25">
      <c r="G401" s="136">
        <v>43276</v>
      </c>
      <c r="H401" t="s">
        <v>25</v>
      </c>
      <c r="I401" t="s">
        <v>219</v>
      </c>
      <c r="J401" t="s">
        <v>294</v>
      </c>
      <c r="K401" s="138">
        <v>439.82</v>
      </c>
      <c r="L401" s="137">
        <v>0</v>
      </c>
    </row>
    <row r="402" spans="7:12" x14ac:dyDescent="0.25">
      <c r="G402" s="136">
        <v>43276</v>
      </c>
      <c r="H402" t="s">
        <v>25</v>
      </c>
      <c r="I402" t="s">
        <v>219</v>
      </c>
      <c r="J402" t="s">
        <v>294</v>
      </c>
      <c r="K402" s="138">
        <v>422.74</v>
      </c>
      <c r="L402" s="137">
        <v>0</v>
      </c>
    </row>
    <row r="403" spans="7:12" x14ac:dyDescent="0.25">
      <c r="G403" s="136">
        <v>43276</v>
      </c>
      <c r="H403" t="s">
        <v>25</v>
      </c>
      <c r="I403" t="s">
        <v>219</v>
      </c>
      <c r="J403" t="s">
        <v>294</v>
      </c>
      <c r="K403" s="138">
        <v>420.53</v>
      </c>
      <c r="L403" s="137">
        <v>0</v>
      </c>
    </row>
    <row r="404" spans="7:12" x14ac:dyDescent="0.25">
      <c r="G404" s="136">
        <v>43276</v>
      </c>
      <c r="H404" t="s">
        <v>25</v>
      </c>
      <c r="I404" t="s">
        <v>219</v>
      </c>
      <c r="J404" t="s">
        <v>294</v>
      </c>
      <c r="K404" s="138">
        <v>374.44</v>
      </c>
      <c r="L404" s="137">
        <v>0</v>
      </c>
    </row>
    <row r="405" spans="7:12" x14ac:dyDescent="0.25">
      <c r="G405" s="136">
        <v>43276</v>
      </c>
      <c r="H405" t="s">
        <v>25</v>
      </c>
      <c r="I405" t="s">
        <v>219</v>
      </c>
      <c r="J405" t="s">
        <v>294</v>
      </c>
      <c r="K405" s="138">
        <v>254.33</v>
      </c>
      <c r="L405" s="137">
        <v>0</v>
      </c>
    </row>
    <row r="406" spans="7:12" x14ac:dyDescent="0.25">
      <c r="G406" s="136">
        <v>43276</v>
      </c>
      <c r="H406" t="s">
        <v>25</v>
      </c>
      <c r="I406" t="s">
        <v>219</v>
      </c>
      <c r="J406" t="s">
        <v>294</v>
      </c>
      <c r="K406" s="138">
        <v>221.32</v>
      </c>
      <c r="L406" s="137">
        <v>0</v>
      </c>
    </row>
    <row r="407" spans="7:12" x14ac:dyDescent="0.25">
      <c r="G407" s="136">
        <v>43276</v>
      </c>
      <c r="H407" t="s">
        <v>25</v>
      </c>
      <c r="I407" t="s">
        <v>219</v>
      </c>
      <c r="J407" t="s">
        <v>294</v>
      </c>
      <c r="K407" s="138">
        <v>193.81</v>
      </c>
      <c r="L407" s="137">
        <v>0</v>
      </c>
    </row>
    <row r="408" spans="7:12" x14ac:dyDescent="0.25">
      <c r="G408" s="136">
        <v>43276</v>
      </c>
      <c r="H408" t="s">
        <v>25</v>
      </c>
      <c r="I408" t="s">
        <v>219</v>
      </c>
      <c r="J408" t="s">
        <v>294</v>
      </c>
      <c r="K408" s="138">
        <v>134.44999999999999</v>
      </c>
      <c r="L408" s="137">
        <v>0</v>
      </c>
    </row>
    <row r="409" spans="7:12" x14ac:dyDescent="0.25">
      <c r="G409" s="136">
        <v>43276</v>
      </c>
      <c r="H409" t="s">
        <v>25</v>
      </c>
      <c r="I409" t="s">
        <v>219</v>
      </c>
      <c r="J409" t="s">
        <v>294</v>
      </c>
      <c r="K409" s="138">
        <v>102.96</v>
      </c>
      <c r="L409" s="137">
        <v>0</v>
      </c>
    </row>
    <row r="410" spans="7:12" x14ac:dyDescent="0.25">
      <c r="G410" s="136">
        <v>43276</v>
      </c>
      <c r="H410" t="s">
        <v>25</v>
      </c>
      <c r="I410" t="s">
        <v>219</v>
      </c>
      <c r="J410" t="s">
        <v>294</v>
      </c>
      <c r="K410" s="138">
        <v>98.72</v>
      </c>
      <c r="L410" s="137">
        <v>0</v>
      </c>
    </row>
    <row r="411" spans="7:12" x14ac:dyDescent="0.25">
      <c r="G411" s="136">
        <v>43276</v>
      </c>
      <c r="H411" t="s">
        <v>25</v>
      </c>
      <c r="I411" t="s">
        <v>219</v>
      </c>
      <c r="J411" t="s">
        <v>294</v>
      </c>
      <c r="K411" s="138">
        <v>94.97</v>
      </c>
      <c r="L411" s="137">
        <v>0</v>
      </c>
    </row>
    <row r="412" spans="7:12" x14ac:dyDescent="0.25">
      <c r="G412" s="136">
        <v>43276</v>
      </c>
      <c r="H412" t="s">
        <v>25</v>
      </c>
      <c r="I412" t="s">
        <v>219</v>
      </c>
      <c r="J412" t="s">
        <v>294</v>
      </c>
      <c r="K412" s="138">
        <v>88.07</v>
      </c>
      <c r="L412" s="137">
        <v>0</v>
      </c>
    </row>
    <row r="413" spans="7:12" x14ac:dyDescent="0.25">
      <c r="G413" s="136">
        <v>43276</v>
      </c>
      <c r="H413" t="s">
        <v>25</v>
      </c>
      <c r="I413" t="s">
        <v>219</v>
      </c>
      <c r="J413" t="s">
        <v>294</v>
      </c>
      <c r="K413" s="138">
        <v>69.8</v>
      </c>
      <c r="L413" s="137">
        <v>0</v>
      </c>
    </row>
    <row r="414" spans="7:12" x14ac:dyDescent="0.25">
      <c r="G414" s="136">
        <v>43276</v>
      </c>
      <c r="H414" t="s">
        <v>25</v>
      </c>
      <c r="I414" t="s">
        <v>219</v>
      </c>
      <c r="J414" t="s">
        <v>294</v>
      </c>
      <c r="K414" s="138">
        <v>68.73</v>
      </c>
      <c r="L414" s="137">
        <v>0</v>
      </c>
    </row>
    <row r="415" spans="7:12" x14ac:dyDescent="0.25">
      <c r="G415" s="136">
        <v>43276</v>
      </c>
      <c r="H415" t="s">
        <v>25</v>
      </c>
      <c r="I415" t="s">
        <v>219</v>
      </c>
      <c r="J415" t="s">
        <v>294</v>
      </c>
      <c r="K415" s="138">
        <v>43.04</v>
      </c>
      <c r="L415" s="137">
        <v>0</v>
      </c>
    </row>
    <row r="416" spans="7:12" x14ac:dyDescent="0.25">
      <c r="G416" s="136">
        <v>43276</v>
      </c>
      <c r="H416" t="s">
        <v>25</v>
      </c>
      <c r="I416" t="s">
        <v>219</v>
      </c>
      <c r="J416" t="s">
        <v>294</v>
      </c>
      <c r="K416" s="138">
        <v>21.74</v>
      </c>
      <c r="L416" s="137">
        <v>0</v>
      </c>
    </row>
    <row r="417" spans="7:12" x14ac:dyDescent="0.25">
      <c r="G417" s="136">
        <v>43276</v>
      </c>
      <c r="H417" t="s">
        <v>207</v>
      </c>
      <c r="I417" t="s">
        <v>176</v>
      </c>
      <c r="J417" t="s">
        <v>295</v>
      </c>
      <c r="K417" s="138">
        <v>13.8</v>
      </c>
      <c r="L417" s="137">
        <v>0</v>
      </c>
    </row>
    <row r="418" spans="7:12" x14ac:dyDescent="0.25">
      <c r="G418" s="136">
        <v>43276</v>
      </c>
      <c r="H418" t="s">
        <v>206</v>
      </c>
      <c r="I418" t="s">
        <v>42</v>
      </c>
      <c r="J418" t="s">
        <v>295</v>
      </c>
      <c r="K418" s="138">
        <v>114.23</v>
      </c>
      <c r="L418" s="137">
        <v>0</v>
      </c>
    </row>
    <row r="419" spans="7:12" x14ac:dyDescent="0.25">
      <c r="G419" s="136">
        <v>43276</v>
      </c>
      <c r="H419" t="s">
        <v>179</v>
      </c>
      <c r="I419" t="s">
        <v>219</v>
      </c>
      <c r="J419" t="s">
        <v>294</v>
      </c>
      <c r="K419" s="138">
        <v>311.67</v>
      </c>
      <c r="L419" s="137">
        <v>0</v>
      </c>
    </row>
    <row r="420" spans="7:12" x14ac:dyDescent="0.25">
      <c r="G420" s="136">
        <v>43276</v>
      </c>
      <c r="H420" t="s">
        <v>28</v>
      </c>
      <c r="I420" t="s">
        <v>66</v>
      </c>
      <c r="J420" t="s">
        <v>293</v>
      </c>
      <c r="K420" s="138">
        <v>1.8</v>
      </c>
      <c r="L420" s="137">
        <v>0</v>
      </c>
    </row>
    <row r="421" spans="7:12" x14ac:dyDescent="0.25">
      <c r="G421" s="136">
        <v>43276</v>
      </c>
      <c r="H421" t="s">
        <v>28</v>
      </c>
      <c r="I421" t="s">
        <v>66</v>
      </c>
      <c r="J421" t="s">
        <v>279</v>
      </c>
      <c r="K421" s="138">
        <v>18.399999999999999</v>
      </c>
      <c r="L421" s="137">
        <v>0</v>
      </c>
    </row>
    <row r="422" spans="7:12" x14ac:dyDescent="0.25">
      <c r="G422" s="136">
        <v>43276</v>
      </c>
      <c r="H422" t="s">
        <v>28</v>
      </c>
      <c r="I422" t="s">
        <v>219</v>
      </c>
      <c r="J422" t="s">
        <v>294</v>
      </c>
      <c r="K422" s="138">
        <v>101.33</v>
      </c>
      <c r="L422" s="137">
        <v>0</v>
      </c>
    </row>
    <row r="423" spans="7:12" x14ac:dyDescent="0.25">
      <c r="G423" s="136">
        <v>43276</v>
      </c>
      <c r="H423" t="s">
        <v>28</v>
      </c>
      <c r="I423" t="s">
        <v>219</v>
      </c>
      <c r="J423" t="s">
        <v>294</v>
      </c>
      <c r="K423" s="138">
        <v>72.040000000000006</v>
      </c>
      <c r="L423" s="137">
        <v>0</v>
      </c>
    </row>
    <row r="424" spans="7:12" x14ac:dyDescent="0.25">
      <c r="G424" s="136">
        <v>43277</v>
      </c>
      <c r="H424" t="s">
        <v>203</v>
      </c>
      <c r="I424" t="s">
        <v>42</v>
      </c>
      <c r="J424" t="s">
        <v>296</v>
      </c>
      <c r="K424" s="138">
        <v>51.7</v>
      </c>
      <c r="L424" s="137">
        <v>0</v>
      </c>
    </row>
    <row r="425" spans="7:12" x14ac:dyDescent="0.25">
      <c r="G425" s="136">
        <v>43277</v>
      </c>
      <c r="H425" t="s">
        <v>27</v>
      </c>
      <c r="I425" t="s">
        <v>63</v>
      </c>
      <c r="J425" t="s">
        <v>296</v>
      </c>
      <c r="K425" s="138">
        <v>8</v>
      </c>
      <c r="L425" s="137">
        <v>0</v>
      </c>
    </row>
    <row r="426" spans="7:12" x14ac:dyDescent="0.25">
      <c r="G426" s="136">
        <v>43277</v>
      </c>
      <c r="H426" t="s">
        <v>185</v>
      </c>
      <c r="I426" t="s">
        <v>42</v>
      </c>
      <c r="J426" t="s">
        <v>296</v>
      </c>
      <c r="K426" s="138">
        <v>13.99</v>
      </c>
      <c r="L426" s="137">
        <v>0</v>
      </c>
    </row>
    <row r="427" spans="7:12" x14ac:dyDescent="0.25">
      <c r="G427" s="136">
        <v>43277</v>
      </c>
      <c r="H427" t="s">
        <v>185</v>
      </c>
      <c r="I427" t="s">
        <v>171</v>
      </c>
      <c r="J427" t="s">
        <v>296</v>
      </c>
      <c r="K427" s="138">
        <v>85</v>
      </c>
      <c r="L427" s="137">
        <v>0</v>
      </c>
    </row>
    <row r="428" spans="7:12" x14ac:dyDescent="0.25">
      <c r="G428" s="136">
        <v>43277</v>
      </c>
      <c r="H428" t="s">
        <v>191</v>
      </c>
      <c r="I428" t="s">
        <v>163</v>
      </c>
      <c r="J428" t="s">
        <v>296</v>
      </c>
      <c r="K428" s="138">
        <v>75.900000000000006</v>
      </c>
      <c r="L428" s="137">
        <v>0</v>
      </c>
    </row>
    <row r="429" spans="7:12" x14ac:dyDescent="0.25">
      <c r="G429" s="136">
        <v>43277</v>
      </c>
      <c r="H429" t="s">
        <v>188</v>
      </c>
      <c r="I429" t="s">
        <v>171</v>
      </c>
      <c r="J429" t="s">
        <v>296</v>
      </c>
      <c r="K429" s="138">
        <v>940.61</v>
      </c>
      <c r="L429" s="137">
        <v>0</v>
      </c>
    </row>
    <row r="430" spans="7:12" x14ac:dyDescent="0.25">
      <c r="G430" s="136">
        <v>43277</v>
      </c>
      <c r="H430" t="s">
        <v>25</v>
      </c>
      <c r="I430" t="s">
        <v>63</v>
      </c>
      <c r="J430" t="s">
        <v>296</v>
      </c>
      <c r="K430" s="138">
        <v>32</v>
      </c>
      <c r="L430" s="137">
        <v>0</v>
      </c>
    </row>
    <row r="431" spans="7:12" x14ac:dyDescent="0.25">
      <c r="G431" s="136">
        <v>43277</v>
      </c>
      <c r="H431" t="s">
        <v>25</v>
      </c>
      <c r="I431" t="s">
        <v>63</v>
      </c>
      <c r="J431" t="s">
        <v>296</v>
      </c>
      <c r="K431" s="138">
        <v>24</v>
      </c>
      <c r="L431" s="137">
        <v>0</v>
      </c>
    </row>
    <row r="432" spans="7:12" x14ac:dyDescent="0.25">
      <c r="G432" s="136">
        <v>43277</v>
      </c>
      <c r="H432" t="s">
        <v>25</v>
      </c>
      <c r="I432" t="s">
        <v>63</v>
      </c>
      <c r="J432" t="s">
        <v>296</v>
      </c>
      <c r="K432" s="138">
        <v>8</v>
      </c>
      <c r="L432" s="137">
        <v>0</v>
      </c>
    </row>
    <row r="433" spans="7:12" x14ac:dyDescent="0.25">
      <c r="G433" s="136">
        <v>43277</v>
      </c>
      <c r="H433" t="s">
        <v>201</v>
      </c>
      <c r="I433" t="s">
        <v>42</v>
      </c>
      <c r="J433" t="s">
        <v>296</v>
      </c>
      <c r="K433" s="138">
        <v>170</v>
      </c>
      <c r="L433" s="137">
        <v>0</v>
      </c>
    </row>
    <row r="434" spans="7:12" x14ac:dyDescent="0.25">
      <c r="G434" s="136">
        <v>43277</v>
      </c>
      <c r="H434" t="s">
        <v>181</v>
      </c>
      <c r="I434" t="s">
        <v>42</v>
      </c>
      <c r="J434" t="s">
        <v>296</v>
      </c>
      <c r="K434" s="138">
        <v>136.02000000000001</v>
      </c>
      <c r="L434" s="137">
        <v>0</v>
      </c>
    </row>
    <row r="435" spans="7:12" x14ac:dyDescent="0.25">
      <c r="G435" s="136">
        <v>43277</v>
      </c>
      <c r="H435" t="s">
        <v>196</v>
      </c>
      <c r="I435" t="s">
        <v>171</v>
      </c>
      <c r="J435" t="s">
        <v>296</v>
      </c>
      <c r="K435" s="138">
        <v>365.74</v>
      </c>
      <c r="L435" s="137">
        <v>0</v>
      </c>
    </row>
    <row r="436" spans="7:12" x14ac:dyDescent="0.25">
      <c r="G436" s="136">
        <v>43277</v>
      </c>
      <c r="H436" t="s">
        <v>180</v>
      </c>
      <c r="I436" t="s">
        <v>42</v>
      </c>
      <c r="J436" t="s">
        <v>296</v>
      </c>
      <c r="K436" s="138">
        <v>96.21</v>
      </c>
      <c r="L436" s="137">
        <v>0</v>
      </c>
    </row>
    <row r="437" spans="7:12" x14ac:dyDescent="0.25">
      <c r="G437" s="136">
        <v>43277</v>
      </c>
      <c r="H437" t="s">
        <v>28</v>
      </c>
      <c r="I437" t="s">
        <v>66</v>
      </c>
      <c r="J437" t="s">
        <v>139</v>
      </c>
      <c r="K437" s="138">
        <v>18</v>
      </c>
      <c r="L437" s="137">
        <v>0</v>
      </c>
    </row>
    <row r="438" spans="7:12" x14ac:dyDescent="0.25">
      <c r="G438" s="136">
        <v>43277</v>
      </c>
      <c r="H438" t="s">
        <v>28</v>
      </c>
      <c r="I438" t="s">
        <v>66</v>
      </c>
      <c r="J438" t="s">
        <v>279</v>
      </c>
      <c r="K438" s="138">
        <v>9.1999999999999993</v>
      </c>
      <c r="L438" s="137">
        <v>0</v>
      </c>
    </row>
    <row r="439" spans="7:12" x14ac:dyDescent="0.25">
      <c r="G439" s="136">
        <v>43278</v>
      </c>
      <c r="H439" t="s">
        <v>184</v>
      </c>
      <c r="I439" t="s">
        <v>42</v>
      </c>
      <c r="J439" t="s">
        <v>298</v>
      </c>
      <c r="K439" s="138">
        <v>10</v>
      </c>
      <c r="L439" s="137">
        <v>0</v>
      </c>
    </row>
    <row r="440" spans="7:12" x14ac:dyDescent="0.25">
      <c r="G440" s="136">
        <v>43278</v>
      </c>
      <c r="H440" t="s">
        <v>184</v>
      </c>
      <c r="I440" t="s">
        <v>171</v>
      </c>
      <c r="J440" t="s">
        <v>298</v>
      </c>
      <c r="K440" s="138">
        <v>90</v>
      </c>
      <c r="L440" s="137">
        <v>0</v>
      </c>
    </row>
    <row r="441" spans="7:12" x14ac:dyDescent="0.25">
      <c r="G441" s="136">
        <v>43278</v>
      </c>
      <c r="H441" t="s">
        <v>191</v>
      </c>
      <c r="I441" t="s">
        <v>163</v>
      </c>
      <c r="J441" t="s">
        <v>298</v>
      </c>
      <c r="K441" s="138">
        <v>67.5</v>
      </c>
      <c r="L441" s="137">
        <v>0</v>
      </c>
    </row>
    <row r="442" spans="7:12" x14ac:dyDescent="0.25">
      <c r="G442" s="136">
        <v>43278</v>
      </c>
      <c r="H442" t="s">
        <v>25</v>
      </c>
      <c r="I442" t="s">
        <v>63</v>
      </c>
      <c r="J442" t="s">
        <v>298</v>
      </c>
      <c r="K442" s="138">
        <v>112</v>
      </c>
      <c r="L442" s="137">
        <v>0</v>
      </c>
    </row>
    <row r="443" spans="7:12" x14ac:dyDescent="0.25">
      <c r="G443" s="136">
        <v>43278</v>
      </c>
      <c r="H443" t="s">
        <v>25</v>
      </c>
      <c r="I443" t="s">
        <v>63</v>
      </c>
      <c r="J443" t="s">
        <v>298</v>
      </c>
      <c r="K443" s="138">
        <v>32</v>
      </c>
      <c r="L443" s="137">
        <v>0</v>
      </c>
    </row>
    <row r="444" spans="7:12" x14ac:dyDescent="0.25">
      <c r="G444" s="136">
        <v>43278</v>
      </c>
      <c r="H444" t="s">
        <v>25</v>
      </c>
      <c r="I444" t="s">
        <v>217</v>
      </c>
      <c r="J444" t="s">
        <v>297</v>
      </c>
      <c r="K444" s="138">
        <v>16.38</v>
      </c>
      <c r="L444" s="137">
        <v>0</v>
      </c>
    </row>
    <row r="445" spans="7:12" x14ac:dyDescent="0.25">
      <c r="G445" s="136">
        <v>43278</v>
      </c>
      <c r="H445" t="s">
        <v>181</v>
      </c>
      <c r="I445" t="s">
        <v>63</v>
      </c>
      <c r="J445" t="s">
        <v>298</v>
      </c>
      <c r="K445" s="138">
        <v>224.35</v>
      </c>
      <c r="L445" s="137">
        <v>0</v>
      </c>
    </row>
    <row r="446" spans="7:12" x14ac:dyDescent="0.25">
      <c r="G446" s="136">
        <v>43278</v>
      </c>
      <c r="H446" t="s">
        <v>179</v>
      </c>
      <c r="I446" t="s">
        <v>217</v>
      </c>
      <c r="J446" t="s">
        <v>297</v>
      </c>
      <c r="K446" s="138">
        <v>4.22</v>
      </c>
      <c r="L446" s="137">
        <v>0</v>
      </c>
    </row>
    <row r="447" spans="7:12" x14ac:dyDescent="0.25">
      <c r="G447" s="136">
        <v>43278</v>
      </c>
      <c r="H447" t="s">
        <v>28</v>
      </c>
      <c r="I447" t="s">
        <v>66</v>
      </c>
      <c r="J447" t="s">
        <v>142</v>
      </c>
      <c r="K447" s="138">
        <v>22</v>
      </c>
      <c r="L447" s="137">
        <v>0</v>
      </c>
    </row>
    <row r="448" spans="7:12" x14ac:dyDescent="0.25">
      <c r="G448" s="136">
        <v>43278</v>
      </c>
      <c r="H448" t="s">
        <v>28</v>
      </c>
      <c r="I448" t="s">
        <v>66</v>
      </c>
      <c r="J448" t="s">
        <v>75</v>
      </c>
      <c r="K448" s="138">
        <v>17.399999999999999</v>
      </c>
      <c r="L448" s="137">
        <v>0</v>
      </c>
    </row>
    <row r="449" spans="7:12" x14ac:dyDescent="0.25">
      <c r="G449" s="136">
        <v>43279</v>
      </c>
      <c r="H449" t="s">
        <v>27</v>
      </c>
      <c r="I449" t="s">
        <v>63</v>
      </c>
      <c r="J449" t="s">
        <v>299</v>
      </c>
      <c r="K449" s="138">
        <v>8</v>
      </c>
      <c r="L449" s="137">
        <v>0</v>
      </c>
    </row>
    <row r="450" spans="7:12" x14ac:dyDescent="0.25">
      <c r="G450" s="136">
        <v>43279</v>
      </c>
      <c r="H450" t="s">
        <v>199</v>
      </c>
      <c r="I450" t="s">
        <v>163</v>
      </c>
      <c r="J450" t="s">
        <v>299</v>
      </c>
      <c r="K450" s="138">
        <v>30</v>
      </c>
      <c r="L450" s="137">
        <v>0</v>
      </c>
    </row>
    <row r="451" spans="7:12" x14ac:dyDescent="0.25">
      <c r="G451" s="136">
        <v>43279</v>
      </c>
      <c r="H451" t="s">
        <v>183</v>
      </c>
      <c r="I451" t="s">
        <v>42</v>
      </c>
      <c r="J451" t="s">
        <v>299</v>
      </c>
      <c r="K451" s="138">
        <v>10.71</v>
      </c>
      <c r="L451" s="137">
        <v>0</v>
      </c>
    </row>
    <row r="452" spans="7:12" x14ac:dyDescent="0.25">
      <c r="G452" s="136">
        <v>43279</v>
      </c>
      <c r="H452" t="s">
        <v>191</v>
      </c>
      <c r="I452" t="s">
        <v>163</v>
      </c>
      <c r="J452" t="s">
        <v>299</v>
      </c>
      <c r="K452" s="138">
        <v>70</v>
      </c>
      <c r="L452" s="137">
        <v>0</v>
      </c>
    </row>
    <row r="453" spans="7:12" x14ac:dyDescent="0.25">
      <c r="G453" s="136">
        <v>43279</v>
      </c>
      <c r="H453" t="s">
        <v>191</v>
      </c>
      <c r="I453" t="s">
        <v>42</v>
      </c>
      <c r="J453" t="s">
        <v>299</v>
      </c>
      <c r="K453" s="138">
        <v>9.5</v>
      </c>
      <c r="L453" s="137">
        <v>0</v>
      </c>
    </row>
    <row r="454" spans="7:12" x14ac:dyDescent="0.25">
      <c r="G454" s="136">
        <v>43279</v>
      </c>
      <c r="H454" t="s">
        <v>193</v>
      </c>
      <c r="I454" t="s">
        <v>163</v>
      </c>
      <c r="J454" t="s">
        <v>299</v>
      </c>
      <c r="K454" s="138">
        <v>36.75</v>
      </c>
      <c r="L454" s="137">
        <v>0</v>
      </c>
    </row>
    <row r="455" spans="7:12" x14ac:dyDescent="0.25">
      <c r="G455" s="136">
        <v>43279</v>
      </c>
      <c r="H455" t="s">
        <v>25</v>
      </c>
      <c r="I455" t="s">
        <v>63</v>
      </c>
      <c r="J455" t="s">
        <v>299</v>
      </c>
      <c r="K455" s="138">
        <v>32</v>
      </c>
      <c r="L455" s="137">
        <v>0</v>
      </c>
    </row>
    <row r="456" spans="7:12" x14ac:dyDescent="0.25">
      <c r="G456" s="136">
        <v>43279</v>
      </c>
      <c r="H456" t="s">
        <v>25</v>
      </c>
      <c r="I456" t="s">
        <v>63</v>
      </c>
      <c r="J456" t="s">
        <v>299</v>
      </c>
      <c r="K456" s="138">
        <v>24</v>
      </c>
      <c r="L456" s="137">
        <v>0</v>
      </c>
    </row>
    <row r="457" spans="7:12" x14ac:dyDescent="0.25">
      <c r="G457" s="136">
        <v>43279</v>
      </c>
      <c r="H457" t="s">
        <v>25</v>
      </c>
      <c r="I457" t="s">
        <v>63</v>
      </c>
      <c r="J457" t="s">
        <v>299</v>
      </c>
      <c r="K457" s="138">
        <v>16</v>
      </c>
      <c r="L457" s="137">
        <v>0</v>
      </c>
    </row>
    <row r="458" spans="7:12" x14ac:dyDescent="0.25">
      <c r="G458" s="136">
        <v>43279</v>
      </c>
      <c r="H458" t="s">
        <v>25</v>
      </c>
      <c r="I458" t="s">
        <v>63</v>
      </c>
      <c r="J458" t="s">
        <v>299</v>
      </c>
      <c r="K458" s="138">
        <v>8</v>
      </c>
      <c r="L458" s="137">
        <v>0</v>
      </c>
    </row>
    <row r="459" spans="7:12" x14ac:dyDescent="0.25">
      <c r="G459" s="136">
        <v>43279</v>
      </c>
      <c r="H459" t="s">
        <v>201</v>
      </c>
      <c r="I459" t="s">
        <v>42</v>
      </c>
      <c r="J459" t="s">
        <v>299</v>
      </c>
      <c r="K459" s="138">
        <v>9.0500000000000007</v>
      </c>
      <c r="L459" s="137">
        <v>0</v>
      </c>
    </row>
    <row r="460" spans="7:12" x14ac:dyDescent="0.25">
      <c r="G460" s="136">
        <v>43279</v>
      </c>
      <c r="H460" t="s">
        <v>187</v>
      </c>
      <c r="I460" t="s">
        <v>42</v>
      </c>
      <c r="J460" t="s">
        <v>299</v>
      </c>
      <c r="K460" s="138">
        <v>97.74</v>
      </c>
      <c r="L460" s="137">
        <v>0</v>
      </c>
    </row>
    <row r="461" spans="7:12" x14ac:dyDescent="0.25">
      <c r="G461" s="136">
        <v>43279</v>
      </c>
      <c r="H461" t="s">
        <v>180</v>
      </c>
      <c r="I461" t="s">
        <v>42</v>
      </c>
      <c r="J461" t="s">
        <v>299</v>
      </c>
      <c r="K461" s="138">
        <v>10</v>
      </c>
      <c r="L461" s="137">
        <v>0</v>
      </c>
    </row>
    <row r="462" spans="7:12" x14ac:dyDescent="0.25">
      <c r="G462" s="136">
        <v>43279</v>
      </c>
      <c r="H462" t="s">
        <v>28</v>
      </c>
      <c r="I462" t="s">
        <v>163</v>
      </c>
      <c r="J462" t="s">
        <v>299</v>
      </c>
      <c r="K462" s="138">
        <v>125.24</v>
      </c>
      <c r="L462" s="137">
        <v>0</v>
      </c>
    </row>
    <row r="463" spans="7:12" x14ac:dyDescent="0.25">
      <c r="G463" s="136">
        <v>43279</v>
      </c>
      <c r="H463" t="s">
        <v>28</v>
      </c>
      <c r="I463" t="s">
        <v>66</v>
      </c>
      <c r="J463" t="s">
        <v>105</v>
      </c>
      <c r="K463" s="138">
        <v>6</v>
      </c>
      <c r="L463" s="137">
        <v>0</v>
      </c>
    </row>
    <row r="464" spans="7:12" x14ac:dyDescent="0.25">
      <c r="G464" s="136">
        <v>43279</v>
      </c>
      <c r="H464" t="s">
        <v>28</v>
      </c>
      <c r="I464" t="s">
        <v>66</v>
      </c>
      <c r="J464" t="s">
        <v>145</v>
      </c>
      <c r="K464" s="138">
        <v>4.5</v>
      </c>
      <c r="L464" s="137">
        <v>0</v>
      </c>
    </row>
    <row r="465" spans="7:12" x14ac:dyDescent="0.25">
      <c r="G465" s="136">
        <v>43279</v>
      </c>
      <c r="H465" t="s">
        <v>28</v>
      </c>
      <c r="I465" t="s">
        <v>175</v>
      </c>
      <c r="J465" t="s">
        <v>299</v>
      </c>
      <c r="K465" s="138">
        <v>73.790000000000006</v>
      </c>
      <c r="L465" s="137">
        <v>0</v>
      </c>
    </row>
    <row r="466" spans="7:12" x14ac:dyDescent="0.25">
      <c r="G466" s="136">
        <v>43280</v>
      </c>
      <c r="H466" t="s">
        <v>27</v>
      </c>
      <c r="I466" t="s">
        <v>42</v>
      </c>
      <c r="J466" t="s">
        <v>300</v>
      </c>
      <c r="K466" s="138">
        <v>183.8</v>
      </c>
      <c r="L466" s="137">
        <v>0</v>
      </c>
    </row>
    <row r="467" spans="7:12" x14ac:dyDescent="0.25">
      <c r="G467" s="136">
        <v>43280</v>
      </c>
      <c r="H467" t="s">
        <v>27</v>
      </c>
      <c r="I467" t="s">
        <v>42</v>
      </c>
      <c r="J467" t="s">
        <v>300</v>
      </c>
      <c r="K467" s="138">
        <v>182</v>
      </c>
      <c r="L467" s="137">
        <v>0</v>
      </c>
    </row>
    <row r="468" spans="7:12" x14ac:dyDescent="0.25">
      <c r="G468" s="136">
        <v>43280</v>
      </c>
      <c r="H468" t="s">
        <v>185</v>
      </c>
      <c r="I468" t="s">
        <v>63</v>
      </c>
      <c r="J468" t="s">
        <v>300</v>
      </c>
      <c r="K468" s="138">
        <v>10</v>
      </c>
      <c r="L468" s="137">
        <v>0</v>
      </c>
    </row>
    <row r="469" spans="7:12" x14ac:dyDescent="0.25">
      <c r="G469" s="136">
        <v>43280</v>
      </c>
      <c r="H469" t="s">
        <v>185</v>
      </c>
      <c r="I469" t="s">
        <v>42</v>
      </c>
      <c r="J469" t="s">
        <v>300</v>
      </c>
      <c r="K469" s="138">
        <v>10</v>
      </c>
      <c r="L469" s="137">
        <v>0</v>
      </c>
    </row>
    <row r="470" spans="7:12" x14ac:dyDescent="0.25">
      <c r="G470" s="136">
        <v>43280</v>
      </c>
      <c r="H470" t="s">
        <v>195</v>
      </c>
      <c r="I470" t="s">
        <v>163</v>
      </c>
      <c r="J470" t="s">
        <v>300</v>
      </c>
      <c r="K470" s="138">
        <v>153.57</v>
      </c>
      <c r="L470" s="137">
        <v>0</v>
      </c>
    </row>
    <row r="471" spans="7:12" x14ac:dyDescent="0.25">
      <c r="G471" s="136">
        <v>43280</v>
      </c>
      <c r="H471" t="s">
        <v>195</v>
      </c>
      <c r="I471" t="s">
        <v>42</v>
      </c>
      <c r="J471" t="s">
        <v>300</v>
      </c>
      <c r="K471" s="138">
        <v>17.899999999999999</v>
      </c>
      <c r="L471" s="137">
        <v>0</v>
      </c>
    </row>
    <row r="472" spans="7:12" x14ac:dyDescent="0.25">
      <c r="G472" s="136">
        <v>43280</v>
      </c>
      <c r="H472" t="s">
        <v>191</v>
      </c>
      <c r="I472" t="s">
        <v>42</v>
      </c>
      <c r="J472" t="s">
        <v>300</v>
      </c>
      <c r="K472" s="138">
        <v>1127.92</v>
      </c>
      <c r="L472" s="137">
        <v>0</v>
      </c>
    </row>
    <row r="473" spans="7:12" x14ac:dyDescent="0.25">
      <c r="G473" s="136">
        <v>43280</v>
      </c>
      <c r="H473" t="s">
        <v>25</v>
      </c>
      <c r="I473" t="s">
        <v>63</v>
      </c>
      <c r="J473" t="s">
        <v>300</v>
      </c>
      <c r="K473" s="138">
        <v>48</v>
      </c>
      <c r="L473" s="137">
        <v>0</v>
      </c>
    </row>
    <row r="474" spans="7:12" x14ac:dyDescent="0.25">
      <c r="G474" s="136">
        <v>43280</v>
      </c>
      <c r="H474" t="s">
        <v>25</v>
      </c>
      <c r="I474" t="s">
        <v>63</v>
      </c>
      <c r="J474" t="s">
        <v>300</v>
      </c>
      <c r="K474" s="138">
        <v>16</v>
      </c>
      <c r="L474" s="137">
        <v>0</v>
      </c>
    </row>
    <row r="475" spans="7:12" x14ac:dyDescent="0.25">
      <c r="G475" s="136">
        <v>43280</v>
      </c>
      <c r="H475" t="s">
        <v>25</v>
      </c>
      <c r="I475" t="s">
        <v>63</v>
      </c>
      <c r="J475" t="s">
        <v>300</v>
      </c>
      <c r="K475" s="138">
        <v>8</v>
      </c>
      <c r="L475" s="137">
        <v>0</v>
      </c>
    </row>
    <row r="476" spans="7:12" x14ac:dyDescent="0.25">
      <c r="G476" s="136">
        <v>43280</v>
      </c>
      <c r="H476" t="s">
        <v>25</v>
      </c>
      <c r="I476" t="s">
        <v>42</v>
      </c>
      <c r="J476" t="s">
        <v>300</v>
      </c>
      <c r="K476" s="138">
        <v>338</v>
      </c>
      <c r="L476" s="137">
        <v>0</v>
      </c>
    </row>
    <row r="477" spans="7:12" x14ac:dyDescent="0.25">
      <c r="G477" s="136">
        <v>43280</v>
      </c>
      <c r="H477" t="s">
        <v>25</v>
      </c>
      <c r="I477" t="s">
        <v>42</v>
      </c>
      <c r="J477" t="s">
        <v>300</v>
      </c>
      <c r="K477" s="138">
        <v>39</v>
      </c>
      <c r="L477" s="137">
        <v>0</v>
      </c>
    </row>
    <row r="478" spans="7:12" x14ac:dyDescent="0.25">
      <c r="G478" s="136">
        <v>43280</v>
      </c>
      <c r="H478" t="s">
        <v>181</v>
      </c>
      <c r="I478" t="s">
        <v>42</v>
      </c>
      <c r="J478" t="s">
        <v>300</v>
      </c>
      <c r="K478" s="138">
        <v>33.4</v>
      </c>
      <c r="L478" s="137">
        <v>0</v>
      </c>
    </row>
    <row r="479" spans="7:12" x14ac:dyDescent="0.25">
      <c r="G479" s="136">
        <v>43280</v>
      </c>
      <c r="H479" t="s">
        <v>187</v>
      </c>
      <c r="I479" t="s">
        <v>42</v>
      </c>
      <c r="J479" t="s">
        <v>300</v>
      </c>
      <c r="K479" s="138">
        <v>83</v>
      </c>
      <c r="L479" s="137">
        <v>0</v>
      </c>
    </row>
    <row r="480" spans="7:12" x14ac:dyDescent="0.25">
      <c r="G480" s="136">
        <v>43280</v>
      </c>
      <c r="H480" t="s">
        <v>179</v>
      </c>
      <c r="I480" t="s">
        <v>63</v>
      </c>
      <c r="J480" t="s">
        <v>300</v>
      </c>
      <c r="K480" s="138">
        <v>86.21</v>
      </c>
      <c r="L480" s="137">
        <v>0</v>
      </c>
    </row>
    <row r="481" spans="7:12" x14ac:dyDescent="0.25">
      <c r="G481" s="136">
        <v>43280</v>
      </c>
      <c r="H481" t="s">
        <v>28</v>
      </c>
      <c r="I481" t="s">
        <v>163</v>
      </c>
      <c r="J481" t="s">
        <v>300</v>
      </c>
      <c r="K481" s="138">
        <v>22.75</v>
      </c>
      <c r="L481" s="137">
        <v>0</v>
      </c>
    </row>
    <row r="482" spans="7:12" x14ac:dyDescent="0.25">
      <c r="G482" s="136">
        <v>43280</v>
      </c>
      <c r="H482" t="s">
        <v>28</v>
      </c>
      <c r="I482" t="s">
        <v>163</v>
      </c>
      <c r="J482" t="s">
        <v>300</v>
      </c>
      <c r="K482" s="138">
        <v>22</v>
      </c>
      <c r="L482" s="137">
        <v>0</v>
      </c>
    </row>
    <row r="483" spans="7:12" x14ac:dyDescent="0.25">
      <c r="G483" s="136">
        <v>43280</v>
      </c>
      <c r="H483" t="s">
        <v>28</v>
      </c>
      <c r="I483" t="s">
        <v>66</v>
      </c>
      <c r="J483" t="s">
        <v>134</v>
      </c>
      <c r="K483" s="138">
        <v>4.5</v>
      </c>
      <c r="L483" s="137">
        <v>0</v>
      </c>
    </row>
    <row r="484" spans="7:12" x14ac:dyDescent="0.25">
      <c r="G484" s="136">
        <v>43280</v>
      </c>
      <c r="H484" t="s">
        <v>28</v>
      </c>
      <c r="I484" t="s">
        <v>66</v>
      </c>
      <c r="J484" t="s">
        <v>141</v>
      </c>
      <c r="K484" s="138">
        <v>3.7</v>
      </c>
      <c r="L484" s="137">
        <v>0</v>
      </c>
    </row>
    <row r="485" spans="7:12" x14ac:dyDescent="0.25">
      <c r="G485" s="136">
        <v>43280</v>
      </c>
      <c r="H485" t="s">
        <v>28</v>
      </c>
      <c r="I485" t="s">
        <v>66</v>
      </c>
      <c r="J485" t="s">
        <v>279</v>
      </c>
      <c r="K485" s="138">
        <v>2.25</v>
      </c>
      <c r="L485" s="137">
        <v>0</v>
      </c>
    </row>
    <row r="486" spans="7:12" x14ac:dyDescent="0.25">
      <c r="G486" s="136">
        <v>43280</v>
      </c>
      <c r="H486" t="s">
        <v>28</v>
      </c>
      <c r="I486" t="s">
        <v>66</v>
      </c>
      <c r="J486" t="s">
        <v>116</v>
      </c>
      <c r="K486" s="138">
        <v>2.9</v>
      </c>
      <c r="L486" s="137">
        <v>0</v>
      </c>
    </row>
    <row r="487" spans="7:12" x14ac:dyDescent="0.25">
      <c r="G487" s="136">
        <v>43281</v>
      </c>
      <c r="H487" t="s">
        <v>28</v>
      </c>
      <c r="I487" t="s">
        <v>66</v>
      </c>
      <c r="J487" t="s">
        <v>131</v>
      </c>
      <c r="K487" s="138">
        <v>1.8</v>
      </c>
      <c r="L487" s="137">
        <v>0</v>
      </c>
    </row>
    <row r="488" spans="7:12" x14ac:dyDescent="0.25">
      <c r="G488" s="136">
        <v>43281</v>
      </c>
      <c r="H488" t="s">
        <v>28</v>
      </c>
      <c r="I488" t="s">
        <v>66</v>
      </c>
      <c r="J488" t="s">
        <v>301</v>
      </c>
      <c r="K488" s="138">
        <v>7.3</v>
      </c>
      <c r="L488" s="137">
        <v>0</v>
      </c>
    </row>
    <row r="489" spans="7:12" x14ac:dyDescent="0.25">
      <c r="G489" s="136">
        <v>43283</v>
      </c>
      <c r="H489" t="s">
        <v>188</v>
      </c>
      <c r="I489" t="s">
        <v>112</v>
      </c>
      <c r="J489" t="s">
        <v>302</v>
      </c>
      <c r="K489" s="138">
        <v>52.7</v>
      </c>
      <c r="L489" s="137">
        <v>0</v>
      </c>
    </row>
    <row r="490" spans="7:12" x14ac:dyDescent="0.25">
      <c r="G490" s="136">
        <v>43283</v>
      </c>
      <c r="H490" t="s">
        <v>188</v>
      </c>
      <c r="I490" t="s">
        <v>175</v>
      </c>
      <c r="J490" t="s">
        <v>302</v>
      </c>
      <c r="K490" s="138">
        <v>91.13</v>
      </c>
      <c r="L490" s="137">
        <v>0</v>
      </c>
    </row>
    <row r="491" spans="7:12" x14ac:dyDescent="0.25">
      <c r="G491" s="136">
        <v>43283</v>
      </c>
      <c r="H491" t="s">
        <v>25</v>
      </c>
      <c r="I491" t="s">
        <v>63</v>
      </c>
      <c r="J491" t="s">
        <v>302</v>
      </c>
      <c r="K491" s="138">
        <v>16</v>
      </c>
      <c r="L491" s="137">
        <v>0</v>
      </c>
    </row>
    <row r="492" spans="7:12" x14ac:dyDescent="0.25">
      <c r="G492" s="136">
        <v>43283</v>
      </c>
      <c r="H492" t="s">
        <v>181</v>
      </c>
      <c r="I492" t="s">
        <v>42</v>
      </c>
      <c r="J492" t="s">
        <v>302</v>
      </c>
      <c r="K492" s="138">
        <v>323.38</v>
      </c>
      <c r="L492" s="137">
        <v>0</v>
      </c>
    </row>
    <row r="493" spans="7:12" x14ac:dyDescent="0.25">
      <c r="G493" s="136">
        <v>43283</v>
      </c>
      <c r="H493" t="s">
        <v>196</v>
      </c>
      <c r="I493" t="s">
        <v>112</v>
      </c>
      <c r="J493" t="s">
        <v>302</v>
      </c>
      <c r="K493" s="138">
        <v>19.649999999999999</v>
      </c>
      <c r="L493" s="137">
        <v>0</v>
      </c>
    </row>
    <row r="494" spans="7:12" x14ac:dyDescent="0.25">
      <c r="G494" s="136">
        <v>43283</v>
      </c>
      <c r="H494" t="s">
        <v>179</v>
      </c>
      <c r="I494" t="s">
        <v>112</v>
      </c>
      <c r="J494" t="s">
        <v>302</v>
      </c>
      <c r="K494" s="138">
        <v>42.98</v>
      </c>
      <c r="L494" s="137">
        <v>0</v>
      </c>
    </row>
    <row r="495" spans="7:12" x14ac:dyDescent="0.25">
      <c r="G495" s="136">
        <v>43283</v>
      </c>
      <c r="H495" t="s">
        <v>179</v>
      </c>
      <c r="I495" t="s">
        <v>155</v>
      </c>
      <c r="J495" t="s">
        <v>302</v>
      </c>
      <c r="K495" s="138">
        <v>12.64</v>
      </c>
      <c r="L495" s="137">
        <v>0</v>
      </c>
    </row>
    <row r="496" spans="7:12" x14ac:dyDescent="0.25">
      <c r="G496" s="136">
        <v>43283</v>
      </c>
      <c r="H496" t="s">
        <v>28</v>
      </c>
      <c r="I496" t="s">
        <v>112</v>
      </c>
      <c r="J496" t="s">
        <v>302</v>
      </c>
      <c r="K496" s="138">
        <v>96</v>
      </c>
      <c r="L496" s="137">
        <v>0</v>
      </c>
    </row>
    <row r="497" spans="7:12" x14ac:dyDescent="0.25">
      <c r="G497" s="136">
        <v>43283</v>
      </c>
      <c r="H497" t="s">
        <v>28</v>
      </c>
      <c r="I497" t="s">
        <v>112</v>
      </c>
      <c r="J497" t="s">
        <v>302</v>
      </c>
      <c r="K497" s="138">
        <v>14.25</v>
      </c>
      <c r="L497" s="137">
        <v>0</v>
      </c>
    </row>
    <row r="498" spans="7:12" x14ac:dyDescent="0.25">
      <c r="G498" s="136">
        <v>43283</v>
      </c>
      <c r="H498" t="s">
        <v>28</v>
      </c>
      <c r="I498" t="s">
        <v>155</v>
      </c>
      <c r="J498" t="s">
        <v>302</v>
      </c>
      <c r="K498" s="138">
        <v>154.26</v>
      </c>
      <c r="L498" s="137">
        <v>0</v>
      </c>
    </row>
    <row r="499" spans="7:12" x14ac:dyDescent="0.25">
      <c r="G499" s="136">
        <v>43283</v>
      </c>
      <c r="H499" t="s">
        <v>28</v>
      </c>
      <c r="I499" t="s">
        <v>155</v>
      </c>
      <c r="J499" t="s">
        <v>302</v>
      </c>
      <c r="K499" s="138">
        <v>86.47</v>
      </c>
      <c r="L499" s="137">
        <v>0</v>
      </c>
    </row>
    <row r="500" spans="7:12" x14ac:dyDescent="0.25">
      <c r="G500" s="136">
        <v>43283</v>
      </c>
      <c r="H500" t="s">
        <v>28</v>
      </c>
      <c r="I500" t="s">
        <v>155</v>
      </c>
      <c r="J500" t="s">
        <v>302</v>
      </c>
      <c r="K500" s="138">
        <v>60.26</v>
      </c>
      <c r="L500" s="137">
        <v>0</v>
      </c>
    </row>
    <row r="501" spans="7:12" x14ac:dyDescent="0.25">
      <c r="G501" s="136">
        <v>43283</v>
      </c>
      <c r="H501" t="s">
        <v>28</v>
      </c>
      <c r="I501" t="s">
        <v>155</v>
      </c>
      <c r="J501" t="s">
        <v>302</v>
      </c>
      <c r="K501" s="138">
        <v>52.26</v>
      </c>
      <c r="L501" s="137">
        <v>0</v>
      </c>
    </row>
    <row r="502" spans="7:12" x14ac:dyDescent="0.25">
      <c r="G502" s="136">
        <v>43283</v>
      </c>
      <c r="H502" t="s">
        <v>28</v>
      </c>
      <c r="I502" t="s">
        <v>155</v>
      </c>
      <c r="J502" t="s">
        <v>302</v>
      </c>
      <c r="K502" s="138">
        <v>48.05</v>
      </c>
      <c r="L502" s="137">
        <v>0</v>
      </c>
    </row>
    <row r="503" spans="7:12" x14ac:dyDescent="0.25">
      <c r="G503" s="136">
        <v>43283</v>
      </c>
      <c r="H503" t="s">
        <v>28</v>
      </c>
      <c r="I503" t="s">
        <v>155</v>
      </c>
      <c r="J503" t="s">
        <v>302</v>
      </c>
      <c r="K503" s="138">
        <v>45.4</v>
      </c>
      <c r="L503" s="137">
        <v>0</v>
      </c>
    </row>
    <row r="504" spans="7:12" x14ac:dyDescent="0.25">
      <c r="G504" s="136">
        <v>43283</v>
      </c>
      <c r="H504" t="s">
        <v>28</v>
      </c>
      <c r="I504" t="s">
        <v>155</v>
      </c>
      <c r="J504" t="s">
        <v>302</v>
      </c>
      <c r="K504" s="138">
        <v>36.950000000000003</v>
      </c>
      <c r="L504" s="137">
        <v>0</v>
      </c>
    </row>
    <row r="505" spans="7:12" x14ac:dyDescent="0.25">
      <c r="G505" s="136">
        <v>43283</v>
      </c>
      <c r="H505" t="s">
        <v>28</v>
      </c>
      <c r="I505" t="s">
        <v>155</v>
      </c>
      <c r="J505" t="s">
        <v>302</v>
      </c>
      <c r="K505" s="138">
        <v>35.39</v>
      </c>
      <c r="L505" s="137">
        <v>0</v>
      </c>
    </row>
    <row r="506" spans="7:12" x14ac:dyDescent="0.25">
      <c r="G506" s="136">
        <v>43283</v>
      </c>
      <c r="H506" t="s">
        <v>28</v>
      </c>
      <c r="I506" t="s">
        <v>155</v>
      </c>
      <c r="J506" t="s">
        <v>302</v>
      </c>
      <c r="K506" s="138">
        <v>33.090000000000003</v>
      </c>
      <c r="L506" s="137">
        <v>0</v>
      </c>
    </row>
    <row r="507" spans="7:12" x14ac:dyDescent="0.25">
      <c r="G507" s="136">
        <v>43283</v>
      </c>
      <c r="H507" t="s">
        <v>28</v>
      </c>
      <c r="I507" t="s">
        <v>155</v>
      </c>
      <c r="J507" t="s">
        <v>302</v>
      </c>
      <c r="K507" s="138">
        <v>32.9</v>
      </c>
      <c r="L507" s="137">
        <v>0</v>
      </c>
    </row>
    <row r="508" spans="7:12" x14ac:dyDescent="0.25">
      <c r="G508" s="136">
        <v>43283</v>
      </c>
      <c r="H508" t="s">
        <v>28</v>
      </c>
      <c r="I508" t="s">
        <v>155</v>
      </c>
      <c r="J508" t="s">
        <v>302</v>
      </c>
      <c r="K508" s="138">
        <v>23.96</v>
      </c>
      <c r="L508" s="137">
        <v>0</v>
      </c>
    </row>
    <row r="509" spans="7:12" x14ac:dyDescent="0.25">
      <c r="G509" s="136">
        <v>43283</v>
      </c>
      <c r="H509" t="s">
        <v>28</v>
      </c>
      <c r="I509" t="s">
        <v>66</v>
      </c>
      <c r="J509" t="s">
        <v>279</v>
      </c>
      <c r="K509" s="138">
        <v>18.399999999999999</v>
      </c>
      <c r="L509" s="137">
        <v>0</v>
      </c>
    </row>
    <row r="510" spans="7:12" x14ac:dyDescent="0.25">
      <c r="G510" s="136">
        <v>43283</v>
      </c>
      <c r="H510" t="s">
        <v>28</v>
      </c>
      <c r="I510" t="s">
        <v>66</v>
      </c>
      <c r="J510" t="s">
        <v>276</v>
      </c>
      <c r="K510" s="138">
        <v>3.6</v>
      </c>
      <c r="L510" s="137">
        <v>0</v>
      </c>
    </row>
    <row r="511" spans="7:12" x14ac:dyDescent="0.25">
      <c r="G511" s="136">
        <v>43284</v>
      </c>
      <c r="H511" t="s">
        <v>27</v>
      </c>
      <c r="I511" t="s">
        <v>63</v>
      </c>
      <c r="J511" t="s">
        <v>303</v>
      </c>
      <c r="K511" s="138">
        <v>16</v>
      </c>
      <c r="L511" s="137">
        <v>0</v>
      </c>
    </row>
    <row r="512" spans="7:12" x14ac:dyDescent="0.25">
      <c r="G512" s="136">
        <v>43284</v>
      </c>
      <c r="H512" t="s">
        <v>185</v>
      </c>
      <c r="I512" t="s">
        <v>163</v>
      </c>
      <c r="J512" t="s">
        <v>303</v>
      </c>
      <c r="K512" s="138">
        <v>131.24</v>
      </c>
      <c r="L512" s="137">
        <v>0</v>
      </c>
    </row>
    <row r="513" spans="7:12" x14ac:dyDescent="0.25">
      <c r="G513" s="136">
        <v>43284</v>
      </c>
      <c r="H513" t="s">
        <v>183</v>
      </c>
      <c r="I513" t="s">
        <v>171</v>
      </c>
      <c r="J513" t="s">
        <v>303</v>
      </c>
      <c r="K513" s="138">
        <v>2700</v>
      </c>
      <c r="L513" s="137">
        <v>0</v>
      </c>
    </row>
    <row r="514" spans="7:12" x14ac:dyDescent="0.25">
      <c r="G514" s="136">
        <v>43284</v>
      </c>
      <c r="H514" t="s">
        <v>189</v>
      </c>
      <c r="I514" t="s">
        <v>171</v>
      </c>
      <c r="J514" t="s">
        <v>303</v>
      </c>
      <c r="K514" s="138">
        <v>300</v>
      </c>
      <c r="L514" s="137">
        <v>0</v>
      </c>
    </row>
    <row r="515" spans="7:12" x14ac:dyDescent="0.25">
      <c r="G515" s="136">
        <v>43284</v>
      </c>
      <c r="H515" t="s">
        <v>193</v>
      </c>
      <c r="I515" t="s">
        <v>42</v>
      </c>
      <c r="J515" t="s">
        <v>303</v>
      </c>
      <c r="K515" s="138">
        <v>45.35</v>
      </c>
      <c r="L515" s="137">
        <v>0</v>
      </c>
    </row>
    <row r="516" spans="7:12" x14ac:dyDescent="0.25">
      <c r="G516" s="136">
        <v>43284</v>
      </c>
      <c r="H516" t="s">
        <v>188</v>
      </c>
      <c r="I516" t="s">
        <v>171</v>
      </c>
      <c r="J516" t="s">
        <v>303</v>
      </c>
      <c r="K516" s="138">
        <v>150</v>
      </c>
      <c r="L516" s="137">
        <v>0</v>
      </c>
    </row>
    <row r="517" spans="7:12" x14ac:dyDescent="0.25">
      <c r="G517" s="136">
        <v>43284</v>
      </c>
      <c r="H517" t="s">
        <v>25</v>
      </c>
      <c r="I517" t="s">
        <v>63</v>
      </c>
      <c r="J517" t="s">
        <v>303</v>
      </c>
      <c r="K517" s="138">
        <v>56</v>
      </c>
      <c r="L517" s="137">
        <v>0</v>
      </c>
    </row>
    <row r="518" spans="7:12" x14ac:dyDescent="0.25">
      <c r="G518" s="136">
        <v>43284</v>
      </c>
      <c r="H518" t="s">
        <v>25</v>
      </c>
      <c r="I518" t="s">
        <v>63</v>
      </c>
      <c r="J518" t="s">
        <v>303</v>
      </c>
      <c r="K518" s="138">
        <v>32</v>
      </c>
      <c r="L518" s="137">
        <v>0</v>
      </c>
    </row>
    <row r="519" spans="7:12" x14ac:dyDescent="0.25">
      <c r="G519" s="136">
        <v>43284</v>
      </c>
      <c r="H519" t="s">
        <v>25</v>
      </c>
      <c r="I519" t="s">
        <v>63</v>
      </c>
      <c r="J519" t="s">
        <v>303</v>
      </c>
      <c r="K519" s="138">
        <v>24</v>
      </c>
      <c r="L519" s="137">
        <v>0</v>
      </c>
    </row>
    <row r="520" spans="7:12" x14ac:dyDescent="0.25">
      <c r="G520" s="136">
        <v>43284</v>
      </c>
      <c r="H520" t="s">
        <v>25</v>
      </c>
      <c r="I520" t="s">
        <v>63</v>
      </c>
      <c r="J520" t="s">
        <v>303</v>
      </c>
      <c r="K520" s="138">
        <v>16</v>
      </c>
      <c r="L520" s="137">
        <v>0</v>
      </c>
    </row>
    <row r="521" spans="7:12" x14ac:dyDescent="0.25">
      <c r="G521" s="136">
        <v>43284</v>
      </c>
      <c r="H521" t="s">
        <v>25</v>
      </c>
      <c r="I521" t="s">
        <v>63</v>
      </c>
      <c r="J521" t="s">
        <v>303</v>
      </c>
      <c r="K521" s="138">
        <v>8</v>
      </c>
      <c r="L521" s="137">
        <v>0</v>
      </c>
    </row>
    <row r="522" spans="7:12" x14ac:dyDescent="0.25">
      <c r="G522" s="136">
        <v>43284</v>
      </c>
      <c r="H522" t="s">
        <v>201</v>
      </c>
      <c r="I522" t="s">
        <v>42</v>
      </c>
      <c r="J522" t="s">
        <v>303</v>
      </c>
      <c r="K522" s="138">
        <v>9.0500000000000007</v>
      </c>
      <c r="L522" s="137">
        <v>0</v>
      </c>
    </row>
    <row r="523" spans="7:12" x14ac:dyDescent="0.25">
      <c r="G523" s="136">
        <v>43284</v>
      </c>
      <c r="H523" t="s">
        <v>182</v>
      </c>
      <c r="I523" t="s">
        <v>42</v>
      </c>
      <c r="J523" t="s">
        <v>303</v>
      </c>
      <c r="K523" s="138">
        <v>77.8</v>
      </c>
      <c r="L523" s="137">
        <v>0</v>
      </c>
    </row>
    <row r="524" spans="7:12" x14ac:dyDescent="0.25">
      <c r="G524" s="136">
        <v>43284</v>
      </c>
      <c r="H524" t="s">
        <v>187</v>
      </c>
      <c r="I524" t="s">
        <v>42</v>
      </c>
      <c r="J524" t="s">
        <v>303</v>
      </c>
      <c r="K524" s="138">
        <v>107</v>
      </c>
      <c r="L524" s="137">
        <v>0</v>
      </c>
    </row>
    <row r="525" spans="7:12" x14ac:dyDescent="0.25">
      <c r="G525" s="136">
        <v>43284</v>
      </c>
      <c r="H525" t="s">
        <v>180</v>
      </c>
      <c r="I525" t="s">
        <v>63</v>
      </c>
      <c r="J525" t="s">
        <v>303</v>
      </c>
      <c r="K525" s="138">
        <v>51.31</v>
      </c>
      <c r="L525" s="137">
        <v>0</v>
      </c>
    </row>
    <row r="526" spans="7:12" x14ac:dyDescent="0.25">
      <c r="G526" s="136">
        <v>43284</v>
      </c>
      <c r="H526" t="s">
        <v>180</v>
      </c>
      <c r="I526" t="s">
        <v>42</v>
      </c>
      <c r="J526" t="s">
        <v>303</v>
      </c>
      <c r="K526" s="138">
        <v>14.6</v>
      </c>
      <c r="L526" s="137">
        <v>0</v>
      </c>
    </row>
    <row r="527" spans="7:12" x14ac:dyDescent="0.25">
      <c r="G527" s="136">
        <v>43284</v>
      </c>
      <c r="H527" t="s">
        <v>28</v>
      </c>
      <c r="I527" t="s">
        <v>66</v>
      </c>
      <c r="J527" t="s">
        <v>106</v>
      </c>
      <c r="K527" s="138">
        <v>6.85</v>
      </c>
      <c r="L527" s="137">
        <v>0</v>
      </c>
    </row>
    <row r="528" spans="7:12" x14ac:dyDescent="0.25">
      <c r="G528" s="136">
        <v>43284</v>
      </c>
      <c r="H528" t="s">
        <v>28</v>
      </c>
      <c r="I528" t="s">
        <v>66</v>
      </c>
      <c r="J528" t="s">
        <v>140</v>
      </c>
      <c r="K528" s="138">
        <v>19</v>
      </c>
      <c r="L528" s="137">
        <v>0</v>
      </c>
    </row>
    <row r="529" spans="7:12" x14ac:dyDescent="0.25">
      <c r="G529" s="136">
        <v>43285</v>
      </c>
      <c r="H529" t="s">
        <v>185</v>
      </c>
      <c r="I529" t="s">
        <v>163</v>
      </c>
      <c r="J529" t="s">
        <v>304</v>
      </c>
      <c r="K529" s="138">
        <v>118.45</v>
      </c>
      <c r="L529" s="137">
        <v>0</v>
      </c>
    </row>
    <row r="530" spans="7:12" x14ac:dyDescent="0.25">
      <c r="G530" s="136">
        <v>43285</v>
      </c>
      <c r="H530" t="s">
        <v>185</v>
      </c>
      <c r="I530" t="s">
        <v>155</v>
      </c>
      <c r="J530" t="s">
        <v>304</v>
      </c>
      <c r="K530" s="138">
        <v>0</v>
      </c>
      <c r="L530" s="137">
        <v>131.24</v>
      </c>
    </row>
    <row r="531" spans="7:12" x14ac:dyDescent="0.25">
      <c r="G531" s="136">
        <v>43285</v>
      </c>
      <c r="H531" t="s">
        <v>191</v>
      </c>
      <c r="I531" t="s">
        <v>42</v>
      </c>
      <c r="J531" t="s">
        <v>304</v>
      </c>
      <c r="K531" s="138">
        <v>70.7</v>
      </c>
      <c r="L531" s="137">
        <v>0</v>
      </c>
    </row>
    <row r="532" spans="7:12" x14ac:dyDescent="0.25">
      <c r="G532" s="136">
        <v>43285</v>
      </c>
      <c r="H532" t="s">
        <v>193</v>
      </c>
      <c r="I532" t="s">
        <v>176</v>
      </c>
      <c r="J532" t="s">
        <v>304</v>
      </c>
      <c r="K532" s="138">
        <v>1930.91</v>
      </c>
      <c r="L532" s="137">
        <v>0</v>
      </c>
    </row>
    <row r="533" spans="7:12" x14ac:dyDescent="0.25">
      <c r="G533" s="136">
        <v>43285</v>
      </c>
      <c r="H533" t="s">
        <v>25</v>
      </c>
      <c r="I533" t="s">
        <v>63</v>
      </c>
      <c r="J533" t="s">
        <v>304</v>
      </c>
      <c r="K533" s="138">
        <v>56</v>
      </c>
      <c r="L533" s="137">
        <v>0</v>
      </c>
    </row>
    <row r="534" spans="7:12" x14ac:dyDescent="0.25">
      <c r="G534" s="136">
        <v>43285</v>
      </c>
      <c r="H534" t="s">
        <v>25</v>
      </c>
      <c r="I534" t="s">
        <v>63</v>
      </c>
      <c r="J534" t="s">
        <v>304</v>
      </c>
      <c r="K534" s="138">
        <v>24</v>
      </c>
      <c r="L534" s="137">
        <v>0</v>
      </c>
    </row>
    <row r="535" spans="7:12" x14ac:dyDescent="0.25">
      <c r="G535" s="136">
        <v>43285</v>
      </c>
      <c r="H535" t="s">
        <v>25</v>
      </c>
      <c r="I535" t="s">
        <v>63</v>
      </c>
      <c r="J535" t="s">
        <v>304</v>
      </c>
      <c r="K535" s="138">
        <v>16</v>
      </c>
      <c r="L535" s="137">
        <v>0</v>
      </c>
    </row>
    <row r="536" spans="7:12" x14ac:dyDescent="0.25">
      <c r="G536" s="136">
        <v>43285</v>
      </c>
      <c r="H536" t="s">
        <v>25</v>
      </c>
      <c r="I536" t="s">
        <v>63</v>
      </c>
      <c r="J536" t="s">
        <v>304</v>
      </c>
      <c r="K536" s="138">
        <v>8</v>
      </c>
      <c r="L536" s="137">
        <v>0</v>
      </c>
    </row>
    <row r="537" spans="7:12" x14ac:dyDescent="0.25">
      <c r="G537" s="136">
        <v>43285</v>
      </c>
      <c r="H537" t="s">
        <v>182</v>
      </c>
      <c r="I537" t="s">
        <v>42</v>
      </c>
      <c r="J537" t="s">
        <v>304</v>
      </c>
      <c r="K537" s="138">
        <v>122.2</v>
      </c>
      <c r="L537" s="137">
        <v>0</v>
      </c>
    </row>
    <row r="538" spans="7:12" x14ac:dyDescent="0.25">
      <c r="G538" s="136">
        <v>43285</v>
      </c>
      <c r="H538" t="s">
        <v>179</v>
      </c>
      <c r="I538" t="s">
        <v>42</v>
      </c>
      <c r="J538" t="s">
        <v>304</v>
      </c>
      <c r="K538" s="138">
        <v>37.94</v>
      </c>
      <c r="L538" s="137">
        <v>0</v>
      </c>
    </row>
    <row r="539" spans="7:12" x14ac:dyDescent="0.25">
      <c r="G539" s="136">
        <v>43285</v>
      </c>
      <c r="H539" t="s">
        <v>28</v>
      </c>
      <c r="I539" t="s">
        <v>63</v>
      </c>
      <c r="J539" t="s">
        <v>304</v>
      </c>
      <c r="K539" s="138">
        <v>23.99</v>
      </c>
      <c r="L539" s="137">
        <v>0</v>
      </c>
    </row>
    <row r="540" spans="7:12" x14ac:dyDescent="0.25">
      <c r="G540" s="136">
        <v>43285</v>
      </c>
      <c r="H540" t="s">
        <v>28</v>
      </c>
      <c r="I540" t="s">
        <v>163</v>
      </c>
      <c r="J540" t="s">
        <v>304</v>
      </c>
      <c r="K540" s="138">
        <v>8.3800000000000008</v>
      </c>
      <c r="L540" s="137">
        <v>0</v>
      </c>
    </row>
    <row r="541" spans="7:12" x14ac:dyDescent="0.25">
      <c r="G541" s="136">
        <v>43285</v>
      </c>
      <c r="H541" t="s">
        <v>28</v>
      </c>
      <c r="I541" t="s">
        <v>112</v>
      </c>
      <c r="J541" t="s">
        <v>304</v>
      </c>
      <c r="K541" s="138">
        <v>30.85</v>
      </c>
      <c r="L541" s="137">
        <v>0</v>
      </c>
    </row>
    <row r="542" spans="7:12" x14ac:dyDescent="0.25">
      <c r="G542" s="136">
        <v>43285</v>
      </c>
      <c r="H542" t="s">
        <v>28</v>
      </c>
      <c r="I542" t="s">
        <v>112</v>
      </c>
      <c r="J542" t="s">
        <v>304</v>
      </c>
      <c r="K542" s="138">
        <v>27.98</v>
      </c>
      <c r="L542" s="137">
        <v>0</v>
      </c>
    </row>
    <row r="543" spans="7:12" x14ac:dyDescent="0.25">
      <c r="G543" s="136">
        <v>43285</v>
      </c>
      <c r="H543" t="s">
        <v>28</v>
      </c>
      <c r="I543" t="s">
        <v>112</v>
      </c>
      <c r="J543" t="s">
        <v>304</v>
      </c>
      <c r="K543" s="138">
        <v>25.8</v>
      </c>
      <c r="L543" s="137">
        <v>0</v>
      </c>
    </row>
    <row r="544" spans="7:12" x14ac:dyDescent="0.25">
      <c r="G544" s="136">
        <v>43285</v>
      </c>
      <c r="H544" t="s">
        <v>28</v>
      </c>
      <c r="I544" t="s">
        <v>112</v>
      </c>
      <c r="J544" t="s">
        <v>304</v>
      </c>
      <c r="K544" s="138">
        <v>9.5</v>
      </c>
      <c r="L544" s="137">
        <v>0</v>
      </c>
    </row>
    <row r="545" spans="7:12" x14ac:dyDescent="0.25">
      <c r="G545" s="136">
        <v>43285</v>
      </c>
      <c r="H545" t="s">
        <v>28</v>
      </c>
      <c r="I545" t="s">
        <v>155</v>
      </c>
      <c r="J545" t="s">
        <v>304</v>
      </c>
      <c r="K545" s="138">
        <v>58.95</v>
      </c>
      <c r="L545" s="137">
        <v>0</v>
      </c>
    </row>
    <row r="546" spans="7:12" x14ac:dyDescent="0.25">
      <c r="G546" s="136">
        <v>43285</v>
      </c>
      <c r="H546" t="s">
        <v>28</v>
      </c>
      <c r="I546" t="s">
        <v>155</v>
      </c>
      <c r="J546" t="s">
        <v>304</v>
      </c>
      <c r="K546" s="138">
        <v>28.77</v>
      </c>
      <c r="L546" s="137">
        <v>0</v>
      </c>
    </row>
    <row r="547" spans="7:12" x14ac:dyDescent="0.25">
      <c r="G547" s="136">
        <v>43285</v>
      </c>
      <c r="H547" t="s">
        <v>28</v>
      </c>
      <c r="I547" t="s">
        <v>66</v>
      </c>
      <c r="J547" t="s">
        <v>136</v>
      </c>
      <c r="K547" s="138">
        <v>3.15</v>
      </c>
      <c r="L547" s="137">
        <v>0</v>
      </c>
    </row>
    <row r="548" spans="7:12" x14ac:dyDescent="0.25">
      <c r="G548" s="136">
        <v>43285</v>
      </c>
      <c r="H548" t="s">
        <v>28</v>
      </c>
      <c r="I548" t="s">
        <v>66</v>
      </c>
      <c r="J548" t="s">
        <v>105</v>
      </c>
      <c r="K548" s="138">
        <v>15</v>
      </c>
      <c r="L548" s="137">
        <v>0</v>
      </c>
    </row>
    <row r="549" spans="7:12" x14ac:dyDescent="0.25">
      <c r="G549" s="136">
        <v>43285</v>
      </c>
      <c r="H549" t="s">
        <v>28</v>
      </c>
      <c r="I549" t="s">
        <v>66</v>
      </c>
      <c r="J549" t="s">
        <v>116</v>
      </c>
      <c r="K549" s="138">
        <v>2.9</v>
      </c>
      <c r="L549" s="137">
        <v>0</v>
      </c>
    </row>
    <row r="550" spans="7:12" x14ac:dyDescent="0.25">
      <c r="G550" s="136">
        <v>43286</v>
      </c>
      <c r="H550" t="s">
        <v>209</v>
      </c>
      <c r="I550" t="s">
        <v>163</v>
      </c>
      <c r="J550" t="s">
        <v>305</v>
      </c>
      <c r="K550" s="138">
        <v>25</v>
      </c>
      <c r="L550" s="137">
        <v>0</v>
      </c>
    </row>
    <row r="551" spans="7:12" x14ac:dyDescent="0.25">
      <c r="G551" s="136">
        <v>43286</v>
      </c>
      <c r="H551" t="s">
        <v>208</v>
      </c>
      <c r="I551" t="s">
        <v>63</v>
      </c>
      <c r="J551" t="s">
        <v>305</v>
      </c>
      <c r="K551" s="138">
        <v>490</v>
      </c>
      <c r="L551" s="137">
        <v>0</v>
      </c>
    </row>
    <row r="552" spans="7:12" x14ac:dyDescent="0.25">
      <c r="G552" s="136">
        <v>43286</v>
      </c>
      <c r="H552" t="s">
        <v>201</v>
      </c>
      <c r="I552" t="s">
        <v>171</v>
      </c>
      <c r="J552" t="s">
        <v>305</v>
      </c>
      <c r="K552" s="138">
        <v>356</v>
      </c>
      <c r="L552" s="137">
        <v>0</v>
      </c>
    </row>
    <row r="553" spans="7:12" x14ac:dyDescent="0.25">
      <c r="G553" s="136">
        <v>43286</v>
      </c>
      <c r="H553" t="s">
        <v>196</v>
      </c>
      <c r="I553" t="s">
        <v>171</v>
      </c>
      <c r="J553" t="s">
        <v>305</v>
      </c>
      <c r="K553" s="138">
        <v>67.430000000000007</v>
      </c>
      <c r="L553" s="137">
        <v>0</v>
      </c>
    </row>
    <row r="554" spans="7:12" x14ac:dyDescent="0.25">
      <c r="G554" s="136">
        <v>43286</v>
      </c>
      <c r="H554" t="s">
        <v>28</v>
      </c>
      <c r="I554" t="s">
        <v>66</v>
      </c>
      <c r="J554" t="s">
        <v>145</v>
      </c>
      <c r="K554" s="138">
        <v>4.5</v>
      </c>
      <c r="L554" s="137">
        <v>0</v>
      </c>
    </row>
    <row r="555" spans="7:12" x14ac:dyDescent="0.25">
      <c r="G555" s="136">
        <v>43287</v>
      </c>
      <c r="H555" t="s">
        <v>27</v>
      </c>
      <c r="I555" t="s">
        <v>63</v>
      </c>
      <c r="J555" t="s">
        <v>306</v>
      </c>
      <c r="K555" s="138">
        <v>8</v>
      </c>
      <c r="L555" s="137">
        <v>0</v>
      </c>
    </row>
    <row r="556" spans="7:12" x14ac:dyDescent="0.25">
      <c r="G556" s="136">
        <v>43287</v>
      </c>
      <c r="H556" t="s">
        <v>199</v>
      </c>
      <c r="I556" t="s">
        <v>63</v>
      </c>
      <c r="J556" t="s">
        <v>306</v>
      </c>
      <c r="K556" s="138">
        <v>32.049999999999997</v>
      </c>
      <c r="L556" s="137">
        <v>0</v>
      </c>
    </row>
    <row r="557" spans="7:12" x14ac:dyDescent="0.25">
      <c r="G557" s="136">
        <v>43287</v>
      </c>
      <c r="H557" t="s">
        <v>185</v>
      </c>
      <c r="I557" t="s">
        <v>171</v>
      </c>
      <c r="J557" t="s">
        <v>306</v>
      </c>
      <c r="K557" s="138">
        <v>43.49</v>
      </c>
      <c r="L557" s="137">
        <v>0</v>
      </c>
    </row>
    <row r="558" spans="7:12" x14ac:dyDescent="0.25">
      <c r="G558" s="136">
        <v>43287</v>
      </c>
      <c r="H558" t="s">
        <v>184</v>
      </c>
      <c r="I558" t="s">
        <v>42</v>
      </c>
      <c r="J558" t="s">
        <v>306</v>
      </c>
      <c r="K558" s="138">
        <v>156.66</v>
      </c>
      <c r="L558" s="137">
        <v>0</v>
      </c>
    </row>
    <row r="559" spans="7:12" x14ac:dyDescent="0.25">
      <c r="G559" s="136">
        <v>43287</v>
      </c>
      <c r="H559" t="s">
        <v>184</v>
      </c>
      <c r="I559" t="s">
        <v>171</v>
      </c>
      <c r="J559" t="s">
        <v>306</v>
      </c>
      <c r="K559" s="138">
        <v>217.6</v>
      </c>
      <c r="L559" s="137">
        <v>0</v>
      </c>
    </row>
    <row r="560" spans="7:12" x14ac:dyDescent="0.25">
      <c r="G560" s="136">
        <v>43287</v>
      </c>
      <c r="H560" t="s">
        <v>210</v>
      </c>
      <c r="I560" t="s">
        <v>163</v>
      </c>
      <c r="J560" t="s">
        <v>306</v>
      </c>
      <c r="K560" s="138">
        <v>52</v>
      </c>
      <c r="L560" s="137">
        <v>0</v>
      </c>
    </row>
    <row r="561" spans="7:12" x14ac:dyDescent="0.25">
      <c r="G561" s="136">
        <v>43287</v>
      </c>
      <c r="H561" t="s">
        <v>188</v>
      </c>
      <c r="I561" t="s">
        <v>42</v>
      </c>
      <c r="J561" t="s">
        <v>306</v>
      </c>
      <c r="K561" s="138">
        <v>62.7</v>
      </c>
      <c r="L561" s="137">
        <v>0</v>
      </c>
    </row>
    <row r="562" spans="7:12" x14ac:dyDescent="0.25">
      <c r="G562" s="136">
        <v>43287</v>
      </c>
      <c r="H562" t="s">
        <v>188</v>
      </c>
      <c r="I562" t="s">
        <v>171</v>
      </c>
      <c r="J562" t="s">
        <v>306</v>
      </c>
      <c r="K562" s="138">
        <v>185.5</v>
      </c>
      <c r="L562" s="137">
        <v>0</v>
      </c>
    </row>
    <row r="563" spans="7:12" x14ac:dyDescent="0.25">
      <c r="G563" s="136">
        <v>43287</v>
      </c>
      <c r="H563" t="s">
        <v>25</v>
      </c>
      <c r="I563" t="s">
        <v>63</v>
      </c>
      <c r="J563" t="s">
        <v>306</v>
      </c>
      <c r="K563" s="138">
        <v>80</v>
      </c>
      <c r="L563" s="137">
        <v>0</v>
      </c>
    </row>
    <row r="564" spans="7:12" x14ac:dyDescent="0.25">
      <c r="G564" s="136">
        <v>43287</v>
      </c>
      <c r="H564" t="s">
        <v>25</v>
      </c>
      <c r="I564" t="s">
        <v>63</v>
      </c>
      <c r="J564" t="s">
        <v>306</v>
      </c>
      <c r="K564" s="138">
        <v>48</v>
      </c>
      <c r="L564" s="137">
        <v>0</v>
      </c>
    </row>
    <row r="565" spans="7:12" x14ac:dyDescent="0.25">
      <c r="G565" s="136">
        <v>43287</v>
      </c>
      <c r="H565" t="s">
        <v>25</v>
      </c>
      <c r="I565" t="s">
        <v>63</v>
      </c>
      <c r="J565" t="s">
        <v>306</v>
      </c>
      <c r="K565" s="138">
        <v>24</v>
      </c>
      <c r="L565" s="137">
        <v>0</v>
      </c>
    </row>
    <row r="566" spans="7:12" x14ac:dyDescent="0.25">
      <c r="G566" s="136">
        <v>43287</v>
      </c>
      <c r="H566" t="s">
        <v>25</v>
      </c>
      <c r="I566" t="s">
        <v>63</v>
      </c>
      <c r="J566" t="s">
        <v>306</v>
      </c>
      <c r="K566" s="138">
        <v>16</v>
      </c>
      <c r="L566" s="137">
        <v>0</v>
      </c>
    </row>
    <row r="567" spans="7:12" x14ac:dyDescent="0.25">
      <c r="G567" s="136">
        <v>43287</v>
      </c>
      <c r="H567" t="s">
        <v>25</v>
      </c>
      <c r="I567" t="s">
        <v>63</v>
      </c>
      <c r="J567" t="s">
        <v>306</v>
      </c>
      <c r="K567" s="138">
        <v>8</v>
      </c>
      <c r="L567" s="137">
        <v>0</v>
      </c>
    </row>
    <row r="568" spans="7:12" x14ac:dyDescent="0.25">
      <c r="G568" s="136">
        <v>43287</v>
      </c>
      <c r="H568" t="s">
        <v>25</v>
      </c>
      <c r="I568" t="s">
        <v>42</v>
      </c>
      <c r="J568" t="s">
        <v>306</v>
      </c>
      <c r="K568" s="138">
        <v>147.9</v>
      </c>
      <c r="L568" s="137">
        <v>0</v>
      </c>
    </row>
    <row r="569" spans="7:12" x14ac:dyDescent="0.25">
      <c r="G569" s="136">
        <v>43287</v>
      </c>
      <c r="H569" t="s">
        <v>201</v>
      </c>
      <c r="I569" t="s">
        <v>63</v>
      </c>
      <c r="J569" t="s">
        <v>306</v>
      </c>
      <c r="K569" s="138">
        <v>8.9</v>
      </c>
      <c r="L569" s="137">
        <v>0</v>
      </c>
    </row>
    <row r="570" spans="7:12" x14ac:dyDescent="0.25">
      <c r="G570" s="136">
        <v>43287</v>
      </c>
      <c r="H570" t="s">
        <v>201</v>
      </c>
      <c r="I570" t="s">
        <v>42</v>
      </c>
      <c r="J570" t="s">
        <v>306</v>
      </c>
      <c r="K570" s="138">
        <v>12.84</v>
      </c>
      <c r="L570" s="137">
        <v>0</v>
      </c>
    </row>
    <row r="571" spans="7:12" x14ac:dyDescent="0.25">
      <c r="G571" s="136">
        <v>43287</v>
      </c>
      <c r="H571" t="s">
        <v>181</v>
      </c>
      <c r="I571" t="s">
        <v>42</v>
      </c>
      <c r="J571" t="s">
        <v>306</v>
      </c>
      <c r="K571" s="138">
        <v>54.4</v>
      </c>
      <c r="L571" s="137">
        <v>0</v>
      </c>
    </row>
    <row r="572" spans="7:12" x14ac:dyDescent="0.25">
      <c r="G572" s="136">
        <v>43287</v>
      </c>
      <c r="H572" t="s">
        <v>180</v>
      </c>
      <c r="I572" t="s">
        <v>42</v>
      </c>
      <c r="J572" t="s">
        <v>306</v>
      </c>
      <c r="K572" s="138">
        <v>19.239999999999998</v>
      </c>
      <c r="L572" s="137">
        <v>0</v>
      </c>
    </row>
    <row r="573" spans="7:12" x14ac:dyDescent="0.25">
      <c r="G573" s="136">
        <v>43287</v>
      </c>
      <c r="H573" t="s">
        <v>28</v>
      </c>
      <c r="I573" t="s">
        <v>63</v>
      </c>
      <c r="J573" t="s">
        <v>306</v>
      </c>
      <c r="K573" s="138">
        <v>8</v>
      </c>
      <c r="L573" s="137">
        <v>0</v>
      </c>
    </row>
    <row r="574" spans="7:12" x14ac:dyDescent="0.25">
      <c r="G574" s="136">
        <v>43287</v>
      </c>
      <c r="H574" t="s">
        <v>28</v>
      </c>
      <c r="I574" t="s">
        <v>163</v>
      </c>
      <c r="J574" t="s">
        <v>306</v>
      </c>
      <c r="K574" s="138">
        <v>47.95</v>
      </c>
      <c r="L574" s="137">
        <v>0</v>
      </c>
    </row>
    <row r="575" spans="7:12" x14ac:dyDescent="0.25">
      <c r="G575" s="136">
        <v>43287</v>
      </c>
      <c r="H575" t="s">
        <v>28</v>
      </c>
      <c r="I575" t="s">
        <v>163</v>
      </c>
      <c r="J575" t="s">
        <v>306</v>
      </c>
      <c r="K575" s="138">
        <v>16.850000000000001</v>
      </c>
      <c r="L575" s="137">
        <v>0</v>
      </c>
    </row>
    <row r="576" spans="7:12" x14ac:dyDescent="0.25">
      <c r="G576" s="136">
        <v>43287</v>
      </c>
      <c r="H576" t="s">
        <v>28</v>
      </c>
      <c r="I576" t="s">
        <v>66</v>
      </c>
      <c r="J576" t="s">
        <v>128</v>
      </c>
      <c r="K576" s="138">
        <v>7.35</v>
      </c>
      <c r="L576" s="137">
        <v>0</v>
      </c>
    </row>
    <row r="577" spans="7:12" x14ac:dyDescent="0.25">
      <c r="G577" s="136">
        <v>43287</v>
      </c>
      <c r="H577" t="s">
        <v>28</v>
      </c>
      <c r="I577" t="s">
        <v>66</v>
      </c>
      <c r="J577" t="s">
        <v>101</v>
      </c>
      <c r="K577" s="138">
        <v>9.1999999999999993</v>
      </c>
      <c r="L577" s="137">
        <v>0</v>
      </c>
    </row>
    <row r="578" spans="7:12" x14ac:dyDescent="0.25">
      <c r="G578" s="136">
        <v>43287</v>
      </c>
      <c r="H578" t="s">
        <v>28</v>
      </c>
      <c r="I578" t="s">
        <v>66</v>
      </c>
      <c r="J578" t="s">
        <v>131</v>
      </c>
      <c r="K578" s="138">
        <v>2.4</v>
      </c>
      <c r="L578" s="137">
        <v>0</v>
      </c>
    </row>
    <row r="579" spans="7:12" x14ac:dyDescent="0.25">
      <c r="G579" s="136">
        <v>43287</v>
      </c>
      <c r="H579" t="s">
        <v>28</v>
      </c>
      <c r="I579" t="s">
        <v>66</v>
      </c>
      <c r="J579" t="s">
        <v>137</v>
      </c>
      <c r="K579" s="138">
        <v>1.8</v>
      </c>
      <c r="L579" s="137">
        <v>0</v>
      </c>
    </row>
    <row r="580" spans="7:12" x14ac:dyDescent="0.25">
      <c r="G580" s="136">
        <v>43287</v>
      </c>
      <c r="H580" t="s">
        <v>28</v>
      </c>
      <c r="I580" t="s">
        <v>66</v>
      </c>
      <c r="J580" t="s">
        <v>145</v>
      </c>
      <c r="K580" s="138">
        <v>4.5</v>
      </c>
      <c r="L580" s="137">
        <v>0</v>
      </c>
    </row>
    <row r="581" spans="7:12" x14ac:dyDescent="0.25">
      <c r="G581" s="136">
        <v>43287</v>
      </c>
      <c r="H581" t="s">
        <v>28</v>
      </c>
      <c r="I581" t="s">
        <v>66</v>
      </c>
      <c r="J581" t="s">
        <v>132</v>
      </c>
      <c r="K581" s="138">
        <v>5.9</v>
      </c>
      <c r="L581" s="137">
        <v>0</v>
      </c>
    </row>
    <row r="582" spans="7:12" x14ac:dyDescent="0.25">
      <c r="G582" s="136">
        <v>43290</v>
      </c>
      <c r="H582" t="s">
        <v>192</v>
      </c>
      <c r="I582" t="s">
        <v>63</v>
      </c>
      <c r="J582" t="s">
        <v>307</v>
      </c>
      <c r="K582" s="138">
        <v>9.1300000000000008</v>
      </c>
      <c r="L582" s="137">
        <v>0</v>
      </c>
    </row>
    <row r="583" spans="7:12" x14ac:dyDescent="0.25">
      <c r="G583" s="136">
        <v>43290</v>
      </c>
      <c r="H583" t="s">
        <v>192</v>
      </c>
      <c r="I583" t="s">
        <v>163</v>
      </c>
      <c r="J583" t="s">
        <v>307</v>
      </c>
      <c r="K583" s="138">
        <v>53.93</v>
      </c>
      <c r="L583" s="137">
        <v>0</v>
      </c>
    </row>
    <row r="584" spans="7:12" x14ac:dyDescent="0.25">
      <c r="G584" s="136">
        <v>43290</v>
      </c>
      <c r="H584" t="s">
        <v>27</v>
      </c>
      <c r="I584" t="s">
        <v>63</v>
      </c>
      <c r="J584" t="s">
        <v>307</v>
      </c>
      <c r="K584" s="138">
        <v>24</v>
      </c>
      <c r="L584" s="137">
        <v>0</v>
      </c>
    </row>
    <row r="585" spans="7:12" x14ac:dyDescent="0.25">
      <c r="G585" s="136">
        <v>43290</v>
      </c>
      <c r="H585" t="s">
        <v>27</v>
      </c>
      <c r="I585" t="s">
        <v>63</v>
      </c>
      <c r="J585" t="s">
        <v>307</v>
      </c>
      <c r="K585" s="138">
        <v>16</v>
      </c>
      <c r="L585" s="137">
        <v>0</v>
      </c>
    </row>
    <row r="586" spans="7:12" x14ac:dyDescent="0.25">
      <c r="G586" s="136">
        <v>43290</v>
      </c>
      <c r="H586" t="s">
        <v>183</v>
      </c>
      <c r="I586" t="s">
        <v>42</v>
      </c>
      <c r="J586" t="s">
        <v>307</v>
      </c>
      <c r="K586" s="138">
        <v>26.64</v>
      </c>
      <c r="L586" s="137">
        <v>0</v>
      </c>
    </row>
    <row r="587" spans="7:12" x14ac:dyDescent="0.25">
      <c r="G587" s="136">
        <v>43290</v>
      </c>
      <c r="H587" t="s">
        <v>189</v>
      </c>
      <c r="I587" t="s">
        <v>176</v>
      </c>
      <c r="J587" t="s">
        <v>307</v>
      </c>
      <c r="K587" s="138">
        <v>114.23</v>
      </c>
      <c r="L587" s="137">
        <v>0</v>
      </c>
    </row>
    <row r="588" spans="7:12" x14ac:dyDescent="0.25">
      <c r="G588" s="136">
        <v>43290</v>
      </c>
      <c r="H588" t="s">
        <v>191</v>
      </c>
      <c r="I588" t="s">
        <v>42</v>
      </c>
      <c r="J588" t="s">
        <v>307</v>
      </c>
      <c r="K588" s="138">
        <v>29.5</v>
      </c>
      <c r="L588" s="137">
        <v>0</v>
      </c>
    </row>
    <row r="589" spans="7:12" x14ac:dyDescent="0.25">
      <c r="G589" s="136">
        <v>43290</v>
      </c>
      <c r="H589" t="s">
        <v>193</v>
      </c>
      <c r="I589" t="s">
        <v>42</v>
      </c>
      <c r="J589" t="s">
        <v>307</v>
      </c>
      <c r="K589" s="138">
        <v>14.1</v>
      </c>
      <c r="L589" s="137">
        <v>0</v>
      </c>
    </row>
    <row r="590" spans="7:12" x14ac:dyDescent="0.25">
      <c r="G590" s="136">
        <v>43290</v>
      </c>
      <c r="H590" t="s">
        <v>25</v>
      </c>
      <c r="I590" t="s">
        <v>63</v>
      </c>
      <c r="J590" t="s">
        <v>307</v>
      </c>
      <c r="K590" s="138">
        <v>72</v>
      </c>
      <c r="L590" s="137">
        <v>0</v>
      </c>
    </row>
    <row r="591" spans="7:12" x14ac:dyDescent="0.25">
      <c r="G591" s="136">
        <v>43290</v>
      </c>
      <c r="H591" t="s">
        <v>25</v>
      </c>
      <c r="I591" t="s">
        <v>63</v>
      </c>
      <c r="J591" t="s">
        <v>307</v>
      </c>
      <c r="K591" s="138">
        <v>24</v>
      </c>
      <c r="L591" s="137">
        <v>0</v>
      </c>
    </row>
    <row r="592" spans="7:12" x14ac:dyDescent="0.25">
      <c r="G592" s="136">
        <v>43290</v>
      </c>
      <c r="H592" t="s">
        <v>25</v>
      </c>
      <c r="I592" t="s">
        <v>63</v>
      </c>
      <c r="J592" t="s">
        <v>307</v>
      </c>
      <c r="K592" s="138">
        <v>16</v>
      </c>
      <c r="L592" s="137">
        <v>0</v>
      </c>
    </row>
    <row r="593" spans="7:12" x14ac:dyDescent="0.25">
      <c r="G593" s="136">
        <v>43290</v>
      </c>
      <c r="H593" t="s">
        <v>25</v>
      </c>
      <c r="I593" t="s">
        <v>63</v>
      </c>
      <c r="J593" t="s">
        <v>307</v>
      </c>
      <c r="K593" s="138">
        <v>8</v>
      </c>
      <c r="L593" s="137">
        <v>0</v>
      </c>
    </row>
    <row r="594" spans="7:12" x14ac:dyDescent="0.25">
      <c r="G594" s="136">
        <v>43290</v>
      </c>
      <c r="H594" t="s">
        <v>201</v>
      </c>
      <c r="I594" t="s">
        <v>42</v>
      </c>
      <c r="J594" t="s">
        <v>307</v>
      </c>
      <c r="K594" s="138">
        <v>17.09</v>
      </c>
      <c r="L594" s="137">
        <v>0</v>
      </c>
    </row>
    <row r="595" spans="7:12" x14ac:dyDescent="0.25">
      <c r="G595" s="136">
        <v>43290</v>
      </c>
      <c r="H595" t="s">
        <v>187</v>
      </c>
      <c r="I595" t="s">
        <v>42</v>
      </c>
      <c r="J595" t="s">
        <v>307</v>
      </c>
      <c r="K595" s="138">
        <v>44.15</v>
      </c>
      <c r="L595" s="137">
        <v>0</v>
      </c>
    </row>
    <row r="596" spans="7:12" x14ac:dyDescent="0.25">
      <c r="G596" s="136">
        <v>43290</v>
      </c>
      <c r="H596" t="s">
        <v>196</v>
      </c>
      <c r="I596" t="s">
        <v>42</v>
      </c>
      <c r="J596" t="s">
        <v>307</v>
      </c>
      <c r="K596" s="138">
        <v>125</v>
      </c>
      <c r="L596" s="137">
        <v>0</v>
      </c>
    </row>
    <row r="597" spans="7:12" x14ac:dyDescent="0.25">
      <c r="G597" s="136">
        <v>43290</v>
      </c>
      <c r="H597" t="s">
        <v>206</v>
      </c>
      <c r="I597" t="s">
        <v>176</v>
      </c>
      <c r="J597" t="s">
        <v>307</v>
      </c>
      <c r="K597" s="138">
        <v>0</v>
      </c>
      <c r="L597" s="137">
        <v>114.23</v>
      </c>
    </row>
    <row r="598" spans="7:12" x14ac:dyDescent="0.25">
      <c r="G598" s="136">
        <v>43290</v>
      </c>
      <c r="H598" t="s">
        <v>28</v>
      </c>
      <c r="I598" t="s">
        <v>163</v>
      </c>
      <c r="J598" t="s">
        <v>307</v>
      </c>
      <c r="K598" s="138">
        <v>9.3000000000000007</v>
      </c>
      <c r="L598" s="137">
        <v>0</v>
      </c>
    </row>
    <row r="599" spans="7:12" x14ac:dyDescent="0.25">
      <c r="G599" s="136">
        <v>43290</v>
      </c>
      <c r="H599" t="s">
        <v>28</v>
      </c>
      <c r="I599" t="s">
        <v>66</v>
      </c>
      <c r="J599" t="s">
        <v>101</v>
      </c>
      <c r="K599" s="138">
        <v>2.4</v>
      </c>
      <c r="L599" s="137">
        <v>0</v>
      </c>
    </row>
    <row r="600" spans="7:12" x14ac:dyDescent="0.25">
      <c r="G600" s="136">
        <v>43290</v>
      </c>
      <c r="H600" t="s">
        <v>28</v>
      </c>
      <c r="I600" t="s">
        <v>66</v>
      </c>
      <c r="J600" t="s">
        <v>276</v>
      </c>
      <c r="K600" s="138">
        <v>3</v>
      </c>
      <c r="L600" s="137">
        <v>0</v>
      </c>
    </row>
    <row r="601" spans="7:12" x14ac:dyDescent="0.25">
      <c r="G601" s="136">
        <v>43291</v>
      </c>
      <c r="H601" t="s">
        <v>27</v>
      </c>
      <c r="I601" t="s">
        <v>220</v>
      </c>
      <c r="J601" t="s">
        <v>308</v>
      </c>
      <c r="K601" s="138">
        <v>190.33</v>
      </c>
      <c r="L601" s="137">
        <v>0</v>
      </c>
    </row>
    <row r="602" spans="7:12" x14ac:dyDescent="0.25">
      <c r="G602" s="136">
        <v>43291</v>
      </c>
      <c r="H602" t="s">
        <v>27</v>
      </c>
      <c r="I602" t="s">
        <v>220</v>
      </c>
      <c r="J602" t="s">
        <v>308</v>
      </c>
      <c r="K602" s="138">
        <v>154.03</v>
      </c>
      <c r="L602" s="137">
        <v>0</v>
      </c>
    </row>
    <row r="603" spans="7:12" x14ac:dyDescent="0.25">
      <c r="G603" s="136">
        <v>43291</v>
      </c>
      <c r="H603" t="s">
        <v>27</v>
      </c>
      <c r="I603" t="s">
        <v>220</v>
      </c>
      <c r="J603" t="s">
        <v>308</v>
      </c>
      <c r="K603" s="138">
        <v>148.30000000000001</v>
      </c>
      <c r="L603" s="137">
        <v>0</v>
      </c>
    </row>
    <row r="604" spans="7:12" x14ac:dyDescent="0.25">
      <c r="G604" s="136">
        <v>43291</v>
      </c>
      <c r="H604" t="s">
        <v>27</v>
      </c>
      <c r="I604" t="s">
        <v>220</v>
      </c>
      <c r="J604" t="s">
        <v>308</v>
      </c>
      <c r="K604" s="138">
        <v>112.18</v>
      </c>
      <c r="L604" s="137">
        <v>0</v>
      </c>
    </row>
    <row r="605" spans="7:12" x14ac:dyDescent="0.25">
      <c r="G605" s="136">
        <v>43291</v>
      </c>
      <c r="H605" t="s">
        <v>27</v>
      </c>
      <c r="I605" t="s">
        <v>220</v>
      </c>
      <c r="J605" t="s">
        <v>308</v>
      </c>
      <c r="K605" s="138">
        <v>80.14</v>
      </c>
      <c r="L605" s="137">
        <v>0</v>
      </c>
    </row>
    <row r="606" spans="7:12" x14ac:dyDescent="0.25">
      <c r="G606" s="136">
        <v>43291</v>
      </c>
      <c r="H606" t="s">
        <v>27</v>
      </c>
      <c r="I606" t="s">
        <v>220</v>
      </c>
      <c r="J606" t="s">
        <v>308</v>
      </c>
      <c r="K606" s="138">
        <v>45.96</v>
      </c>
      <c r="L606" s="137">
        <v>0</v>
      </c>
    </row>
    <row r="607" spans="7:12" x14ac:dyDescent="0.25">
      <c r="G607" s="136">
        <v>43291</v>
      </c>
      <c r="H607" t="s">
        <v>27</v>
      </c>
      <c r="I607" t="s">
        <v>220</v>
      </c>
      <c r="J607" t="s">
        <v>308</v>
      </c>
      <c r="K607" s="138">
        <v>31.42</v>
      </c>
      <c r="L607" s="137">
        <v>0</v>
      </c>
    </row>
    <row r="608" spans="7:12" x14ac:dyDescent="0.25">
      <c r="G608" s="136">
        <v>43291</v>
      </c>
      <c r="H608" t="s">
        <v>27</v>
      </c>
      <c r="I608" t="s">
        <v>220</v>
      </c>
      <c r="J608" t="s">
        <v>308</v>
      </c>
      <c r="K608" s="138">
        <v>30.44</v>
      </c>
      <c r="L608" s="137">
        <v>0</v>
      </c>
    </row>
    <row r="609" spans="7:12" x14ac:dyDescent="0.25">
      <c r="G609" s="136">
        <v>43291</v>
      </c>
      <c r="H609" t="s">
        <v>27</v>
      </c>
      <c r="I609" t="s">
        <v>220</v>
      </c>
      <c r="J609" t="s">
        <v>308</v>
      </c>
      <c r="K609" s="138">
        <v>29.74</v>
      </c>
      <c r="L609" s="137">
        <v>0</v>
      </c>
    </row>
    <row r="610" spans="7:12" x14ac:dyDescent="0.25">
      <c r="G610" s="136">
        <v>43291</v>
      </c>
      <c r="H610" t="s">
        <v>27</v>
      </c>
      <c r="I610" t="s">
        <v>220</v>
      </c>
      <c r="J610" t="s">
        <v>308</v>
      </c>
      <c r="K610" s="138">
        <v>24.92</v>
      </c>
      <c r="L610" s="137">
        <v>0</v>
      </c>
    </row>
    <row r="611" spans="7:12" x14ac:dyDescent="0.25">
      <c r="G611" s="136">
        <v>43291</v>
      </c>
      <c r="H611" t="s">
        <v>27</v>
      </c>
      <c r="I611" t="s">
        <v>220</v>
      </c>
      <c r="J611" t="s">
        <v>308</v>
      </c>
      <c r="K611" s="138">
        <v>14.06</v>
      </c>
      <c r="L611" s="137">
        <v>0</v>
      </c>
    </row>
    <row r="612" spans="7:12" x14ac:dyDescent="0.25">
      <c r="G612" s="136">
        <v>43291</v>
      </c>
      <c r="H612" t="s">
        <v>27</v>
      </c>
      <c r="I612" t="s">
        <v>220</v>
      </c>
      <c r="J612" t="s">
        <v>308</v>
      </c>
      <c r="K612" s="138">
        <v>7.36</v>
      </c>
      <c r="L612" s="137">
        <v>0</v>
      </c>
    </row>
    <row r="613" spans="7:12" x14ac:dyDescent="0.25">
      <c r="G613" s="136">
        <v>43291</v>
      </c>
      <c r="H613" t="s">
        <v>195</v>
      </c>
      <c r="I613" t="s">
        <v>220</v>
      </c>
      <c r="J613" t="s">
        <v>308</v>
      </c>
      <c r="K613" s="138">
        <v>144.66999999999999</v>
      </c>
      <c r="L613" s="137">
        <v>0</v>
      </c>
    </row>
    <row r="614" spans="7:12" x14ac:dyDescent="0.25">
      <c r="G614" s="136">
        <v>43291</v>
      </c>
      <c r="H614" t="s">
        <v>183</v>
      </c>
      <c r="I614" t="s">
        <v>220</v>
      </c>
      <c r="J614" t="s">
        <v>308</v>
      </c>
      <c r="K614" s="138">
        <v>2715.03</v>
      </c>
      <c r="L614" s="137">
        <v>0</v>
      </c>
    </row>
    <row r="615" spans="7:12" x14ac:dyDescent="0.25">
      <c r="G615" s="136">
        <v>43291</v>
      </c>
      <c r="H615" t="s">
        <v>183</v>
      </c>
      <c r="I615" t="s">
        <v>175</v>
      </c>
      <c r="J615" t="s">
        <v>309</v>
      </c>
      <c r="K615" s="138">
        <v>75</v>
      </c>
      <c r="L615" s="137">
        <v>0</v>
      </c>
    </row>
    <row r="616" spans="7:12" x14ac:dyDescent="0.25">
      <c r="G616" s="136">
        <v>43291</v>
      </c>
      <c r="H616" t="s">
        <v>189</v>
      </c>
      <c r="I616" t="s">
        <v>220</v>
      </c>
      <c r="J616" t="s">
        <v>308</v>
      </c>
      <c r="K616" s="138">
        <v>52.88</v>
      </c>
      <c r="L616" s="137">
        <v>0</v>
      </c>
    </row>
    <row r="617" spans="7:12" x14ac:dyDescent="0.25">
      <c r="G617" s="136">
        <v>43291</v>
      </c>
      <c r="H617" t="s">
        <v>193</v>
      </c>
      <c r="I617" t="s">
        <v>220</v>
      </c>
      <c r="J617" t="s">
        <v>308</v>
      </c>
      <c r="K617" s="138">
        <v>43.71</v>
      </c>
      <c r="L617" s="137">
        <v>0</v>
      </c>
    </row>
    <row r="618" spans="7:12" x14ac:dyDescent="0.25">
      <c r="G618" s="136">
        <v>43291</v>
      </c>
      <c r="H618" t="s">
        <v>25</v>
      </c>
      <c r="I618" t="s">
        <v>220</v>
      </c>
      <c r="J618" t="s">
        <v>308</v>
      </c>
      <c r="K618" s="138">
        <v>1749.39</v>
      </c>
      <c r="L618" s="137">
        <v>0</v>
      </c>
    </row>
    <row r="619" spans="7:12" x14ac:dyDescent="0.25">
      <c r="G619" s="136">
        <v>43291</v>
      </c>
      <c r="H619" t="s">
        <v>25</v>
      </c>
      <c r="I619" t="s">
        <v>220</v>
      </c>
      <c r="J619" t="s">
        <v>308</v>
      </c>
      <c r="K619" s="138">
        <v>873.47</v>
      </c>
      <c r="L619" s="137">
        <v>0</v>
      </c>
    </row>
    <row r="620" spans="7:12" x14ac:dyDescent="0.25">
      <c r="G620" s="136">
        <v>43291</v>
      </c>
      <c r="H620" t="s">
        <v>25</v>
      </c>
      <c r="I620" t="s">
        <v>220</v>
      </c>
      <c r="J620" t="s">
        <v>308</v>
      </c>
      <c r="K620" s="138">
        <v>717.88</v>
      </c>
      <c r="L620" s="137">
        <v>0</v>
      </c>
    </row>
    <row r="621" spans="7:12" x14ac:dyDescent="0.25">
      <c r="G621" s="136">
        <v>43291</v>
      </c>
      <c r="H621" t="s">
        <v>25</v>
      </c>
      <c r="I621" t="s">
        <v>220</v>
      </c>
      <c r="J621" t="s">
        <v>308</v>
      </c>
      <c r="K621" s="138">
        <v>560.16999999999996</v>
      </c>
      <c r="L621" s="137">
        <v>0</v>
      </c>
    </row>
    <row r="622" spans="7:12" x14ac:dyDescent="0.25">
      <c r="G622" s="136">
        <v>43291</v>
      </c>
      <c r="H622" t="s">
        <v>25</v>
      </c>
      <c r="I622" t="s">
        <v>220</v>
      </c>
      <c r="J622" t="s">
        <v>308</v>
      </c>
      <c r="K622" s="138">
        <v>541.79999999999995</v>
      </c>
      <c r="L622" s="137">
        <v>0</v>
      </c>
    </row>
    <row r="623" spans="7:12" x14ac:dyDescent="0.25">
      <c r="G623" s="136">
        <v>43291</v>
      </c>
      <c r="H623" t="s">
        <v>25</v>
      </c>
      <c r="I623" t="s">
        <v>220</v>
      </c>
      <c r="J623" t="s">
        <v>308</v>
      </c>
      <c r="K623" s="138">
        <v>429.05</v>
      </c>
      <c r="L623" s="137">
        <v>0</v>
      </c>
    </row>
    <row r="624" spans="7:12" x14ac:dyDescent="0.25">
      <c r="G624" s="136">
        <v>43291</v>
      </c>
      <c r="H624" t="s">
        <v>25</v>
      </c>
      <c r="I624" t="s">
        <v>220</v>
      </c>
      <c r="J624" t="s">
        <v>308</v>
      </c>
      <c r="K624" s="138">
        <v>413.49</v>
      </c>
      <c r="L624" s="137">
        <v>0</v>
      </c>
    </row>
    <row r="625" spans="7:12" x14ac:dyDescent="0.25">
      <c r="G625" s="136">
        <v>43291</v>
      </c>
      <c r="H625" t="s">
        <v>25</v>
      </c>
      <c r="I625" t="s">
        <v>220</v>
      </c>
      <c r="J625" t="s">
        <v>308</v>
      </c>
      <c r="K625" s="138">
        <v>387.3</v>
      </c>
      <c r="L625" s="137">
        <v>0</v>
      </c>
    </row>
    <row r="626" spans="7:12" x14ac:dyDescent="0.25">
      <c r="G626" s="136">
        <v>43291</v>
      </c>
      <c r="H626" t="s">
        <v>25</v>
      </c>
      <c r="I626" t="s">
        <v>220</v>
      </c>
      <c r="J626" t="s">
        <v>308</v>
      </c>
      <c r="K626" s="138">
        <v>383.97</v>
      </c>
      <c r="L626" s="137">
        <v>0</v>
      </c>
    </row>
    <row r="627" spans="7:12" x14ac:dyDescent="0.25">
      <c r="G627" s="136">
        <v>43291</v>
      </c>
      <c r="H627" t="s">
        <v>25</v>
      </c>
      <c r="I627" t="s">
        <v>220</v>
      </c>
      <c r="J627" t="s">
        <v>308</v>
      </c>
      <c r="K627" s="138">
        <v>380.09</v>
      </c>
      <c r="L627" s="137">
        <v>0</v>
      </c>
    </row>
    <row r="628" spans="7:12" x14ac:dyDescent="0.25">
      <c r="G628" s="136">
        <v>43291</v>
      </c>
      <c r="H628" t="s">
        <v>25</v>
      </c>
      <c r="I628" t="s">
        <v>220</v>
      </c>
      <c r="J628" t="s">
        <v>308</v>
      </c>
      <c r="K628" s="138">
        <v>272.77</v>
      </c>
      <c r="L628" s="137">
        <v>0</v>
      </c>
    </row>
    <row r="629" spans="7:12" x14ac:dyDescent="0.25">
      <c r="G629" s="136">
        <v>43291</v>
      </c>
      <c r="H629" t="s">
        <v>25</v>
      </c>
      <c r="I629" t="s">
        <v>220</v>
      </c>
      <c r="J629" t="s">
        <v>308</v>
      </c>
      <c r="K629" s="138">
        <v>210.16</v>
      </c>
      <c r="L629" s="137">
        <v>0</v>
      </c>
    </row>
    <row r="630" spans="7:12" x14ac:dyDescent="0.25">
      <c r="G630" s="136">
        <v>43291</v>
      </c>
      <c r="H630" t="s">
        <v>25</v>
      </c>
      <c r="I630" t="s">
        <v>220</v>
      </c>
      <c r="J630" t="s">
        <v>308</v>
      </c>
      <c r="K630" s="138">
        <v>178.36</v>
      </c>
      <c r="L630" s="137">
        <v>0</v>
      </c>
    </row>
    <row r="631" spans="7:12" x14ac:dyDescent="0.25">
      <c r="G631" s="136">
        <v>43291</v>
      </c>
      <c r="H631" t="s">
        <v>25</v>
      </c>
      <c r="I631" t="s">
        <v>220</v>
      </c>
      <c r="J631" t="s">
        <v>308</v>
      </c>
      <c r="K631" s="138">
        <v>170.92</v>
      </c>
      <c r="L631" s="137">
        <v>0</v>
      </c>
    </row>
    <row r="632" spans="7:12" x14ac:dyDescent="0.25">
      <c r="G632" s="136">
        <v>43291</v>
      </c>
      <c r="H632" t="s">
        <v>25</v>
      </c>
      <c r="I632" t="s">
        <v>220</v>
      </c>
      <c r="J632" t="s">
        <v>308</v>
      </c>
      <c r="K632" s="138">
        <v>133.16999999999999</v>
      </c>
      <c r="L632" s="137">
        <v>0</v>
      </c>
    </row>
    <row r="633" spans="7:12" x14ac:dyDescent="0.25">
      <c r="G633" s="136">
        <v>43291</v>
      </c>
      <c r="H633" t="s">
        <v>25</v>
      </c>
      <c r="I633" t="s">
        <v>220</v>
      </c>
      <c r="J633" t="s">
        <v>308</v>
      </c>
      <c r="K633" s="138">
        <v>125.74</v>
      </c>
      <c r="L633" s="137">
        <v>0</v>
      </c>
    </row>
    <row r="634" spans="7:12" x14ac:dyDescent="0.25">
      <c r="G634" s="136">
        <v>43291</v>
      </c>
      <c r="H634" t="s">
        <v>25</v>
      </c>
      <c r="I634" t="s">
        <v>220</v>
      </c>
      <c r="J634" t="s">
        <v>308</v>
      </c>
      <c r="K634" s="138">
        <v>88.55</v>
      </c>
      <c r="L634" s="137">
        <v>0</v>
      </c>
    </row>
    <row r="635" spans="7:12" x14ac:dyDescent="0.25">
      <c r="G635" s="136">
        <v>43291</v>
      </c>
      <c r="H635" t="s">
        <v>25</v>
      </c>
      <c r="I635" t="s">
        <v>220</v>
      </c>
      <c r="J635" t="s">
        <v>308</v>
      </c>
      <c r="K635" s="138">
        <v>73.16</v>
      </c>
      <c r="L635" s="137">
        <v>0</v>
      </c>
    </row>
    <row r="636" spans="7:12" x14ac:dyDescent="0.25">
      <c r="G636" s="136">
        <v>43291</v>
      </c>
      <c r="H636" t="s">
        <v>25</v>
      </c>
      <c r="I636" t="s">
        <v>220</v>
      </c>
      <c r="J636" t="s">
        <v>308</v>
      </c>
      <c r="K636" s="138">
        <v>70.97</v>
      </c>
      <c r="L636" s="137">
        <v>0</v>
      </c>
    </row>
    <row r="637" spans="7:12" x14ac:dyDescent="0.25">
      <c r="G637" s="136">
        <v>43291</v>
      </c>
      <c r="H637" t="s">
        <v>25</v>
      </c>
      <c r="I637" t="s">
        <v>220</v>
      </c>
      <c r="J637" t="s">
        <v>308</v>
      </c>
      <c r="K637" s="138">
        <v>40.1</v>
      </c>
      <c r="L637" s="137">
        <v>0</v>
      </c>
    </row>
    <row r="638" spans="7:12" x14ac:dyDescent="0.25">
      <c r="G638" s="136">
        <v>43291</v>
      </c>
      <c r="H638" t="s">
        <v>25</v>
      </c>
      <c r="I638" t="s">
        <v>220</v>
      </c>
      <c r="J638" t="s">
        <v>308</v>
      </c>
      <c r="K638" s="138">
        <v>33.25</v>
      </c>
      <c r="L638" s="137">
        <v>0</v>
      </c>
    </row>
    <row r="639" spans="7:12" x14ac:dyDescent="0.25">
      <c r="G639" s="136">
        <v>43291</v>
      </c>
      <c r="H639" t="s">
        <v>25</v>
      </c>
      <c r="I639" t="s">
        <v>220</v>
      </c>
      <c r="J639" t="s">
        <v>308</v>
      </c>
      <c r="K639" s="138">
        <v>24.12</v>
      </c>
      <c r="L639" s="137">
        <v>0</v>
      </c>
    </row>
    <row r="640" spans="7:12" x14ac:dyDescent="0.25">
      <c r="G640" s="136">
        <v>43291</v>
      </c>
      <c r="H640" t="s">
        <v>25</v>
      </c>
      <c r="I640" t="s">
        <v>220</v>
      </c>
      <c r="J640" t="s">
        <v>308</v>
      </c>
      <c r="K640" s="138">
        <v>23.77</v>
      </c>
      <c r="L640" s="137">
        <v>0</v>
      </c>
    </row>
    <row r="641" spans="7:12" x14ac:dyDescent="0.25">
      <c r="G641" s="136">
        <v>43291</v>
      </c>
      <c r="H641" t="s">
        <v>25</v>
      </c>
      <c r="I641" t="s">
        <v>220</v>
      </c>
      <c r="J641" t="s">
        <v>308</v>
      </c>
      <c r="K641" s="138">
        <v>16.670000000000002</v>
      </c>
      <c r="L641" s="137">
        <v>0</v>
      </c>
    </row>
    <row r="642" spans="7:12" x14ac:dyDescent="0.25">
      <c r="G642" s="136">
        <v>43291</v>
      </c>
      <c r="H642" t="s">
        <v>25</v>
      </c>
      <c r="I642" t="s">
        <v>220</v>
      </c>
      <c r="J642" t="s">
        <v>308</v>
      </c>
      <c r="K642" s="138">
        <v>12.88</v>
      </c>
      <c r="L642" s="137">
        <v>0</v>
      </c>
    </row>
    <row r="643" spans="7:12" x14ac:dyDescent="0.25">
      <c r="G643" s="136">
        <v>43291</v>
      </c>
      <c r="H643" t="s">
        <v>179</v>
      </c>
      <c r="I643" t="s">
        <v>220</v>
      </c>
      <c r="J643" t="s">
        <v>308</v>
      </c>
      <c r="K643" s="138">
        <v>512.62</v>
      </c>
      <c r="L643" s="137">
        <v>0</v>
      </c>
    </row>
    <row r="644" spans="7:12" x14ac:dyDescent="0.25">
      <c r="G644" s="136">
        <v>43291</v>
      </c>
      <c r="H644" t="s">
        <v>28</v>
      </c>
      <c r="I644" t="s">
        <v>66</v>
      </c>
      <c r="J644" t="s">
        <v>134</v>
      </c>
      <c r="K644" s="138">
        <v>25</v>
      </c>
      <c r="L644" s="137">
        <v>0</v>
      </c>
    </row>
    <row r="645" spans="7:12" x14ac:dyDescent="0.25">
      <c r="G645" s="136">
        <v>43291</v>
      </c>
      <c r="H645" t="s">
        <v>28</v>
      </c>
      <c r="I645" t="s">
        <v>66</v>
      </c>
      <c r="J645" t="s">
        <v>75</v>
      </c>
      <c r="K645" s="138">
        <v>5.63</v>
      </c>
      <c r="L645" s="137">
        <v>0</v>
      </c>
    </row>
    <row r="646" spans="7:12" x14ac:dyDescent="0.25">
      <c r="G646" s="136">
        <v>43291</v>
      </c>
      <c r="H646" t="s">
        <v>28</v>
      </c>
      <c r="I646" t="s">
        <v>66</v>
      </c>
      <c r="J646" t="s">
        <v>115</v>
      </c>
      <c r="K646" s="138">
        <v>9</v>
      </c>
      <c r="L646" s="137">
        <v>0</v>
      </c>
    </row>
    <row r="647" spans="7:12" x14ac:dyDescent="0.25">
      <c r="G647" s="136">
        <v>43291</v>
      </c>
      <c r="H647" t="s">
        <v>28</v>
      </c>
      <c r="I647" t="s">
        <v>220</v>
      </c>
      <c r="J647" t="s">
        <v>308</v>
      </c>
      <c r="K647" s="138">
        <v>55.58</v>
      </c>
      <c r="L647" s="137">
        <v>0</v>
      </c>
    </row>
    <row r="648" spans="7:12" x14ac:dyDescent="0.25">
      <c r="G648" s="136">
        <v>43291</v>
      </c>
      <c r="H648" t="s">
        <v>28</v>
      </c>
      <c r="I648" t="s">
        <v>220</v>
      </c>
      <c r="J648" t="s">
        <v>308</v>
      </c>
      <c r="K648" s="138">
        <v>54.75</v>
      </c>
      <c r="L648" s="137">
        <v>0</v>
      </c>
    </row>
    <row r="649" spans="7:12" x14ac:dyDescent="0.25">
      <c r="G649" s="136">
        <v>43291</v>
      </c>
      <c r="H649" t="s">
        <v>28</v>
      </c>
      <c r="I649" t="s">
        <v>220</v>
      </c>
      <c r="J649" t="s">
        <v>308</v>
      </c>
      <c r="K649" s="138">
        <v>10.94</v>
      </c>
      <c r="L649" s="137">
        <v>0</v>
      </c>
    </row>
    <row r="650" spans="7:12" x14ac:dyDescent="0.25">
      <c r="G650" s="136">
        <v>43292</v>
      </c>
      <c r="H650" t="s">
        <v>185</v>
      </c>
      <c r="I650" t="s">
        <v>163</v>
      </c>
      <c r="J650" t="s">
        <v>310</v>
      </c>
      <c r="K650" s="138">
        <v>273.39999999999998</v>
      </c>
      <c r="L650" s="137">
        <v>0</v>
      </c>
    </row>
    <row r="651" spans="7:12" x14ac:dyDescent="0.25">
      <c r="G651" s="136">
        <v>43292</v>
      </c>
      <c r="H651" t="s">
        <v>28</v>
      </c>
      <c r="I651" t="s">
        <v>66</v>
      </c>
      <c r="J651" t="s">
        <v>134</v>
      </c>
      <c r="K651" s="138">
        <v>9</v>
      </c>
      <c r="L651" s="137">
        <v>0</v>
      </c>
    </row>
    <row r="652" spans="7:12" x14ac:dyDescent="0.25">
      <c r="G652" s="136">
        <v>43292</v>
      </c>
      <c r="H652" t="s">
        <v>28</v>
      </c>
      <c r="I652" t="s">
        <v>66</v>
      </c>
      <c r="J652" t="s">
        <v>120</v>
      </c>
      <c r="K652" s="138">
        <v>2.4</v>
      </c>
      <c r="L652" s="137">
        <v>0</v>
      </c>
    </row>
    <row r="653" spans="7:12" x14ac:dyDescent="0.25">
      <c r="G653" s="136">
        <v>43292</v>
      </c>
      <c r="H653" t="s">
        <v>28</v>
      </c>
      <c r="I653" t="s">
        <v>66</v>
      </c>
      <c r="J653" t="s">
        <v>125</v>
      </c>
      <c r="K653" s="138">
        <v>1.8</v>
      </c>
      <c r="L653" s="137">
        <v>0</v>
      </c>
    </row>
    <row r="654" spans="7:12" x14ac:dyDescent="0.25">
      <c r="G654" s="136">
        <v>43293</v>
      </c>
      <c r="H654" t="s">
        <v>192</v>
      </c>
      <c r="I654" t="s">
        <v>112</v>
      </c>
      <c r="J654" t="s">
        <v>311</v>
      </c>
      <c r="K654" s="138">
        <v>171.22</v>
      </c>
      <c r="L654" s="137">
        <v>0</v>
      </c>
    </row>
    <row r="655" spans="7:12" x14ac:dyDescent="0.25">
      <c r="G655" s="136">
        <v>43293</v>
      </c>
      <c r="H655" t="s">
        <v>27</v>
      </c>
      <c r="I655" t="s">
        <v>63</v>
      </c>
      <c r="J655" t="s">
        <v>311</v>
      </c>
      <c r="K655" s="138">
        <v>24</v>
      </c>
      <c r="L655" s="137">
        <v>0</v>
      </c>
    </row>
    <row r="656" spans="7:12" x14ac:dyDescent="0.25">
      <c r="G656" s="136">
        <v>43293</v>
      </c>
      <c r="H656" t="s">
        <v>27</v>
      </c>
      <c r="I656" t="s">
        <v>63</v>
      </c>
      <c r="J656" t="s">
        <v>311</v>
      </c>
      <c r="K656" s="138">
        <v>8</v>
      </c>
      <c r="L656" s="137">
        <v>0</v>
      </c>
    </row>
    <row r="657" spans="7:12" x14ac:dyDescent="0.25">
      <c r="G657" s="136">
        <v>43293</v>
      </c>
      <c r="H657" t="s">
        <v>199</v>
      </c>
      <c r="I657" t="s">
        <v>163</v>
      </c>
      <c r="J657" t="s">
        <v>311</v>
      </c>
      <c r="K657" s="138">
        <v>30</v>
      </c>
      <c r="L657" s="137">
        <v>0</v>
      </c>
    </row>
    <row r="658" spans="7:12" x14ac:dyDescent="0.25">
      <c r="G658" s="136">
        <v>43293</v>
      </c>
      <c r="H658" t="s">
        <v>184</v>
      </c>
      <c r="I658" t="s">
        <v>178</v>
      </c>
      <c r="J658" t="s">
        <v>311</v>
      </c>
      <c r="K658" s="138">
        <v>32.97</v>
      </c>
      <c r="L658" s="137">
        <v>0</v>
      </c>
    </row>
    <row r="659" spans="7:12" x14ac:dyDescent="0.25">
      <c r="G659" s="136">
        <v>43293</v>
      </c>
      <c r="H659" t="s">
        <v>183</v>
      </c>
      <c r="I659" t="s">
        <v>42</v>
      </c>
      <c r="J659" t="s">
        <v>311</v>
      </c>
      <c r="K659" s="138">
        <v>107.95</v>
      </c>
      <c r="L659" s="137">
        <v>0</v>
      </c>
    </row>
    <row r="660" spans="7:12" x14ac:dyDescent="0.25">
      <c r="G660" s="136">
        <v>43293</v>
      </c>
      <c r="H660" t="s">
        <v>25</v>
      </c>
      <c r="I660" t="s">
        <v>63</v>
      </c>
      <c r="J660" t="s">
        <v>311</v>
      </c>
      <c r="K660" s="138">
        <v>72</v>
      </c>
      <c r="L660" s="137">
        <v>0</v>
      </c>
    </row>
    <row r="661" spans="7:12" x14ac:dyDescent="0.25">
      <c r="G661" s="136">
        <v>43293</v>
      </c>
      <c r="H661" t="s">
        <v>25</v>
      </c>
      <c r="I661" t="s">
        <v>63</v>
      </c>
      <c r="J661" t="s">
        <v>311</v>
      </c>
      <c r="K661" s="138">
        <v>16</v>
      </c>
      <c r="L661" s="137">
        <v>0</v>
      </c>
    </row>
    <row r="662" spans="7:12" x14ac:dyDescent="0.25">
      <c r="G662" s="136">
        <v>43293</v>
      </c>
      <c r="H662" t="s">
        <v>25</v>
      </c>
      <c r="I662" t="s">
        <v>63</v>
      </c>
      <c r="J662" t="s">
        <v>311</v>
      </c>
      <c r="K662" s="138">
        <v>8</v>
      </c>
      <c r="L662" s="137">
        <v>0</v>
      </c>
    </row>
    <row r="663" spans="7:12" x14ac:dyDescent="0.25">
      <c r="G663" s="136">
        <v>43293</v>
      </c>
      <c r="H663" t="s">
        <v>201</v>
      </c>
      <c r="I663" t="s">
        <v>63</v>
      </c>
      <c r="J663" t="s">
        <v>311</v>
      </c>
      <c r="K663" s="138">
        <v>182.22</v>
      </c>
      <c r="L663" s="137">
        <v>0</v>
      </c>
    </row>
    <row r="664" spans="7:12" x14ac:dyDescent="0.25">
      <c r="G664" s="136">
        <v>43293</v>
      </c>
      <c r="H664" t="s">
        <v>201</v>
      </c>
      <c r="I664" t="s">
        <v>42</v>
      </c>
      <c r="J664" t="s">
        <v>311</v>
      </c>
      <c r="K664" s="138">
        <v>50.73</v>
      </c>
      <c r="L664" s="137">
        <v>0</v>
      </c>
    </row>
    <row r="665" spans="7:12" x14ac:dyDescent="0.25">
      <c r="G665" s="136">
        <v>43293</v>
      </c>
      <c r="H665" t="s">
        <v>197</v>
      </c>
      <c r="I665" t="s">
        <v>112</v>
      </c>
      <c r="J665" t="s">
        <v>311</v>
      </c>
      <c r="K665" s="138">
        <v>34.47</v>
      </c>
      <c r="L665" s="137">
        <v>0</v>
      </c>
    </row>
    <row r="666" spans="7:12" x14ac:dyDescent="0.25">
      <c r="G666" s="136">
        <v>43293</v>
      </c>
      <c r="H666" t="s">
        <v>197</v>
      </c>
      <c r="I666" t="s">
        <v>155</v>
      </c>
      <c r="J666" t="s">
        <v>311</v>
      </c>
      <c r="K666" s="138">
        <v>29.37</v>
      </c>
      <c r="L666" s="137">
        <v>0</v>
      </c>
    </row>
    <row r="667" spans="7:12" x14ac:dyDescent="0.25">
      <c r="G667" s="136">
        <v>43293</v>
      </c>
      <c r="H667" t="s">
        <v>197</v>
      </c>
      <c r="I667" t="s">
        <v>176</v>
      </c>
      <c r="J667" t="s">
        <v>311</v>
      </c>
      <c r="K667" s="138">
        <v>497.56</v>
      </c>
      <c r="L667" s="137">
        <v>0</v>
      </c>
    </row>
    <row r="668" spans="7:12" x14ac:dyDescent="0.25">
      <c r="G668" s="136">
        <v>43293</v>
      </c>
      <c r="H668" t="s">
        <v>197</v>
      </c>
      <c r="I668" t="s">
        <v>42</v>
      </c>
      <c r="J668" t="s">
        <v>311</v>
      </c>
      <c r="K668" s="138">
        <v>68</v>
      </c>
      <c r="L668" s="137">
        <v>0</v>
      </c>
    </row>
    <row r="669" spans="7:12" x14ac:dyDescent="0.25">
      <c r="G669" s="136">
        <v>43293</v>
      </c>
      <c r="H669" t="s">
        <v>180</v>
      </c>
      <c r="I669" t="s">
        <v>42</v>
      </c>
      <c r="J669" t="s">
        <v>311</v>
      </c>
      <c r="K669" s="138">
        <v>15</v>
      </c>
      <c r="L669" s="137">
        <v>0</v>
      </c>
    </row>
    <row r="670" spans="7:12" x14ac:dyDescent="0.25">
      <c r="G670" s="136">
        <v>43293</v>
      </c>
      <c r="H670" t="s">
        <v>179</v>
      </c>
      <c r="I670" t="s">
        <v>42</v>
      </c>
      <c r="J670" t="s">
        <v>311</v>
      </c>
      <c r="K670" s="138">
        <v>14.6</v>
      </c>
      <c r="L670" s="137">
        <v>0</v>
      </c>
    </row>
    <row r="671" spans="7:12" x14ac:dyDescent="0.25">
      <c r="G671" s="136">
        <v>43293</v>
      </c>
      <c r="H671" t="s">
        <v>28</v>
      </c>
      <c r="I671" t="s">
        <v>163</v>
      </c>
      <c r="J671" t="s">
        <v>311</v>
      </c>
      <c r="K671" s="138">
        <v>30</v>
      </c>
      <c r="L671" s="137">
        <v>0</v>
      </c>
    </row>
    <row r="672" spans="7:12" x14ac:dyDescent="0.25">
      <c r="G672" s="136">
        <v>43293</v>
      </c>
      <c r="H672" t="s">
        <v>28</v>
      </c>
      <c r="I672" t="s">
        <v>163</v>
      </c>
      <c r="J672" t="s">
        <v>311</v>
      </c>
      <c r="K672" s="138">
        <v>24.57</v>
      </c>
      <c r="L672" s="137">
        <v>0</v>
      </c>
    </row>
    <row r="673" spans="7:12" x14ac:dyDescent="0.25">
      <c r="G673" s="136">
        <v>43293</v>
      </c>
      <c r="H673" t="s">
        <v>28</v>
      </c>
      <c r="I673" t="s">
        <v>178</v>
      </c>
      <c r="J673" t="s">
        <v>311</v>
      </c>
      <c r="K673" s="138">
        <v>25</v>
      </c>
      <c r="L673" s="137">
        <v>0</v>
      </c>
    </row>
    <row r="674" spans="7:12" x14ac:dyDescent="0.25">
      <c r="G674" s="136">
        <v>43293</v>
      </c>
      <c r="H674" t="s">
        <v>28</v>
      </c>
      <c r="I674" t="s">
        <v>112</v>
      </c>
      <c r="J674" t="s">
        <v>311</v>
      </c>
      <c r="K674" s="138">
        <v>27.24</v>
      </c>
      <c r="L674" s="137">
        <v>0</v>
      </c>
    </row>
    <row r="675" spans="7:12" x14ac:dyDescent="0.25">
      <c r="G675" s="136">
        <v>43293</v>
      </c>
      <c r="H675" t="s">
        <v>28</v>
      </c>
      <c r="I675" t="s">
        <v>112</v>
      </c>
      <c r="J675" t="s">
        <v>311</v>
      </c>
      <c r="K675" s="138">
        <v>14.25</v>
      </c>
      <c r="L675" s="137">
        <v>0</v>
      </c>
    </row>
    <row r="676" spans="7:12" x14ac:dyDescent="0.25">
      <c r="G676" s="136">
        <v>43293</v>
      </c>
      <c r="H676" t="s">
        <v>28</v>
      </c>
      <c r="I676" t="s">
        <v>155</v>
      </c>
      <c r="J676" t="s">
        <v>311</v>
      </c>
      <c r="K676" s="138">
        <v>329.8</v>
      </c>
      <c r="L676" s="137">
        <v>0</v>
      </c>
    </row>
    <row r="677" spans="7:12" x14ac:dyDescent="0.25">
      <c r="G677" s="136">
        <v>43293</v>
      </c>
      <c r="H677" t="s">
        <v>28</v>
      </c>
      <c r="I677" t="s">
        <v>155</v>
      </c>
      <c r="J677" t="s">
        <v>311</v>
      </c>
      <c r="K677" s="138">
        <v>184.05</v>
      </c>
      <c r="L677" s="137">
        <v>0</v>
      </c>
    </row>
    <row r="678" spans="7:12" x14ac:dyDescent="0.25">
      <c r="G678" s="136">
        <v>43293</v>
      </c>
      <c r="H678" t="s">
        <v>28</v>
      </c>
      <c r="I678" t="s">
        <v>155</v>
      </c>
      <c r="J678" t="s">
        <v>311</v>
      </c>
      <c r="K678" s="138">
        <v>162.25</v>
      </c>
      <c r="L678" s="137">
        <v>0</v>
      </c>
    </row>
    <row r="679" spans="7:12" x14ac:dyDescent="0.25">
      <c r="G679" s="136">
        <v>43293</v>
      </c>
      <c r="H679" t="s">
        <v>28</v>
      </c>
      <c r="I679" t="s">
        <v>155</v>
      </c>
      <c r="J679" t="s">
        <v>311</v>
      </c>
      <c r="K679" s="138">
        <v>160</v>
      </c>
      <c r="L679" s="137">
        <v>0</v>
      </c>
    </row>
    <row r="680" spans="7:12" x14ac:dyDescent="0.25">
      <c r="G680" s="136">
        <v>43293</v>
      </c>
      <c r="H680" t="s">
        <v>28</v>
      </c>
      <c r="I680" t="s">
        <v>155</v>
      </c>
      <c r="J680" t="s">
        <v>311</v>
      </c>
      <c r="K680" s="138">
        <v>142.33000000000001</v>
      </c>
      <c r="L680" s="137">
        <v>0</v>
      </c>
    </row>
    <row r="681" spans="7:12" x14ac:dyDescent="0.25">
      <c r="G681" s="136">
        <v>43293</v>
      </c>
      <c r="H681" t="s">
        <v>28</v>
      </c>
      <c r="I681" t="s">
        <v>155</v>
      </c>
      <c r="J681" t="s">
        <v>311</v>
      </c>
      <c r="K681" s="138">
        <v>79.14</v>
      </c>
      <c r="L681" s="137">
        <v>0</v>
      </c>
    </row>
    <row r="682" spans="7:12" x14ac:dyDescent="0.25">
      <c r="G682" s="136">
        <v>43293</v>
      </c>
      <c r="H682" t="s">
        <v>28</v>
      </c>
      <c r="I682" t="s">
        <v>155</v>
      </c>
      <c r="J682" t="s">
        <v>311</v>
      </c>
      <c r="K682" s="138">
        <v>78.319999999999993</v>
      </c>
      <c r="L682" s="137">
        <v>0</v>
      </c>
    </row>
    <row r="683" spans="7:12" x14ac:dyDescent="0.25">
      <c r="G683" s="136">
        <v>43293</v>
      </c>
      <c r="H683" t="s">
        <v>28</v>
      </c>
      <c r="I683" t="s">
        <v>155</v>
      </c>
      <c r="J683" t="s">
        <v>311</v>
      </c>
      <c r="K683" s="138">
        <v>65.22</v>
      </c>
      <c r="L683" s="137">
        <v>0</v>
      </c>
    </row>
    <row r="684" spans="7:12" x14ac:dyDescent="0.25">
      <c r="G684" s="136">
        <v>43293</v>
      </c>
      <c r="H684" t="s">
        <v>28</v>
      </c>
      <c r="I684" t="s">
        <v>155</v>
      </c>
      <c r="J684" t="s">
        <v>311</v>
      </c>
      <c r="K684" s="138">
        <v>45.65</v>
      </c>
      <c r="L684" s="137">
        <v>0</v>
      </c>
    </row>
    <row r="685" spans="7:12" x14ac:dyDescent="0.25">
      <c r="G685" s="136">
        <v>43293</v>
      </c>
      <c r="H685" t="s">
        <v>28</v>
      </c>
      <c r="I685" t="s">
        <v>155</v>
      </c>
      <c r="J685" t="s">
        <v>311</v>
      </c>
      <c r="K685" s="138">
        <v>34.07</v>
      </c>
      <c r="L685" s="137">
        <v>0</v>
      </c>
    </row>
    <row r="686" spans="7:12" x14ac:dyDescent="0.25">
      <c r="G686" s="136">
        <v>43293</v>
      </c>
      <c r="H686" t="s">
        <v>28</v>
      </c>
      <c r="I686" t="s">
        <v>155</v>
      </c>
      <c r="J686" t="s">
        <v>311</v>
      </c>
      <c r="K686" s="138">
        <v>21.2</v>
      </c>
      <c r="L686" s="137">
        <v>0</v>
      </c>
    </row>
    <row r="687" spans="7:12" x14ac:dyDescent="0.25">
      <c r="G687" s="136">
        <v>43293</v>
      </c>
      <c r="H687" t="s">
        <v>28</v>
      </c>
      <c r="I687" t="s">
        <v>155</v>
      </c>
      <c r="J687" t="s">
        <v>311</v>
      </c>
      <c r="K687" s="138">
        <v>14.3</v>
      </c>
      <c r="L687" s="137">
        <v>0</v>
      </c>
    </row>
    <row r="688" spans="7:12" x14ac:dyDescent="0.25">
      <c r="G688" s="136">
        <v>43293</v>
      </c>
      <c r="H688" t="s">
        <v>28</v>
      </c>
      <c r="I688" t="s">
        <v>66</v>
      </c>
      <c r="J688" t="s">
        <v>105</v>
      </c>
      <c r="K688" s="138">
        <v>15</v>
      </c>
      <c r="L688" s="137">
        <v>0</v>
      </c>
    </row>
    <row r="689" spans="7:12" x14ac:dyDescent="0.25">
      <c r="G689" s="136">
        <v>43293</v>
      </c>
      <c r="H689" t="s">
        <v>28</v>
      </c>
      <c r="I689" t="s">
        <v>66</v>
      </c>
      <c r="J689" t="s">
        <v>312</v>
      </c>
      <c r="K689" s="138">
        <v>3</v>
      </c>
      <c r="L689" s="137">
        <v>0</v>
      </c>
    </row>
    <row r="690" spans="7:12" x14ac:dyDescent="0.25">
      <c r="G690" s="136">
        <v>43293</v>
      </c>
      <c r="H690" t="s">
        <v>28</v>
      </c>
      <c r="I690" t="s">
        <v>42</v>
      </c>
      <c r="J690" t="s">
        <v>311</v>
      </c>
      <c r="K690" s="138">
        <v>338</v>
      </c>
      <c r="L690" s="137">
        <v>0</v>
      </c>
    </row>
    <row r="691" spans="7:12" x14ac:dyDescent="0.25">
      <c r="G691" s="136">
        <v>43293</v>
      </c>
      <c r="H691" t="s">
        <v>28</v>
      </c>
      <c r="I691" t="s">
        <v>42</v>
      </c>
      <c r="J691" t="s">
        <v>311</v>
      </c>
      <c r="K691" s="138">
        <v>221</v>
      </c>
      <c r="L691" s="137">
        <v>0</v>
      </c>
    </row>
    <row r="692" spans="7:12" x14ac:dyDescent="0.25">
      <c r="G692" s="136">
        <v>43293</v>
      </c>
      <c r="H692" t="s">
        <v>28</v>
      </c>
      <c r="I692" t="s">
        <v>42</v>
      </c>
      <c r="J692" t="s">
        <v>311</v>
      </c>
      <c r="K692" s="138">
        <v>208.8</v>
      </c>
      <c r="L692" s="137">
        <v>0</v>
      </c>
    </row>
    <row r="693" spans="7:12" x14ac:dyDescent="0.25">
      <c r="G693" s="136">
        <v>43293</v>
      </c>
      <c r="H693" t="s">
        <v>28</v>
      </c>
      <c r="I693" t="s">
        <v>42</v>
      </c>
      <c r="J693" t="s">
        <v>311</v>
      </c>
      <c r="K693" s="138">
        <v>32</v>
      </c>
      <c r="L693" s="137">
        <v>0</v>
      </c>
    </row>
    <row r="694" spans="7:12" x14ac:dyDescent="0.25">
      <c r="G694" s="136">
        <v>43294</v>
      </c>
      <c r="H694" t="s">
        <v>204</v>
      </c>
      <c r="I694" t="s">
        <v>176</v>
      </c>
      <c r="J694" t="s">
        <v>313</v>
      </c>
      <c r="K694" s="138">
        <v>91.6</v>
      </c>
      <c r="L694" s="137">
        <v>0</v>
      </c>
    </row>
    <row r="695" spans="7:12" x14ac:dyDescent="0.25">
      <c r="G695" s="136">
        <v>43294</v>
      </c>
      <c r="H695" t="s">
        <v>203</v>
      </c>
      <c r="I695" t="s">
        <v>176</v>
      </c>
      <c r="J695" t="s">
        <v>313</v>
      </c>
      <c r="K695" s="138">
        <v>681.65</v>
      </c>
      <c r="L695" s="137">
        <v>0</v>
      </c>
    </row>
    <row r="696" spans="7:12" x14ac:dyDescent="0.25">
      <c r="G696" s="136">
        <v>43294</v>
      </c>
      <c r="H696" t="s">
        <v>192</v>
      </c>
      <c r="I696" t="s">
        <v>176</v>
      </c>
      <c r="J696" t="s">
        <v>313</v>
      </c>
      <c r="K696" s="138">
        <v>805.4</v>
      </c>
      <c r="L696" s="137">
        <v>0</v>
      </c>
    </row>
    <row r="697" spans="7:12" x14ac:dyDescent="0.25">
      <c r="G697" s="136">
        <v>43294</v>
      </c>
      <c r="H697" t="s">
        <v>184</v>
      </c>
      <c r="I697" t="s">
        <v>42</v>
      </c>
      <c r="J697" t="s">
        <v>313</v>
      </c>
      <c r="K697" s="138">
        <v>30</v>
      </c>
      <c r="L697" s="137">
        <v>0</v>
      </c>
    </row>
    <row r="698" spans="7:12" x14ac:dyDescent="0.25">
      <c r="G698" s="136">
        <v>43294</v>
      </c>
      <c r="H698" t="s">
        <v>189</v>
      </c>
      <c r="I698" t="s">
        <v>42</v>
      </c>
      <c r="J698" t="s">
        <v>313</v>
      </c>
      <c r="K698" s="138">
        <v>145</v>
      </c>
      <c r="L698" s="137">
        <v>0</v>
      </c>
    </row>
    <row r="699" spans="7:12" x14ac:dyDescent="0.25">
      <c r="G699" s="136">
        <v>43294</v>
      </c>
      <c r="H699" t="s">
        <v>201</v>
      </c>
      <c r="I699" t="s">
        <v>176</v>
      </c>
      <c r="J699" t="s">
        <v>313</v>
      </c>
      <c r="K699" s="138">
        <v>94</v>
      </c>
      <c r="L699" s="137">
        <v>0</v>
      </c>
    </row>
    <row r="700" spans="7:12" x14ac:dyDescent="0.25">
      <c r="G700" s="136">
        <v>43294</v>
      </c>
      <c r="H700" t="s">
        <v>180</v>
      </c>
      <c r="I700" t="s">
        <v>176</v>
      </c>
      <c r="J700" t="s">
        <v>313</v>
      </c>
      <c r="K700" s="138">
        <v>63.8</v>
      </c>
      <c r="L700" s="137">
        <v>0</v>
      </c>
    </row>
    <row r="701" spans="7:12" x14ac:dyDescent="0.25">
      <c r="G701" s="136">
        <v>43294</v>
      </c>
      <c r="H701" t="s">
        <v>180</v>
      </c>
      <c r="I701" t="s">
        <v>42</v>
      </c>
      <c r="J701" t="s">
        <v>313</v>
      </c>
      <c r="K701" s="138">
        <v>10</v>
      </c>
      <c r="L701" s="137">
        <v>0</v>
      </c>
    </row>
    <row r="702" spans="7:12" x14ac:dyDescent="0.25">
      <c r="G702" s="136">
        <v>43294</v>
      </c>
      <c r="H702" t="s">
        <v>179</v>
      </c>
      <c r="I702" t="s">
        <v>176</v>
      </c>
      <c r="J702" t="s">
        <v>313</v>
      </c>
      <c r="K702" s="138">
        <v>915.4</v>
      </c>
      <c r="L702" s="137">
        <v>0</v>
      </c>
    </row>
    <row r="703" spans="7:12" x14ac:dyDescent="0.25">
      <c r="G703" s="136">
        <v>43294</v>
      </c>
      <c r="H703" t="s">
        <v>28</v>
      </c>
      <c r="I703" t="s">
        <v>66</v>
      </c>
      <c r="J703" t="s">
        <v>134</v>
      </c>
      <c r="K703" s="138">
        <v>4.5</v>
      </c>
      <c r="L703" s="137">
        <v>0</v>
      </c>
    </row>
    <row r="704" spans="7:12" x14ac:dyDescent="0.25">
      <c r="G704" s="136">
        <v>43295</v>
      </c>
      <c r="H704" t="s">
        <v>27</v>
      </c>
      <c r="I704" t="s">
        <v>63</v>
      </c>
      <c r="J704" t="s">
        <v>314</v>
      </c>
      <c r="K704" s="138">
        <v>8</v>
      </c>
      <c r="L704" s="137">
        <v>0</v>
      </c>
    </row>
    <row r="705" spans="7:12" x14ac:dyDescent="0.25">
      <c r="G705" s="136">
        <v>43295</v>
      </c>
      <c r="H705" t="s">
        <v>183</v>
      </c>
      <c r="I705" t="s">
        <v>63</v>
      </c>
      <c r="J705" t="s">
        <v>314</v>
      </c>
      <c r="K705" s="138">
        <v>20</v>
      </c>
      <c r="L705" s="137">
        <v>0</v>
      </c>
    </row>
    <row r="706" spans="7:12" x14ac:dyDescent="0.25">
      <c r="G706" s="136">
        <v>43295</v>
      </c>
      <c r="H706" t="s">
        <v>183</v>
      </c>
      <c r="I706" t="s">
        <v>42</v>
      </c>
      <c r="J706" t="s">
        <v>314</v>
      </c>
      <c r="K706" s="138">
        <v>10.45</v>
      </c>
      <c r="L706" s="137">
        <v>0</v>
      </c>
    </row>
    <row r="707" spans="7:12" x14ac:dyDescent="0.25">
      <c r="G707" s="136">
        <v>43295</v>
      </c>
      <c r="H707" t="s">
        <v>191</v>
      </c>
      <c r="I707" t="s">
        <v>42</v>
      </c>
      <c r="J707" t="s">
        <v>314</v>
      </c>
      <c r="K707" s="138">
        <v>24</v>
      </c>
      <c r="L707" s="137">
        <v>0</v>
      </c>
    </row>
    <row r="708" spans="7:12" x14ac:dyDescent="0.25">
      <c r="G708" s="136">
        <v>43295</v>
      </c>
      <c r="H708" t="s">
        <v>200</v>
      </c>
      <c r="I708" t="s">
        <v>42</v>
      </c>
      <c r="J708" t="s">
        <v>314</v>
      </c>
      <c r="K708" s="138">
        <v>35.6</v>
      </c>
      <c r="L708" s="137">
        <v>0</v>
      </c>
    </row>
    <row r="709" spans="7:12" x14ac:dyDescent="0.25">
      <c r="G709" s="136">
        <v>43295</v>
      </c>
      <c r="H709" t="s">
        <v>25</v>
      </c>
      <c r="I709" t="s">
        <v>63</v>
      </c>
      <c r="J709" t="s">
        <v>314</v>
      </c>
      <c r="K709" s="138">
        <v>16</v>
      </c>
      <c r="L709" s="137">
        <v>0</v>
      </c>
    </row>
    <row r="710" spans="7:12" x14ac:dyDescent="0.25">
      <c r="G710" s="136">
        <v>43295</v>
      </c>
      <c r="H710" t="s">
        <v>25</v>
      </c>
      <c r="I710" t="s">
        <v>63</v>
      </c>
      <c r="J710" t="s">
        <v>314</v>
      </c>
      <c r="K710" s="138">
        <v>8</v>
      </c>
      <c r="L710" s="137">
        <v>0</v>
      </c>
    </row>
    <row r="711" spans="7:12" x14ac:dyDescent="0.25">
      <c r="G711" s="136">
        <v>43295</v>
      </c>
      <c r="H711" t="s">
        <v>187</v>
      </c>
      <c r="I711" t="s">
        <v>42</v>
      </c>
      <c r="J711" t="s">
        <v>314</v>
      </c>
      <c r="K711" s="138">
        <v>89</v>
      </c>
      <c r="L711" s="137">
        <v>0</v>
      </c>
    </row>
    <row r="712" spans="7:12" x14ac:dyDescent="0.25">
      <c r="G712" s="136">
        <v>43295</v>
      </c>
      <c r="H712" t="s">
        <v>180</v>
      </c>
      <c r="I712" t="s">
        <v>42</v>
      </c>
      <c r="J712" t="s">
        <v>314</v>
      </c>
      <c r="K712" s="138">
        <v>2.25</v>
      </c>
      <c r="L712" s="137">
        <v>0</v>
      </c>
    </row>
    <row r="713" spans="7:12" x14ac:dyDescent="0.25">
      <c r="G713" s="136">
        <v>43297</v>
      </c>
      <c r="H713" t="s">
        <v>192</v>
      </c>
      <c r="I713" t="s">
        <v>163</v>
      </c>
      <c r="J713" t="s">
        <v>315</v>
      </c>
      <c r="K713" s="138">
        <v>8</v>
      </c>
      <c r="L713" s="137">
        <v>0</v>
      </c>
    </row>
    <row r="714" spans="7:12" x14ac:dyDescent="0.25">
      <c r="G714" s="136">
        <v>43297</v>
      </c>
      <c r="H714" t="s">
        <v>27</v>
      </c>
      <c r="I714" t="s">
        <v>63</v>
      </c>
      <c r="J714" t="s">
        <v>315</v>
      </c>
      <c r="K714" s="138">
        <v>8</v>
      </c>
      <c r="L714" s="137">
        <v>0</v>
      </c>
    </row>
    <row r="715" spans="7:12" x14ac:dyDescent="0.25">
      <c r="G715" s="136">
        <v>43297</v>
      </c>
      <c r="H715" t="s">
        <v>183</v>
      </c>
      <c r="I715" t="s">
        <v>163</v>
      </c>
      <c r="J715" t="s">
        <v>315</v>
      </c>
      <c r="K715" s="138">
        <v>22.75</v>
      </c>
      <c r="L715" s="137">
        <v>0</v>
      </c>
    </row>
    <row r="716" spans="7:12" x14ac:dyDescent="0.25">
      <c r="G716" s="136">
        <v>43297</v>
      </c>
      <c r="H716" t="s">
        <v>191</v>
      </c>
      <c r="I716" t="s">
        <v>175</v>
      </c>
      <c r="J716" t="s">
        <v>315</v>
      </c>
      <c r="K716" s="138">
        <v>390</v>
      </c>
      <c r="L716" s="137">
        <v>0</v>
      </c>
    </row>
    <row r="717" spans="7:12" x14ac:dyDescent="0.25">
      <c r="G717" s="136">
        <v>43297</v>
      </c>
      <c r="H717" t="s">
        <v>200</v>
      </c>
      <c r="I717" t="s">
        <v>175</v>
      </c>
      <c r="J717" t="s">
        <v>315</v>
      </c>
      <c r="K717" s="138">
        <v>162.5</v>
      </c>
      <c r="L717" s="137">
        <v>0</v>
      </c>
    </row>
    <row r="718" spans="7:12" x14ac:dyDescent="0.25">
      <c r="G718" s="136">
        <v>43297</v>
      </c>
      <c r="H718" t="s">
        <v>25</v>
      </c>
      <c r="I718" t="s">
        <v>63</v>
      </c>
      <c r="J718" t="s">
        <v>315</v>
      </c>
      <c r="K718" s="138">
        <v>56</v>
      </c>
      <c r="L718" s="137">
        <v>0</v>
      </c>
    </row>
    <row r="719" spans="7:12" x14ac:dyDescent="0.25">
      <c r="G719" s="136">
        <v>43297</v>
      </c>
      <c r="H719" t="s">
        <v>25</v>
      </c>
      <c r="I719" t="s">
        <v>63</v>
      </c>
      <c r="J719" t="s">
        <v>315</v>
      </c>
      <c r="K719" s="138">
        <v>16</v>
      </c>
      <c r="L719" s="137">
        <v>0</v>
      </c>
    </row>
    <row r="720" spans="7:12" x14ac:dyDescent="0.25">
      <c r="G720" s="136">
        <v>43297</v>
      </c>
      <c r="H720" t="s">
        <v>25</v>
      </c>
      <c r="I720" t="s">
        <v>63</v>
      </c>
      <c r="J720" t="s">
        <v>315</v>
      </c>
      <c r="K720" s="138">
        <v>8</v>
      </c>
      <c r="L720" s="137">
        <v>0</v>
      </c>
    </row>
    <row r="721" spans="7:12" x14ac:dyDescent="0.25">
      <c r="G721" s="136">
        <v>43297</v>
      </c>
      <c r="H721" t="s">
        <v>180</v>
      </c>
      <c r="I721" t="s">
        <v>63</v>
      </c>
      <c r="J721" t="s">
        <v>315</v>
      </c>
      <c r="K721" s="138">
        <v>64.900000000000006</v>
      </c>
      <c r="L721" s="137">
        <v>0</v>
      </c>
    </row>
    <row r="722" spans="7:12" x14ac:dyDescent="0.25">
      <c r="G722" s="136">
        <v>43297</v>
      </c>
      <c r="H722" t="s">
        <v>180</v>
      </c>
      <c r="I722" t="s">
        <v>163</v>
      </c>
      <c r="J722" t="s">
        <v>315</v>
      </c>
      <c r="K722" s="138">
        <v>25.95</v>
      </c>
      <c r="L722" s="137">
        <v>0</v>
      </c>
    </row>
    <row r="723" spans="7:12" x14ac:dyDescent="0.25">
      <c r="G723" s="136">
        <v>43297</v>
      </c>
      <c r="H723" t="s">
        <v>28</v>
      </c>
      <c r="I723" t="s">
        <v>63</v>
      </c>
      <c r="J723" t="s">
        <v>315</v>
      </c>
      <c r="K723" s="138">
        <v>8</v>
      </c>
      <c r="L723" s="137">
        <v>0</v>
      </c>
    </row>
    <row r="724" spans="7:12" x14ac:dyDescent="0.25">
      <c r="G724" s="136">
        <v>43297</v>
      </c>
      <c r="H724" t="s">
        <v>28</v>
      </c>
      <c r="I724" t="s">
        <v>163</v>
      </c>
      <c r="J724" t="s">
        <v>315</v>
      </c>
      <c r="K724" s="138">
        <v>85</v>
      </c>
      <c r="L724" s="137">
        <v>0</v>
      </c>
    </row>
    <row r="725" spans="7:12" x14ac:dyDescent="0.25">
      <c r="G725" s="136">
        <v>43297</v>
      </c>
      <c r="H725" t="s">
        <v>28</v>
      </c>
      <c r="I725" t="s">
        <v>112</v>
      </c>
      <c r="J725" t="s">
        <v>315</v>
      </c>
      <c r="K725" s="138">
        <v>112</v>
      </c>
      <c r="L725" s="137">
        <v>0</v>
      </c>
    </row>
    <row r="726" spans="7:12" x14ac:dyDescent="0.25">
      <c r="G726" s="136">
        <v>43297</v>
      </c>
      <c r="H726" t="s">
        <v>28</v>
      </c>
      <c r="I726" t="s">
        <v>221</v>
      </c>
      <c r="J726" t="s">
        <v>316</v>
      </c>
      <c r="K726" s="138">
        <v>4.8</v>
      </c>
      <c r="L726" s="137">
        <v>0</v>
      </c>
    </row>
    <row r="727" spans="7:12" x14ac:dyDescent="0.25">
      <c r="G727" s="136">
        <v>43298</v>
      </c>
      <c r="H727" t="s">
        <v>27</v>
      </c>
      <c r="I727" t="s">
        <v>63</v>
      </c>
      <c r="J727" t="s">
        <v>317</v>
      </c>
      <c r="K727" s="138">
        <v>8</v>
      </c>
      <c r="L727" s="137">
        <v>0</v>
      </c>
    </row>
    <row r="728" spans="7:12" x14ac:dyDescent="0.25">
      <c r="G728" s="136">
        <v>43298</v>
      </c>
      <c r="H728" t="s">
        <v>183</v>
      </c>
      <c r="I728" t="s">
        <v>42</v>
      </c>
      <c r="J728" t="s">
        <v>317</v>
      </c>
      <c r="K728" s="138">
        <v>3.47</v>
      </c>
      <c r="L728" s="137">
        <v>0</v>
      </c>
    </row>
    <row r="729" spans="7:12" x14ac:dyDescent="0.25">
      <c r="G729" s="136">
        <v>43298</v>
      </c>
      <c r="H729" t="s">
        <v>191</v>
      </c>
      <c r="I729" t="s">
        <v>176</v>
      </c>
      <c r="J729" t="s">
        <v>317</v>
      </c>
      <c r="K729" s="138">
        <v>700.28</v>
      </c>
      <c r="L729" s="137">
        <v>0</v>
      </c>
    </row>
    <row r="730" spans="7:12" x14ac:dyDescent="0.25">
      <c r="G730" s="136">
        <v>43298</v>
      </c>
      <c r="H730" t="s">
        <v>191</v>
      </c>
      <c r="I730" t="s">
        <v>42</v>
      </c>
      <c r="J730" t="s">
        <v>317</v>
      </c>
      <c r="K730" s="138">
        <v>225.5</v>
      </c>
      <c r="L730" s="137">
        <v>0</v>
      </c>
    </row>
    <row r="731" spans="7:12" x14ac:dyDescent="0.25">
      <c r="G731" s="136">
        <v>43298</v>
      </c>
      <c r="H731" t="s">
        <v>25</v>
      </c>
      <c r="I731" t="s">
        <v>63</v>
      </c>
      <c r="J731" t="s">
        <v>317</v>
      </c>
      <c r="K731" s="138">
        <v>64</v>
      </c>
      <c r="L731" s="137">
        <v>0</v>
      </c>
    </row>
    <row r="732" spans="7:12" x14ac:dyDescent="0.25">
      <c r="G732" s="136">
        <v>43298</v>
      </c>
      <c r="H732" t="s">
        <v>25</v>
      </c>
      <c r="I732" t="s">
        <v>63</v>
      </c>
      <c r="J732" t="s">
        <v>317</v>
      </c>
      <c r="K732" s="138">
        <v>8</v>
      </c>
      <c r="L732" s="137">
        <v>0</v>
      </c>
    </row>
    <row r="733" spans="7:12" x14ac:dyDescent="0.25">
      <c r="G733" s="136">
        <v>43298</v>
      </c>
      <c r="H733" t="s">
        <v>207</v>
      </c>
      <c r="I733" t="s">
        <v>176</v>
      </c>
      <c r="J733" t="s">
        <v>317</v>
      </c>
      <c r="K733" s="138">
        <v>41.4</v>
      </c>
      <c r="L733" s="137">
        <v>0</v>
      </c>
    </row>
    <row r="734" spans="7:12" x14ac:dyDescent="0.25">
      <c r="G734" s="136">
        <v>43298</v>
      </c>
      <c r="H734" t="s">
        <v>181</v>
      </c>
      <c r="I734" t="s">
        <v>112</v>
      </c>
      <c r="J734" t="s">
        <v>317</v>
      </c>
      <c r="K734" s="138">
        <v>53.85</v>
      </c>
      <c r="L734" s="137">
        <v>0</v>
      </c>
    </row>
    <row r="735" spans="7:12" x14ac:dyDescent="0.25">
      <c r="G735" s="136">
        <v>43298</v>
      </c>
      <c r="H735" t="s">
        <v>197</v>
      </c>
      <c r="I735" t="s">
        <v>178</v>
      </c>
      <c r="J735" t="s">
        <v>317</v>
      </c>
      <c r="K735" s="138">
        <v>76.98</v>
      </c>
      <c r="L735" s="137">
        <v>0</v>
      </c>
    </row>
    <row r="736" spans="7:12" x14ac:dyDescent="0.25">
      <c r="G736" s="136">
        <v>43298</v>
      </c>
      <c r="H736" t="s">
        <v>28</v>
      </c>
      <c r="I736" t="s">
        <v>63</v>
      </c>
      <c r="J736" t="s">
        <v>317</v>
      </c>
      <c r="K736" s="138">
        <v>16</v>
      </c>
      <c r="L736" s="137">
        <v>0</v>
      </c>
    </row>
    <row r="737" spans="7:12" x14ac:dyDescent="0.25">
      <c r="G737" s="136">
        <v>43298</v>
      </c>
      <c r="H737" t="s">
        <v>28</v>
      </c>
      <c r="I737" t="s">
        <v>63</v>
      </c>
      <c r="J737" t="s">
        <v>317</v>
      </c>
      <c r="K737" s="138">
        <v>8</v>
      </c>
      <c r="L737" s="137">
        <v>0</v>
      </c>
    </row>
    <row r="738" spans="7:12" x14ac:dyDescent="0.25">
      <c r="G738" s="136">
        <v>43298</v>
      </c>
      <c r="H738" t="s">
        <v>28</v>
      </c>
      <c r="I738" t="s">
        <v>112</v>
      </c>
      <c r="J738" t="s">
        <v>317</v>
      </c>
      <c r="K738" s="138">
        <v>96</v>
      </c>
      <c r="L738" s="137">
        <v>0</v>
      </c>
    </row>
    <row r="739" spans="7:12" x14ac:dyDescent="0.25">
      <c r="G739" s="136">
        <v>43298</v>
      </c>
      <c r="H739" t="s">
        <v>28</v>
      </c>
      <c r="I739" t="s">
        <v>112</v>
      </c>
      <c r="J739" t="s">
        <v>317</v>
      </c>
      <c r="K739" s="138">
        <v>25.99</v>
      </c>
      <c r="L739" s="137">
        <v>0</v>
      </c>
    </row>
    <row r="740" spans="7:12" x14ac:dyDescent="0.25">
      <c r="G740" s="136">
        <v>43298</v>
      </c>
      <c r="H740" t="s">
        <v>28</v>
      </c>
      <c r="I740" t="s">
        <v>112</v>
      </c>
      <c r="J740" t="s">
        <v>317</v>
      </c>
      <c r="K740" s="138">
        <v>13.6</v>
      </c>
      <c r="L740" s="137">
        <v>0</v>
      </c>
    </row>
    <row r="741" spans="7:12" x14ac:dyDescent="0.25">
      <c r="G741" s="136">
        <v>43298</v>
      </c>
      <c r="H741" t="s">
        <v>28</v>
      </c>
      <c r="I741" t="s">
        <v>155</v>
      </c>
      <c r="J741" t="s">
        <v>317</v>
      </c>
      <c r="K741" s="138">
        <v>47.98</v>
      </c>
      <c r="L741" s="137">
        <v>0</v>
      </c>
    </row>
    <row r="742" spans="7:12" x14ac:dyDescent="0.25">
      <c r="G742" s="136">
        <v>43298</v>
      </c>
      <c r="H742" t="s">
        <v>28</v>
      </c>
      <c r="I742" t="s">
        <v>155</v>
      </c>
      <c r="J742" t="s">
        <v>317</v>
      </c>
      <c r="K742" s="138">
        <v>43</v>
      </c>
      <c r="L742" s="137">
        <v>0</v>
      </c>
    </row>
    <row r="743" spans="7:12" x14ac:dyDescent="0.25">
      <c r="G743" s="136">
        <v>43298</v>
      </c>
      <c r="H743" t="s">
        <v>28</v>
      </c>
      <c r="I743" t="s">
        <v>155</v>
      </c>
      <c r="J743" t="s">
        <v>317</v>
      </c>
      <c r="K743" s="138">
        <v>40.19</v>
      </c>
      <c r="L743" s="137">
        <v>0</v>
      </c>
    </row>
    <row r="744" spans="7:12" x14ac:dyDescent="0.25">
      <c r="G744" s="136">
        <v>43298</v>
      </c>
      <c r="H744" t="s">
        <v>28</v>
      </c>
      <c r="I744" t="s">
        <v>155</v>
      </c>
      <c r="J744" t="s">
        <v>317</v>
      </c>
      <c r="K744" s="138">
        <v>38.18</v>
      </c>
      <c r="L744" s="137">
        <v>0</v>
      </c>
    </row>
    <row r="745" spans="7:12" x14ac:dyDescent="0.25">
      <c r="G745" s="136">
        <v>43298</v>
      </c>
      <c r="H745" t="s">
        <v>28</v>
      </c>
      <c r="I745" t="s">
        <v>155</v>
      </c>
      <c r="J745" t="s">
        <v>317</v>
      </c>
      <c r="K745" s="138">
        <v>28.75</v>
      </c>
      <c r="L745" s="137">
        <v>0</v>
      </c>
    </row>
    <row r="746" spans="7:12" x14ac:dyDescent="0.25">
      <c r="G746" s="136">
        <v>43298</v>
      </c>
      <c r="H746" t="s">
        <v>28</v>
      </c>
      <c r="I746" t="s">
        <v>155</v>
      </c>
      <c r="J746" t="s">
        <v>317</v>
      </c>
      <c r="K746" s="138">
        <v>27.9</v>
      </c>
      <c r="L746" s="137">
        <v>0</v>
      </c>
    </row>
    <row r="747" spans="7:12" x14ac:dyDescent="0.25">
      <c r="G747" s="136">
        <v>43298</v>
      </c>
      <c r="H747" t="s">
        <v>28</v>
      </c>
      <c r="I747" t="s">
        <v>66</v>
      </c>
      <c r="J747" t="s">
        <v>106</v>
      </c>
      <c r="K747" s="138">
        <v>2.25</v>
      </c>
      <c r="L747" s="137">
        <v>0</v>
      </c>
    </row>
    <row r="748" spans="7:12" x14ac:dyDescent="0.25">
      <c r="G748" s="136">
        <v>43298</v>
      </c>
      <c r="H748" t="s">
        <v>28</v>
      </c>
      <c r="I748" t="s">
        <v>66</v>
      </c>
      <c r="J748" t="s">
        <v>301</v>
      </c>
      <c r="K748" s="138">
        <v>3.7</v>
      </c>
      <c r="L748" s="137">
        <v>0</v>
      </c>
    </row>
    <row r="749" spans="7:12" x14ac:dyDescent="0.25">
      <c r="G749" s="136">
        <v>43298</v>
      </c>
      <c r="H749" t="s">
        <v>28</v>
      </c>
      <c r="I749" t="s">
        <v>66</v>
      </c>
      <c r="J749" t="s">
        <v>318</v>
      </c>
      <c r="K749" s="138">
        <v>3.6</v>
      </c>
      <c r="L749" s="137">
        <v>0</v>
      </c>
    </row>
    <row r="750" spans="7:12" x14ac:dyDescent="0.25">
      <c r="G750" s="136">
        <v>43299</v>
      </c>
      <c r="H750" t="s">
        <v>25</v>
      </c>
      <c r="I750" t="s">
        <v>63</v>
      </c>
      <c r="J750" t="s">
        <v>319</v>
      </c>
      <c r="K750" s="138">
        <v>24</v>
      </c>
      <c r="L750" s="137">
        <v>0</v>
      </c>
    </row>
    <row r="751" spans="7:12" x14ac:dyDescent="0.25">
      <c r="G751" s="136">
        <v>43299</v>
      </c>
      <c r="H751" t="s">
        <v>25</v>
      </c>
      <c r="I751" t="s">
        <v>63</v>
      </c>
      <c r="J751" t="s">
        <v>319</v>
      </c>
      <c r="K751" s="138">
        <v>8</v>
      </c>
      <c r="L751" s="137">
        <v>0</v>
      </c>
    </row>
    <row r="752" spans="7:12" x14ac:dyDescent="0.25">
      <c r="G752" s="136">
        <v>43299</v>
      </c>
      <c r="H752" t="s">
        <v>28</v>
      </c>
      <c r="I752" t="s">
        <v>163</v>
      </c>
      <c r="J752" t="s">
        <v>319</v>
      </c>
      <c r="K752" s="138">
        <v>18</v>
      </c>
      <c r="L752" s="137">
        <v>0</v>
      </c>
    </row>
    <row r="753" spans="7:12" x14ac:dyDescent="0.25">
      <c r="G753" s="136">
        <v>43299</v>
      </c>
      <c r="H753" t="s">
        <v>28</v>
      </c>
      <c r="I753" t="s">
        <v>66</v>
      </c>
      <c r="J753" t="s">
        <v>320</v>
      </c>
      <c r="K753" s="138">
        <v>17.149999999999999</v>
      </c>
      <c r="L753" s="137">
        <v>0</v>
      </c>
    </row>
    <row r="754" spans="7:12" x14ac:dyDescent="0.25">
      <c r="G754" s="136">
        <v>43299</v>
      </c>
      <c r="H754" t="s">
        <v>28</v>
      </c>
      <c r="I754" t="s">
        <v>66</v>
      </c>
      <c r="J754" t="s">
        <v>108</v>
      </c>
      <c r="K754" s="138">
        <v>1.8</v>
      </c>
      <c r="L754" s="137">
        <v>0</v>
      </c>
    </row>
    <row r="755" spans="7:12" x14ac:dyDescent="0.25">
      <c r="G755" s="136">
        <v>43299</v>
      </c>
      <c r="H755" t="s">
        <v>28</v>
      </c>
      <c r="I755" t="s">
        <v>66</v>
      </c>
      <c r="J755" t="s">
        <v>109</v>
      </c>
      <c r="K755" s="138">
        <v>22.8</v>
      </c>
      <c r="L755" s="137">
        <v>0</v>
      </c>
    </row>
    <row r="756" spans="7:12" x14ac:dyDescent="0.25">
      <c r="G756" s="136">
        <v>43299</v>
      </c>
      <c r="H756" t="s">
        <v>28</v>
      </c>
      <c r="I756" t="s">
        <v>66</v>
      </c>
      <c r="J756" t="s">
        <v>266</v>
      </c>
      <c r="K756" s="138">
        <v>2.1</v>
      </c>
      <c r="L756" s="137">
        <v>0</v>
      </c>
    </row>
    <row r="757" spans="7:12" x14ac:dyDescent="0.25">
      <c r="G757" s="136">
        <v>43299</v>
      </c>
      <c r="H757" t="s">
        <v>28</v>
      </c>
      <c r="I757" t="s">
        <v>66</v>
      </c>
      <c r="J757" t="s">
        <v>276</v>
      </c>
      <c r="K757" s="138">
        <v>1.8</v>
      </c>
      <c r="L757" s="137">
        <v>0</v>
      </c>
    </row>
    <row r="758" spans="7:12" x14ac:dyDescent="0.25">
      <c r="G758" s="136">
        <v>43300</v>
      </c>
      <c r="H758" t="s">
        <v>192</v>
      </c>
      <c r="I758" t="s">
        <v>63</v>
      </c>
      <c r="J758" t="s">
        <v>321</v>
      </c>
      <c r="K758" s="138">
        <v>88.9</v>
      </c>
      <c r="L758" s="137">
        <v>0</v>
      </c>
    </row>
    <row r="759" spans="7:12" x14ac:dyDescent="0.25">
      <c r="G759" s="136">
        <v>43300</v>
      </c>
      <c r="H759" t="s">
        <v>27</v>
      </c>
      <c r="I759" t="s">
        <v>63</v>
      </c>
      <c r="J759" t="s">
        <v>321</v>
      </c>
      <c r="K759" s="138">
        <v>56</v>
      </c>
      <c r="L759" s="137">
        <v>0</v>
      </c>
    </row>
    <row r="760" spans="7:12" x14ac:dyDescent="0.25">
      <c r="G760" s="136">
        <v>43300</v>
      </c>
      <c r="H760" t="s">
        <v>199</v>
      </c>
      <c r="I760" t="s">
        <v>42</v>
      </c>
      <c r="J760" t="s">
        <v>321</v>
      </c>
      <c r="K760" s="138">
        <v>36.590000000000003</v>
      </c>
      <c r="L760" s="137">
        <v>0</v>
      </c>
    </row>
    <row r="761" spans="7:12" x14ac:dyDescent="0.25">
      <c r="G761" s="136">
        <v>43300</v>
      </c>
      <c r="H761" t="s">
        <v>25</v>
      </c>
      <c r="I761" t="s">
        <v>63</v>
      </c>
      <c r="J761" t="s">
        <v>321</v>
      </c>
      <c r="K761" s="138">
        <v>72</v>
      </c>
      <c r="L761" s="137">
        <v>0</v>
      </c>
    </row>
    <row r="762" spans="7:12" x14ac:dyDescent="0.25">
      <c r="G762" s="136">
        <v>43300</v>
      </c>
      <c r="H762" t="s">
        <v>25</v>
      </c>
      <c r="I762" t="s">
        <v>222</v>
      </c>
      <c r="J762" t="s">
        <v>322</v>
      </c>
      <c r="K762" s="138">
        <v>21.79</v>
      </c>
      <c r="L762" s="137">
        <v>0</v>
      </c>
    </row>
    <row r="763" spans="7:12" x14ac:dyDescent="0.25">
      <c r="G763" s="136">
        <v>43300</v>
      </c>
      <c r="H763" t="s">
        <v>201</v>
      </c>
      <c r="I763" t="s">
        <v>63</v>
      </c>
      <c r="J763" t="s">
        <v>321</v>
      </c>
      <c r="K763" s="138">
        <v>26.23</v>
      </c>
      <c r="L763" s="137">
        <v>0</v>
      </c>
    </row>
    <row r="764" spans="7:12" x14ac:dyDescent="0.25">
      <c r="G764" s="136">
        <v>43300</v>
      </c>
      <c r="H764" t="s">
        <v>187</v>
      </c>
      <c r="I764" t="s">
        <v>42</v>
      </c>
      <c r="J764" t="s">
        <v>321</v>
      </c>
      <c r="K764" s="138">
        <v>121.68</v>
      </c>
      <c r="L764" s="137">
        <v>0</v>
      </c>
    </row>
    <row r="765" spans="7:12" x14ac:dyDescent="0.25">
      <c r="G765" s="136">
        <v>43300</v>
      </c>
      <c r="H765" t="s">
        <v>28</v>
      </c>
      <c r="I765" t="s">
        <v>66</v>
      </c>
      <c r="J765" t="s">
        <v>133</v>
      </c>
      <c r="K765" s="138">
        <v>5</v>
      </c>
      <c r="L765" s="137">
        <v>0</v>
      </c>
    </row>
    <row r="766" spans="7:12" x14ac:dyDescent="0.25">
      <c r="G766" s="136">
        <v>43300</v>
      </c>
      <c r="H766" t="s">
        <v>28</v>
      </c>
      <c r="I766" t="s">
        <v>66</v>
      </c>
      <c r="J766" t="s">
        <v>137</v>
      </c>
      <c r="K766" s="138">
        <v>2.4</v>
      </c>
      <c r="L766" s="137">
        <v>0</v>
      </c>
    </row>
    <row r="767" spans="7:12" x14ac:dyDescent="0.25">
      <c r="G767" s="136">
        <v>43301</v>
      </c>
      <c r="H767" t="s">
        <v>192</v>
      </c>
      <c r="I767" t="s">
        <v>63</v>
      </c>
      <c r="J767" t="s">
        <v>323</v>
      </c>
      <c r="K767" s="138">
        <v>11.49</v>
      </c>
      <c r="L767" s="137">
        <v>0</v>
      </c>
    </row>
    <row r="768" spans="7:12" x14ac:dyDescent="0.25">
      <c r="G768" s="136">
        <v>43301</v>
      </c>
      <c r="H768" t="s">
        <v>27</v>
      </c>
      <c r="I768" t="s">
        <v>63</v>
      </c>
      <c r="J768" t="s">
        <v>323</v>
      </c>
      <c r="K768" s="138">
        <v>8</v>
      </c>
      <c r="L768" s="137">
        <v>0</v>
      </c>
    </row>
    <row r="769" spans="7:12" x14ac:dyDescent="0.25">
      <c r="G769" s="136">
        <v>43301</v>
      </c>
      <c r="H769" t="s">
        <v>184</v>
      </c>
      <c r="I769" t="s">
        <v>112</v>
      </c>
      <c r="J769" t="s">
        <v>323</v>
      </c>
      <c r="K769" s="138">
        <v>0</v>
      </c>
      <c r="L769" s="137">
        <v>5</v>
      </c>
    </row>
    <row r="770" spans="7:12" x14ac:dyDescent="0.25">
      <c r="G770" s="136">
        <v>43301</v>
      </c>
      <c r="H770" t="s">
        <v>184</v>
      </c>
      <c r="I770" t="s">
        <v>42</v>
      </c>
      <c r="J770" t="s">
        <v>323</v>
      </c>
      <c r="K770" s="138">
        <v>133</v>
      </c>
      <c r="L770" s="137">
        <v>0</v>
      </c>
    </row>
    <row r="771" spans="7:12" x14ac:dyDescent="0.25">
      <c r="G771" s="136">
        <v>43301</v>
      </c>
      <c r="H771" t="s">
        <v>183</v>
      </c>
      <c r="I771" t="s">
        <v>42</v>
      </c>
      <c r="J771" t="s">
        <v>323</v>
      </c>
      <c r="K771" s="138">
        <v>33.770000000000003</v>
      </c>
      <c r="L771" s="137">
        <v>0</v>
      </c>
    </row>
    <row r="772" spans="7:12" x14ac:dyDescent="0.25">
      <c r="G772" s="136">
        <v>43301</v>
      </c>
      <c r="H772" t="s">
        <v>25</v>
      </c>
      <c r="I772" t="s">
        <v>223</v>
      </c>
      <c r="J772" t="s">
        <v>323</v>
      </c>
      <c r="K772" s="138">
        <v>8</v>
      </c>
      <c r="L772" s="137">
        <v>0</v>
      </c>
    </row>
    <row r="773" spans="7:12" x14ac:dyDescent="0.25">
      <c r="G773" s="136">
        <v>43301</v>
      </c>
      <c r="H773" t="s">
        <v>25</v>
      </c>
      <c r="I773" t="s">
        <v>63</v>
      </c>
      <c r="J773" t="s">
        <v>323</v>
      </c>
      <c r="K773" s="138">
        <v>24</v>
      </c>
      <c r="L773" s="137">
        <v>0</v>
      </c>
    </row>
    <row r="774" spans="7:12" x14ac:dyDescent="0.25">
      <c r="G774" s="136">
        <v>43301</v>
      </c>
      <c r="H774" t="s">
        <v>25</v>
      </c>
      <c r="I774" t="s">
        <v>63</v>
      </c>
      <c r="J774" t="s">
        <v>323</v>
      </c>
      <c r="K774" s="138">
        <v>16</v>
      </c>
      <c r="L774" s="137">
        <v>0</v>
      </c>
    </row>
    <row r="775" spans="7:12" x14ac:dyDescent="0.25">
      <c r="G775" s="136">
        <v>43301</v>
      </c>
      <c r="H775" t="s">
        <v>25</v>
      </c>
      <c r="I775" t="s">
        <v>63</v>
      </c>
      <c r="J775" t="s">
        <v>323</v>
      </c>
      <c r="K775" s="138">
        <v>8</v>
      </c>
      <c r="L775" s="137">
        <v>0</v>
      </c>
    </row>
    <row r="776" spans="7:12" x14ac:dyDescent="0.25">
      <c r="G776" s="136">
        <v>43301</v>
      </c>
      <c r="H776" t="s">
        <v>182</v>
      </c>
      <c r="I776" t="s">
        <v>163</v>
      </c>
      <c r="J776" t="s">
        <v>323</v>
      </c>
      <c r="K776" s="138">
        <v>281.54000000000002</v>
      </c>
      <c r="L776" s="137">
        <v>0</v>
      </c>
    </row>
    <row r="777" spans="7:12" x14ac:dyDescent="0.25">
      <c r="G777" s="136">
        <v>43301</v>
      </c>
      <c r="H777" t="s">
        <v>180</v>
      </c>
      <c r="I777" t="s">
        <v>42</v>
      </c>
      <c r="J777" t="s">
        <v>323</v>
      </c>
      <c r="K777" s="138">
        <v>30</v>
      </c>
      <c r="L777" s="137">
        <v>0</v>
      </c>
    </row>
    <row r="778" spans="7:12" x14ac:dyDescent="0.25">
      <c r="G778" s="136">
        <v>43301</v>
      </c>
      <c r="H778" t="s">
        <v>179</v>
      </c>
      <c r="I778" t="s">
        <v>42</v>
      </c>
      <c r="J778" t="s">
        <v>323</v>
      </c>
      <c r="K778" s="138">
        <v>5</v>
      </c>
      <c r="L778" s="137">
        <v>0</v>
      </c>
    </row>
    <row r="779" spans="7:12" x14ac:dyDescent="0.25">
      <c r="G779" s="136">
        <v>43301</v>
      </c>
      <c r="H779" t="s">
        <v>28</v>
      </c>
      <c r="I779" t="s">
        <v>66</v>
      </c>
      <c r="J779" t="s">
        <v>101</v>
      </c>
      <c r="K779" s="138">
        <v>1.8</v>
      </c>
      <c r="L779" s="137">
        <v>0</v>
      </c>
    </row>
    <row r="780" spans="7:12" x14ac:dyDescent="0.25">
      <c r="G780" s="136">
        <v>43301</v>
      </c>
      <c r="H780" t="s">
        <v>28</v>
      </c>
      <c r="I780" t="s">
        <v>66</v>
      </c>
      <c r="J780" t="s">
        <v>301</v>
      </c>
      <c r="K780" s="138">
        <v>3.7</v>
      </c>
      <c r="L780" s="137">
        <v>0</v>
      </c>
    </row>
    <row r="781" spans="7:12" x14ac:dyDescent="0.25">
      <c r="G781" s="136">
        <v>43301</v>
      </c>
      <c r="H781" t="s">
        <v>28</v>
      </c>
      <c r="I781" t="s">
        <v>66</v>
      </c>
      <c r="J781" t="s">
        <v>122</v>
      </c>
      <c r="K781" s="138">
        <v>1.3</v>
      </c>
      <c r="L781" s="137">
        <v>0</v>
      </c>
    </row>
    <row r="782" spans="7:12" x14ac:dyDescent="0.25">
      <c r="G782" s="136">
        <v>43301</v>
      </c>
      <c r="H782" t="s">
        <v>28</v>
      </c>
      <c r="I782" t="s">
        <v>66</v>
      </c>
      <c r="J782" t="s">
        <v>116</v>
      </c>
      <c r="K782" s="138">
        <v>7.35</v>
      </c>
      <c r="L782" s="137">
        <v>0</v>
      </c>
    </row>
    <row r="783" spans="7:12" x14ac:dyDescent="0.25">
      <c r="G783" s="136">
        <v>43301</v>
      </c>
      <c r="H783" t="s">
        <v>28</v>
      </c>
      <c r="I783" t="s">
        <v>42</v>
      </c>
      <c r="J783" t="s">
        <v>323</v>
      </c>
      <c r="K783" s="138">
        <v>124</v>
      </c>
      <c r="L783" s="137">
        <v>0</v>
      </c>
    </row>
    <row r="784" spans="7:12" x14ac:dyDescent="0.25">
      <c r="G784" s="136">
        <v>43302</v>
      </c>
      <c r="H784" t="s">
        <v>192</v>
      </c>
      <c r="I784" t="s">
        <v>63</v>
      </c>
      <c r="J784" t="s">
        <v>324</v>
      </c>
      <c r="K784" s="138">
        <v>118.93</v>
      </c>
      <c r="L784" s="137">
        <v>0</v>
      </c>
    </row>
    <row r="785" spans="7:12" x14ac:dyDescent="0.25">
      <c r="G785" s="136">
        <v>43302</v>
      </c>
      <c r="H785" t="s">
        <v>27</v>
      </c>
      <c r="I785" t="s">
        <v>63</v>
      </c>
      <c r="J785" t="s">
        <v>324</v>
      </c>
      <c r="K785" s="138">
        <v>8</v>
      </c>
      <c r="L785" s="137">
        <v>0</v>
      </c>
    </row>
    <row r="786" spans="7:12" x14ac:dyDescent="0.25">
      <c r="G786" s="136">
        <v>43302</v>
      </c>
      <c r="H786" t="s">
        <v>198</v>
      </c>
      <c r="I786" t="s">
        <v>42</v>
      </c>
      <c r="J786" t="s">
        <v>324</v>
      </c>
      <c r="K786" s="138">
        <v>16.600000000000001</v>
      </c>
      <c r="L786" s="137">
        <v>0</v>
      </c>
    </row>
    <row r="787" spans="7:12" x14ac:dyDescent="0.25">
      <c r="G787" s="136">
        <v>43302</v>
      </c>
      <c r="H787" t="s">
        <v>25</v>
      </c>
      <c r="I787" t="s">
        <v>63</v>
      </c>
      <c r="J787" t="s">
        <v>324</v>
      </c>
      <c r="K787" s="138">
        <v>40</v>
      </c>
      <c r="L787" s="137">
        <v>0</v>
      </c>
    </row>
    <row r="788" spans="7:12" x14ac:dyDescent="0.25">
      <c r="G788" s="136">
        <v>43302</v>
      </c>
      <c r="H788" t="s">
        <v>25</v>
      </c>
      <c r="I788" t="s">
        <v>63</v>
      </c>
      <c r="J788" t="s">
        <v>324</v>
      </c>
      <c r="K788" s="138">
        <v>32</v>
      </c>
      <c r="L788" s="137">
        <v>0</v>
      </c>
    </row>
    <row r="789" spans="7:12" x14ac:dyDescent="0.25">
      <c r="G789" s="136">
        <v>43302</v>
      </c>
      <c r="H789" t="s">
        <v>25</v>
      </c>
      <c r="I789" t="s">
        <v>63</v>
      </c>
      <c r="J789" t="s">
        <v>324</v>
      </c>
      <c r="K789" s="138">
        <v>16</v>
      </c>
      <c r="L789" s="137">
        <v>0</v>
      </c>
    </row>
    <row r="790" spans="7:12" x14ac:dyDescent="0.25">
      <c r="G790" s="136">
        <v>43302</v>
      </c>
      <c r="H790" t="s">
        <v>25</v>
      </c>
      <c r="I790" t="s">
        <v>63</v>
      </c>
      <c r="J790" t="s">
        <v>324</v>
      </c>
      <c r="K790" s="138">
        <v>8</v>
      </c>
      <c r="L790" s="137">
        <v>0</v>
      </c>
    </row>
    <row r="791" spans="7:12" x14ac:dyDescent="0.25">
      <c r="G791" s="136">
        <v>43302</v>
      </c>
      <c r="H791" t="s">
        <v>179</v>
      </c>
      <c r="I791" t="s">
        <v>63</v>
      </c>
      <c r="J791" t="s">
        <v>324</v>
      </c>
      <c r="K791" s="138">
        <v>24.65</v>
      </c>
      <c r="L791" s="137">
        <v>0</v>
      </c>
    </row>
    <row r="792" spans="7:12" x14ac:dyDescent="0.25">
      <c r="G792" s="136">
        <v>43302</v>
      </c>
      <c r="H792" t="s">
        <v>179</v>
      </c>
      <c r="I792" t="s">
        <v>163</v>
      </c>
      <c r="J792" t="s">
        <v>324</v>
      </c>
      <c r="K792" s="138">
        <v>54.79</v>
      </c>
      <c r="L792" s="137">
        <v>0</v>
      </c>
    </row>
    <row r="793" spans="7:12" x14ac:dyDescent="0.25">
      <c r="G793" s="136">
        <v>43302</v>
      </c>
      <c r="H793" t="s">
        <v>28</v>
      </c>
      <c r="I793" t="s">
        <v>163</v>
      </c>
      <c r="J793" t="s">
        <v>324</v>
      </c>
      <c r="K793" s="138">
        <v>149.5</v>
      </c>
      <c r="L793" s="137">
        <v>0</v>
      </c>
    </row>
    <row r="794" spans="7:12" x14ac:dyDescent="0.25">
      <c r="G794" s="136">
        <v>43302</v>
      </c>
      <c r="H794" t="s">
        <v>28</v>
      </c>
      <c r="I794" t="s">
        <v>66</v>
      </c>
      <c r="J794" t="s">
        <v>109</v>
      </c>
      <c r="K794" s="138">
        <v>16.5</v>
      </c>
      <c r="L794" s="137">
        <v>0</v>
      </c>
    </row>
    <row r="795" spans="7:12" x14ac:dyDescent="0.25">
      <c r="G795" s="136">
        <v>43304</v>
      </c>
      <c r="H795" t="s">
        <v>185</v>
      </c>
      <c r="I795" t="s">
        <v>171</v>
      </c>
      <c r="J795" t="s">
        <v>325</v>
      </c>
      <c r="K795" s="138">
        <v>62.73</v>
      </c>
      <c r="L795" s="137">
        <v>0</v>
      </c>
    </row>
    <row r="796" spans="7:12" x14ac:dyDescent="0.25">
      <c r="G796" s="136">
        <v>43304</v>
      </c>
      <c r="H796" t="s">
        <v>183</v>
      </c>
      <c r="I796" t="s">
        <v>42</v>
      </c>
      <c r="J796" t="s">
        <v>325</v>
      </c>
      <c r="K796" s="138">
        <v>27.7</v>
      </c>
      <c r="L796" s="137">
        <v>0</v>
      </c>
    </row>
    <row r="797" spans="7:12" x14ac:dyDescent="0.25">
      <c r="G797" s="136">
        <v>43304</v>
      </c>
      <c r="H797" t="s">
        <v>25</v>
      </c>
      <c r="I797" t="s">
        <v>63</v>
      </c>
      <c r="J797" t="s">
        <v>325</v>
      </c>
      <c r="K797" s="138">
        <v>32</v>
      </c>
      <c r="L797" s="137">
        <v>0</v>
      </c>
    </row>
    <row r="798" spans="7:12" x14ac:dyDescent="0.25">
      <c r="G798" s="136">
        <v>43304</v>
      </c>
      <c r="H798" t="s">
        <v>25</v>
      </c>
      <c r="I798" t="s">
        <v>63</v>
      </c>
      <c r="J798" t="s">
        <v>325</v>
      </c>
      <c r="K798" s="138">
        <v>24</v>
      </c>
      <c r="L798" s="137">
        <v>0</v>
      </c>
    </row>
    <row r="799" spans="7:12" x14ac:dyDescent="0.25">
      <c r="G799" s="136">
        <v>43304</v>
      </c>
      <c r="H799" t="s">
        <v>25</v>
      </c>
      <c r="I799" t="s">
        <v>63</v>
      </c>
      <c r="J799" t="s">
        <v>325</v>
      </c>
      <c r="K799" s="138">
        <v>8</v>
      </c>
      <c r="L799" s="137">
        <v>0</v>
      </c>
    </row>
    <row r="800" spans="7:12" x14ac:dyDescent="0.25">
      <c r="G800" s="136">
        <v>43304</v>
      </c>
      <c r="H800" t="s">
        <v>201</v>
      </c>
      <c r="I800" t="s">
        <v>42</v>
      </c>
      <c r="J800" t="s">
        <v>325</v>
      </c>
      <c r="K800" s="138">
        <v>95</v>
      </c>
      <c r="L800" s="137">
        <v>0</v>
      </c>
    </row>
    <row r="801" spans="7:12" x14ac:dyDescent="0.25">
      <c r="G801" s="136">
        <v>43304</v>
      </c>
      <c r="H801" t="s">
        <v>182</v>
      </c>
      <c r="I801" t="s">
        <v>42</v>
      </c>
      <c r="J801" t="s">
        <v>325</v>
      </c>
      <c r="K801" s="138">
        <v>370.5</v>
      </c>
      <c r="L801" s="137">
        <v>0</v>
      </c>
    </row>
    <row r="802" spans="7:12" x14ac:dyDescent="0.25">
      <c r="G802" s="136">
        <v>43304</v>
      </c>
      <c r="H802" t="s">
        <v>196</v>
      </c>
      <c r="I802" t="s">
        <v>42</v>
      </c>
      <c r="J802" t="s">
        <v>325</v>
      </c>
      <c r="K802" s="138">
        <v>93.37</v>
      </c>
      <c r="L802" s="137">
        <v>0</v>
      </c>
    </row>
    <row r="803" spans="7:12" x14ac:dyDescent="0.25">
      <c r="G803" s="136">
        <v>43304</v>
      </c>
      <c r="H803" t="s">
        <v>196</v>
      </c>
      <c r="I803" t="s">
        <v>171</v>
      </c>
      <c r="J803" t="s">
        <v>325</v>
      </c>
      <c r="K803" s="138">
        <v>403.6</v>
      </c>
      <c r="L803" s="137">
        <v>0</v>
      </c>
    </row>
    <row r="804" spans="7:12" x14ac:dyDescent="0.25">
      <c r="G804" s="136">
        <v>43304</v>
      </c>
      <c r="H804" t="s">
        <v>28</v>
      </c>
      <c r="I804" t="s">
        <v>63</v>
      </c>
      <c r="J804" t="s">
        <v>325</v>
      </c>
      <c r="K804" s="138">
        <v>8</v>
      </c>
      <c r="L804" s="137">
        <v>0</v>
      </c>
    </row>
    <row r="805" spans="7:12" x14ac:dyDescent="0.25">
      <c r="G805" s="136">
        <v>43304</v>
      </c>
      <c r="H805" t="s">
        <v>28</v>
      </c>
      <c r="I805" t="s">
        <v>42</v>
      </c>
      <c r="J805" t="s">
        <v>325</v>
      </c>
      <c r="K805" s="138">
        <v>130</v>
      </c>
      <c r="L805" s="137">
        <v>0</v>
      </c>
    </row>
    <row r="806" spans="7:12" x14ac:dyDescent="0.25">
      <c r="G806" s="136">
        <v>43305</v>
      </c>
      <c r="H806" t="s">
        <v>192</v>
      </c>
      <c r="I806" t="s">
        <v>63</v>
      </c>
      <c r="J806" t="s">
        <v>326</v>
      </c>
      <c r="K806" s="138">
        <v>44.97</v>
      </c>
      <c r="L806" s="137">
        <v>0</v>
      </c>
    </row>
    <row r="807" spans="7:12" x14ac:dyDescent="0.25">
      <c r="G807" s="136">
        <v>43305</v>
      </c>
      <c r="H807" t="s">
        <v>198</v>
      </c>
      <c r="I807" t="s">
        <v>42</v>
      </c>
      <c r="J807" t="s">
        <v>326</v>
      </c>
      <c r="K807" s="138">
        <v>22.05</v>
      </c>
      <c r="L807" s="137">
        <v>0</v>
      </c>
    </row>
    <row r="808" spans="7:12" x14ac:dyDescent="0.25">
      <c r="G808" s="136">
        <v>43305</v>
      </c>
      <c r="H808" t="s">
        <v>191</v>
      </c>
      <c r="I808" t="s">
        <v>63</v>
      </c>
      <c r="J808" t="s">
        <v>326</v>
      </c>
      <c r="K808" s="138">
        <v>173.26</v>
      </c>
      <c r="L808" s="137">
        <v>0</v>
      </c>
    </row>
    <row r="809" spans="7:12" x14ac:dyDescent="0.25">
      <c r="G809" s="136">
        <v>43305</v>
      </c>
      <c r="H809" t="s">
        <v>188</v>
      </c>
      <c r="I809" t="s">
        <v>163</v>
      </c>
      <c r="J809" t="s">
        <v>326</v>
      </c>
      <c r="K809" s="138">
        <v>31.6</v>
      </c>
      <c r="L809" s="137">
        <v>0</v>
      </c>
    </row>
    <row r="810" spans="7:12" x14ac:dyDescent="0.25">
      <c r="G810" s="136">
        <v>43305</v>
      </c>
      <c r="H810" t="s">
        <v>25</v>
      </c>
      <c r="I810" t="s">
        <v>63</v>
      </c>
      <c r="J810" t="s">
        <v>326</v>
      </c>
      <c r="K810" s="138">
        <v>16</v>
      </c>
      <c r="L810" s="137">
        <v>0</v>
      </c>
    </row>
    <row r="811" spans="7:12" x14ac:dyDescent="0.25">
      <c r="G811" s="136">
        <v>43305</v>
      </c>
      <c r="H811" t="s">
        <v>25</v>
      </c>
      <c r="I811" t="s">
        <v>63</v>
      </c>
      <c r="J811" t="s">
        <v>326</v>
      </c>
      <c r="K811" s="138">
        <v>8</v>
      </c>
      <c r="L811" s="137">
        <v>0</v>
      </c>
    </row>
    <row r="812" spans="7:12" x14ac:dyDescent="0.25">
      <c r="G812" s="136">
        <v>43305</v>
      </c>
      <c r="H812" t="s">
        <v>25</v>
      </c>
      <c r="I812" t="s">
        <v>42</v>
      </c>
      <c r="J812" t="s">
        <v>326</v>
      </c>
      <c r="K812" s="138">
        <v>8</v>
      </c>
      <c r="L812" s="137">
        <v>0</v>
      </c>
    </row>
    <row r="813" spans="7:12" x14ac:dyDescent="0.25">
      <c r="G813" s="136">
        <v>43305</v>
      </c>
      <c r="H813" t="s">
        <v>181</v>
      </c>
      <c r="I813" t="s">
        <v>42</v>
      </c>
      <c r="J813" t="s">
        <v>326</v>
      </c>
      <c r="K813" s="138">
        <v>256.27999999999997</v>
      </c>
      <c r="L813" s="137">
        <v>0</v>
      </c>
    </row>
    <row r="814" spans="7:12" x14ac:dyDescent="0.25">
      <c r="G814" s="136">
        <v>43305</v>
      </c>
      <c r="H814" t="s">
        <v>28</v>
      </c>
      <c r="I814" t="s">
        <v>155</v>
      </c>
      <c r="J814" t="s">
        <v>326</v>
      </c>
      <c r="K814" s="138">
        <v>134.71</v>
      </c>
      <c r="L814" s="137">
        <v>0</v>
      </c>
    </row>
    <row r="815" spans="7:12" x14ac:dyDescent="0.25">
      <c r="G815" s="136">
        <v>43305</v>
      </c>
      <c r="H815" t="s">
        <v>28</v>
      </c>
      <c r="I815" t="s">
        <v>155</v>
      </c>
      <c r="J815" t="s">
        <v>326</v>
      </c>
      <c r="K815" s="138">
        <v>10.92</v>
      </c>
      <c r="L815" s="137">
        <v>0</v>
      </c>
    </row>
    <row r="816" spans="7:12" x14ac:dyDescent="0.25">
      <c r="G816" s="136">
        <v>43305</v>
      </c>
      <c r="H816" t="s">
        <v>28</v>
      </c>
      <c r="I816" t="s">
        <v>66</v>
      </c>
      <c r="J816" t="s">
        <v>282</v>
      </c>
      <c r="K816" s="138">
        <v>1.8</v>
      </c>
      <c r="L816" s="137">
        <v>0</v>
      </c>
    </row>
    <row r="817" spans="7:12" x14ac:dyDescent="0.25">
      <c r="G817" s="136">
        <v>43305</v>
      </c>
      <c r="H817" t="s">
        <v>28</v>
      </c>
      <c r="I817" t="s">
        <v>66</v>
      </c>
      <c r="J817" t="s">
        <v>108</v>
      </c>
      <c r="K817" s="138">
        <v>1.8</v>
      </c>
      <c r="L817" s="137">
        <v>0</v>
      </c>
    </row>
    <row r="818" spans="7:12" x14ac:dyDescent="0.25">
      <c r="G818" s="136">
        <v>43305</v>
      </c>
      <c r="H818" t="s">
        <v>28</v>
      </c>
      <c r="I818" t="s">
        <v>66</v>
      </c>
      <c r="J818" t="s">
        <v>132</v>
      </c>
      <c r="K818" s="138">
        <v>10.7</v>
      </c>
      <c r="L818" s="137">
        <v>0</v>
      </c>
    </row>
    <row r="819" spans="7:12" x14ac:dyDescent="0.25">
      <c r="G819" s="136">
        <v>43306</v>
      </c>
      <c r="H819" t="s">
        <v>27</v>
      </c>
      <c r="I819" t="s">
        <v>224</v>
      </c>
      <c r="J819" t="s">
        <v>327</v>
      </c>
      <c r="K819" s="138">
        <v>144.5</v>
      </c>
      <c r="L819" s="137">
        <v>0</v>
      </c>
    </row>
    <row r="820" spans="7:12" x14ac:dyDescent="0.25">
      <c r="G820" s="136">
        <v>43306</v>
      </c>
      <c r="H820" t="s">
        <v>27</v>
      </c>
      <c r="I820" t="s">
        <v>224</v>
      </c>
      <c r="J820" t="s">
        <v>327</v>
      </c>
      <c r="K820" s="138">
        <v>92</v>
      </c>
      <c r="L820" s="137">
        <v>0</v>
      </c>
    </row>
    <row r="821" spans="7:12" x14ac:dyDescent="0.25">
      <c r="G821" s="136">
        <v>43306</v>
      </c>
      <c r="H821" t="s">
        <v>27</v>
      </c>
      <c r="I821" t="s">
        <v>224</v>
      </c>
      <c r="J821" t="s">
        <v>327</v>
      </c>
      <c r="K821" s="138">
        <v>63.84</v>
      </c>
      <c r="L821" s="137">
        <v>0</v>
      </c>
    </row>
    <row r="822" spans="7:12" x14ac:dyDescent="0.25">
      <c r="G822" s="136">
        <v>43306</v>
      </c>
      <c r="H822" t="s">
        <v>27</v>
      </c>
      <c r="I822" t="s">
        <v>224</v>
      </c>
      <c r="J822" t="s">
        <v>327</v>
      </c>
      <c r="K822" s="138">
        <v>49</v>
      </c>
      <c r="L822" s="137">
        <v>0</v>
      </c>
    </row>
    <row r="823" spans="7:12" x14ac:dyDescent="0.25">
      <c r="G823" s="136">
        <v>43306</v>
      </c>
      <c r="H823" t="s">
        <v>27</v>
      </c>
      <c r="I823" t="s">
        <v>224</v>
      </c>
      <c r="J823" t="s">
        <v>327</v>
      </c>
      <c r="K823" s="138">
        <v>34.340000000000003</v>
      </c>
      <c r="L823" s="137">
        <v>0</v>
      </c>
    </row>
    <row r="824" spans="7:12" x14ac:dyDescent="0.25">
      <c r="G824" s="136">
        <v>43306</v>
      </c>
      <c r="H824" t="s">
        <v>27</v>
      </c>
      <c r="I824" t="s">
        <v>224</v>
      </c>
      <c r="J824" t="s">
        <v>327</v>
      </c>
      <c r="K824" s="138">
        <v>30.26</v>
      </c>
      <c r="L824" s="137">
        <v>0</v>
      </c>
    </row>
    <row r="825" spans="7:12" x14ac:dyDescent="0.25">
      <c r="G825" s="136">
        <v>43306</v>
      </c>
      <c r="H825" t="s">
        <v>27</v>
      </c>
      <c r="I825" t="s">
        <v>224</v>
      </c>
      <c r="J825" t="s">
        <v>327</v>
      </c>
      <c r="K825" s="138">
        <v>27.29</v>
      </c>
      <c r="L825" s="137">
        <v>0</v>
      </c>
    </row>
    <row r="826" spans="7:12" x14ac:dyDescent="0.25">
      <c r="G826" s="136">
        <v>43306</v>
      </c>
      <c r="H826" t="s">
        <v>27</v>
      </c>
      <c r="I826" t="s">
        <v>224</v>
      </c>
      <c r="J826" t="s">
        <v>327</v>
      </c>
      <c r="K826" s="138">
        <v>26.11</v>
      </c>
      <c r="L826" s="137">
        <v>0</v>
      </c>
    </row>
    <row r="827" spans="7:12" x14ac:dyDescent="0.25">
      <c r="G827" s="136">
        <v>43306</v>
      </c>
      <c r="H827" t="s">
        <v>27</v>
      </c>
      <c r="I827" t="s">
        <v>224</v>
      </c>
      <c r="J827" t="s">
        <v>327</v>
      </c>
      <c r="K827" s="138">
        <v>25.26</v>
      </c>
      <c r="L827" s="137">
        <v>0</v>
      </c>
    </row>
    <row r="828" spans="7:12" x14ac:dyDescent="0.25">
      <c r="G828" s="136">
        <v>43306</v>
      </c>
      <c r="H828" t="s">
        <v>27</v>
      </c>
      <c r="I828" t="s">
        <v>224</v>
      </c>
      <c r="J828" t="s">
        <v>327</v>
      </c>
      <c r="K828" s="138">
        <v>17.649999999999999</v>
      </c>
      <c r="L828" s="137">
        <v>0</v>
      </c>
    </row>
    <row r="829" spans="7:12" x14ac:dyDescent="0.25">
      <c r="G829" s="136">
        <v>43306</v>
      </c>
      <c r="H829" t="s">
        <v>27</v>
      </c>
      <c r="I829" t="s">
        <v>224</v>
      </c>
      <c r="J829" t="s">
        <v>327</v>
      </c>
      <c r="K829" s="138">
        <v>14.79</v>
      </c>
      <c r="L829" s="137">
        <v>0</v>
      </c>
    </row>
    <row r="830" spans="7:12" x14ac:dyDescent="0.25">
      <c r="G830" s="136">
        <v>43306</v>
      </c>
      <c r="H830" t="s">
        <v>27</v>
      </c>
      <c r="I830" t="s">
        <v>224</v>
      </c>
      <c r="J830" t="s">
        <v>327</v>
      </c>
      <c r="K830" s="138">
        <v>14.38</v>
      </c>
      <c r="L830" s="137">
        <v>0</v>
      </c>
    </row>
    <row r="831" spans="7:12" x14ac:dyDescent="0.25">
      <c r="G831" s="136">
        <v>43306</v>
      </c>
      <c r="H831" t="s">
        <v>27</v>
      </c>
      <c r="I831" t="s">
        <v>224</v>
      </c>
      <c r="J831" t="s">
        <v>327</v>
      </c>
      <c r="K831" s="138">
        <v>13.79</v>
      </c>
      <c r="L831" s="137">
        <v>0</v>
      </c>
    </row>
    <row r="832" spans="7:12" x14ac:dyDescent="0.25">
      <c r="G832" s="136">
        <v>43306</v>
      </c>
      <c r="H832" t="s">
        <v>27</v>
      </c>
      <c r="I832" t="s">
        <v>224</v>
      </c>
      <c r="J832" t="s">
        <v>327</v>
      </c>
      <c r="K832" s="138">
        <v>6.31</v>
      </c>
      <c r="L832" s="137">
        <v>0</v>
      </c>
    </row>
    <row r="833" spans="7:12" x14ac:dyDescent="0.25">
      <c r="G833" s="136">
        <v>43306</v>
      </c>
      <c r="H833" t="s">
        <v>27</v>
      </c>
      <c r="I833" t="s">
        <v>42</v>
      </c>
      <c r="J833" t="s">
        <v>328</v>
      </c>
      <c r="K833" s="138">
        <v>514.79999999999995</v>
      </c>
      <c r="L833" s="137">
        <v>0</v>
      </c>
    </row>
    <row r="834" spans="7:12" x14ac:dyDescent="0.25">
      <c r="G834" s="136">
        <v>43306</v>
      </c>
      <c r="H834" t="s">
        <v>27</v>
      </c>
      <c r="I834" t="s">
        <v>42</v>
      </c>
      <c r="J834" t="s">
        <v>328</v>
      </c>
      <c r="K834" s="138">
        <v>182</v>
      </c>
      <c r="L834" s="137">
        <v>0</v>
      </c>
    </row>
    <row r="835" spans="7:12" x14ac:dyDescent="0.25">
      <c r="G835" s="136">
        <v>43306</v>
      </c>
      <c r="H835" t="s">
        <v>27</v>
      </c>
      <c r="I835" t="s">
        <v>42</v>
      </c>
      <c r="J835" t="s">
        <v>328</v>
      </c>
      <c r="K835" s="138">
        <v>136.5</v>
      </c>
      <c r="L835" s="137">
        <v>0</v>
      </c>
    </row>
    <row r="836" spans="7:12" x14ac:dyDescent="0.25">
      <c r="G836" s="136">
        <v>43306</v>
      </c>
      <c r="H836" t="s">
        <v>185</v>
      </c>
      <c r="I836" t="s">
        <v>224</v>
      </c>
      <c r="J836" t="s">
        <v>327</v>
      </c>
      <c r="K836" s="138">
        <v>96.97</v>
      </c>
      <c r="L836" s="137">
        <v>0</v>
      </c>
    </row>
    <row r="837" spans="7:12" x14ac:dyDescent="0.25">
      <c r="G837" s="136">
        <v>43306</v>
      </c>
      <c r="H837" t="s">
        <v>183</v>
      </c>
      <c r="I837" t="s">
        <v>224</v>
      </c>
      <c r="J837" t="s">
        <v>327</v>
      </c>
      <c r="K837" s="138">
        <v>1367.19</v>
      </c>
      <c r="L837" s="137">
        <v>0</v>
      </c>
    </row>
    <row r="838" spans="7:12" x14ac:dyDescent="0.25">
      <c r="G838" s="136">
        <v>43306</v>
      </c>
      <c r="H838" t="s">
        <v>188</v>
      </c>
      <c r="I838" t="s">
        <v>63</v>
      </c>
      <c r="J838" t="s">
        <v>328</v>
      </c>
      <c r="K838" s="138">
        <v>32</v>
      </c>
      <c r="L838" s="137">
        <v>0</v>
      </c>
    </row>
    <row r="839" spans="7:12" x14ac:dyDescent="0.25">
      <c r="G839" s="136">
        <v>43306</v>
      </c>
      <c r="H839" t="s">
        <v>200</v>
      </c>
      <c r="I839" t="s">
        <v>163</v>
      </c>
      <c r="J839" t="s">
        <v>328</v>
      </c>
      <c r="K839" s="138">
        <v>1719.06</v>
      </c>
      <c r="L839" s="137">
        <v>0</v>
      </c>
    </row>
    <row r="840" spans="7:12" x14ac:dyDescent="0.25">
      <c r="G840" s="136">
        <v>43306</v>
      </c>
      <c r="H840" t="s">
        <v>25</v>
      </c>
      <c r="I840" t="s">
        <v>63</v>
      </c>
      <c r="J840" t="s">
        <v>328</v>
      </c>
      <c r="K840" s="138">
        <v>72</v>
      </c>
      <c r="L840" s="137">
        <v>0</v>
      </c>
    </row>
    <row r="841" spans="7:12" x14ac:dyDescent="0.25">
      <c r="G841" s="136">
        <v>43306</v>
      </c>
      <c r="H841" t="s">
        <v>25</v>
      </c>
      <c r="I841" t="s">
        <v>63</v>
      </c>
      <c r="J841" t="s">
        <v>328</v>
      </c>
      <c r="K841" s="138">
        <v>24</v>
      </c>
      <c r="L841" s="137">
        <v>0</v>
      </c>
    </row>
    <row r="842" spans="7:12" x14ac:dyDescent="0.25">
      <c r="G842" s="136">
        <v>43306</v>
      </c>
      <c r="H842" t="s">
        <v>25</v>
      </c>
      <c r="I842" t="s">
        <v>63</v>
      </c>
      <c r="J842" t="s">
        <v>328</v>
      </c>
      <c r="K842" s="138">
        <v>16</v>
      </c>
      <c r="L842" s="137">
        <v>0</v>
      </c>
    </row>
    <row r="843" spans="7:12" x14ac:dyDescent="0.25">
      <c r="G843" s="136">
        <v>43306</v>
      </c>
      <c r="H843" t="s">
        <v>25</v>
      </c>
      <c r="I843" t="s">
        <v>224</v>
      </c>
      <c r="J843" t="s">
        <v>327</v>
      </c>
      <c r="K843" s="138">
        <v>1542.51</v>
      </c>
      <c r="L843" s="137">
        <v>0</v>
      </c>
    </row>
    <row r="844" spans="7:12" x14ac:dyDescent="0.25">
      <c r="G844" s="136">
        <v>43306</v>
      </c>
      <c r="H844" t="s">
        <v>25</v>
      </c>
      <c r="I844" t="s">
        <v>224</v>
      </c>
      <c r="J844" t="s">
        <v>327</v>
      </c>
      <c r="K844" s="138">
        <v>978.46</v>
      </c>
      <c r="L844" s="137">
        <v>0</v>
      </c>
    </row>
    <row r="845" spans="7:12" x14ac:dyDescent="0.25">
      <c r="G845" s="136">
        <v>43306</v>
      </c>
      <c r="H845" t="s">
        <v>25</v>
      </c>
      <c r="I845" t="s">
        <v>224</v>
      </c>
      <c r="J845" t="s">
        <v>327</v>
      </c>
      <c r="K845" s="138">
        <v>679.01</v>
      </c>
      <c r="L845" s="137">
        <v>0</v>
      </c>
    </row>
    <row r="846" spans="7:12" x14ac:dyDescent="0.25">
      <c r="G846" s="136">
        <v>43306</v>
      </c>
      <c r="H846" t="s">
        <v>25</v>
      </c>
      <c r="I846" t="s">
        <v>224</v>
      </c>
      <c r="J846" t="s">
        <v>327</v>
      </c>
      <c r="K846" s="138">
        <v>649.70000000000005</v>
      </c>
      <c r="L846" s="137">
        <v>0</v>
      </c>
    </row>
    <row r="847" spans="7:12" x14ac:dyDescent="0.25">
      <c r="G847" s="136">
        <v>43306</v>
      </c>
      <c r="H847" t="s">
        <v>25</v>
      </c>
      <c r="I847" t="s">
        <v>224</v>
      </c>
      <c r="J847" t="s">
        <v>327</v>
      </c>
      <c r="K847" s="138">
        <v>578.76</v>
      </c>
      <c r="L847" s="137">
        <v>0</v>
      </c>
    </row>
    <row r="848" spans="7:12" x14ac:dyDescent="0.25">
      <c r="G848" s="136">
        <v>43306</v>
      </c>
      <c r="H848" t="s">
        <v>25</v>
      </c>
      <c r="I848" t="s">
        <v>224</v>
      </c>
      <c r="J848" t="s">
        <v>327</v>
      </c>
      <c r="K848" s="138">
        <v>548.05999999999995</v>
      </c>
      <c r="L848" s="137">
        <v>0</v>
      </c>
    </row>
    <row r="849" spans="7:12" x14ac:dyDescent="0.25">
      <c r="G849" s="136">
        <v>43306</v>
      </c>
      <c r="H849" t="s">
        <v>25</v>
      </c>
      <c r="I849" t="s">
        <v>224</v>
      </c>
      <c r="J849" t="s">
        <v>327</v>
      </c>
      <c r="K849" s="138">
        <v>469.33</v>
      </c>
      <c r="L849" s="137">
        <v>0</v>
      </c>
    </row>
    <row r="850" spans="7:12" x14ac:dyDescent="0.25">
      <c r="G850" s="136">
        <v>43306</v>
      </c>
      <c r="H850" t="s">
        <v>25</v>
      </c>
      <c r="I850" t="s">
        <v>224</v>
      </c>
      <c r="J850" t="s">
        <v>327</v>
      </c>
      <c r="K850" s="138">
        <v>418.53</v>
      </c>
      <c r="L850" s="137">
        <v>0</v>
      </c>
    </row>
    <row r="851" spans="7:12" x14ac:dyDescent="0.25">
      <c r="G851" s="136">
        <v>43306</v>
      </c>
      <c r="H851" t="s">
        <v>25</v>
      </c>
      <c r="I851" t="s">
        <v>224</v>
      </c>
      <c r="J851" t="s">
        <v>327</v>
      </c>
      <c r="K851" s="138">
        <v>417.96</v>
      </c>
      <c r="L851" s="137">
        <v>0</v>
      </c>
    </row>
    <row r="852" spans="7:12" x14ac:dyDescent="0.25">
      <c r="G852" s="136">
        <v>43306</v>
      </c>
      <c r="H852" t="s">
        <v>25</v>
      </c>
      <c r="I852" t="s">
        <v>224</v>
      </c>
      <c r="J852" t="s">
        <v>327</v>
      </c>
      <c r="K852" s="138">
        <v>339.08</v>
      </c>
      <c r="L852" s="137">
        <v>0</v>
      </c>
    </row>
    <row r="853" spans="7:12" x14ac:dyDescent="0.25">
      <c r="G853" s="136">
        <v>43306</v>
      </c>
      <c r="H853" t="s">
        <v>25</v>
      </c>
      <c r="I853" t="s">
        <v>224</v>
      </c>
      <c r="J853" t="s">
        <v>327</v>
      </c>
      <c r="K853" s="138">
        <v>298.81</v>
      </c>
      <c r="L853" s="137">
        <v>0</v>
      </c>
    </row>
    <row r="854" spans="7:12" x14ac:dyDescent="0.25">
      <c r="G854" s="136">
        <v>43306</v>
      </c>
      <c r="H854" t="s">
        <v>25</v>
      </c>
      <c r="I854" t="s">
        <v>224</v>
      </c>
      <c r="J854" t="s">
        <v>327</v>
      </c>
      <c r="K854" s="138">
        <v>288.79000000000002</v>
      </c>
      <c r="L854" s="137">
        <v>0</v>
      </c>
    </row>
    <row r="855" spans="7:12" x14ac:dyDescent="0.25">
      <c r="G855" s="136">
        <v>43306</v>
      </c>
      <c r="H855" t="s">
        <v>25</v>
      </c>
      <c r="I855" t="s">
        <v>224</v>
      </c>
      <c r="J855" t="s">
        <v>327</v>
      </c>
      <c r="K855" s="138">
        <v>281.14</v>
      </c>
      <c r="L855" s="137">
        <v>0</v>
      </c>
    </row>
    <row r="856" spans="7:12" x14ac:dyDescent="0.25">
      <c r="G856" s="136">
        <v>43306</v>
      </c>
      <c r="H856" t="s">
        <v>25</v>
      </c>
      <c r="I856" t="s">
        <v>224</v>
      </c>
      <c r="J856" t="s">
        <v>327</v>
      </c>
      <c r="K856" s="138">
        <v>252.54</v>
      </c>
      <c r="L856" s="137">
        <v>0</v>
      </c>
    </row>
    <row r="857" spans="7:12" x14ac:dyDescent="0.25">
      <c r="G857" s="136">
        <v>43306</v>
      </c>
      <c r="H857" t="s">
        <v>25</v>
      </c>
      <c r="I857" t="s">
        <v>224</v>
      </c>
      <c r="J857" t="s">
        <v>327</v>
      </c>
      <c r="K857" s="138">
        <v>219.43</v>
      </c>
      <c r="L857" s="137">
        <v>0</v>
      </c>
    </row>
    <row r="858" spans="7:12" x14ac:dyDescent="0.25">
      <c r="G858" s="136">
        <v>43306</v>
      </c>
      <c r="H858" t="s">
        <v>25</v>
      </c>
      <c r="I858" t="s">
        <v>224</v>
      </c>
      <c r="J858" t="s">
        <v>327</v>
      </c>
      <c r="K858" s="138">
        <v>217.67</v>
      </c>
      <c r="L858" s="137">
        <v>0</v>
      </c>
    </row>
    <row r="859" spans="7:12" x14ac:dyDescent="0.25">
      <c r="G859" s="136">
        <v>43306</v>
      </c>
      <c r="H859" t="s">
        <v>25</v>
      </c>
      <c r="I859" t="s">
        <v>224</v>
      </c>
      <c r="J859" t="s">
        <v>327</v>
      </c>
      <c r="K859" s="138">
        <v>211.01</v>
      </c>
      <c r="L859" s="137">
        <v>0</v>
      </c>
    </row>
    <row r="860" spans="7:12" x14ac:dyDescent="0.25">
      <c r="G860" s="136">
        <v>43306</v>
      </c>
      <c r="H860" t="s">
        <v>25</v>
      </c>
      <c r="I860" t="s">
        <v>224</v>
      </c>
      <c r="J860" t="s">
        <v>327</v>
      </c>
      <c r="K860" s="138">
        <v>195.78</v>
      </c>
      <c r="L860" s="137">
        <v>0</v>
      </c>
    </row>
    <row r="861" spans="7:12" x14ac:dyDescent="0.25">
      <c r="G861" s="136">
        <v>43306</v>
      </c>
      <c r="H861" t="s">
        <v>25</v>
      </c>
      <c r="I861" t="s">
        <v>224</v>
      </c>
      <c r="J861" t="s">
        <v>327</v>
      </c>
      <c r="K861" s="138">
        <v>174.24</v>
      </c>
      <c r="L861" s="137">
        <v>0</v>
      </c>
    </row>
    <row r="862" spans="7:12" x14ac:dyDescent="0.25">
      <c r="G862" s="136">
        <v>43306</v>
      </c>
      <c r="H862" t="s">
        <v>25</v>
      </c>
      <c r="I862" t="s">
        <v>224</v>
      </c>
      <c r="J862" t="s">
        <v>327</v>
      </c>
      <c r="K862" s="138">
        <v>161.36000000000001</v>
      </c>
      <c r="L862" s="137">
        <v>0</v>
      </c>
    </row>
    <row r="863" spans="7:12" x14ac:dyDescent="0.25">
      <c r="G863" s="136">
        <v>43306</v>
      </c>
      <c r="H863" t="s">
        <v>25</v>
      </c>
      <c r="I863" t="s">
        <v>224</v>
      </c>
      <c r="J863" t="s">
        <v>327</v>
      </c>
      <c r="K863" s="138">
        <v>123.9</v>
      </c>
      <c r="L863" s="137">
        <v>0</v>
      </c>
    </row>
    <row r="864" spans="7:12" x14ac:dyDescent="0.25">
      <c r="G864" s="136">
        <v>43306</v>
      </c>
      <c r="H864" t="s">
        <v>25</v>
      </c>
      <c r="I864" t="s">
        <v>224</v>
      </c>
      <c r="J864" t="s">
        <v>327</v>
      </c>
      <c r="K864" s="138">
        <v>48.91</v>
      </c>
      <c r="L864" s="137">
        <v>0</v>
      </c>
    </row>
    <row r="865" spans="7:12" x14ac:dyDescent="0.25">
      <c r="G865" s="136">
        <v>43306</v>
      </c>
      <c r="H865" t="s">
        <v>25</v>
      </c>
      <c r="I865" t="s">
        <v>224</v>
      </c>
      <c r="J865" t="s">
        <v>327</v>
      </c>
      <c r="K865" s="138">
        <v>39.04</v>
      </c>
      <c r="L865" s="137">
        <v>0</v>
      </c>
    </row>
    <row r="866" spans="7:12" x14ac:dyDescent="0.25">
      <c r="G866" s="136">
        <v>43306</v>
      </c>
      <c r="H866" t="s">
        <v>25</v>
      </c>
      <c r="I866" t="s">
        <v>224</v>
      </c>
      <c r="J866" t="s">
        <v>327</v>
      </c>
      <c r="K866" s="138">
        <v>38.840000000000003</v>
      </c>
      <c r="L866" s="137">
        <v>0</v>
      </c>
    </row>
    <row r="867" spans="7:12" x14ac:dyDescent="0.25">
      <c r="G867" s="136">
        <v>43306</v>
      </c>
      <c r="H867" t="s">
        <v>25</v>
      </c>
      <c r="I867" t="s">
        <v>224</v>
      </c>
      <c r="J867" t="s">
        <v>327</v>
      </c>
      <c r="K867" s="138">
        <v>29.22</v>
      </c>
      <c r="L867" s="137">
        <v>0</v>
      </c>
    </row>
    <row r="868" spans="7:12" x14ac:dyDescent="0.25">
      <c r="G868" s="136">
        <v>43306</v>
      </c>
      <c r="H868" t="s">
        <v>25</v>
      </c>
      <c r="I868" t="s">
        <v>224</v>
      </c>
      <c r="J868" t="s">
        <v>327</v>
      </c>
      <c r="K868" s="138">
        <v>14.73</v>
      </c>
      <c r="L868" s="137">
        <v>0</v>
      </c>
    </row>
    <row r="869" spans="7:12" x14ac:dyDescent="0.25">
      <c r="G869" s="136">
        <v>43306</v>
      </c>
      <c r="H869" t="s">
        <v>25</v>
      </c>
      <c r="I869" t="s">
        <v>224</v>
      </c>
      <c r="J869" t="s">
        <v>327</v>
      </c>
      <c r="K869" s="138">
        <v>14.42</v>
      </c>
      <c r="L869" s="137">
        <v>0</v>
      </c>
    </row>
    <row r="870" spans="7:12" x14ac:dyDescent="0.25">
      <c r="G870" s="136">
        <v>43306</v>
      </c>
      <c r="H870" t="s">
        <v>25</v>
      </c>
      <c r="I870" t="s">
        <v>224</v>
      </c>
      <c r="J870" t="s">
        <v>327</v>
      </c>
      <c r="K870" s="138">
        <v>13.57</v>
      </c>
      <c r="L870" s="137">
        <v>0</v>
      </c>
    </row>
    <row r="871" spans="7:12" x14ac:dyDescent="0.25">
      <c r="G871" s="136">
        <v>43306</v>
      </c>
      <c r="H871" t="s">
        <v>25</v>
      </c>
      <c r="I871" t="s">
        <v>42</v>
      </c>
      <c r="J871" t="s">
        <v>328</v>
      </c>
      <c r="K871" s="138">
        <v>234</v>
      </c>
      <c r="L871" s="137">
        <v>0</v>
      </c>
    </row>
    <row r="872" spans="7:12" x14ac:dyDescent="0.25">
      <c r="G872" s="136">
        <v>43306</v>
      </c>
      <c r="H872" t="s">
        <v>196</v>
      </c>
      <c r="I872" t="s">
        <v>42</v>
      </c>
      <c r="J872" t="s">
        <v>328</v>
      </c>
      <c r="K872" s="138">
        <v>115.43</v>
      </c>
      <c r="L872" s="137">
        <v>0</v>
      </c>
    </row>
    <row r="873" spans="7:12" x14ac:dyDescent="0.25">
      <c r="G873" s="136">
        <v>43306</v>
      </c>
      <c r="H873" t="s">
        <v>179</v>
      </c>
      <c r="I873" t="s">
        <v>224</v>
      </c>
      <c r="J873" t="s">
        <v>327</v>
      </c>
      <c r="K873" s="138">
        <v>514.69000000000005</v>
      </c>
      <c r="L873" s="137">
        <v>0</v>
      </c>
    </row>
    <row r="874" spans="7:12" x14ac:dyDescent="0.25">
      <c r="G874" s="136">
        <v>43306</v>
      </c>
      <c r="H874" t="s">
        <v>28</v>
      </c>
      <c r="I874" t="s">
        <v>66</v>
      </c>
      <c r="J874" t="s">
        <v>108</v>
      </c>
      <c r="K874" s="138">
        <v>2.4</v>
      </c>
      <c r="L874" s="137">
        <v>0</v>
      </c>
    </row>
    <row r="875" spans="7:12" x14ac:dyDescent="0.25">
      <c r="G875" s="136">
        <v>43306</v>
      </c>
      <c r="H875" t="s">
        <v>28</v>
      </c>
      <c r="I875" t="s">
        <v>66</v>
      </c>
      <c r="J875" t="s">
        <v>75</v>
      </c>
      <c r="K875" s="138">
        <v>17.399999999999999</v>
      </c>
      <c r="L875" s="137">
        <v>0</v>
      </c>
    </row>
    <row r="876" spans="7:12" x14ac:dyDescent="0.25">
      <c r="G876" s="136">
        <v>43306</v>
      </c>
      <c r="H876" t="s">
        <v>28</v>
      </c>
      <c r="I876" t="s">
        <v>66</v>
      </c>
      <c r="J876" t="s">
        <v>145</v>
      </c>
      <c r="K876" s="138">
        <v>19.5</v>
      </c>
      <c r="L876" s="137">
        <v>0</v>
      </c>
    </row>
    <row r="877" spans="7:12" x14ac:dyDescent="0.25">
      <c r="G877" s="136">
        <v>43306</v>
      </c>
      <c r="H877" t="s">
        <v>28</v>
      </c>
      <c r="I877" t="s">
        <v>224</v>
      </c>
      <c r="J877" t="s">
        <v>327</v>
      </c>
      <c r="K877" s="138">
        <v>86.75</v>
      </c>
      <c r="L877" s="137">
        <v>0</v>
      </c>
    </row>
    <row r="878" spans="7:12" x14ac:dyDescent="0.25">
      <c r="G878" s="136">
        <v>43306</v>
      </c>
      <c r="H878" t="s">
        <v>28</v>
      </c>
      <c r="I878" t="s">
        <v>224</v>
      </c>
      <c r="J878" t="s">
        <v>327</v>
      </c>
      <c r="K878" s="138">
        <v>61.01</v>
      </c>
      <c r="L878" s="137">
        <v>0</v>
      </c>
    </row>
    <row r="879" spans="7:12" x14ac:dyDescent="0.25">
      <c r="G879" s="136">
        <v>43306</v>
      </c>
      <c r="H879" t="s">
        <v>28</v>
      </c>
      <c r="I879" t="s">
        <v>224</v>
      </c>
      <c r="J879" t="s">
        <v>327</v>
      </c>
      <c r="K879" s="138">
        <v>52.41</v>
      </c>
      <c r="L879" s="137">
        <v>0</v>
      </c>
    </row>
    <row r="880" spans="7:12" x14ac:dyDescent="0.25">
      <c r="G880" s="136">
        <v>43306</v>
      </c>
      <c r="H880" t="s">
        <v>28</v>
      </c>
      <c r="I880" t="s">
        <v>224</v>
      </c>
      <c r="J880" t="s">
        <v>327</v>
      </c>
      <c r="K880" s="138">
        <v>45.24</v>
      </c>
      <c r="L880" s="137">
        <v>0</v>
      </c>
    </row>
    <row r="881" spans="7:12" x14ac:dyDescent="0.25">
      <c r="G881" s="136">
        <v>43306</v>
      </c>
      <c r="H881" t="s">
        <v>28</v>
      </c>
      <c r="I881" t="s">
        <v>224</v>
      </c>
      <c r="J881" t="s">
        <v>327</v>
      </c>
      <c r="K881" s="138">
        <v>38.729999999999997</v>
      </c>
      <c r="L881" s="137">
        <v>0</v>
      </c>
    </row>
    <row r="882" spans="7:12" x14ac:dyDescent="0.25">
      <c r="G882" s="136">
        <v>43306</v>
      </c>
      <c r="H882" t="s">
        <v>28</v>
      </c>
      <c r="I882" t="s">
        <v>224</v>
      </c>
      <c r="J882" t="s">
        <v>327</v>
      </c>
      <c r="K882" s="138">
        <v>25.94</v>
      </c>
      <c r="L882" s="137">
        <v>0</v>
      </c>
    </row>
    <row r="883" spans="7:12" x14ac:dyDescent="0.25">
      <c r="G883" s="136">
        <v>43306</v>
      </c>
      <c r="H883" t="s">
        <v>28</v>
      </c>
      <c r="I883" t="s">
        <v>224</v>
      </c>
      <c r="J883" t="s">
        <v>327</v>
      </c>
      <c r="K883" s="138">
        <v>15.09</v>
      </c>
      <c r="L883" s="137">
        <v>0</v>
      </c>
    </row>
    <row r="884" spans="7:12" x14ac:dyDescent="0.25">
      <c r="G884" s="136">
        <v>43306</v>
      </c>
      <c r="H884" t="s">
        <v>28</v>
      </c>
      <c r="I884" t="s">
        <v>42</v>
      </c>
      <c r="J884" t="s">
        <v>328</v>
      </c>
      <c r="K884" s="138">
        <v>338</v>
      </c>
      <c r="L884" s="137">
        <v>0</v>
      </c>
    </row>
    <row r="885" spans="7:12" x14ac:dyDescent="0.25">
      <c r="G885" s="136">
        <v>43307</v>
      </c>
      <c r="H885" t="s">
        <v>192</v>
      </c>
      <c r="I885" t="s">
        <v>112</v>
      </c>
      <c r="J885" t="s">
        <v>329</v>
      </c>
      <c r="K885" s="138">
        <v>555.41</v>
      </c>
      <c r="L885" s="137">
        <v>0</v>
      </c>
    </row>
    <row r="886" spans="7:12" x14ac:dyDescent="0.25">
      <c r="G886" s="136">
        <v>43307</v>
      </c>
      <c r="H886" t="s">
        <v>192</v>
      </c>
      <c r="I886" t="s">
        <v>155</v>
      </c>
      <c r="J886" t="s">
        <v>329</v>
      </c>
      <c r="K886" s="138">
        <v>420.14</v>
      </c>
      <c r="L886" s="137">
        <v>0</v>
      </c>
    </row>
    <row r="887" spans="7:12" x14ac:dyDescent="0.25">
      <c r="G887" s="136">
        <v>43307</v>
      </c>
      <c r="H887" t="s">
        <v>27</v>
      </c>
      <c r="I887" t="s">
        <v>63</v>
      </c>
      <c r="J887" t="s">
        <v>329</v>
      </c>
      <c r="K887" s="138">
        <v>8</v>
      </c>
      <c r="L887" s="137">
        <v>0</v>
      </c>
    </row>
    <row r="888" spans="7:12" x14ac:dyDescent="0.25">
      <c r="G888" s="136">
        <v>43307</v>
      </c>
      <c r="H888" t="s">
        <v>25</v>
      </c>
      <c r="I888" t="s">
        <v>63</v>
      </c>
      <c r="J888" t="s">
        <v>329</v>
      </c>
      <c r="K888" s="138">
        <v>32</v>
      </c>
      <c r="L888" s="137">
        <v>0</v>
      </c>
    </row>
    <row r="889" spans="7:12" x14ac:dyDescent="0.25">
      <c r="G889" s="136">
        <v>43307</v>
      </c>
      <c r="H889" t="s">
        <v>25</v>
      </c>
      <c r="I889" t="s">
        <v>63</v>
      </c>
      <c r="J889" t="s">
        <v>329</v>
      </c>
      <c r="K889" s="138">
        <v>24</v>
      </c>
      <c r="L889" s="137">
        <v>0</v>
      </c>
    </row>
    <row r="890" spans="7:12" x14ac:dyDescent="0.25">
      <c r="G890" s="136">
        <v>43307</v>
      </c>
      <c r="H890" t="s">
        <v>25</v>
      </c>
      <c r="I890" t="s">
        <v>63</v>
      </c>
      <c r="J890" t="s">
        <v>329</v>
      </c>
      <c r="K890" s="138">
        <v>8</v>
      </c>
      <c r="L890" s="137">
        <v>0</v>
      </c>
    </row>
    <row r="891" spans="7:12" x14ac:dyDescent="0.25">
      <c r="G891" s="136">
        <v>43307</v>
      </c>
      <c r="H891" t="s">
        <v>25</v>
      </c>
      <c r="I891" t="s">
        <v>225</v>
      </c>
      <c r="J891" t="s">
        <v>225</v>
      </c>
      <c r="K891" s="138">
        <v>32</v>
      </c>
      <c r="L891" s="137">
        <v>0</v>
      </c>
    </row>
    <row r="892" spans="7:12" x14ac:dyDescent="0.25">
      <c r="G892" s="136">
        <v>43307</v>
      </c>
      <c r="H892" t="s">
        <v>25</v>
      </c>
      <c r="I892" t="s">
        <v>222</v>
      </c>
      <c r="J892" t="s">
        <v>330</v>
      </c>
      <c r="K892" s="138">
        <v>46.95</v>
      </c>
      <c r="L892" s="137">
        <v>0</v>
      </c>
    </row>
    <row r="893" spans="7:12" x14ac:dyDescent="0.25">
      <c r="G893" s="136">
        <v>43307</v>
      </c>
      <c r="H893" t="s">
        <v>201</v>
      </c>
      <c r="I893" t="s">
        <v>42</v>
      </c>
      <c r="J893" t="s">
        <v>329</v>
      </c>
      <c r="K893" s="138">
        <v>27</v>
      </c>
      <c r="L893" s="137">
        <v>0</v>
      </c>
    </row>
    <row r="894" spans="7:12" x14ac:dyDescent="0.25">
      <c r="G894" s="136">
        <v>43307</v>
      </c>
      <c r="H894" t="s">
        <v>182</v>
      </c>
      <c r="I894" t="s">
        <v>42</v>
      </c>
      <c r="J894" t="s">
        <v>329</v>
      </c>
      <c r="K894" s="138">
        <v>39.200000000000003</v>
      </c>
      <c r="L894" s="137">
        <v>0</v>
      </c>
    </row>
    <row r="895" spans="7:12" x14ac:dyDescent="0.25">
      <c r="G895" s="136">
        <v>43307</v>
      </c>
      <c r="H895" t="s">
        <v>181</v>
      </c>
      <c r="I895" t="s">
        <v>178</v>
      </c>
      <c r="J895" t="s">
        <v>329</v>
      </c>
      <c r="K895" s="138">
        <v>279.51</v>
      </c>
      <c r="L895" s="137">
        <v>0</v>
      </c>
    </row>
    <row r="896" spans="7:12" x14ac:dyDescent="0.25">
      <c r="G896" s="136">
        <v>43307</v>
      </c>
      <c r="H896" t="s">
        <v>181</v>
      </c>
      <c r="I896" t="s">
        <v>112</v>
      </c>
      <c r="J896" t="s">
        <v>329</v>
      </c>
      <c r="K896" s="138">
        <v>202.75</v>
      </c>
      <c r="L896" s="137">
        <v>0</v>
      </c>
    </row>
    <row r="897" spans="7:12" x14ac:dyDescent="0.25">
      <c r="G897" s="136">
        <v>43307</v>
      </c>
      <c r="H897" t="s">
        <v>197</v>
      </c>
      <c r="I897" t="s">
        <v>112</v>
      </c>
      <c r="J897" t="s">
        <v>329</v>
      </c>
      <c r="K897" s="138">
        <v>376.61</v>
      </c>
      <c r="L897" s="137">
        <v>0</v>
      </c>
    </row>
    <row r="898" spans="7:12" x14ac:dyDescent="0.25">
      <c r="G898" s="136">
        <v>43307</v>
      </c>
      <c r="H898" t="s">
        <v>179</v>
      </c>
      <c r="I898" t="s">
        <v>112</v>
      </c>
      <c r="J898" t="s">
        <v>329</v>
      </c>
      <c r="K898" s="138">
        <v>243.82</v>
      </c>
      <c r="L898" s="137">
        <v>0</v>
      </c>
    </row>
    <row r="899" spans="7:12" x14ac:dyDescent="0.25">
      <c r="G899" s="136">
        <v>43307</v>
      </c>
      <c r="H899" t="s">
        <v>28</v>
      </c>
      <c r="I899" t="s">
        <v>178</v>
      </c>
      <c r="J899" t="s">
        <v>329</v>
      </c>
      <c r="K899" s="138">
        <v>25</v>
      </c>
      <c r="L899" s="137">
        <v>0</v>
      </c>
    </row>
    <row r="900" spans="7:12" x14ac:dyDescent="0.25">
      <c r="G900" s="136">
        <v>43307</v>
      </c>
      <c r="H900" t="s">
        <v>28</v>
      </c>
      <c r="I900" t="s">
        <v>112</v>
      </c>
      <c r="J900" t="s">
        <v>329</v>
      </c>
      <c r="K900" s="138">
        <v>80.66</v>
      </c>
      <c r="L900" s="137">
        <v>0</v>
      </c>
    </row>
    <row r="901" spans="7:12" x14ac:dyDescent="0.25">
      <c r="G901" s="136">
        <v>43307</v>
      </c>
      <c r="H901" t="s">
        <v>28</v>
      </c>
      <c r="I901" t="s">
        <v>155</v>
      </c>
      <c r="J901" t="s">
        <v>329</v>
      </c>
      <c r="K901" s="138">
        <v>88</v>
      </c>
      <c r="L901" s="137">
        <v>0</v>
      </c>
    </row>
    <row r="902" spans="7:12" x14ac:dyDescent="0.25">
      <c r="G902" s="136">
        <v>43307</v>
      </c>
      <c r="H902" t="s">
        <v>28</v>
      </c>
      <c r="I902" t="s">
        <v>155</v>
      </c>
      <c r="J902" t="s">
        <v>329</v>
      </c>
      <c r="K902" s="138">
        <v>21.19</v>
      </c>
      <c r="L902" s="137">
        <v>0</v>
      </c>
    </row>
    <row r="903" spans="7:12" x14ac:dyDescent="0.25">
      <c r="G903" s="136">
        <v>43307</v>
      </c>
      <c r="H903" t="s">
        <v>28</v>
      </c>
      <c r="I903" t="s">
        <v>155</v>
      </c>
      <c r="J903" t="s">
        <v>329</v>
      </c>
      <c r="K903" s="138">
        <v>20.54</v>
      </c>
      <c r="L903" s="137">
        <v>0</v>
      </c>
    </row>
    <row r="904" spans="7:12" x14ac:dyDescent="0.25">
      <c r="G904" s="136">
        <v>43307</v>
      </c>
      <c r="H904" t="s">
        <v>28</v>
      </c>
      <c r="I904" t="s">
        <v>155</v>
      </c>
      <c r="J904" t="s">
        <v>329</v>
      </c>
      <c r="K904" s="138">
        <v>13.26</v>
      </c>
      <c r="L904" s="137">
        <v>0</v>
      </c>
    </row>
    <row r="905" spans="7:12" x14ac:dyDescent="0.25">
      <c r="G905" s="136">
        <v>43307</v>
      </c>
      <c r="H905" t="s">
        <v>28</v>
      </c>
      <c r="I905" t="s">
        <v>66</v>
      </c>
      <c r="J905" t="s">
        <v>131</v>
      </c>
      <c r="K905" s="138">
        <v>18.399999999999999</v>
      </c>
      <c r="L905" s="137">
        <v>0</v>
      </c>
    </row>
    <row r="906" spans="7:12" x14ac:dyDescent="0.25">
      <c r="G906" s="136">
        <v>43307</v>
      </c>
      <c r="H906" t="s">
        <v>28</v>
      </c>
      <c r="I906" t="s">
        <v>66</v>
      </c>
      <c r="J906" t="s">
        <v>105</v>
      </c>
      <c r="K906" s="138">
        <v>6</v>
      </c>
      <c r="L906" s="137">
        <v>0</v>
      </c>
    </row>
    <row r="907" spans="7:12" x14ac:dyDescent="0.25">
      <c r="G907" s="136">
        <v>43307</v>
      </c>
      <c r="H907" t="s">
        <v>28</v>
      </c>
      <c r="I907" t="s">
        <v>66</v>
      </c>
      <c r="J907" t="s">
        <v>143</v>
      </c>
      <c r="K907" s="138">
        <v>26</v>
      </c>
      <c r="L907" s="137">
        <v>0</v>
      </c>
    </row>
    <row r="908" spans="7:12" x14ac:dyDescent="0.25">
      <c r="G908" s="136">
        <v>43307</v>
      </c>
      <c r="H908" t="s">
        <v>28</v>
      </c>
      <c r="I908" t="s">
        <v>42</v>
      </c>
      <c r="J908" t="s">
        <v>329</v>
      </c>
      <c r="K908" s="138">
        <v>34</v>
      </c>
      <c r="L908" s="137">
        <v>0</v>
      </c>
    </row>
    <row r="909" spans="7:12" x14ac:dyDescent="0.25">
      <c r="G909" s="136">
        <v>43308</v>
      </c>
      <c r="H909" t="s">
        <v>203</v>
      </c>
      <c r="I909" t="s">
        <v>178</v>
      </c>
      <c r="J909" t="s">
        <v>331</v>
      </c>
      <c r="K909" s="138">
        <v>308.68</v>
      </c>
      <c r="L909" s="137">
        <v>0</v>
      </c>
    </row>
    <row r="910" spans="7:12" x14ac:dyDescent="0.25">
      <c r="G910" s="136">
        <v>43308</v>
      </c>
      <c r="H910" t="s">
        <v>192</v>
      </c>
      <c r="I910" t="s">
        <v>63</v>
      </c>
      <c r="J910" t="s">
        <v>331</v>
      </c>
      <c r="K910" s="138">
        <v>186.25</v>
      </c>
      <c r="L910" s="137">
        <v>0</v>
      </c>
    </row>
    <row r="911" spans="7:12" x14ac:dyDescent="0.25">
      <c r="G911" s="136">
        <v>43308</v>
      </c>
      <c r="H911" t="s">
        <v>192</v>
      </c>
      <c r="I911" t="s">
        <v>163</v>
      </c>
      <c r="J911" t="s">
        <v>331</v>
      </c>
      <c r="K911" s="138">
        <v>2.5</v>
      </c>
      <c r="L911" s="137">
        <v>0</v>
      </c>
    </row>
    <row r="912" spans="7:12" x14ac:dyDescent="0.25">
      <c r="G912" s="136">
        <v>43308</v>
      </c>
      <c r="H912" t="s">
        <v>192</v>
      </c>
      <c r="I912" t="s">
        <v>175</v>
      </c>
      <c r="J912" t="s">
        <v>331</v>
      </c>
      <c r="K912" s="138">
        <v>24.95</v>
      </c>
      <c r="L912" s="137">
        <v>0</v>
      </c>
    </row>
    <row r="913" spans="7:12" x14ac:dyDescent="0.25">
      <c r="G913" s="136">
        <v>43308</v>
      </c>
      <c r="H913" t="s">
        <v>192</v>
      </c>
      <c r="I913" t="s">
        <v>42</v>
      </c>
      <c r="J913" t="s">
        <v>331</v>
      </c>
      <c r="K913" s="138">
        <v>15.73</v>
      </c>
      <c r="L913" s="137">
        <v>0</v>
      </c>
    </row>
    <row r="914" spans="7:12" x14ac:dyDescent="0.25">
      <c r="G914" s="136">
        <v>43308</v>
      </c>
      <c r="H914" t="s">
        <v>27</v>
      </c>
      <c r="I914" t="s">
        <v>63</v>
      </c>
      <c r="J914" t="s">
        <v>331</v>
      </c>
      <c r="K914" s="138">
        <v>8</v>
      </c>
      <c r="L914" s="137">
        <v>0</v>
      </c>
    </row>
    <row r="915" spans="7:12" x14ac:dyDescent="0.25">
      <c r="G915" s="136">
        <v>43308</v>
      </c>
      <c r="H915" t="s">
        <v>184</v>
      </c>
      <c r="I915" t="s">
        <v>63</v>
      </c>
      <c r="J915" t="s">
        <v>331</v>
      </c>
      <c r="K915" s="138">
        <v>55</v>
      </c>
      <c r="L915" s="137">
        <v>0</v>
      </c>
    </row>
    <row r="916" spans="7:12" x14ac:dyDescent="0.25">
      <c r="G916" s="136">
        <v>43308</v>
      </c>
      <c r="H916" t="s">
        <v>183</v>
      </c>
      <c r="I916" t="s">
        <v>42</v>
      </c>
      <c r="J916" t="s">
        <v>331</v>
      </c>
      <c r="K916" s="138">
        <v>150.08000000000001</v>
      </c>
      <c r="L916" s="137">
        <v>0</v>
      </c>
    </row>
    <row r="917" spans="7:12" x14ac:dyDescent="0.25">
      <c r="G917" s="136">
        <v>43308</v>
      </c>
      <c r="H917" t="s">
        <v>193</v>
      </c>
      <c r="I917" t="s">
        <v>178</v>
      </c>
      <c r="J917" t="s">
        <v>331</v>
      </c>
      <c r="K917" s="138">
        <v>0</v>
      </c>
      <c r="L917" s="137">
        <v>308.68</v>
      </c>
    </row>
    <row r="918" spans="7:12" x14ac:dyDescent="0.25">
      <c r="G918" s="136">
        <v>43308</v>
      </c>
      <c r="H918" t="s">
        <v>188</v>
      </c>
      <c r="I918" t="s">
        <v>163</v>
      </c>
      <c r="J918" t="s">
        <v>331</v>
      </c>
      <c r="K918" s="138">
        <v>61.5</v>
      </c>
      <c r="L918" s="137">
        <v>0</v>
      </c>
    </row>
    <row r="919" spans="7:12" x14ac:dyDescent="0.25">
      <c r="G919" s="136">
        <v>43308</v>
      </c>
      <c r="H919" t="s">
        <v>25</v>
      </c>
      <c r="I919" t="s">
        <v>63</v>
      </c>
      <c r="J919" t="s">
        <v>331</v>
      </c>
      <c r="K919" s="138">
        <v>24</v>
      </c>
      <c r="L919" s="137">
        <v>0</v>
      </c>
    </row>
    <row r="920" spans="7:12" x14ac:dyDescent="0.25">
      <c r="G920" s="136">
        <v>43308</v>
      </c>
      <c r="H920" t="s">
        <v>25</v>
      </c>
      <c r="I920" t="s">
        <v>63</v>
      </c>
      <c r="J920" t="s">
        <v>331</v>
      </c>
      <c r="K920" s="138">
        <v>16</v>
      </c>
      <c r="L920" s="137">
        <v>0</v>
      </c>
    </row>
    <row r="921" spans="7:12" x14ac:dyDescent="0.25">
      <c r="G921" s="136">
        <v>43308</v>
      </c>
      <c r="H921" t="s">
        <v>25</v>
      </c>
      <c r="I921" t="s">
        <v>63</v>
      </c>
      <c r="J921" t="s">
        <v>331</v>
      </c>
      <c r="K921" s="138">
        <v>8</v>
      </c>
      <c r="L921" s="137">
        <v>0</v>
      </c>
    </row>
    <row r="922" spans="7:12" x14ac:dyDescent="0.25">
      <c r="G922" s="136">
        <v>43308</v>
      </c>
      <c r="H922" t="s">
        <v>211</v>
      </c>
      <c r="I922" t="s">
        <v>42</v>
      </c>
      <c r="J922" t="s">
        <v>331</v>
      </c>
      <c r="K922" s="138">
        <v>689.98</v>
      </c>
      <c r="L922" s="137">
        <v>0</v>
      </c>
    </row>
    <row r="923" spans="7:12" x14ac:dyDescent="0.25">
      <c r="G923" s="136">
        <v>43308</v>
      </c>
      <c r="H923" t="s">
        <v>196</v>
      </c>
      <c r="I923" t="s">
        <v>42</v>
      </c>
      <c r="J923" t="s">
        <v>331</v>
      </c>
      <c r="K923" s="138">
        <v>87.73</v>
      </c>
      <c r="L923" s="137">
        <v>0</v>
      </c>
    </row>
    <row r="924" spans="7:12" x14ac:dyDescent="0.25">
      <c r="G924" s="136">
        <v>43308</v>
      </c>
      <c r="H924" t="s">
        <v>28</v>
      </c>
      <c r="I924" t="s">
        <v>66</v>
      </c>
      <c r="J924" t="s">
        <v>108</v>
      </c>
      <c r="K924" s="138">
        <v>1.8</v>
      </c>
      <c r="L924" s="137">
        <v>0</v>
      </c>
    </row>
    <row r="925" spans="7:12" x14ac:dyDescent="0.25">
      <c r="G925" s="136">
        <v>43308</v>
      </c>
      <c r="H925" t="s">
        <v>28</v>
      </c>
      <c r="I925" t="s">
        <v>66</v>
      </c>
      <c r="J925" t="s">
        <v>75</v>
      </c>
      <c r="K925" s="138">
        <v>3</v>
      </c>
      <c r="L925" s="137">
        <v>0</v>
      </c>
    </row>
    <row r="926" spans="7:12" x14ac:dyDescent="0.25">
      <c r="G926" s="136">
        <v>43308</v>
      </c>
      <c r="H926" t="s">
        <v>28</v>
      </c>
      <c r="I926" t="s">
        <v>66</v>
      </c>
      <c r="J926" t="s">
        <v>116</v>
      </c>
      <c r="K926" s="138">
        <v>1.8</v>
      </c>
      <c r="L926" s="137">
        <v>0</v>
      </c>
    </row>
    <row r="927" spans="7:12" x14ac:dyDescent="0.25">
      <c r="G927" s="136">
        <v>43308</v>
      </c>
      <c r="H927" t="s">
        <v>28</v>
      </c>
      <c r="I927" t="s">
        <v>66</v>
      </c>
      <c r="J927" t="s">
        <v>118</v>
      </c>
      <c r="K927" s="138">
        <v>7</v>
      </c>
      <c r="L927" s="137">
        <v>0</v>
      </c>
    </row>
    <row r="928" spans="7:12" x14ac:dyDescent="0.25">
      <c r="G928" s="136">
        <v>43308</v>
      </c>
      <c r="H928" t="s">
        <v>28</v>
      </c>
      <c r="I928" t="s">
        <v>66</v>
      </c>
      <c r="J928" t="s">
        <v>266</v>
      </c>
      <c r="K928" s="138">
        <v>2.9</v>
      </c>
      <c r="L928" s="137">
        <v>0</v>
      </c>
    </row>
    <row r="929" spans="7:12" x14ac:dyDescent="0.25">
      <c r="G929" s="136">
        <v>43309</v>
      </c>
      <c r="H929" t="s">
        <v>27</v>
      </c>
      <c r="I929" t="s">
        <v>63</v>
      </c>
      <c r="J929" t="s">
        <v>332</v>
      </c>
      <c r="K929" s="138">
        <v>8</v>
      </c>
      <c r="L929" s="137">
        <v>0</v>
      </c>
    </row>
    <row r="930" spans="7:12" x14ac:dyDescent="0.25">
      <c r="G930" s="136">
        <v>43309</v>
      </c>
      <c r="H930" t="s">
        <v>25</v>
      </c>
      <c r="I930" t="s">
        <v>63</v>
      </c>
      <c r="J930" t="s">
        <v>332</v>
      </c>
      <c r="K930" s="138">
        <v>16</v>
      </c>
      <c r="L930" s="137">
        <v>0</v>
      </c>
    </row>
    <row r="931" spans="7:12" x14ac:dyDescent="0.25">
      <c r="G931" s="136">
        <v>43309</v>
      </c>
      <c r="H931" t="s">
        <v>25</v>
      </c>
      <c r="I931" t="s">
        <v>63</v>
      </c>
      <c r="J931" t="s">
        <v>332</v>
      </c>
      <c r="K931" s="138">
        <v>8</v>
      </c>
      <c r="L931" s="137">
        <v>0</v>
      </c>
    </row>
    <row r="932" spans="7:12" x14ac:dyDescent="0.25">
      <c r="G932" s="136">
        <v>43309</v>
      </c>
      <c r="H932" t="s">
        <v>180</v>
      </c>
      <c r="I932" t="s">
        <v>42</v>
      </c>
      <c r="J932" t="s">
        <v>332</v>
      </c>
      <c r="K932" s="138">
        <v>5</v>
      </c>
      <c r="L932" s="137">
        <v>0</v>
      </c>
    </row>
    <row r="933" spans="7:12" x14ac:dyDescent="0.25">
      <c r="G933" s="136">
        <v>43309</v>
      </c>
      <c r="H933" t="s">
        <v>28</v>
      </c>
      <c r="I933" t="s">
        <v>66</v>
      </c>
      <c r="J933" t="s">
        <v>276</v>
      </c>
      <c r="K933" s="138">
        <v>9.1999999999999993</v>
      </c>
      <c r="L933" s="137">
        <v>0</v>
      </c>
    </row>
    <row r="934" spans="7:12" x14ac:dyDescent="0.25">
      <c r="G934" s="136">
        <v>43309</v>
      </c>
      <c r="H934" t="s">
        <v>28</v>
      </c>
      <c r="I934" t="s">
        <v>42</v>
      </c>
      <c r="J934" t="s">
        <v>332</v>
      </c>
      <c r="K934" s="138">
        <v>115</v>
      </c>
      <c r="L934" s="137">
        <v>0</v>
      </c>
    </row>
    <row r="935" spans="7:12" x14ac:dyDescent="0.25">
      <c r="G935" s="136">
        <v>43311</v>
      </c>
      <c r="H935" t="s">
        <v>27</v>
      </c>
      <c r="I935" t="s">
        <v>63</v>
      </c>
      <c r="J935" t="s">
        <v>333</v>
      </c>
      <c r="K935" s="138">
        <v>24</v>
      </c>
      <c r="L935" s="137">
        <v>0</v>
      </c>
    </row>
    <row r="936" spans="7:12" x14ac:dyDescent="0.25">
      <c r="G936" s="136">
        <v>43311</v>
      </c>
      <c r="H936" t="s">
        <v>185</v>
      </c>
      <c r="I936" t="s">
        <v>42</v>
      </c>
      <c r="J936" t="s">
        <v>333</v>
      </c>
      <c r="K936" s="138">
        <v>10</v>
      </c>
      <c r="L936" s="137">
        <v>0</v>
      </c>
    </row>
    <row r="937" spans="7:12" x14ac:dyDescent="0.25">
      <c r="G937" s="136">
        <v>43311</v>
      </c>
      <c r="H937" t="s">
        <v>183</v>
      </c>
      <c r="I937" t="s">
        <v>42</v>
      </c>
      <c r="J937" t="s">
        <v>333</v>
      </c>
      <c r="K937" s="138">
        <v>24</v>
      </c>
      <c r="L937" s="137">
        <v>0</v>
      </c>
    </row>
    <row r="938" spans="7:12" x14ac:dyDescent="0.25">
      <c r="G938" s="136">
        <v>43311</v>
      </c>
      <c r="H938" t="s">
        <v>189</v>
      </c>
      <c r="I938" t="s">
        <v>42</v>
      </c>
      <c r="J938" t="s">
        <v>333</v>
      </c>
      <c r="K938" s="138">
        <v>57</v>
      </c>
      <c r="L938" s="137">
        <v>0</v>
      </c>
    </row>
    <row r="939" spans="7:12" x14ac:dyDescent="0.25">
      <c r="G939" s="136">
        <v>43311</v>
      </c>
      <c r="H939" t="s">
        <v>191</v>
      </c>
      <c r="I939" t="s">
        <v>163</v>
      </c>
      <c r="J939" t="s">
        <v>333</v>
      </c>
      <c r="K939" s="138">
        <v>30</v>
      </c>
      <c r="L939" s="137">
        <v>0</v>
      </c>
    </row>
    <row r="940" spans="7:12" x14ac:dyDescent="0.25">
      <c r="G940" s="136">
        <v>43311</v>
      </c>
      <c r="H940" t="s">
        <v>191</v>
      </c>
      <c r="I940" t="s">
        <v>176</v>
      </c>
      <c r="J940" t="s">
        <v>333</v>
      </c>
      <c r="K940" s="138">
        <v>0</v>
      </c>
      <c r="L940" s="137">
        <v>1127.92</v>
      </c>
    </row>
    <row r="941" spans="7:12" x14ac:dyDescent="0.25">
      <c r="G941" s="136">
        <v>43311</v>
      </c>
      <c r="H941" t="s">
        <v>193</v>
      </c>
      <c r="I941" t="s">
        <v>176</v>
      </c>
      <c r="J941" t="s">
        <v>333</v>
      </c>
      <c r="K941" s="138">
        <v>0</v>
      </c>
      <c r="L941" s="137">
        <v>1734.36</v>
      </c>
    </row>
    <row r="942" spans="7:12" x14ac:dyDescent="0.25">
      <c r="G942" s="136">
        <v>43311</v>
      </c>
      <c r="H942" t="s">
        <v>193</v>
      </c>
      <c r="I942" t="s">
        <v>42</v>
      </c>
      <c r="J942" t="s">
        <v>333</v>
      </c>
      <c r="K942" s="138">
        <v>29.4</v>
      </c>
      <c r="L942" s="137">
        <v>0</v>
      </c>
    </row>
    <row r="943" spans="7:12" x14ac:dyDescent="0.25">
      <c r="G943" s="136">
        <v>43311</v>
      </c>
      <c r="H943" t="s">
        <v>25</v>
      </c>
      <c r="I943" t="s">
        <v>63</v>
      </c>
      <c r="J943" t="s">
        <v>333</v>
      </c>
      <c r="K943" s="138">
        <v>56</v>
      </c>
      <c r="L943" s="137">
        <v>0</v>
      </c>
    </row>
    <row r="944" spans="7:12" x14ac:dyDescent="0.25">
      <c r="G944" s="136">
        <v>43311</v>
      </c>
      <c r="H944" t="s">
        <v>25</v>
      </c>
      <c r="I944" t="s">
        <v>63</v>
      </c>
      <c r="J944" t="s">
        <v>333</v>
      </c>
      <c r="K944" s="138">
        <v>24</v>
      </c>
      <c r="L944" s="137">
        <v>0</v>
      </c>
    </row>
    <row r="945" spans="7:12" x14ac:dyDescent="0.25">
      <c r="G945" s="136">
        <v>43311</v>
      </c>
      <c r="H945" t="s">
        <v>25</v>
      </c>
      <c r="I945" t="s">
        <v>63</v>
      </c>
      <c r="J945" t="s">
        <v>333</v>
      </c>
      <c r="K945" s="138">
        <v>16</v>
      </c>
      <c r="L945" s="137">
        <v>0</v>
      </c>
    </row>
    <row r="946" spans="7:12" x14ac:dyDescent="0.25">
      <c r="G946" s="136">
        <v>43311</v>
      </c>
      <c r="H946" t="s">
        <v>181</v>
      </c>
      <c r="I946" t="s">
        <v>42</v>
      </c>
      <c r="J946" t="s">
        <v>333</v>
      </c>
      <c r="K946" s="138">
        <v>107</v>
      </c>
      <c r="L946" s="137">
        <v>0</v>
      </c>
    </row>
    <row r="947" spans="7:12" x14ac:dyDescent="0.25">
      <c r="G947" s="136">
        <v>43311</v>
      </c>
      <c r="H947" t="s">
        <v>197</v>
      </c>
      <c r="I947" t="s">
        <v>42</v>
      </c>
      <c r="J947" t="s">
        <v>333</v>
      </c>
      <c r="K947" s="138">
        <v>66</v>
      </c>
      <c r="L947" s="137">
        <v>0</v>
      </c>
    </row>
    <row r="948" spans="7:12" x14ac:dyDescent="0.25">
      <c r="G948" s="136">
        <v>43311</v>
      </c>
      <c r="H948" t="s">
        <v>28</v>
      </c>
      <c r="I948" t="s">
        <v>42</v>
      </c>
      <c r="J948" t="s">
        <v>333</v>
      </c>
      <c r="K948" s="138">
        <v>25</v>
      </c>
      <c r="L948" s="137">
        <v>0</v>
      </c>
    </row>
    <row r="949" spans="7:12" x14ac:dyDescent="0.25">
      <c r="G949" s="136">
        <v>43312</v>
      </c>
      <c r="H949" t="s">
        <v>28</v>
      </c>
      <c r="I949" t="s">
        <v>63</v>
      </c>
      <c r="J949" t="s">
        <v>334</v>
      </c>
      <c r="K949" s="138">
        <v>8</v>
      </c>
      <c r="L949" s="137">
        <v>0</v>
      </c>
    </row>
    <row r="950" spans="7:12" x14ac:dyDescent="0.25">
      <c r="G950" s="136">
        <v>43312</v>
      </c>
      <c r="H950" t="s">
        <v>28</v>
      </c>
      <c r="I950" t="s">
        <v>66</v>
      </c>
      <c r="J950" t="s">
        <v>134</v>
      </c>
      <c r="K950" s="138">
        <v>2.25</v>
      </c>
      <c r="L950" s="137">
        <v>0</v>
      </c>
    </row>
    <row r="951" spans="7:12" x14ac:dyDescent="0.25">
      <c r="G951" s="136">
        <v>43312</v>
      </c>
      <c r="H951" t="s">
        <v>28</v>
      </c>
      <c r="I951" t="s">
        <v>66</v>
      </c>
      <c r="J951" t="s">
        <v>109</v>
      </c>
      <c r="K951" s="138">
        <v>13</v>
      </c>
      <c r="L951" s="137">
        <v>0</v>
      </c>
    </row>
    <row r="952" spans="7:12" x14ac:dyDescent="0.25">
      <c r="G952" s="136">
        <v>43312</v>
      </c>
      <c r="H952" t="s">
        <v>28</v>
      </c>
      <c r="I952" t="s">
        <v>66</v>
      </c>
      <c r="J952" t="s">
        <v>137</v>
      </c>
      <c r="K952" s="138">
        <v>9.1999999999999993</v>
      </c>
      <c r="L952" s="137">
        <v>0</v>
      </c>
    </row>
    <row r="953" spans="7:12" x14ac:dyDescent="0.25">
      <c r="G953" s="136">
        <v>43313</v>
      </c>
      <c r="H953" t="s">
        <v>184</v>
      </c>
      <c r="I953" t="s">
        <v>171</v>
      </c>
      <c r="J953" t="s">
        <v>172</v>
      </c>
      <c r="K953" s="138">
        <v>1020</v>
      </c>
      <c r="L953" s="137">
        <v>0</v>
      </c>
    </row>
    <row r="954" spans="7:12" x14ac:dyDescent="0.25">
      <c r="G954" s="136">
        <v>43313</v>
      </c>
      <c r="H954" t="s">
        <v>183</v>
      </c>
      <c r="I954" t="s">
        <v>63</v>
      </c>
      <c r="J954" t="s">
        <v>172</v>
      </c>
      <c r="K954" s="138">
        <v>5</v>
      </c>
      <c r="L954" s="137">
        <v>0</v>
      </c>
    </row>
    <row r="955" spans="7:12" x14ac:dyDescent="0.25">
      <c r="G955" s="136">
        <v>43313</v>
      </c>
      <c r="H955" t="s">
        <v>181</v>
      </c>
      <c r="I955" t="s">
        <v>42</v>
      </c>
      <c r="J955" t="s">
        <v>172</v>
      </c>
      <c r="K955" s="138">
        <v>243.6</v>
      </c>
      <c r="L955" s="137">
        <v>0</v>
      </c>
    </row>
    <row r="956" spans="7:12" x14ac:dyDescent="0.25">
      <c r="G956" s="136">
        <v>43313</v>
      </c>
      <c r="H956" t="s">
        <v>28</v>
      </c>
      <c r="I956" t="s">
        <v>112</v>
      </c>
      <c r="J956" t="s">
        <v>172</v>
      </c>
      <c r="K956" s="138">
        <v>104</v>
      </c>
      <c r="L956" s="137">
        <v>0</v>
      </c>
    </row>
    <row r="957" spans="7:12" x14ac:dyDescent="0.25">
      <c r="G957" s="136">
        <v>43313</v>
      </c>
      <c r="H957" t="s">
        <v>28</v>
      </c>
      <c r="I957" t="s">
        <v>66</v>
      </c>
      <c r="J957" t="s">
        <v>101</v>
      </c>
      <c r="K957" s="138">
        <v>1500</v>
      </c>
      <c r="L957" s="137">
        <v>0</v>
      </c>
    </row>
    <row r="958" spans="7:12" x14ac:dyDescent="0.25">
      <c r="G958" s="136">
        <v>43313</v>
      </c>
      <c r="H958" t="s">
        <v>28</v>
      </c>
      <c r="I958" t="s">
        <v>66</v>
      </c>
      <c r="J958" t="s">
        <v>141</v>
      </c>
      <c r="K958" s="138">
        <v>3.7</v>
      </c>
      <c r="L958" s="137">
        <v>0</v>
      </c>
    </row>
    <row r="959" spans="7:12" x14ac:dyDescent="0.25">
      <c r="G959" s="136">
        <v>43313</v>
      </c>
      <c r="H959" t="s">
        <v>28</v>
      </c>
      <c r="I959" t="s">
        <v>66</v>
      </c>
      <c r="J959" t="s">
        <v>143</v>
      </c>
      <c r="K959" s="138">
        <v>26</v>
      </c>
      <c r="L959" s="137">
        <v>0</v>
      </c>
    </row>
    <row r="960" spans="7:12" x14ac:dyDescent="0.25">
      <c r="G960" s="136">
        <v>43313</v>
      </c>
      <c r="H960" t="s">
        <v>28</v>
      </c>
      <c r="I960" t="s">
        <v>66</v>
      </c>
      <c r="J960" t="s">
        <v>145</v>
      </c>
      <c r="K960" s="138">
        <v>4.5</v>
      </c>
      <c r="L960" s="137">
        <v>0</v>
      </c>
    </row>
    <row r="961" spans="7:12" x14ac:dyDescent="0.25">
      <c r="G961" s="136">
        <v>43313</v>
      </c>
      <c r="H961" t="s">
        <v>28</v>
      </c>
      <c r="I961" t="s">
        <v>66</v>
      </c>
      <c r="J961" t="s">
        <v>121</v>
      </c>
      <c r="K961" s="138">
        <v>2.4</v>
      </c>
      <c r="L961" s="137">
        <v>0</v>
      </c>
    </row>
    <row r="962" spans="7:12" x14ac:dyDescent="0.25">
      <c r="G962" s="136">
        <v>43314</v>
      </c>
      <c r="H962" t="s">
        <v>184</v>
      </c>
      <c r="I962" t="s">
        <v>42</v>
      </c>
      <c r="J962" t="s">
        <v>166</v>
      </c>
      <c r="K962" s="138">
        <v>37</v>
      </c>
      <c r="L962" s="137">
        <v>0</v>
      </c>
    </row>
    <row r="963" spans="7:12" x14ac:dyDescent="0.25">
      <c r="G963" s="136">
        <v>43314</v>
      </c>
      <c r="H963" t="s">
        <v>195</v>
      </c>
      <c r="I963" t="s">
        <v>63</v>
      </c>
      <c r="J963" t="s">
        <v>166</v>
      </c>
      <c r="K963" s="138">
        <v>5</v>
      </c>
      <c r="L963" s="137">
        <v>0</v>
      </c>
    </row>
    <row r="964" spans="7:12" x14ac:dyDescent="0.25">
      <c r="G964" s="136">
        <v>43314</v>
      </c>
      <c r="H964" t="s">
        <v>195</v>
      </c>
      <c r="I964" t="s">
        <v>42</v>
      </c>
      <c r="J964" t="s">
        <v>166</v>
      </c>
      <c r="K964" s="138">
        <v>6</v>
      </c>
      <c r="L964" s="137">
        <v>0</v>
      </c>
    </row>
    <row r="965" spans="7:12" x14ac:dyDescent="0.25">
      <c r="G965" s="136">
        <v>43314</v>
      </c>
      <c r="H965" t="s">
        <v>183</v>
      </c>
      <c r="I965" t="s">
        <v>63</v>
      </c>
      <c r="J965" t="s">
        <v>166</v>
      </c>
      <c r="K965" s="138">
        <v>10</v>
      </c>
      <c r="L965" s="137">
        <v>0</v>
      </c>
    </row>
    <row r="966" spans="7:12" x14ac:dyDescent="0.25">
      <c r="G966" s="136">
        <v>43314</v>
      </c>
      <c r="H966" t="s">
        <v>183</v>
      </c>
      <c r="I966" t="s">
        <v>171</v>
      </c>
      <c r="J966" t="s">
        <v>166</v>
      </c>
      <c r="K966" s="138">
        <v>2550</v>
      </c>
      <c r="L966" s="137">
        <v>0</v>
      </c>
    </row>
    <row r="967" spans="7:12" x14ac:dyDescent="0.25">
      <c r="G967" s="136">
        <v>43314</v>
      </c>
      <c r="H967" t="s">
        <v>189</v>
      </c>
      <c r="I967" t="s">
        <v>176</v>
      </c>
      <c r="J967" t="s">
        <v>166</v>
      </c>
      <c r="K967" s="138">
        <v>0</v>
      </c>
      <c r="L967" s="137">
        <v>150</v>
      </c>
    </row>
    <row r="968" spans="7:12" x14ac:dyDescent="0.25">
      <c r="G968" s="136">
        <v>43314</v>
      </c>
      <c r="H968" t="s">
        <v>189</v>
      </c>
      <c r="I968" t="s">
        <v>171</v>
      </c>
      <c r="J968" t="s">
        <v>166</v>
      </c>
      <c r="K968" s="138">
        <v>300</v>
      </c>
      <c r="L968" s="137">
        <v>0</v>
      </c>
    </row>
    <row r="969" spans="7:12" x14ac:dyDescent="0.25">
      <c r="G969" s="136">
        <v>43314</v>
      </c>
      <c r="H969" t="s">
        <v>193</v>
      </c>
      <c r="I969" t="s">
        <v>42</v>
      </c>
      <c r="J969" t="s">
        <v>166</v>
      </c>
      <c r="K969" s="138">
        <v>42.9</v>
      </c>
      <c r="L969" s="137">
        <v>0</v>
      </c>
    </row>
    <row r="970" spans="7:12" x14ac:dyDescent="0.25">
      <c r="G970" s="136">
        <v>43314</v>
      </c>
      <c r="H970" t="s">
        <v>188</v>
      </c>
      <c r="I970" t="s">
        <v>171</v>
      </c>
      <c r="J970" t="s">
        <v>166</v>
      </c>
      <c r="K970" s="138">
        <v>150</v>
      </c>
      <c r="L970" s="137">
        <v>0</v>
      </c>
    </row>
    <row r="971" spans="7:12" x14ac:dyDescent="0.25">
      <c r="G971" s="136">
        <v>43314</v>
      </c>
      <c r="H971" t="s">
        <v>25</v>
      </c>
      <c r="I971" t="s">
        <v>63</v>
      </c>
      <c r="J971" t="s">
        <v>166</v>
      </c>
      <c r="K971" s="138">
        <v>56</v>
      </c>
      <c r="L971" s="137">
        <v>0</v>
      </c>
    </row>
    <row r="972" spans="7:12" x14ac:dyDescent="0.25">
      <c r="G972" s="136">
        <v>43314</v>
      </c>
      <c r="H972" t="s">
        <v>25</v>
      </c>
      <c r="I972" t="s">
        <v>63</v>
      </c>
      <c r="J972" t="s">
        <v>166</v>
      </c>
      <c r="K972" s="138">
        <v>24</v>
      </c>
      <c r="L972" s="137">
        <v>0</v>
      </c>
    </row>
    <row r="973" spans="7:12" x14ac:dyDescent="0.25">
      <c r="G973" s="136">
        <v>43314</v>
      </c>
      <c r="H973" t="s">
        <v>25</v>
      </c>
      <c r="I973" t="s">
        <v>63</v>
      </c>
      <c r="J973" t="s">
        <v>166</v>
      </c>
      <c r="K973" s="138">
        <v>16</v>
      </c>
      <c r="L973" s="137">
        <v>0</v>
      </c>
    </row>
    <row r="974" spans="7:12" x14ac:dyDescent="0.25">
      <c r="G974" s="136">
        <v>43314</v>
      </c>
      <c r="H974" t="s">
        <v>25</v>
      </c>
      <c r="I974" t="s">
        <v>63</v>
      </c>
      <c r="J974" t="s">
        <v>166</v>
      </c>
      <c r="K974" s="138">
        <v>8</v>
      </c>
      <c r="L974" s="137">
        <v>0</v>
      </c>
    </row>
    <row r="975" spans="7:12" x14ac:dyDescent="0.25">
      <c r="G975" s="136">
        <v>43314</v>
      </c>
      <c r="H975" t="s">
        <v>201</v>
      </c>
      <c r="I975" t="s">
        <v>42</v>
      </c>
      <c r="J975" t="s">
        <v>166</v>
      </c>
      <c r="K975" s="138">
        <v>25</v>
      </c>
      <c r="L975" s="137">
        <v>0</v>
      </c>
    </row>
    <row r="976" spans="7:12" x14ac:dyDescent="0.25">
      <c r="G976" s="136">
        <v>43314</v>
      </c>
      <c r="H976" t="s">
        <v>207</v>
      </c>
      <c r="I976" t="s">
        <v>63</v>
      </c>
      <c r="J976" t="s">
        <v>166</v>
      </c>
      <c r="K976" s="138">
        <v>15.76</v>
      </c>
      <c r="L976" s="137">
        <v>0</v>
      </c>
    </row>
    <row r="977" spans="7:12" x14ac:dyDescent="0.25">
      <c r="G977" s="136">
        <v>43314</v>
      </c>
      <c r="H977" t="s">
        <v>181</v>
      </c>
      <c r="I977" t="s">
        <v>42</v>
      </c>
      <c r="J977" t="s">
        <v>166</v>
      </c>
      <c r="K977" s="138">
        <v>70.650000000000006</v>
      </c>
      <c r="L977" s="137">
        <v>0</v>
      </c>
    </row>
    <row r="978" spans="7:12" x14ac:dyDescent="0.25">
      <c r="G978" s="136">
        <v>43314</v>
      </c>
      <c r="H978" t="s">
        <v>28</v>
      </c>
      <c r="I978" t="s">
        <v>66</v>
      </c>
      <c r="J978" t="s">
        <v>144</v>
      </c>
      <c r="K978" s="138">
        <v>16</v>
      </c>
      <c r="L978" s="137">
        <v>0</v>
      </c>
    </row>
    <row r="979" spans="7:12" x14ac:dyDescent="0.25">
      <c r="G979" s="136">
        <v>43314</v>
      </c>
      <c r="H979" t="s">
        <v>28</v>
      </c>
      <c r="I979" t="s">
        <v>66</v>
      </c>
      <c r="J979" t="s">
        <v>143</v>
      </c>
      <c r="K979" s="138">
        <v>13</v>
      </c>
      <c r="L979" s="137">
        <v>0</v>
      </c>
    </row>
    <row r="980" spans="7:12" x14ac:dyDescent="0.25">
      <c r="G980" s="136">
        <v>43314</v>
      </c>
      <c r="H980" t="s">
        <v>28</v>
      </c>
      <c r="I980" t="s">
        <v>66</v>
      </c>
      <c r="J980" t="s">
        <v>116</v>
      </c>
      <c r="K980" s="138">
        <v>3.6</v>
      </c>
      <c r="L980" s="137">
        <v>0</v>
      </c>
    </row>
    <row r="981" spans="7:12" x14ac:dyDescent="0.25">
      <c r="G981" s="136">
        <v>43314</v>
      </c>
      <c r="H981" t="s">
        <v>28</v>
      </c>
      <c r="I981" t="s">
        <v>66</v>
      </c>
      <c r="J981" t="s">
        <v>107</v>
      </c>
      <c r="K981" s="138">
        <v>2.4</v>
      </c>
      <c r="L981" s="137">
        <v>0</v>
      </c>
    </row>
    <row r="982" spans="7:12" x14ac:dyDescent="0.25">
      <c r="G982" s="136">
        <v>43314</v>
      </c>
      <c r="H982" t="s">
        <v>28</v>
      </c>
      <c r="I982" t="s">
        <v>42</v>
      </c>
      <c r="J982" t="s">
        <v>166</v>
      </c>
      <c r="K982" s="138">
        <v>286</v>
      </c>
      <c r="L982" s="137">
        <v>0</v>
      </c>
    </row>
    <row r="983" spans="7:12" x14ac:dyDescent="0.25">
      <c r="G983" s="136">
        <v>43315</v>
      </c>
      <c r="H983" t="s">
        <v>192</v>
      </c>
      <c r="I983" t="s">
        <v>112</v>
      </c>
      <c r="J983" t="s">
        <v>162</v>
      </c>
      <c r="K983" s="138">
        <v>37.18</v>
      </c>
      <c r="L983" s="137">
        <v>0</v>
      </c>
    </row>
    <row r="984" spans="7:12" x14ac:dyDescent="0.25">
      <c r="G984" s="136">
        <v>43315</v>
      </c>
      <c r="H984" t="s">
        <v>192</v>
      </c>
      <c r="I984" t="s">
        <v>155</v>
      </c>
      <c r="J984" t="s">
        <v>162</v>
      </c>
      <c r="K984" s="138">
        <v>2.14</v>
      </c>
      <c r="L984" s="137">
        <v>0</v>
      </c>
    </row>
    <row r="985" spans="7:12" x14ac:dyDescent="0.25">
      <c r="G985" s="136">
        <v>43315</v>
      </c>
      <c r="H985" t="s">
        <v>27</v>
      </c>
      <c r="I985" t="s">
        <v>63</v>
      </c>
      <c r="J985" t="s">
        <v>162</v>
      </c>
      <c r="K985" s="138">
        <v>24</v>
      </c>
      <c r="L985" s="137">
        <v>0</v>
      </c>
    </row>
    <row r="986" spans="7:12" x14ac:dyDescent="0.25">
      <c r="G986" s="136">
        <v>43315</v>
      </c>
      <c r="H986" t="s">
        <v>27</v>
      </c>
      <c r="I986" t="s">
        <v>63</v>
      </c>
      <c r="J986" t="s">
        <v>162</v>
      </c>
      <c r="K986" s="138">
        <v>8</v>
      </c>
      <c r="L986" s="137">
        <v>0</v>
      </c>
    </row>
    <row r="987" spans="7:12" x14ac:dyDescent="0.25">
      <c r="G987" s="136">
        <v>43315</v>
      </c>
      <c r="H987" t="s">
        <v>183</v>
      </c>
      <c r="I987" t="s">
        <v>178</v>
      </c>
      <c r="J987" t="s">
        <v>162</v>
      </c>
      <c r="K987" s="138">
        <v>26.25</v>
      </c>
      <c r="L987" s="137">
        <v>0</v>
      </c>
    </row>
    <row r="988" spans="7:12" x14ac:dyDescent="0.25">
      <c r="G988" s="136">
        <v>43315</v>
      </c>
      <c r="H988" t="s">
        <v>183</v>
      </c>
      <c r="I988" t="s">
        <v>112</v>
      </c>
      <c r="J988" t="s">
        <v>162</v>
      </c>
      <c r="K988" s="138">
        <v>23.94</v>
      </c>
      <c r="L988" s="137">
        <v>0</v>
      </c>
    </row>
    <row r="989" spans="7:12" x14ac:dyDescent="0.25">
      <c r="G989" s="136">
        <v>43315</v>
      </c>
      <c r="H989" t="s">
        <v>183</v>
      </c>
      <c r="I989" t="s">
        <v>126</v>
      </c>
      <c r="J989" t="s">
        <v>335</v>
      </c>
      <c r="K989" s="138">
        <v>7.84</v>
      </c>
      <c r="L989" s="137">
        <v>0</v>
      </c>
    </row>
    <row r="990" spans="7:12" x14ac:dyDescent="0.25">
      <c r="G990" s="136">
        <v>43315</v>
      </c>
      <c r="H990" t="s">
        <v>193</v>
      </c>
      <c r="I990" t="s">
        <v>112</v>
      </c>
      <c r="J990" t="s">
        <v>162</v>
      </c>
      <c r="K990" s="138">
        <v>479.83</v>
      </c>
      <c r="L990" s="137">
        <v>0</v>
      </c>
    </row>
    <row r="991" spans="7:12" x14ac:dyDescent="0.25">
      <c r="G991" s="136">
        <v>43315</v>
      </c>
      <c r="H991" t="s">
        <v>188</v>
      </c>
      <c r="I991" t="s">
        <v>63</v>
      </c>
      <c r="J991" t="s">
        <v>162</v>
      </c>
      <c r="K991" s="138">
        <v>1073.46</v>
      </c>
      <c r="L991" s="137">
        <v>0</v>
      </c>
    </row>
    <row r="992" spans="7:12" x14ac:dyDescent="0.25">
      <c r="G992" s="136">
        <v>43315</v>
      </c>
      <c r="H992" t="s">
        <v>188</v>
      </c>
      <c r="I992" t="s">
        <v>112</v>
      </c>
      <c r="J992" t="s">
        <v>162</v>
      </c>
      <c r="K992" s="138">
        <v>47.85</v>
      </c>
      <c r="L992" s="137">
        <v>0</v>
      </c>
    </row>
    <row r="993" spans="7:12" x14ac:dyDescent="0.25">
      <c r="G993" s="136">
        <v>43315</v>
      </c>
      <c r="H993" t="s">
        <v>188</v>
      </c>
      <c r="I993" t="s">
        <v>155</v>
      </c>
      <c r="J993" t="s">
        <v>162</v>
      </c>
      <c r="K993" s="138">
        <v>42.69</v>
      </c>
      <c r="L993" s="137">
        <v>0</v>
      </c>
    </row>
    <row r="994" spans="7:12" x14ac:dyDescent="0.25">
      <c r="G994" s="136">
        <v>43315</v>
      </c>
      <c r="H994" t="s">
        <v>25</v>
      </c>
      <c r="I994" t="s">
        <v>63</v>
      </c>
      <c r="J994" t="s">
        <v>162</v>
      </c>
      <c r="K994" s="138">
        <v>80</v>
      </c>
      <c r="L994" s="137">
        <v>0</v>
      </c>
    </row>
    <row r="995" spans="7:12" x14ac:dyDescent="0.25">
      <c r="G995" s="136">
        <v>43315</v>
      </c>
      <c r="H995" t="s">
        <v>25</v>
      </c>
      <c r="I995" t="s">
        <v>63</v>
      </c>
      <c r="J995" t="s">
        <v>162</v>
      </c>
      <c r="K995" s="138">
        <v>72</v>
      </c>
      <c r="L995" s="137">
        <v>0</v>
      </c>
    </row>
    <row r="996" spans="7:12" x14ac:dyDescent="0.25">
      <c r="G996" s="136">
        <v>43315</v>
      </c>
      <c r="H996" t="s">
        <v>25</v>
      </c>
      <c r="I996" t="s">
        <v>63</v>
      </c>
      <c r="J996" t="s">
        <v>162</v>
      </c>
      <c r="K996" s="138">
        <v>32</v>
      </c>
      <c r="L996" s="137">
        <v>0</v>
      </c>
    </row>
    <row r="997" spans="7:12" x14ac:dyDescent="0.25">
      <c r="G997" s="136">
        <v>43315</v>
      </c>
      <c r="H997" t="s">
        <v>25</v>
      </c>
      <c r="I997" t="s">
        <v>63</v>
      </c>
      <c r="J997" t="s">
        <v>162</v>
      </c>
      <c r="K997" s="138">
        <v>8</v>
      </c>
      <c r="L997" s="137">
        <v>0</v>
      </c>
    </row>
    <row r="998" spans="7:12" x14ac:dyDescent="0.25">
      <c r="G998" s="136">
        <v>43315</v>
      </c>
      <c r="H998" t="s">
        <v>181</v>
      </c>
      <c r="I998" t="s">
        <v>112</v>
      </c>
      <c r="J998" t="s">
        <v>162</v>
      </c>
      <c r="K998" s="138">
        <v>20.75</v>
      </c>
      <c r="L998" s="137">
        <v>0</v>
      </c>
    </row>
    <row r="999" spans="7:12" x14ac:dyDescent="0.25">
      <c r="G999" s="136">
        <v>43315</v>
      </c>
      <c r="H999" t="s">
        <v>197</v>
      </c>
      <c r="I999" t="s">
        <v>112</v>
      </c>
      <c r="J999" t="s">
        <v>162</v>
      </c>
      <c r="K999" s="138">
        <v>33.549999999999997</v>
      </c>
      <c r="L999" s="137">
        <v>0</v>
      </c>
    </row>
    <row r="1000" spans="7:12" x14ac:dyDescent="0.25">
      <c r="G1000" s="136">
        <v>43315</v>
      </c>
      <c r="H1000" t="s">
        <v>197</v>
      </c>
      <c r="I1000" t="s">
        <v>176</v>
      </c>
      <c r="J1000" t="s">
        <v>162</v>
      </c>
      <c r="K1000" s="138">
        <v>20</v>
      </c>
      <c r="L1000" s="137">
        <v>0</v>
      </c>
    </row>
    <row r="1001" spans="7:12" x14ac:dyDescent="0.25">
      <c r="G1001" s="136">
        <v>43315</v>
      </c>
      <c r="H1001" t="s">
        <v>28</v>
      </c>
      <c r="I1001" t="s">
        <v>178</v>
      </c>
      <c r="J1001" t="s">
        <v>162</v>
      </c>
      <c r="K1001" s="138">
        <v>5.99</v>
      </c>
      <c r="L1001" s="137">
        <v>0</v>
      </c>
    </row>
    <row r="1002" spans="7:12" x14ac:dyDescent="0.25">
      <c r="G1002" s="136">
        <v>43315</v>
      </c>
      <c r="H1002" t="s">
        <v>28</v>
      </c>
      <c r="I1002" t="s">
        <v>112</v>
      </c>
      <c r="J1002" t="s">
        <v>162</v>
      </c>
      <c r="K1002" s="138">
        <v>27.48</v>
      </c>
      <c r="L1002" s="137">
        <v>0</v>
      </c>
    </row>
    <row r="1003" spans="7:12" x14ac:dyDescent="0.25">
      <c r="G1003" s="136">
        <v>43315</v>
      </c>
      <c r="H1003" t="s">
        <v>28</v>
      </c>
      <c r="I1003" t="s">
        <v>155</v>
      </c>
      <c r="J1003" t="s">
        <v>162</v>
      </c>
      <c r="K1003" s="138">
        <v>90</v>
      </c>
      <c r="L1003" s="137">
        <v>0</v>
      </c>
    </row>
    <row r="1004" spans="7:12" x14ac:dyDescent="0.25">
      <c r="G1004" s="136">
        <v>43315</v>
      </c>
      <c r="H1004" t="s">
        <v>28</v>
      </c>
      <c r="I1004" t="s">
        <v>155</v>
      </c>
      <c r="J1004" t="s">
        <v>162</v>
      </c>
      <c r="K1004" s="138">
        <v>85.12</v>
      </c>
      <c r="L1004" s="137">
        <v>0</v>
      </c>
    </row>
    <row r="1005" spans="7:12" x14ac:dyDescent="0.25">
      <c r="G1005" s="136">
        <v>43315</v>
      </c>
      <c r="H1005" t="s">
        <v>28</v>
      </c>
      <c r="I1005" t="s">
        <v>155</v>
      </c>
      <c r="J1005" t="s">
        <v>162</v>
      </c>
      <c r="K1005" s="138">
        <v>81.2</v>
      </c>
      <c r="L1005" s="137">
        <v>0</v>
      </c>
    </row>
    <row r="1006" spans="7:12" x14ac:dyDescent="0.25">
      <c r="G1006" s="136">
        <v>43315</v>
      </c>
      <c r="H1006" t="s">
        <v>28</v>
      </c>
      <c r="I1006" t="s">
        <v>155</v>
      </c>
      <c r="J1006" t="s">
        <v>162</v>
      </c>
      <c r="K1006" s="138">
        <v>45</v>
      </c>
      <c r="L1006" s="137">
        <v>0</v>
      </c>
    </row>
    <row r="1007" spans="7:12" x14ac:dyDescent="0.25">
      <c r="G1007" s="136">
        <v>43315</v>
      </c>
      <c r="H1007" t="s">
        <v>28</v>
      </c>
      <c r="I1007" t="s">
        <v>155</v>
      </c>
      <c r="J1007" t="s">
        <v>162</v>
      </c>
      <c r="K1007" s="138">
        <v>40.86</v>
      </c>
      <c r="L1007" s="137">
        <v>0</v>
      </c>
    </row>
    <row r="1008" spans="7:12" x14ac:dyDescent="0.25">
      <c r="G1008" s="136">
        <v>43315</v>
      </c>
      <c r="H1008" t="s">
        <v>28</v>
      </c>
      <c r="I1008" t="s">
        <v>66</v>
      </c>
      <c r="J1008" t="s">
        <v>108</v>
      </c>
      <c r="K1008" s="138">
        <v>1.8</v>
      </c>
      <c r="L1008" s="137">
        <v>0</v>
      </c>
    </row>
    <row r="1009" spans="7:12" x14ac:dyDescent="0.25">
      <c r="G1009" s="136">
        <v>43315</v>
      </c>
      <c r="H1009" t="s">
        <v>28</v>
      </c>
      <c r="I1009" t="s">
        <v>66</v>
      </c>
      <c r="J1009" t="s">
        <v>142</v>
      </c>
      <c r="K1009" s="138">
        <v>22</v>
      </c>
      <c r="L1009" s="137">
        <v>0</v>
      </c>
    </row>
    <row r="1010" spans="7:12" x14ac:dyDescent="0.25">
      <c r="G1010" s="136">
        <v>43316</v>
      </c>
      <c r="H1010" t="s">
        <v>28</v>
      </c>
      <c r="I1010" t="s">
        <v>66</v>
      </c>
      <c r="J1010" t="s">
        <v>142</v>
      </c>
      <c r="K1010" s="138">
        <v>22</v>
      </c>
      <c r="L1010" s="137">
        <v>0</v>
      </c>
    </row>
    <row r="1011" spans="7:12" x14ac:dyDescent="0.25">
      <c r="G1011" s="136">
        <v>43316</v>
      </c>
      <c r="H1011" t="s">
        <v>28</v>
      </c>
      <c r="I1011" t="s">
        <v>66</v>
      </c>
      <c r="J1011" t="s">
        <v>109</v>
      </c>
      <c r="K1011" s="138">
        <v>42</v>
      </c>
      <c r="L1011" s="137">
        <v>0</v>
      </c>
    </row>
    <row r="1012" spans="7:12" x14ac:dyDescent="0.25">
      <c r="G1012" s="136">
        <v>43316</v>
      </c>
      <c r="H1012" t="s">
        <v>28</v>
      </c>
      <c r="I1012" t="s">
        <v>66</v>
      </c>
      <c r="J1012" t="s">
        <v>105</v>
      </c>
      <c r="K1012" s="138">
        <v>25</v>
      </c>
      <c r="L1012" s="137">
        <v>0</v>
      </c>
    </row>
    <row r="1013" spans="7:12" x14ac:dyDescent="0.25">
      <c r="G1013" s="136">
        <v>43318</v>
      </c>
      <c r="H1013" t="s">
        <v>27</v>
      </c>
      <c r="I1013" t="s">
        <v>63</v>
      </c>
      <c r="J1013" t="s">
        <v>173</v>
      </c>
      <c r="K1013" s="138">
        <v>8</v>
      </c>
      <c r="L1013" s="137">
        <v>0</v>
      </c>
    </row>
    <row r="1014" spans="7:12" x14ac:dyDescent="0.25">
      <c r="G1014" s="136">
        <v>43318</v>
      </c>
      <c r="H1014" t="s">
        <v>193</v>
      </c>
      <c r="I1014" t="s">
        <v>163</v>
      </c>
      <c r="J1014" t="s">
        <v>173</v>
      </c>
      <c r="K1014" s="138">
        <v>578.27</v>
      </c>
      <c r="L1014" s="137">
        <v>0</v>
      </c>
    </row>
    <row r="1015" spans="7:12" x14ac:dyDescent="0.25">
      <c r="G1015" s="136">
        <v>43318</v>
      </c>
      <c r="H1015" t="s">
        <v>25</v>
      </c>
      <c r="I1015" t="s">
        <v>63</v>
      </c>
      <c r="J1015" t="s">
        <v>173</v>
      </c>
      <c r="K1015" s="138">
        <v>48</v>
      </c>
      <c r="L1015" s="137">
        <v>0</v>
      </c>
    </row>
    <row r="1016" spans="7:12" x14ac:dyDescent="0.25">
      <c r="G1016" s="136">
        <v>43318</v>
      </c>
      <c r="H1016" t="s">
        <v>25</v>
      </c>
      <c r="I1016" t="s">
        <v>63</v>
      </c>
      <c r="J1016" t="s">
        <v>173</v>
      </c>
      <c r="K1016" s="138">
        <v>32</v>
      </c>
      <c r="L1016" s="137">
        <v>0</v>
      </c>
    </row>
    <row r="1017" spans="7:12" x14ac:dyDescent="0.25">
      <c r="G1017" s="136">
        <v>43318</v>
      </c>
      <c r="H1017" t="s">
        <v>25</v>
      </c>
      <c r="I1017" t="s">
        <v>63</v>
      </c>
      <c r="J1017" t="s">
        <v>173</v>
      </c>
      <c r="K1017" s="138">
        <v>24</v>
      </c>
      <c r="L1017" s="137">
        <v>0</v>
      </c>
    </row>
    <row r="1018" spans="7:12" x14ac:dyDescent="0.25">
      <c r="G1018" s="136">
        <v>43318</v>
      </c>
      <c r="H1018" t="s">
        <v>25</v>
      </c>
      <c r="I1018" t="s">
        <v>63</v>
      </c>
      <c r="J1018" t="s">
        <v>173</v>
      </c>
      <c r="K1018" s="138">
        <v>16</v>
      </c>
      <c r="L1018" s="137">
        <v>0</v>
      </c>
    </row>
    <row r="1019" spans="7:12" x14ac:dyDescent="0.25">
      <c r="G1019" s="136">
        <v>43318</v>
      </c>
      <c r="H1019" t="s">
        <v>25</v>
      </c>
      <c r="I1019" t="s">
        <v>63</v>
      </c>
      <c r="J1019" t="s">
        <v>173</v>
      </c>
      <c r="K1019" s="138">
        <v>8</v>
      </c>
      <c r="L1019" s="137">
        <v>0</v>
      </c>
    </row>
    <row r="1020" spans="7:12" x14ac:dyDescent="0.25">
      <c r="G1020" s="136">
        <v>43318</v>
      </c>
      <c r="H1020" t="s">
        <v>28</v>
      </c>
      <c r="I1020" t="s">
        <v>66</v>
      </c>
      <c r="J1020" t="s">
        <v>139</v>
      </c>
      <c r="K1020" s="138">
        <v>18</v>
      </c>
      <c r="L1020" s="137">
        <v>0</v>
      </c>
    </row>
    <row r="1021" spans="7:12" x14ac:dyDescent="0.25">
      <c r="G1021" s="136">
        <v>43318</v>
      </c>
      <c r="H1021" t="s">
        <v>28</v>
      </c>
      <c r="I1021" t="s">
        <v>66</v>
      </c>
      <c r="J1021" t="s">
        <v>141</v>
      </c>
      <c r="K1021" s="138">
        <v>3.15</v>
      </c>
      <c r="L1021" s="137">
        <v>0</v>
      </c>
    </row>
    <row r="1022" spans="7:12" x14ac:dyDescent="0.25">
      <c r="G1022" s="136">
        <v>43318</v>
      </c>
      <c r="H1022" t="s">
        <v>28</v>
      </c>
      <c r="I1022" t="s">
        <v>66</v>
      </c>
      <c r="J1022" t="s">
        <v>131</v>
      </c>
      <c r="K1022" s="138">
        <v>9.1999999999999993</v>
      </c>
      <c r="L1022" s="137">
        <v>0</v>
      </c>
    </row>
    <row r="1023" spans="7:12" x14ac:dyDescent="0.25">
      <c r="G1023" s="136">
        <v>43318</v>
      </c>
      <c r="H1023" t="s">
        <v>28</v>
      </c>
      <c r="I1023" t="s">
        <v>66</v>
      </c>
      <c r="J1023" t="s">
        <v>138</v>
      </c>
      <c r="K1023" s="138">
        <v>1.8</v>
      </c>
      <c r="L1023" s="137">
        <v>0</v>
      </c>
    </row>
    <row r="1024" spans="7:12" x14ac:dyDescent="0.25">
      <c r="G1024" s="136">
        <v>43318</v>
      </c>
      <c r="H1024" t="s">
        <v>28</v>
      </c>
      <c r="I1024" t="s">
        <v>66</v>
      </c>
      <c r="J1024" t="s">
        <v>140</v>
      </c>
      <c r="K1024" s="138">
        <v>13</v>
      </c>
      <c r="L1024" s="137">
        <v>0</v>
      </c>
    </row>
    <row r="1025" spans="7:12" x14ac:dyDescent="0.25">
      <c r="G1025" s="136">
        <v>43319</v>
      </c>
      <c r="H1025" t="s">
        <v>27</v>
      </c>
      <c r="I1025" t="s">
        <v>63</v>
      </c>
      <c r="J1025" t="s">
        <v>68</v>
      </c>
      <c r="K1025" s="138">
        <v>8</v>
      </c>
      <c r="L1025" s="137">
        <v>0</v>
      </c>
    </row>
    <row r="1026" spans="7:12" x14ac:dyDescent="0.25">
      <c r="G1026" s="136">
        <v>43319</v>
      </c>
      <c r="H1026" t="s">
        <v>183</v>
      </c>
      <c r="I1026" t="s">
        <v>42</v>
      </c>
      <c r="J1026" t="s">
        <v>68</v>
      </c>
      <c r="K1026" s="138">
        <v>19.37</v>
      </c>
      <c r="L1026" s="137">
        <v>0</v>
      </c>
    </row>
    <row r="1027" spans="7:12" x14ac:dyDescent="0.25">
      <c r="G1027" s="136">
        <v>43319</v>
      </c>
      <c r="H1027" t="s">
        <v>193</v>
      </c>
      <c r="I1027" t="s">
        <v>42</v>
      </c>
      <c r="J1027" t="s">
        <v>68</v>
      </c>
      <c r="K1027" s="138">
        <v>158.69</v>
      </c>
      <c r="L1027" s="137">
        <v>0</v>
      </c>
    </row>
    <row r="1028" spans="7:12" x14ac:dyDescent="0.25">
      <c r="G1028" s="136">
        <v>43319</v>
      </c>
      <c r="H1028" t="s">
        <v>188</v>
      </c>
      <c r="I1028" t="s">
        <v>42</v>
      </c>
      <c r="J1028" t="s">
        <v>68</v>
      </c>
      <c r="K1028" s="138">
        <v>25</v>
      </c>
      <c r="L1028" s="137">
        <v>0</v>
      </c>
    </row>
    <row r="1029" spans="7:12" x14ac:dyDescent="0.25">
      <c r="G1029" s="136">
        <v>43319</v>
      </c>
      <c r="H1029" t="s">
        <v>200</v>
      </c>
      <c r="I1029" t="s">
        <v>42</v>
      </c>
      <c r="J1029" t="s">
        <v>68</v>
      </c>
      <c r="K1029" s="138">
        <v>11.02</v>
      </c>
      <c r="L1029" s="137">
        <v>0</v>
      </c>
    </row>
    <row r="1030" spans="7:12" x14ac:dyDescent="0.25">
      <c r="G1030" s="136">
        <v>43319</v>
      </c>
      <c r="H1030" t="s">
        <v>25</v>
      </c>
      <c r="I1030" t="s">
        <v>63</v>
      </c>
      <c r="J1030" t="s">
        <v>68</v>
      </c>
      <c r="K1030" s="138">
        <v>56</v>
      </c>
      <c r="L1030" s="137">
        <v>0</v>
      </c>
    </row>
    <row r="1031" spans="7:12" x14ac:dyDescent="0.25">
      <c r="G1031" s="136">
        <v>43319</v>
      </c>
      <c r="H1031" t="s">
        <v>25</v>
      </c>
      <c r="I1031" t="s">
        <v>63</v>
      </c>
      <c r="J1031" t="s">
        <v>68</v>
      </c>
      <c r="K1031" s="138">
        <v>32</v>
      </c>
      <c r="L1031" s="137">
        <v>0</v>
      </c>
    </row>
    <row r="1032" spans="7:12" x14ac:dyDescent="0.25">
      <c r="G1032" s="136">
        <v>43319</v>
      </c>
      <c r="H1032" t="s">
        <v>25</v>
      </c>
      <c r="I1032" t="s">
        <v>63</v>
      </c>
      <c r="J1032" t="s">
        <v>68</v>
      </c>
      <c r="K1032" s="138">
        <v>24</v>
      </c>
      <c r="L1032" s="137">
        <v>0</v>
      </c>
    </row>
    <row r="1033" spans="7:12" x14ac:dyDescent="0.25">
      <c r="G1033" s="136">
        <v>43319</v>
      </c>
      <c r="H1033" t="s">
        <v>25</v>
      </c>
      <c r="I1033" t="s">
        <v>63</v>
      </c>
      <c r="J1033" t="s">
        <v>68</v>
      </c>
      <c r="K1033" s="138">
        <v>16</v>
      </c>
      <c r="L1033" s="137">
        <v>0</v>
      </c>
    </row>
    <row r="1034" spans="7:12" x14ac:dyDescent="0.25">
      <c r="G1034" s="136">
        <v>43319</v>
      </c>
      <c r="H1034" t="s">
        <v>25</v>
      </c>
      <c r="I1034" t="s">
        <v>63</v>
      </c>
      <c r="J1034" t="s">
        <v>68</v>
      </c>
      <c r="K1034" s="138">
        <v>8</v>
      </c>
      <c r="L1034" s="137">
        <v>0</v>
      </c>
    </row>
    <row r="1035" spans="7:12" x14ac:dyDescent="0.25">
      <c r="G1035" s="136">
        <v>43319</v>
      </c>
      <c r="H1035" t="s">
        <v>25</v>
      </c>
      <c r="I1035" t="s">
        <v>126</v>
      </c>
      <c r="J1035" t="s">
        <v>157</v>
      </c>
      <c r="K1035" s="138">
        <v>61.02</v>
      </c>
      <c r="L1035" s="137">
        <v>0</v>
      </c>
    </row>
    <row r="1036" spans="7:12" x14ac:dyDescent="0.25">
      <c r="G1036" s="136">
        <v>43319</v>
      </c>
      <c r="H1036" t="s">
        <v>179</v>
      </c>
      <c r="I1036" t="s">
        <v>63</v>
      </c>
      <c r="J1036" t="s">
        <v>68</v>
      </c>
      <c r="K1036" s="138">
        <v>14.39</v>
      </c>
      <c r="L1036" s="137">
        <v>0</v>
      </c>
    </row>
    <row r="1037" spans="7:12" x14ac:dyDescent="0.25">
      <c r="G1037" s="136">
        <v>43319</v>
      </c>
      <c r="H1037" t="s">
        <v>28</v>
      </c>
      <c r="I1037" t="s">
        <v>66</v>
      </c>
      <c r="J1037" t="s">
        <v>139</v>
      </c>
      <c r="K1037" s="138">
        <v>72</v>
      </c>
      <c r="L1037" s="137">
        <v>0</v>
      </c>
    </row>
    <row r="1038" spans="7:12" x14ac:dyDescent="0.25">
      <c r="G1038" s="136">
        <v>43319</v>
      </c>
      <c r="H1038" t="s">
        <v>28</v>
      </c>
      <c r="I1038" t="s">
        <v>66</v>
      </c>
      <c r="J1038" t="s">
        <v>131</v>
      </c>
      <c r="K1038" s="138">
        <v>9.1999999999999993</v>
      </c>
      <c r="L1038" s="137">
        <v>0</v>
      </c>
    </row>
    <row r="1039" spans="7:12" x14ac:dyDescent="0.25">
      <c r="G1039" s="136">
        <v>43319</v>
      </c>
      <c r="H1039" t="s">
        <v>28</v>
      </c>
      <c r="I1039" t="s">
        <v>66</v>
      </c>
      <c r="J1039" t="s">
        <v>138</v>
      </c>
      <c r="K1039" s="138">
        <v>11.3</v>
      </c>
      <c r="L1039" s="137">
        <v>0</v>
      </c>
    </row>
    <row r="1040" spans="7:12" x14ac:dyDescent="0.25">
      <c r="G1040" s="136">
        <v>43319</v>
      </c>
      <c r="H1040" t="s">
        <v>28</v>
      </c>
      <c r="I1040" t="s">
        <v>66</v>
      </c>
      <c r="J1040" t="s">
        <v>137</v>
      </c>
      <c r="K1040" s="138">
        <v>9.1999999999999993</v>
      </c>
      <c r="L1040" s="137">
        <v>0</v>
      </c>
    </row>
    <row r="1041" spans="7:12" x14ac:dyDescent="0.25">
      <c r="G1041" s="136">
        <v>43319</v>
      </c>
      <c r="H1041" t="s">
        <v>28</v>
      </c>
      <c r="I1041" t="s">
        <v>42</v>
      </c>
      <c r="J1041" t="s">
        <v>68</v>
      </c>
      <c r="K1041" s="138">
        <v>24.34</v>
      </c>
      <c r="L1041" s="137">
        <v>0</v>
      </c>
    </row>
    <row r="1042" spans="7:12" x14ac:dyDescent="0.25">
      <c r="G1042" s="136">
        <v>43320</v>
      </c>
      <c r="H1042" t="s">
        <v>185</v>
      </c>
      <c r="I1042" t="s">
        <v>63</v>
      </c>
      <c r="J1042" t="s">
        <v>69</v>
      </c>
      <c r="K1042" s="138">
        <v>8.99</v>
      </c>
      <c r="L1042" s="137">
        <v>0</v>
      </c>
    </row>
    <row r="1043" spans="7:12" x14ac:dyDescent="0.25">
      <c r="G1043" s="136">
        <v>43320</v>
      </c>
      <c r="H1043" t="s">
        <v>185</v>
      </c>
      <c r="I1043" t="s">
        <v>42</v>
      </c>
      <c r="J1043" t="s">
        <v>69</v>
      </c>
      <c r="K1043" s="138">
        <v>30</v>
      </c>
      <c r="L1043" s="137">
        <v>0</v>
      </c>
    </row>
    <row r="1044" spans="7:12" x14ac:dyDescent="0.25">
      <c r="G1044" s="136">
        <v>43320</v>
      </c>
      <c r="H1044" t="s">
        <v>183</v>
      </c>
      <c r="I1044" t="s">
        <v>42</v>
      </c>
      <c r="J1044" t="s">
        <v>69</v>
      </c>
      <c r="K1044" s="138">
        <v>17.61</v>
      </c>
      <c r="L1044" s="137">
        <v>0</v>
      </c>
    </row>
    <row r="1045" spans="7:12" x14ac:dyDescent="0.25">
      <c r="G1045" s="136">
        <v>43320</v>
      </c>
      <c r="H1045" t="s">
        <v>189</v>
      </c>
      <c r="I1045" t="s">
        <v>42</v>
      </c>
      <c r="J1045" t="s">
        <v>69</v>
      </c>
      <c r="K1045" s="138">
        <v>126.96</v>
      </c>
      <c r="L1045" s="137">
        <v>0</v>
      </c>
    </row>
    <row r="1046" spans="7:12" x14ac:dyDescent="0.25">
      <c r="G1046" s="136">
        <v>43320</v>
      </c>
      <c r="H1046" t="s">
        <v>191</v>
      </c>
      <c r="I1046" t="s">
        <v>163</v>
      </c>
      <c r="J1046" t="s">
        <v>69</v>
      </c>
      <c r="K1046" s="138">
        <v>7696.4</v>
      </c>
      <c r="L1046" s="137">
        <v>0</v>
      </c>
    </row>
    <row r="1047" spans="7:12" x14ac:dyDescent="0.25">
      <c r="G1047" s="136">
        <v>43320</v>
      </c>
      <c r="H1047" t="s">
        <v>25</v>
      </c>
      <c r="I1047" t="s">
        <v>63</v>
      </c>
      <c r="J1047" t="s">
        <v>69</v>
      </c>
      <c r="K1047" s="138">
        <v>8</v>
      </c>
      <c r="L1047" s="137">
        <v>0</v>
      </c>
    </row>
    <row r="1048" spans="7:12" x14ac:dyDescent="0.25">
      <c r="G1048" s="136">
        <v>43320</v>
      </c>
      <c r="H1048" t="s">
        <v>25</v>
      </c>
      <c r="I1048" t="s">
        <v>42</v>
      </c>
      <c r="J1048" t="s">
        <v>69</v>
      </c>
      <c r="K1048" s="138">
        <v>147.9</v>
      </c>
      <c r="L1048" s="137">
        <v>0</v>
      </c>
    </row>
    <row r="1049" spans="7:12" x14ac:dyDescent="0.25">
      <c r="G1049" s="136">
        <v>43320</v>
      </c>
      <c r="H1049" t="s">
        <v>201</v>
      </c>
      <c r="I1049" t="s">
        <v>42</v>
      </c>
      <c r="J1049" t="s">
        <v>69</v>
      </c>
      <c r="K1049" s="138">
        <v>202</v>
      </c>
      <c r="L1049" s="137">
        <v>0</v>
      </c>
    </row>
    <row r="1050" spans="7:12" x14ac:dyDescent="0.25">
      <c r="G1050" s="136">
        <v>43320</v>
      </c>
      <c r="H1050" t="s">
        <v>181</v>
      </c>
      <c r="I1050" t="s">
        <v>42</v>
      </c>
      <c r="J1050" t="s">
        <v>69</v>
      </c>
      <c r="K1050" s="138">
        <v>138.18</v>
      </c>
      <c r="L1050" s="137">
        <v>0</v>
      </c>
    </row>
    <row r="1051" spans="7:12" x14ac:dyDescent="0.25">
      <c r="G1051" s="136">
        <v>43320</v>
      </c>
      <c r="H1051" t="s">
        <v>197</v>
      </c>
      <c r="I1051" t="s">
        <v>42</v>
      </c>
      <c r="J1051" t="s">
        <v>69</v>
      </c>
      <c r="K1051" s="138">
        <v>66</v>
      </c>
      <c r="L1051" s="137">
        <v>0</v>
      </c>
    </row>
    <row r="1052" spans="7:12" x14ac:dyDescent="0.25">
      <c r="G1052" s="136">
        <v>43320</v>
      </c>
      <c r="H1052" t="s">
        <v>187</v>
      </c>
      <c r="I1052" t="s">
        <v>42</v>
      </c>
      <c r="J1052" t="s">
        <v>69</v>
      </c>
      <c r="K1052" s="138">
        <v>122.01</v>
      </c>
      <c r="L1052" s="137">
        <v>0</v>
      </c>
    </row>
    <row r="1053" spans="7:12" x14ac:dyDescent="0.25">
      <c r="G1053" s="136">
        <v>43320</v>
      </c>
      <c r="H1053" t="s">
        <v>28</v>
      </c>
      <c r="I1053" t="s">
        <v>163</v>
      </c>
      <c r="J1053" t="s">
        <v>69</v>
      </c>
      <c r="K1053" s="138">
        <v>34.549999999999997</v>
      </c>
      <c r="L1053" s="137">
        <v>0</v>
      </c>
    </row>
    <row r="1054" spans="7:12" x14ac:dyDescent="0.25">
      <c r="G1054" s="136">
        <v>43320</v>
      </c>
      <c r="H1054" t="s">
        <v>28</v>
      </c>
      <c r="I1054" t="s">
        <v>66</v>
      </c>
      <c r="J1054" t="s">
        <v>136</v>
      </c>
      <c r="K1054" s="138">
        <v>2.1</v>
      </c>
      <c r="L1054" s="137">
        <v>0</v>
      </c>
    </row>
    <row r="1055" spans="7:12" x14ac:dyDescent="0.25">
      <c r="G1055" s="136">
        <v>43320</v>
      </c>
      <c r="H1055" t="s">
        <v>28</v>
      </c>
      <c r="I1055" t="s">
        <v>66</v>
      </c>
      <c r="J1055" t="s">
        <v>128</v>
      </c>
      <c r="K1055" s="138">
        <v>7.35</v>
      </c>
      <c r="L1055" s="137">
        <v>0</v>
      </c>
    </row>
    <row r="1056" spans="7:12" x14ac:dyDescent="0.25">
      <c r="G1056" s="136">
        <v>43320</v>
      </c>
      <c r="H1056" t="s">
        <v>28</v>
      </c>
      <c r="I1056" t="s">
        <v>66</v>
      </c>
      <c r="J1056" t="s">
        <v>120</v>
      </c>
      <c r="K1056" s="138">
        <v>14.7</v>
      </c>
      <c r="L1056" s="137">
        <v>0</v>
      </c>
    </row>
    <row r="1057" spans="7:12" x14ac:dyDescent="0.25">
      <c r="G1057" s="136">
        <v>43320</v>
      </c>
      <c r="H1057" t="s">
        <v>28</v>
      </c>
      <c r="I1057" t="s">
        <v>66</v>
      </c>
      <c r="J1057" t="s">
        <v>135</v>
      </c>
      <c r="K1057" s="138">
        <v>9.5500000000000007</v>
      </c>
      <c r="L1057" s="137">
        <v>0</v>
      </c>
    </row>
    <row r="1058" spans="7:12" x14ac:dyDescent="0.25">
      <c r="G1058" s="136">
        <v>43320</v>
      </c>
      <c r="H1058" t="s">
        <v>28</v>
      </c>
      <c r="I1058" t="s">
        <v>66</v>
      </c>
      <c r="J1058" t="s">
        <v>122</v>
      </c>
      <c r="K1058" s="138">
        <v>2.9</v>
      </c>
      <c r="L1058" s="137">
        <v>0</v>
      </c>
    </row>
    <row r="1059" spans="7:12" x14ac:dyDescent="0.25">
      <c r="G1059" s="136">
        <v>43320</v>
      </c>
      <c r="H1059" t="s">
        <v>28</v>
      </c>
      <c r="I1059" t="s">
        <v>66</v>
      </c>
      <c r="J1059" t="s">
        <v>115</v>
      </c>
      <c r="K1059" s="138">
        <v>4.5</v>
      </c>
      <c r="L1059" s="137">
        <v>0</v>
      </c>
    </row>
    <row r="1060" spans="7:12" x14ac:dyDescent="0.25">
      <c r="G1060" s="136">
        <v>43320</v>
      </c>
      <c r="H1060" t="s">
        <v>28</v>
      </c>
      <c r="I1060" t="s">
        <v>42</v>
      </c>
      <c r="J1060" t="s">
        <v>69</v>
      </c>
      <c r="K1060" s="138">
        <v>41.6</v>
      </c>
      <c r="L1060" s="137">
        <v>0</v>
      </c>
    </row>
    <row r="1061" spans="7:12" x14ac:dyDescent="0.25">
      <c r="G1061" s="136">
        <v>43321</v>
      </c>
      <c r="H1061" t="s">
        <v>27</v>
      </c>
      <c r="I1061" t="s">
        <v>63</v>
      </c>
      <c r="J1061" t="s">
        <v>161</v>
      </c>
      <c r="K1061" s="138">
        <v>16</v>
      </c>
      <c r="L1061" s="137">
        <v>0</v>
      </c>
    </row>
    <row r="1062" spans="7:12" x14ac:dyDescent="0.25">
      <c r="G1062" s="136">
        <v>43321</v>
      </c>
      <c r="H1062" t="s">
        <v>27</v>
      </c>
      <c r="I1062" t="s">
        <v>63</v>
      </c>
      <c r="J1062" t="s">
        <v>161</v>
      </c>
      <c r="K1062" s="138">
        <v>8</v>
      </c>
      <c r="L1062" s="137">
        <v>0</v>
      </c>
    </row>
    <row r="1063" spans="7:12" x14ac:dyDescent="0.25">
      <c r="G1063" s="136">
        <v>43321</v>
      </c>
      <c r="H1063" t="s">
        <v>186</v>
      </c>
      <c r="I1063" t="s">
        <v>112</v>
      </c>
      <c r="J1063" t="s">
        <v>161</v>
      </c>
      <c r="K1063" s="138">
        <v>64.099999999999994</v>
      </c>
      <c r="L1063" s="137">
        <v>0</v>
      </c>
    </row>
    <row r="1064" spans="7:12" x14ac:dyDescent="0.25">
      <c r="G1064" s="136">
        <v>43321</v>
      </c>
      <c r="H1064" t="s">
        <v>195</v>
      </c>
      <c r="I1064" t="s">
        <v>63</v>
      </c>
      <c r="J1064" t="s">
        <v>161</v>
      </c>
      <c r="K1064" s="138">
        <v>10</v>
      </c>
      <c r="L1064" s="137">
        <v>0</v>
      </c>
    </row>
    <row r="1065" spans="7:12" x14ac:dyDescent="0.25">
      <c r="G1065" s="136">
        <v>43321</v>
      </c>
      <c r="H1065" t="s">
        <v>195</v>
      </c>
      <c r="I1065" t="s">
        <v>42</v>
      </c>
      <c r="J1065" t="s">
        <v>161</v>
      </c>
      <c r="K1065" s="138">
        <v>12</v>
      </c>
      <c r="L1065" s="137">
        <v>0</v>
      </c>
    </row>
    <row r="1066" spans="7:12" x14ac:dyDescent="0.25">
      <c r="G1066" s="136">
        <v>43321</v>
      </c>
      <c r="H1066" t="s">
        <v>183</v>
      </c>
      <c r="I1066" t="s">
        <v>63</v>
      </c>
      <c r="J1066" t="s">
        <v>161</v>
      </c>
      <c r="K1066" s="138">
        <v>20</v>
      </c>
      <c r="L1066" s="137">
        <v>0</v>
      </c>
    </row>
    <row r="1067" spans="7:12" x14ac:dyDescent="0.25">
      <c r="G1067" s="136">
        <v>43321</v>
      </c>
      <c r="H1067" t="s">
        <v>183</v>
      </c>
      <c r="I1067" t="s">
        <v>155</v>
      </c>
      <c r="J1067" t="s">
        <v>161</v>
      </c>
      <c r="K1067" s="138">
        <v>436.59</v>
      </c>
      <c r="L1067" s="137">
        <v>0</v>
      </c>
    </row>
    <row r="1068" spans="7:12" x14ac:dyDescent="0.25">
      <c r="G1068" s="136">
        <v>43321</v>
      </c>
      <c r="H1068" t="s">
        <v>183</v>
      </c>
      <c r="I1068" t="s">
        <v>42</v>
      </c>
      <c r="J1068" t="s">
        <v>161</v>
      </c>
      <c r="K1068" s="138">
        <v>10</v>
      </c>
      <c r="L1068" s="137">
        <v>0</v>
      </c>
    </row>
    <row r="1069" spans="7:12" x14ac:dyDescent="0.25">
      <c r="G1069" s="136">
        <v>43321</v>
      </c>
      <c r="H1069" t="s">
        <v>193</v>
      </c>
      <c r="I1069" t="s">
        <v>176</v>
      </c>
      <c r="J1069" t="s">
        <v>161</v>
      </c>
      <c r="K1069" s="138">
        <v>1400.56</v>
      </c>
      <c r="L1069" s="137">
        <v>0</v>
      </c>
    </row>
    <row r="1070" spans="7:12" x14ac:dyDescent="0.25">
      <c r="G1070" s="136">
        <v>43321</v>
      </c>
      <c r="H1070" t="s">
        <v>188</v>
      </c>
      <c r="I1070" t="s">
        <v>171</v>
      </c>
      <c r="J1070" t="s">
        <v>161</v>
      </c>
      <c r="K1070" s="138">
        <v>1067.8800000000001</v>
      </c>
      <c r="L1070" s="137">
        <v>0</v>
      </c>
    </row>
    <row r="1071" spans="7:12" x14ac:dyDescent="0.25">
      <c r="G1071" s="136">
        <v>43321</v>
      </c>
      <c r="H1071" t="s">
        <v>25</v>
      </c>
      <c r="I1071" t="s">
        <v>63</v>
      </c>
      <c r="J1071" t="s">
        <v>161</v>
      </c>
      <c r="K1071" s="138">
        <v>112</v>
      </c>
      <c r="L1071" s="137">
        <v>0</v>
      </c>
    </row>
    <row r="1072" spans="7:12" x14ac:dyDescent="0.25">
      <c r="G1072" s="136">
        <v>43321</v>
      </c>
      <c r="H1072" t="s">
        <v>25</v>
      </c>
      <c r="I1072" t="s">
        <v>63</v>
      </c>
      <c r="J1072" t="s">
        <v>161</v>
      </c>
      <c r="K1072" s="138">
        <v>80</v>
      </c>
      <c r="L1072" s="137">
        <v>0</v>
      </c>
    </row>
    <row r="1073" spans="7:12" x14ac:dyDescent="0.25">
      <c r="G1073" s="136">
        <v>43321</v>
      </c>
      <c r="H1073" t="s">
        <v>25</v>
      </c>
      <c r="I1073" t="s">
        <v>63</v>
      </c>
      <c r="J1073" t="s">
        <v>161</v>
      </c>
      <c r="K1073" s="138">
        <v>72</v>
      </c>
      <c r="L1073" s="137">
        <v>0</v>
      </c>
    </row>
    <row r="1074" spans="7:12" x14ac:dyDescent="0.25">
      <c r="G1074" s="136">
        <v>43321</v>
      </c>
      <c r="H1074" t="s">
        <v>25</v>
      </c>
      <c r="I1074" t="s">
        <v>63</v>
      </c>
      <c r="J1074" t="s">
        <v>161</v>
      </c>
      <c r="K1074" s="138">
        <v>48</v>
      </c>
      <c r="L1074" s="137">
        <v>0</v>
      </c>
    </row>
    <row r="1075" spans="7:12" x14ac:dyDescent="0.25">
      <c r="G1075" s="136">
        <v>43321</v>
      </c>
      <c r="H1075" t="s">
        <v>25</v>
      </c>
      <c r="I1075" t="s">
        <v>63</v>
      </c>
      <c r="J1075" t="s">
        <v>161</v>
      </c>
      <c r="K1075" s="138">
        <v>16</v>
      </c>
      <c r="L1075" s="137">
        <v>0</v>
      </c>
    </row>
    <row r="1076" spans="7:12" x14ac:dyDescent="0.25">
      <c r="G1076" s="136">
        <v>43321</v>
      </c>
      <c r="H1076" t="s">
        <v>25</v>
      </c>
      <c r="I1076" t="s">
        <v>42</v>
      </c>
      <c r="J1076" t="s">
        <v>161</v>
      </c>
      <c r="K1076" s="138">
        <v>126</v>
      </c>
      <c r="L1076" s="137">
        <v>0</v>
      </c>
    </row>
    <row r="1077" spans="7:12" x14ac:dyDescent="0.25">
      <c r="G1077" s="136">
        <v>43321</v>
      </c>
      <c r="H1077" t="s">
        <v>201</v>
      </c>
      <c r="I1077" t="s">
        <v>171</v>
      </c>
      <c r="J1077" t="s">
        <v>161</v>
      </c>
      <c r="K1077" s="138">
        <v>239</v>
      </c>
      <c r="L1077" s="137">
        <v>0</v>
      </c>
    </row>
    <row r="1078" spans="7:12" x14ac:dyDescent="0.25">
      <c r="G1078" s="136">
        <v>43321</v>
      </c>
      <c r="H1078" t="s">
        <v>181</v>
      </c>
      <c r="I1078" t="s">
        <v>42</v>
      </c>
      <c r="J1078" t="s">
        <v>161</v>
      </c>
      <c r="K1078" s="138">
        <v>96.94</v>
      </c>
      <c r="L1078" s="137">
        <v>0</v>
      </c>
    </row>
    <row r="1079" spans="7:12" x14ac:dyDescent="0.25">
      <c r="G1079" s="136">
        <v>43321</v>
      </c>
      <c r="H1079" t="s">
        <v>181</v>
      </c>
      <c r="I1079" t="s">
        <v>171</v>
      </c>
      <c r="J1079" t="s">
        <v>161</v>
      </c>
      <c r="K1079" s="138">
        <v>363.7</v>
      </c>
      <c r="L1079" s="137">
        <v>0</v>
      </c>
    </row>
    <row r="1080" spans="7:12" x14ac:dyDescent="0.25">
      <c r="G1080" s="136">
        <v>43321</v>
      </c>
      <c r="H1080" t="s">
        <v>196</v>
      </c>
      <c r="I1080" t="s">
        <v>112</v>
      </c>
      <c r="J1080" t="s">
        <v>161</v>
      </c>
      <c r="K1080" s="138">
        <v>177.7</v>
      </c>
      <c r="L1080" s="137">
        <v>0</v>
      </c>
    </row>
    <row r="1081" spans="7:12" x14ac:dyDescent="0.25">
      <c r="G1081" s="136">
        <v>43321</v>
      </c>
      <c r="H1081" t="s">
        <v>196</v>
      </c>
      <c r="I1081" t="s">
        <v>171</v>
      </c>
      <c r="J1081" t="s">
        <v>161</v>
      </c>
      <c r="K1081" s="138">
        <v>1027.55</v>
      </c>
      <c r="L1081" s="137">
        <v>0</v>
      </c>
    </row>
    <row r="1082" spans="7:12" x14ac:dyDescent="0.25">
      <c r="G1082" s="136">
        <v>43321</v>
      </c>
      <c r="H1082" t="s">
        <v>206</v>
      </c>
      <c r="I1082" t="s">
        <v>171</v>
      </c>
      <c r="J1082" t="s">
        <v>161</v>
      </c>
      <c r="K1082" s="138">
        <v>200.5</v>
      </c>
      <c r="L1082" s="137">
        <v>0</v>
      </c>
    </row>
    <row r="1083" spans="7:12" x14ac:dyDescent="0.25">
      <c r="G1083" s="136">
        <v>43321</v>
      </c>
      <c r="H1083" t="s">
        <v>180</v>
      </c>
      <c r="I1083" t="s">
        <v>42</v>
      </c>
      <c r="J1083" t="s">
        <v>161</v>
      </c>
      <c r="K1083" s="138">
        <v>10</v>
      </c>
      <c r="L1083" s="137">
        <v>0</v>
      </c>
    </row>
    <row r="1084" spans="7:12" x14ac:dyDescent="0.25">
      <c r="G1084" s="136">
        <v>43321</v>
      </c>
      <c r="H1084" t="s">
        <v>180</v>
      </c>
      <c r="I1084" t="s">
        <v>171</v>
      </c>
      <c r="J1084" t="s">
        <v>161</v>
      </c>
      <c r="K1084" s="138">
        <v>185.5</v>
      </c>
      <c r="L1084" s="137">
        <v>0</v>
      </c>
    </row>
    <row r="1085" spans="7:12" x14ac:dyDescent="0.25">
      <c r="G1085" s="136">
        <v>43321</v>
      </c>
      <c r="H1085" t="s">
        <v>28</v>
      </c>
      <c r="I1085" t="s">
        <v>163</v>
      </c>
      <c r="J1085" t="s">
        <v>161</v>
      </c>
      <c r="K1085" s="138">
        <v>13.92</v>
      </c>
      <c r="L1085" s="137">
        <v>0</v>
      </c>
    </row>
    <row r="1086" spans="7:12" x14ac:dyDescent="0.25">
      <c r="G1086" s="136">
        <v>43321</v>
      </c>
      <c r="H1086" t="s">
        <v>28</v>
      </c>
      <c r="I1086" t="s">
        <v>112</v>
      </c>
      <c r="J1086" t="s">
        <v>161</v>
      </c>
      <c r="K1086" s="138">
        <v>44.85</v>
      </c>
      <c r="L1086" s="137">
        <v>0</v>
      </c>
    </row>
    <row r="1087" spans="7:12" x14ac:dyDescent="0.25">
      <c r="G1087" s="136">
        <v>43321</v>
      </c>
      <c r="H1087" t="s">
        <v>28</v>
      </c>
      <c r="I1087" t="s">
        <v>112</v>
      </c>
      <c r="J1087" t="s">
        <v>161</v>
      </c>
      <c r="K1087" s="138">
        <v>27.8</v>
      </c>
      <c r="L1087" s="137">
        <v>0</v>
      </c>
    </row>
    <row r="1088" spans="7:12" x14ac:dyDescent="0.25">
      <c r="G1088" s="136">
        <v>43321</v>
      </c>
      <c r="H1088" t="s">
        <v>28</v>
      </c>
      <c r="I1088" t="s">
        <v>112</v>
      </c>
      <c r="J1088" t="s">
        <v>161</v>
      </c>
      <c r="K1088" s="138">
        <v>8.5</v>
      </c>
      <c r="L1088" s="137">
        <v>0</v>
      </c>
    </row>
    <row r="1089" spans="7:12" x14ac:dyDescent="0.25">
      <c r="G1089" s="136">
        <v>43321</v>
      </c>
      <c r="H1089" t="s">
        <v>28</v>
      </c>
      <c r="I1089" t="s">
        <v>155</v>
      </c>
      <c r="J1089" t="s">
        <v>161</v>
      </c>
      <c r="K1089" s="138">
        <v>152.08000000000001</v>
      </c>
      <c r="L1089" s="137">
        <v>0</v>
      </c>
    </row>
    <row r="1090" spans="7:12" x14ac:dyDescent="0.25">
      <c r="G1090" s="136">
        <v>43321</v>
      </c>
      <c r="H1090" t="s">
        <v>28</v>
      </c>
      <c r="I1090" t="s">
        <v>155</v>
      </c>
      <c r="J1090" t="s">
        <v>161</v>
      </c>
      <c r="K1090" s="138">
        <v>102.39</v>
      </c>
      <c r="L1090" s="137">
        <v>0</v>
      </c>
    </row>
    <row r="1091" spans="7:12" x14ac:dyDescent="0.25">
      <c r="G1091" s="136">
        <v>43321</v>
      </c>
      <c r="H1091" t="s">
        <v>28</v>
      </c>
      <c r="I1091" t="s">
        <v>155</v>
      </c>
      <c r="J1091" t="s">
        <v>161</v>
      </c>
      <c r="K1091" s="138">
        <v>78.8</v>
      </c>
      <c r="L1091" s="137">
        <v>0</v>
      </c>
    </row>
    <row r="1092" spans="7:12" x14ac:dyDescent="0.25">
      <c r="G1092" s="136">
        <v>43321</v>
      </c>
      <c r="H1092" t="s">
        <v>28</v>
      </c>
      <c r="I1092" t="s">
        <v>155</v>
      </c>
      <c r="J1092" t="s">
        <v>161</v>
      </c>
      <c r="K1092" s="138">
        <v>45.48</v>
      </c>
      <c r="L1092" s="137">
        <v>0</v>
      </c>
    </row>
    <row r="1093" spans="7:12" x14ac:dyDescent="0.25">
      <c r="G1093" s="136">
        <v>43321</v>
      </c>
      <c r="H1093" t="s">
        <v>28</v>
      </c>
      <c r="I1093" t="s">
        <v>155</v>
      </c>
      <c r="J1093" t="s">
        <v>161</v>
      </c>
      <c r="K1093" s="138">
        <v>40.299999999999997</v>
      </c>
      <c r="L1093" s="137">
        <v>0</v>
      </c>
    </row>
    <row r="1094" spans="7:12" x14ac:dyDescent="0.25">
      <c r="G1094" s="136">
        <v>43321</v>
      </c>
      <c r="H1094" t="s">
        <v>28</v>
      </c>
      <c r="I1094" t="s">
        <v>155</v>
      </c>
      <c r="J1094" t="s">
        <v>161</v>
      </c>
      <c r="K1094" s="138">
        <v>33</v>
      </c>
      <c r="L1094" s="137">
        <v>0</v>
      </c>
    </row>
    <row r="1095" spans="7:12" x14ac:dyDescent="0.25">
      <c r="G1095" s="136">
        <v>43321</v>
      </c>
      <c r="H1095" t="s">
        <v>28</v>
      </c>
      <c r="I1095" t="s">
        <v>155</v>
      </c>
      <c r="J1095" t="s">
        <v>161</v>
      </c>
      <c r="K1095" s="138">
        <v>28.82</v>
      </c>
      <c r="L1095" s="137">
        <v>0</v>
      </c>
    </row>
    <row r="1096" spans="7:12" x14ac:dyDescent="0.25">
      <c r="G1096" s="136">
        <v>43321</v>
      </c>
      <c r="H1096" t="s">
        <v>28</v>
      </c>
      <c r="I1096" t="s">
        <v>155</v>
      </c>
      <c r="J1096" t="s">
        <v>161</v>
      </c>
      <c r="K1096" s="138">
        <v>24.5</v>
      </c>
      <c r="L1096" s="137">
        <v>0</v>
      </c>
    </row>
    <row r="1097" spans="7:12" x14ac:dyDescent="0.25">
      <c r="G1097" s="136">
        <v>43321</v>
      </c>
      <c r="H1097" t="s">
        <v>28</v>
      </c>
      <c r="I1097" t="s">
        <v>66</v>
      </c>
      <c r="J1097" t="s">
        <v>134</v>
      </c>
      <c r="K1097" s="138">
        <v>9</v>
      </c>
      <c r="L1097" s="137">
        <v>0</v>
      </c>
    </row>
    <row r="1098" spans="7:12" x14ac:dyDescent="0.25">
      <c r="G1098" s="136">
        <v>43321</v>
      </c>
      <c r="H1098" t="s">
        <v>28</v>
      </c>
      <c r="I1098" t="s">
        <v>66</v>
      </c>
      <c r="J1098" t="s">
        <v>133</v>
      </c>
      <c r="K1098" s="138">
        <v>4.5</v>
      </c>
      <c r="L1098" s="137">
        <v>0</v>
      </c>
    </row>
    <row r="1099" spans="7:12" x14ac:dyDescent="0.25">
      <c r="G1099" s="136">
        <v>43321</v>
      </c>
      <c r="H1099" t="s">
        <v>28</v>
      </c>
      <c r="I1099" t="s">
        <v>66</v>
      </c>
      <c r="J1099" t="s">
        <v>124</v>
      </c>
      <c r="K1099" s="138">
        <v>7.4</v>
      </c>
      <c r="L1099" s="137">
        <v>0</v>
      </c>
    </row>
    <row r="1100" spans="7:12" x14ac:dyDescent="0.25">
      <c r="G1100" s="136">
        <v>43321</v>
      </c>
      <c r="H1100" t="s">
        <v>28</v>
      </c>
      <c r="I1100" t="s">
        <v>66</v>
      </c>
      <c r="J1100" t="s">
        <v>132</v>
      </c>
      <c r="K1100" s="138">
        <v>12</v>
      </c>
      <c r="L1100" s="137">
        <v>0</v>
      </c>
    </row>
    <row r="1101" spans="7:12" x14ac:dyDescent="0.25">
      <c r="G1101" s="136">
        <v>43321</v>
      </c>
      <c r="H1101" t="s">
        <v>28</v>
      </c>
      <c r="I1101" t="s">
        <v>175</v>
      </c>
      <c r="J1101" t="s">
        <v>161</v>
      </c>
      <c r="K1101" s="138">
        <v>10.7</v>
      </c>
      <c r="L1101" s="137">
        <v>0</v>
      </c>
    </row>
    <row r="1102" spans="7:12" x14ac:dyDescent="0.25">
      <c r="G1102" s="136">
        <v>43321</v>
      </c>
      <c r="H1102" t="s">
        <v>28</v>
      </c>
      <c r="I1102" t="s">
        <v>171</v>
      </c>
      <c r="J1102" t="s">
        <v>161</v>
      </c>
      <c r="K1102" s="138">
        <v>176</v>
      </c>
      <c r="L1102" s="137">
        <v>0</v>
      </c>
    </row>
    <row r="1103" spans="7:12" x14ac:dyDescent="0.25">
      <c r="G1103" s="136">
        <v>43322</v>
      </c>
      <c r="H1103" t="s">
        <v>203</v>
      </c>
      <c r="I1103" t="s">
        <v>42</v>
      </c>
      <c r="J1103" t="s">
        <v>156</v>
      </c>
      <c r="K1103" s="138">
        <v>10.25</v>
      </c>
      <c r="L1103" s="137">
        <v>0</v>
      </c>
    </row>
    <row r="1104" spans="7:12" x14ac:dyDescent="0.25">
      <c r="G1104" s="136">
        <v>43322</v>
      </c>
      <c r="H1104" t="s">
        <v>192</v>
      </c>
      <c r="I1104" t="s">
        <v>64</v>
      </c>
      <c r="J1104" t="s">
        <v>70</v>
      </c>
      <c r="K1104" s="138">
        <v>549.17999999999995</v>
      </c>
      <c r="L1104" s="137">
        <v>0</v>
      </c>
    </row>
    <row r="1105" spans="7:12" x14ac:dyDescent="0.25">
      <c r="G1105" s="136">
        <v>43322</v>
      </c>
      <c r="H1105" t="s">
        <v>27</v>
      </c>
      <c r="I1105" t="s">
        <v>64</v>
      </c>
      <c r="J1105" t="s">
        <v>70</v>
      </c>
      <c r="K1105" s="138">
        <v>169.99</v>
      </c>
      <c r="L1105" s="137">
        <v>0</v>
      </c>
    </row>
    <row r="1106" spans="7:12" x14ac:dyDescent="0.25">
      <c r="G1106" s="136">
        <v>43322</v>
      </c>
      <c r="H1106" t="s">
        <v>27</v>
      </c>
      <c r="I1106" t="s">
        <v>64</v>
      </c>
      <c r="J1106" t="s">
        <v>70</v>
      </c>
      <c r="K1106" s="138">
        <v>121.69</v>
      </c>
      <c r="L1106" s="137">
        <v>0</v>
      </c>
    </row>
    <row r="1107" spans="7:12" x14ac:dyDescent="0.25">
      <c r="G1107" s="136">
        <v>43322</v>
      </c>
      <c r="H1107" t="s">
        <v>27</v>
      </c>
      <c r="I1107" t="s">
        <v>64</v>
      </c>
      <c r="J1107" t="s">
        <v>70</v>
      </c>
      <c r="K1107" s="138">
        <v>88.67</v>
      </c>
      <c r="L1107" s="137">
        <v>0</v>
      </c>
    </row>
    <row r="1108" spans="7:12" x14ac:dyDescent="0.25">
      <c r="G1108" s="136">
        <v>43322</v>
      </c>
      <c r="H1108" t="s">
        <v>27</v>
      </c>
      <c r="I1108" t="s">
        <v>64</v>
      </c>
      <c r="J1108" t="s">
        <v>70</v>
      </c>
      <c r="K1108" s="138">
        <v>86.35</v>
      </c>
      <c r="L1108" s="137">
        <v>0</v>
      </c>
    </row>
    <row r="1109" spans="7:12" x14ac:dyDescent="0.25">
      <c r="G1109" s="136">
        <v>43322</v>
      </c>
      <c r="H1109" t="s">
        <v>27</v>
      </c>
      <c r="I1109" t="s">
        <v>64</v>
      </c>
      <c r="J1109" t="s">
        <v>70</v>
      </c>
      <c r="K1109" s="138">
        <v>57.73</v>
      </c>
      <c r="L1109" s="137">
        <v>0</v>
      </c>
    </row>
    <row r="1110" spans="7:12" x14ac:dyDescent="0.25">
      <c r="G1110" s="136">
        <v>43322</v>
      </c>
      <c r="H1110" t="s">
        <v>27</v>
      </c>
      <c r="I1110" t="s">
        <v>64</v>
      </c>
      <c r="J1110" t="s">
        <v>70</v>
      </c>
      <c r="K1110" s="138">
        <v>52.73</v>
      </c>
      <c r="L1110" s="137">
        <v>0</v>
      </c>
    </row>
    <row r="1111" spans="7:12" x14ac:dyDescent="0.25">
      <c r="G1111" s="136">
        <v>43322</v>
      </c>
      <c r="H1111" t="s">
        <v>27</v>
      </c>
      <c r="I1111" t="s">
        <v>64</v>
      </c>
      <c r="J1111" t="s">
        <v>70</v>
      </c>
      <c r="K1111" s="138">
        <v>49.79</v>
      </c>
      <c r="L1111" s="137">
        <v>0</v>
      </c>
    </row>
    <row r="1112" spans="7:12" x14ac:dyDescent="0.25">
      <c r="G1112" s="136">
        <v>43322</v>
      </c>
      <c r="H1112" t="s">
        <v>27</v>
      </c>
      <c r="I1112" t="s">
        <v>64</v>
      </c>
      <c r="J1112" t="s">
        <v>70</v>
      </c>
      <c r="K1112" s="138">
        <v>45.75</v>
      </c>
      <c r="L1112" s="137">
        <v>0</v>
      </c>
    </row>
    <row r="1113" spans="7:12" x14ac:dyDescent="0.25">
      <c r="G1113" s="136">
        <v>43322</v>
      </c>
      <c r="H1113" t="s">
        <v>27</v>
      </c>
      <c r="I1113" t="s">
        <v>64</v>
      </c>
      <c r="J1113" t="s">
        <v>70</v>
      </c>
      <c r="K1113" s="138">
        <v>39.61</v>
      </c>
      <c r="L1113" s="137">
        <v>0</v>
      </c>
    </row>
    <row r="1114" spans="7:12" x14ac:dyDescent="0.25">
      <c r="G1114" s="136">
        <v>43322</v>
      </c>
      <c r="H1114" t="s">
        <v>27</v>
      </c>
      <c r="I1114" t="s">
        <v>64</v>
      </c>
      <c r="J1114" t="s">
        <v>70</v>
      </c>
      <c r="K1114" s="138">
        <v>33.15</v>
      </c>
      <c r="L1114" s="137">
        <v>0</v>
      </c>
    </row>
    <row r="1115" spans="7:12" x14ac:dyDescent="0.25">
      <c r="G1115" s="136">
        <v>43322</v>
      </c>
      <c r="H1115" t="s">
        <v>27</v>
      </c>
      <c r="I1115" t="s">
        <v>64</v>
      </c>
      <c r="J1115" t="s">
        <v>70</v>
      </c>
      <c r="K1115" s="138">
        <v>31.75</v>
      </c>
      <c r="L1115" s="137">
        <v>0</v>
      </c>
    </row>
    <row r="1116" spans="7:12" x14ac:dyDescent="0.25">
      <c r="G1116" s="136">
        <v>43322</v>
      </c>
      <c r="H1116" t="s">
        <v>27</v>
      </c>
      <c r="I1116" t="s">
        <v>64</v>
      </c>
      <c r="J1116" t="s">
        <v>70</v>
      </c>
      <c r="K1116" s="138">
        <v>30.87</v>
      </c>
      <c r="L1116" s="137">
        <v>0</v>
      </c>
    </row>
    <row r="1117" spans="7:12" x14ac:dyDescent="0.25">
      <c r="G1117" s="136">
        <v>43322</v>
      </c>
      <c r="H1117" t="s">
        <v>27</v>
      </c>
      <c r="I1117" t="s">
        <v>64</v>
      </c>
      <c r="J1117" t="s">
        <v>70</v>
      </c>
      <c r="K1117" s="138">
        <v>30.27</v>
      </c>
      <c r="L1117" s="137">
        <v>0</v>
      </c>
    </row>
    <row r="1118" spans="7:12" x14ac:dyDescent="0.25">
      <c r="G1118" s="136">
        <v>43322</v>
      </c>
      <c r="H1118" t="s">
        <v>27</v>
      </c>
      <c r="I1118" t="s">
        <v>64</v>
      </c>
      <c r="J1118" t="s">
        <v>70</v>
      </c>
      <c r="K1118" s="138">
        <v>28.78</v>
      </c>
      <c r="L1118" s="137">
        <v>0</v>
      </c>
    </row>
    <row r="1119" spans="7:12" x14ac:dyDescent="0.25">
      <c r="G1119" s="136">
        <v>43322</v>
      </c>
      <c r="H1119" t="s">
        <v>27</v>
      </c>
      <c r="I1119" t="s">
        <v>64</v>
      </c>
      <c r="J1119" t="s">
        <v>70</v>
      </c>
      <c r="K1119" s="138">
        <v>28</v>
      </c>
      <c r="L1119" s="137">
        <v>0</v>
      </c>
    </row>
    <row r="1120" spans="7:12" x14ac:dyDescent="0.25">
      <c r="G1120" s="136">
        <v>43322</v>
      </c>
      <c r="H1120" t="s">
        <v>27</v>
      </c>
      <c r="I1120" t="s">
        <v>64</v>
      </c>
      <c r="J1120" t="s">
        <v>70</v>
      </c>
      <c r="K1120" s="138">
        <v>22.58</v>
      </c>
      <c r="L1120" s="137">
        <v>0</v>
      </c>
    </row>
    <row r="1121" spans="7:12" x14ac:dyDescent="0.25">
      <c r="G1121" s="136">
        <v>43322</v>
      </c>
      <c r="H1121" t="s">
        <v>27</v>
      </c>
      <c r="I1121" t="s">
        <v>64</v>
      </c>
      <c r="J1121" t="s">
        <v>70</v>
      </c>
      <c r="K1121" s="138">
        <v>17.829999999999998</v>
      </c>
      <c r="L1121" s="137">
        <v>0</v>
      </c>
    </row>
    <row r="1122" spans="7:12" x14ac:dyDescent="0.25">
      <c r="G1122" s="136">
        <v>43322</v>
      </c>
      <c r="H1122" t="s">
        <v>27</v>
      </c>
      <c r="I1122" t="s">
        <v>64</v>
      </c>
      <c r="J1122" t="s">
        <v>70</v>
      </c>
      <c r="K1122" s="138">
        <v>13.33</v>
      </c>
      <c r="L1122" s="137">
        <v>0</v>
      </c>
    </row>
    <row r="1123" spans="7:12" x14ac:dyDescent="0.25">
      <c r="G1123" s="136">
        <v>43322</v>
      </c>
      <c r="H1123" t="s">
        <v>27</v>
      </c>
      <c r="I1123" t="s">
        <v>64</v>
      </c>
      <c r="J1123" t="s">
        <v>70</v>
      </c>
      <c r="K1123" s="138">
        <v>12.88</v>
      </c>
      <c r="L1123" s="137">
        <v>0</v>
      </c>
    </row>
    <row r="1124" spans="7:12" x14ac:dyDescent="0.25">
      <c r="G1124" s="136">
        <v>43322</v>
      </c>
      <c r="H1124" t="s">
        <v>199</v>
      </c>
      <c r="I1124" t="s">
        <v>42</v>
      </c>
      <c r="J1124" t="s">
        <v>156</v>
      </c>
      <c r="K1124" s="138">
        <v>7.2</v>
      </c>
      <c r="L1124" s="137">
        <v>0</v>
      </c>
    </row>
    <row r="1125" spans="7:12" x14ac:dyDescent="0.25">
      <c r="G1125" s="136">
        <v>43322</v>
      </c>
      <c r="H1125" t="s">
        <v>184</v>
      </c>
      <c r="I1125" t="s">
        <v>171</v>
      </c>
      <c r="J1125" t="s">
        <v>156</v>
      </c>
      <c r="K1125" s="138">
        <v>108.4</v>
      </c>
      <c r="L1125" s="137">
        <v>0</v>
      </c>
    </row>
    <row r="1126" spans="7:12" x14ac:dyDescent="0.25">
      <c r="G1126" s="136">
        <v>43322</v>
      </c>
      <c r="H1126" t="s">
        <v>195</v>
      </c>
      <c r="I1126" t="s">
        <v>64</v>
      </c>
      <c r="J1126" t="s">
        <v>70</v>
      </c>
      <c r="K1126" s="138">
        <v>64.55</v>
      </c>
      <c r="L1126" s="137">
        <v>0</v>
      </c>
    </row>
    <row r="1127" spans="7:12" x14ac:dyDescent="0.25">
      <c r="G1127" s="136">
        <v>43322</v>
      </c>
      <c r="H1127" t="s">
        <v>183</v>
      </c>
      <c r="I1127" t="s">
        <v>64</v>
      </c>
      <c r="J1127" t="s">
        <v>70</v>
      </c>
      <c r="K1127" s="138">
        <v>3292.47</v>
      </c>
      <c r="L1127" s="137">
        <v>0</v>
      </c>
    </row>
    <row r="1128" spans="7:12" x14ac:dyDescent="0.25">
      <c r="G1128" s="136">
        <v>43322</v>
      </c>
      <c r="H1128" t="s">
        <v>183</v>
      </c>
      <c r="I1128" t="s">
        <v>42</v>
      </c>
      <c r="J1128" t="s">
        <v>156</v>
      </c>
      <c r="K1128" s="138">
        <v>15.46</v>
      </c>
      <c r="L1128" s="137">
        <v>0</v>
      </c>
    </row>
    <row r="1129" spans="7:12" x14ac:dyDescent="0.25">
      <c r="G1129" s="136">
        <v>43322</v>
      </c>
      <c r="H1129" t="s">
        <v>189</v>
      </c>
      <c r="I1129" t="s">
        <v>64</v>
      </c>
      <c r="J1129" t="s">
        <v>70</v>
      </c>
      <c r="K1129" s="138">
        <v>435.82</v>
      </c>
      <c r="L1129" s="137">
        <v>0</v>
      </c>
    </row>
    <row r="1130" spans="7:12" x14ac:dyDescent="0.25">
      <c r="G1130" s="136">
        <v>43322</v>
      </c>
      <c r="H1130" t="s">
        <v>193</v>
      </c>
      <c r="I1130" t="s">
        <v>64</v>
      </c>
      <c r="J1130" t="s">
        <v>70</v>
      </c>
      <c r="K1130" s="138">
        <v>35.08</v>
      </c>
      <c r="L1130" s="137">
        <v>0</v>
      </c>
    </row>
    <row r="1131" spans="7:12" x14ac:dyDescent="0.25">
      <c r="G1131" s="136">
        <v>43322</v>
      </c>
      <c r="H1131" t="s">
        <v>188</v>
      </c>
      <c r="I1131" t="s">
        <v>64</v>
      </c>
      <c r="J1131" t="s">
        <v>70</v>
      </c>
      <c r="K1131" s="138">
        <v>1356.16</v>
      </c>
      <c r="L1131" s="137">
        <v>0</v>
      </c>
    </row>
    <row r="1132" spans="7:12" x14ac:dyDescent="0.25">
      <c r="G1132" s="136">
        <v>43322</v>
      </c>
      <c r="H1132" t="s">
        <v>25</v>
      </c>
      <c r="I1132" t="s">
        <v>63</v>
      </c>
      <c r="J1132" t="s">
        <v>156</v>
      </c>
      <c r="K1132" s="138">
        <v>24</v>
      </c>
      <c r="L1132" s="137">
        <v>0</v>
      </c>
    </row>
    <row r="1133" spans="7:12" x14ac:dyDescent="0.25">
      <c r="G1133" s="136">
        <v>43322</v>
      </c>
      <c r="H1133" t="s">
        <v>25</v>
      </c>
      <c r="I1133" t="s">
        <v>64</v>
      </c>
      <c r="J1133" t="s">
        <v>70</v>
      </c>
      <c r="K1133" s="138">
        <v>1520.74</v>
      </c>
      <c r="L1133" s="137">
        <v>0</v>
      </c>
    </row>
    <row r="1134" spans="7:12" x14ac:dyDescent="0.25">
      <c r="G1134" s="136">
        <v>43322</v>
      </c>
      <c r="H1134" t="s">
        <v>25</v>
      </c>
      <c r="I1134" t="s">
        <v>64</v>
      </c>
      <c r="J1134" t="s">
        <v>70</v>
      </c>
      <c r="K1134" s="138">
        <v>639.87</v>
      </c>
      <c r="L1134" s="137">
        <v>0</v>
      </c>
    </row>
    <row r="1135" spans="7:12" x14ac:dyDescent="0.25">
      <c r="G1135" s="136">
        <v>43322</v>
      </c>
      <c r="H1135" t="s">
        <v>25</v>
      </c>
      <c r="I1135" t="s">
        <v>64</v>
      </c>
      <c r="J1135" t="s">
        <v>70</v>
      </c>
      <c r="K1135" s="138">
        <v>549.44000000000005</v>
      </c>
      <c r="L1135" s="137">
        <v>0</v>
      </c>
    </row>
    <row r="1136" spans="7:12" x14ac:dyDescent="0.25">
      <c r="G1136" s="136">
        <v>43322</v>
      </c>
      <c r="H1136" t="s">
        <v>25</v>
      </c>
      <c r="I1136" t="s">
        <v>64</v>
      </c>
      <c r="J1136" t="s">
        <v>70</v>
      </c>
      <c r="K1136" s="138">
        <v>503.99</v>
      </c>
      <c r="L1136" s="137">
        <v>0</v>
      </c>
    </row>
    <row r="1137" spans="7:12" x14ac:dyDescent="0.25">
      <c r="G1137" s="136">
        <v>43322</v>
      </c>
      <c r="H1137" t="s">
        <v>25</v>
      </c>
      <c r="I1137" t="s">
        <v>64</v>
      </c>
      <c r="J1137" t="s">
        <v>70</v>
      </c>
      <c r="K1137" s="138">
        <v>496.79</v>
      </c>
      <c r="L1137" s="137">
        <v>0</v>
      </c>
    </row>
    <row r="1138" spans="7:12" x14ac:dyDescent="0.25">
      <c r="G1138" s="136">
        <v>43322</v>
      </c>
      <c r="H1138" t="s">
        <v>25</v>
      </c>
      <c r="I1138" t="s">
        <v>64</v>
      </c>
      <c r="J1138" t="s">
        <v>70</v>
      </c>
      <c r="K1138" s="138">
        <v>365.79</v>
      </c>
      <c r="L1138" s="137">
        <v>0</v>
      </c>
    </row>
    <row r="1139" spans="7:12" x14ac:dyDescent="0.25">
      <c r="G1139" s="136">
        <v>43322</v>
      </c>
      <c r="H1139" t="s">
        <v>25</v>
      </c>
      <c r="I1139" t="s">
        <v>64</v>
      </c>
      <c r="J1139" t="s">
        <v>70</v>
      </c>
      <c r="K1139" s="138">
        <v>362.75</v>
      </c>
      <c r="L1139" s="137">
        <v>0</v>
      </c>
    </row>
    <row r="1140" spans="7:12" x14ac:dyDescent="0.25">
      <c r="G1140" s="136">
        <v>43322</v>
      </c>
      <c r="H1140" t="s">
        <v>25</v>
      </c>
      <c r="I1140" t="s">
        <v>64</v>
      </c>
      <c r="J1140" t="s">
        <v>70</v>
      </c>
      <c r="K1140" s="138">
        <v>339.37</v>
      </c>
      <c r="L1140" s="137">
        <v>0</v>
      </c>
    </row>
    <row r="1141" spans="7:12" x14ac:dyDescent="0.25">
      <c r="G1141" s="136">
        <v>43322</v>
      </c>
      <c r="H1141" t="s">
        <v>25</v>
      </c>
      <c r="I1141" t="s">
        <v>64</v>
      </c>
      <c r="J1141" t="s">
        <v>70</v>
      </c>
      <c r="K1141" s="138">
        <v>338.3</v>
      </c>
      <c r="L1141" s="137">
        <v>0</v>
      </c>
    </row>
    <row r="1142" spans="7:12" x14ac:dyDescent="0.25">
      <c r="G1142" s="136">
        <v>43322</v>
      </c>
      <c r="H1142" t="s">
        <v>25</v>
      </c>
      <c r="I1142" t="s">
        <v>64</v>
      </c>
      <c r="J1142" t="s">
        <v>70</v>
      </c>
      <c r="K1142" s="138">
        <v>316.97000000000003</v>
      </c>
      <c r="L1142" s="137">
        <v>0</v>
      </c>
    </row>
    <row r="1143" spans="7:12" x14ac:dyDescent="0.25">
      <c r="G1143" s="136">
        <v>43322</v>
      </c>
      <c r="H1143" t="s">
        <v>25</v>
      </c>
      <c r="I1143" t="s">
        <v>64</v>
      </c>
      <c r="J1143" t="s">
        <v>70</v>
      </c>
      <c r="K1143" s="138">
        <v>244</v>
      </c>
      <c r="L1143" s="137">
        <v>0</v>
      </c>
    </row>
    <row r="1144" spans="7:12" x14ac:dyDescent="0.25">
      <c r="G1144" s="136">
        <v>43322</v>
      </c>
      <c r="H1144" t="s">
        <v>25</v>
      </c>
      <c r="I1144" t="s">
        <v>64</v>
      </c>
      <c r="J1144" t="s">
        <v>70</v>
      </c>
      <c r="K1144" s="138">
        <v>234.75</v>
      </c>
      <c r="L1144" s="137">
        <v>0</v>
      </c>
    </row>
    <row r="1145" spans="7:12" x14ac:dyDescent="0.25">
      <c r="G1145" s="136">
        <v>43322</v>
      </c>
      <c r="H1145" t="s">
        <v>25</v>
      </c>
      <c r="I1145" t="s">
        <v>64</v>
      </c>
      <c r="J1145" t="s">
        <v>70</v>
      </c>
      <c r="K1145" s="138">
        <v>233.51</v>
      </c>
      <c r="L1145" s="137">
        <v>0</v>
      </c>
    </row>
    <row r="1146" spans="7:12" x14ac:dyDescent="0.25">
      <c r="G1146" s="136">
        <v>43322</v>
      </c>
      <c r="H1146" t="s">
        <v>25</v>
      </c>
      <c r="I1146" t="s">
        <v>64</v>
      </c>
      <c r="J1146" t="s">
        <v>70</v>
      </c>
      <c r="K1146" s="138">
        <v>228.39</v>
      </c>
      <c r="L1146" s="137">
        <v>0</v>
      </c>
    </row>
    <row r="1147" spans="7:12" x14ac:dyDescent="0.25">
      <c r="G1147" s="136">
        <v>43322</v>
      </c>
      <c r="H1147" t="s">
        <v>25</v>
      </c>
      <c r="I1147" t="s">
        <v>64</v>
      </c>
      <c r="J1147" t="s">
        <v>70</v>
      </c>
      <c r="K1147" s="138">
        <v>164.81</v>
      </c>
      <c r="L1147" s="137">
        <v>0</v>
      </c>
    </row>
    <row r="1148" spans="7:12" x14ac:dyDescent="0.25">
      <c r="G1148" s="136">
        <v>43322</v>
      </c>
      <c r="H1148" t="s">
        <v>25</v>
      </c>
      <c r="I1148" t="s">
        <v>64</v>
      </c>
      <c r="J1148" t="s">
        <v>70</v>
      </c>
      <c r="K1148" s="138">
        <v>145.5</v>
      </c>
      <c r="L1148" s="137">
        <v>0</v>
      </c>
    </row>
    <row r="1149" spans="7:12" x14ac:dyDescent="0.25">
      <c r="G1149" s="136">
        <v>43322</v>
      </c>
      <c r="H1149" t="s">
        <v>25</v>
      </c>
      <c r="I1149" t="s">
        <v>64</v>
      </c>
      <c r="J1149" t="s">
        <v>70</v>
      </c>
      <c r="K1149" s="138">
        <v>143.71</v>
      </c>
      <c r="L1149" s="137">
        <v>0</v>
      </c>
    </row>
    <row r="1150" spans="7:12" x14ac:dyDescent="0.25">
      <c r="G1150" s="136">
        <v>43322</v>
      </c>
      <c r="H1150" t="s">
        <v>25</v>
      </c>
      <c r="I1150" t="s">
        <v>64</v>
      </c>
      <c r="J1150" t="s">
        <v>70</v>
      </c>
      <c r="K1150" s="138">
        <v>106.23</v>
      </c>
      <c r="L1150" s="137">
        <v>0</v>
      </c>
    </row>
    <row r="1151" spans="7:12" x14ac:dyDescent="0.25">
      <c r="G1151" s="136">
        <v>43322</v>
      </c>
      <c r="H1151" t="s">
        <v>25</v>
      </c>
      <c r="I1151" t="s">
        <v>64</v>
      </c>
      <c r="J1151" t="s">
        <v>70</v>
      </c>
      <c r="K1151" s="138">
        <v>86.54</v>
      </c>
      <c r="L1151" s="137">
        <v>0</v>
      </c>
    </row>
    <row r="1152" spans="7:12" x14ac:dyDescent="0.25">
      <c r="G1152" s="136">
        <v>43322</v>
      </c>
      <c r="H1152" t="s">
        <v>25</v>
      </c>
      <c r="I1152" t="s">
        <v>64</v>
      </c>
      <c r="J1152" t="s">
        <v>70</v>
      </c>
      <c r="K1152" s="138">
        <v>51.02</v>
      </c>
      <c r="L1152" s="137">
        <v>0</v>
      </c>
    </row>
    <row r="1153" spans="7:12" x14ac:dyDescent="0.25">
      <c r="G1153" s="136">
        <v>43322</v>
      </c>
      <c r="H1153" t="s">
        <v>25</v>
      </c>
      <c r="I1153" t="s">
        <v>64</v>
      </c>
      <c r="J1153" t="s">
        <v>70</v>
      </c>
      <c r="K1153" s="138">
        <v>50.1</v>
      </c>
      <c r="L1153" s="137">
        <v>0</v>
      </c>
    </row>
    <row r="1154" spans="7:12" x14ac:dyDescent="0.25">
      <c r="G1154" s="136">
        <v>43322</v>
      </c>
      <c r="H1154" t="s">
        <v>25</v>
      </c>
      <c r="I1154" t="s">
        <v>64</v>
      </c>
      <c r="J1154" t="s">
        <v>70</v>
      </c>
      <c r="K1154" s="138">
        <v>41.48</v>
      </c>
      <c r="L1154" s="137">
        <v>0</v>
      </c>
    </row>
    <row r="1155" spans="7:12" x14ac:dyDescent="0.25">
      <c r="G1155" s="136">
        <v>43322</v>
      </c>
      <c r="H1155" t="s">
        <v>25</v>
      </c>
      <c r="I1155" t="s">
        <v>64</v>
      </c>
      <c r="J1155" t="s">
        <v>70</v>
      </c>
      <c r="K1155" s="138">
        <v>37.19</v>
      </c>
      <c r="L1155" s="137">
        <v>0</v>
      </c>
    </row>
    <row r="1156" spans="7:12" x14ac:dyDescent="0.25">
      <c r="G1156" s="136">
        <v>43322</v>
      </c>
      <c r="H1156" t="s">
        <v>25</v>
      </c>
      <c r="I1156" t="s">
        <v>64</v>
      </c>
      <c r="J1156" t="s">
        <v>70</v>
      </c>
      <c r="K1156" s="138">
        <v>30.14</v>
      </c>
      <c r="L1156" s="137">
        <v>0</v>
      </c>
    </row>
    <row r="1157" spans="7:12" x14ac:dyDescent="0.25">
      <c r="G1157" s="136">
        <v>43322</v>
      </c>
      <c r="H1157" t="s">
        <v>25</v>
      </c>
      <c r="I1157" t="s">
        <v>64</v>
      </c>
      <c r="J1157" t="s">
        <v>70</v>
      </c>
      <c r="K1157" s="138">
        <v>30.02</v>
      </c>
      <c r="L1157" s="137">
        <v>0</v>
      </c>
    </row>
    <row r="1158" spans="7:12" x14ac:dyDescent="0.25">
      <c r="G1158" s="136">
        <v>43322</v>
      </c>
      <c r="H1158" t="s">
        <v>25</v>
      </c>
      <c r="I1158" t="s">
        <v>64</v>
      </c>
      <c r="J1158" t="s">
        <v>70</v>
      </c>
      <c r="K1158" s="138">
        <v>29.5</v>
      </c>
      <c r="L1158" s="137">
        <v>0</v>
      </c>
    </row>
    <row r="1159" spans="7:12" x14ac:dyDescent="0.25">
      <c r="G1159" s="136">
        <v>43322</v>
      </c>
      <c r="H1159" t="s">
        <v>25</v>
      </c>
      <c r="I1159" t="s">
        <v>64</v>
      </c>
      <c r="J1159" t="s">
        <v>70</v>
      </c>
      <c r="K1159" s="138">
        <v>25.11</v>
      </c>
      <c r="L1159" s="137">
        <v>0</v>
      </c>
    </row>
    <row r="1160" spans="7:12" x14ac:dyDescent="0.25">
      <c r="G1160" s="136">
        <v>43322</v>
      </c>
      <c r="H1160" t="s">
        <v>25</v>
      </c>
      <c r="I1160" t="s">
        <v>64</v>
      </c>
      <c r="J1160" t="s">
        <v>70</v>
      </c>
      <c r="K1160" s="138">
        <v>14.1</v>
      </c>
      <c r="L1160" s="137">
        <v>0</v>
      </c>
    </row>
    <row r="1161" spans="7:12" x14ac:dyDescent="0.25">
      <c r="G1161" s="136">
        <v>43322</v>
      </c>
      <c r="H1161" t="s">
        <v>25</v>
      </c>
      <c r="I1161" t="s">
        <v>64</v>
      </c>
      <c r="J1161" t="s">
        <v>70</v>
      </c>
      <c r="K1161" s="138">
        <v>10.68</v>
      </c>
      <c r="L1161" s="137">
        <v>0</v>
      </c>
    </row>
    <row r="1162" spans="7:12" x14ac:dyDescent="0.25">
      <c r="G1162" s="136">
        <v>43322</v>
      </c>
      <c r="H1162" t="s">
        <v>187</v>
      </c>
      <c r="I1162" t="s">
        <v>42</v>
      </c>
      <c r="J1162" t="s">
        <v>156</v>
      </c>
      <c r="K1162" s="138">
        <v>93.15</v>
      </c>
      <c r="L1162" s="137">
        <v>0</v>
      </c>
    </row>
    <row r="1163" spans="7:12" x14ac:dyDescent="0.25">
      <c r="G1163" s="136">
        <v>43322</v>
      </c>
      <c r="H1163" t="s">
        <v>179</v>
      </c>
      <c r="I1163" t="s">
        <v>64</v>
      </c>
      <c r="J1163" t="s">
        <v>70</v>
      </c>
      <c r="K1163" s="138">
        <v>1091</v>
      </c>
      <c r="L1163" s="137">
        <v>0</v>
      </c>
    </row>
    <row r="1164" spans="7:12" x14ac:dyDescent="0.25">
      <c r="G1164" s="136">
        <v>43322</v>
      </c>
      <c r="H1164" t="s">
        <v>28</v>
      </c>
      <c r="I1164" t="s">
        <v>63</v>
      </c>
      <c r="J1164" t="s">
        <v>156</v>
      </c>
      <c r="K1164" s="138">
        <v>29.98</v>
      </c>
      <c r="L1164" s="137">
        <v>0</v>
      </c>
    </row>
    <row r="1165" spans="7:12" x14ac:dyDescent="0.25">
      <c r="G1165" s="136">
        <v>43322</v>
      </c>
      <c r="H1165" t="s">
        <v>28</v>
      </c>
      <c r="I1165" t="s">
        <v>63</v>
      </c>
      <c r="J1165" t="s">
        <v>156</v>
      </c>
      <c r="K1165" s="138">
        <v>8</v>
      </c>
      <c r="L1165" s="137">
        <v>0</v>
      </c>
    </row>
    <row r="1166" spans="7:12" x14ac:dyDescent="0.25">
      <c r="G1166" s="136">
        <v>43322</v>
      </c>
      <c r="H1166" t="s">
        <v>28</v>
      </c>
      <c r="I1166" t="s">
        <v>66</v>
      </c>
      <c r="J1166" t="s">
        <v>131</v>
      </c>
      <c r="K1166" s="138">
        <v>1.8</v>
      </c>
      <c r="L1166" s="137">
        <v>0</v>
      </c>
    </row>
    <row r="1167" spans="7:12" x14ac:dyDescent="0.25">
      <c r="G1167" s="136">
        <v>43322</v>
      </c>
      <c r="H1167" t="s">
        <v>28</v>
      </c>
      <c r="I1167" t="s">
        <v>64</v>
      </c>
      <c r="J1167" t="s">
        <v>70</v>
      </c>
      <c r="K1167" s="138">
        <v>92.26</v>
      </c>
      <c r="L1167" s="137">
        <v>0</v>
      </c>
    </row>
    <row r="1168" spans="7:12" x14ac:dyDescent="0.25">
      <c r="G1168" s="136">
        <v>43322</v>
      </c>
      <c r="H1168" t="s">
        <v>28</v>
      </c>
      <c r="I1168" t="s">
        <v>64</v>
      </c>
      <c r="J1168" t="s">
        <v>70</v>
      </c>
      <c r="K1168" s="138">
        <v>68.88</v>
      </c>
      <c r="L1168" s="137">
        <v>0</v>
      </c>
    </row>
    <row r="1169" spans="7:12" x14ac:dyDescent="0.25">
      <c r="G1169" s="136">
        <v>43322</v>
      </c>
      <c r="H1169" t="s">
        <v>28</v>
      </c>
      <c r="I1169" t="s">
        <v>64</v>
      </c>
      <c r="J1169" t="s">
        <v>70</v>
      </c>
      <c r="K1169" s="138">
        <v>62.37</v>
      </c>
      <c r="L1169" s="137">
        <v>0</v>
      </c>
    </row>
    <row r="1170" spans="7:12" x14ac:dyDescent="0.25">
      <c r="G1170" s="136">
        <v>43322</v>
      </c>
      <c r="H1170" t="s">
        <v>28</v>
      </c>
      <c r="I1170" t="s">
        <v>64</v>
      </c>
      <c r="J1170" t="s">
        <v>70</v>
      </c>
      <c r="K1170" s="138">
        <v>51.1</v>
      </c>
      <c r="L1170" s="137">
        <v>0</v>
      </c>
    </row>
    <row r="1171" spans="7:12" x14ac:dyDescent="0.25">
      <c r="G1171" s="136">
        <v>43322</v>
      </c>
      <c r="H1171" t="s">
        <v>28</v>
      </c>
      <c r="I1171" t="s">
        <v>64</v>
      </c>
      <c r="J1171" t="s">
        <v>70</v>
      </c>
      <c r="K1171" s="138">
        <v>45.54</v>
      </c>
      <c r="L1171" s="137">
        <v>0</v>
      </c>
    </row>
    <row r="1172" spans="7:12" x14ac:dyDescent="0.25">
      <c r="G1172" s="136">
        <v>43322</v>
      </c>
      <c r="H1172" t="s">
        <v>28</v>
      </c>
      <c r="I1172" t="s">
        <v>64</v>
      </c>
      <c r="J1172" t="s">
        <v>70</v>
      </c>
      <c r="K1172" s="138">
        <v>43.34</v>
      </c>
      <c r="L1172" s="137">
        <v>0</v>
      </c>
    </row>
    <row r="1173" spans="7:12" x14ac:dyDescent="0.25">
      <c r="G1173" s="136">
        <v>43322</v>
      </c>
      <c r="H1173" t="s">
        <v>28</v>
      </c>
      <c r="I1173" t="s">
        <v>64</v>
      </c>
      <c r="J1173" t="s">
        <v>70</v>
      </c>
      <c r="K1173" s="138">
        <v>33.58</v>
      </c>
      <c r="L1173" s="137">
        <v>0</v>
      </c>
    </row>
    <row r="1174" spans="7:12" x14ac:dyDescent="0.25">
      <c r="G1174" s="136">
        <v>43322</v>
      </c>
      <c r="H1174" t="s">
        <v>28</v>
      </c>
      <c r="I1174" t="s">
        <v>42</v>
      </c>
      <c r="J1174" t="s">
        <v>156</v>
      </c>
      <c r="K1174" s="138">
        <v>91.5</v>
      </c>
      <c r="L1174" s="137">
        <v>0</v>
      </c>
    </row>
    <row r="1175" spans="7:12" x14ac:dyDescent="0.25">
      <c r="G1175" s="136">
        <v>43322</v>
      </c>
      <c r="H1175" t="s">
        <v>28</v>
      </c>
      <c r="I1175" t="s">
        <v>42</v>
      </c>
      <c r="J1175" t="s">
        <v>156</v>
      </c>
      <c r="K1175" s="138">
        <v>70</v>
      </c>
      <c r="L1175" s="137">
        <v>0</v>
      </c>
    </row>
    <row r="1176" spans="7:12" x14ac:dyDescent="0.25">
      <c r="G1176" s="136">
        <v>43323</v>
      </c>
      <c r="H1176" t="s">
        <v>184</v>
      </c>
      <c r="I1176" t="s">
        <v>42</v>
      </c>
      <c r="J1176" t="s">
        <v>336</v>
      </c>
      <c r="K1176" s="138">
        <v>24</v>
      </c>
      <c r="L1176" s="137">
        <v>0</v>
      </c>
    </row>
    <row r="1177" spans="7:12" x14ac:dyDescent="0.25">
      <c r="G1177" s="136">
        <v>43323</v>
      </c>
      <c r="H1177" t="s">
        <v>189</v>
      </c>
      <c r="I1177" t="s">
        <v>42</v>
      </c>
      <c r="J1177" t="s">
        <v>336</v>
      </c>
      <c r="K1177" s="138">
        <v>52.8</v>
      </c>
      <c r="L1177" s="137">
        <v>0</v>
      </c>
    </row>
    <row r="1178" spans="7:12" x14ac:dyDescent="0.25">
      <c r="G1178" s="136">
        <v>43323</v>
      </c>
      <c r="H1178" t="s">
        <v>182</v>
      </c>
      <c r="I1178" t="s">
        <v>42</v>
      </c>
      <c r="J1178" t="s">
        <v>336</v>
      </c>
      <c r="K1178" s="138">
        <v>62</v>
      </c>
      <c r="L1178" s="137">
        <v>0</v>
      </c>
    </row>
    <row r="1179" spans="7:12" x14ac:dyDescent="0.25">
      <c r="G1179" s="136">
        <v>43323</v>
      </c>
      <c r="H1179" t="s">
        <v>28</v>
      </c>
      <c r="I1179" t="s">
        <v>66</v>
      </c>
      <c r="J1179" t="s">
        <v>130</v>
      </c>
      <c r="K1179" s="138">
        <v>10.25</v>
      </c>
      <c r="L1179" s="137">
        <v>0</v>
      </c>
    </row>
    <row r="1180" spans="7:12" x14ac:dyDescent="0.25">
      <c r="G1180" s="136">
        <v>43325</v>
      </c>
      <c r="H1180" t="s">
        <v>192</v>
      </c>
      <c r="I1180" t="s">
        <v>63</v>
      </c>
      <c r="J1180" t="s">
        <v>71</v>
      </c>
      <c r="K1180" s="138">
        <v>59.73</v>
      </c>
      <c r="L1180" s="137">
        <v>0</v>
      </c>
    </row>
    <row r="1181" spans="7:12" x14ac:dyDescent="0.25">
      <c r="G1181" s="136">
        <v>43325</v>
      </c>
      <c r="H1181" t="s">
        <v>27</v>
      </c>
      <c r="I1181" t="s">
        <v>63</v>
      </c>
      <c r="J1181" t="s">
        <v>71</v>
      </c>
      <c r="K1181" s="138">
        <v>8</v>
      </c>
      <c r="L1181" s="137">
        <v>0</v>
      </c>
    </row>
    <row r="1182" spans="7:12" x14ac:dyDescent="0.25">
      <c r="G1182" s="136">
        <v>43325</v>
      </c>
      <c r="H1182" t="s">
        <v>189</v>
      </c>
      <c r="I1182" t="s">
        <v>42</v>
      </c>
      <c r="J1182" t="s">
        <v>71</v>
      </c>
      <c r="K1182" s="138">
        <v>64</v>
      </c>
      <c r="L1182" s="137">
        <v>0</v>
      </c>
    </row>
    <row r="1183" spans="7:12" x14ac:dyDescent="0.25">
      <c r="G1183" s="136">
        <v>43325</v>
      </c>
      <c r="H1183" t="s">
        <v>25</v>
      </c>
      <c r="I1183" t="s">
        <v>63</v>
      </c>
      <c r="J1183" t="s">
        <v>71</v>
      </c>
      <c r="K1183" s="138">
        <v>32</v>
      </c>
      <c r="L1183" s="137">
        <v>0</v>
      </c>
    </row>
    <row r="1184" spans="7:12" x14ac:dyDescent="0.25">
      <c r="G1184" s="136">
        <v>43325</v>
      </c>
      <c r="H1184" t="s">
        <v>25</v>
      </c>
      <c r="I1184" t="s">
        <v>63</v>
      </c>
      <c r="J1184" t="s">
        <v>71</v>
      </c>
      <c r="K1184" s="138">
        <v>16</v>
      </c>
      <c r="L1184" s="137">
        <v>0</v>
      </c>
    </row>
    <row r="1185" spans="7:12" x14ac:dyDescent="0.25">
      <c r="G1185" s="136">
        <v>43325</v>
      </c>
      <c r="H1185" t="s">
        <v>25</v>
      </c>
      <c r="I1185" t="s">
        <v>63</v>
      </c>
      <c r="J1185" t="s">
        <v>71</v>
      </c>
      <c r="K1185" s="138">
        <v>8</v>
      </c>
      <c r="L1185" s="137">
        <v>0</v>
      </c>
    </row>
    <row r="1186" spans="7:12" x14ac:dyDescent="0.25">
      <c r="G1186" s="136">
        <v>43325</v>
      </c>
      <c r="H1186" t="s">
        <v>201</v>
      </c>
      <c r="I1186" t="s">
        <v>63</v>
      </c>
      <c r="J1186" t="s">
        <v>71</v>
      </c>
      <c r="K1186" s="138">
        <v>816.22</v>
      </c>
      <c r="L1186" s="137">
        <v>0</v>
      </c>
    </row>
    <row r="1187" spans="7:12" x14ac:dyDescent="0.25">
      <c r="G1187" s="136">
        <v>43325</v>
      </c>
      <c r="H1187" t="s">
        <v>201</v>
      </c>
      <c r="I1187" t="s">
        <v>42</v>
      </c>
      <c r="J1187" t="s">
        <v>71</v>
      </c>
      <c r="K1187" s="138">
        <v>227</v>
      </c>
      <c r="L1187" s="137">
        <v>0</v>
      </c>
    </row>
    <row r="1188" spans="7:12" x14ac:dyDescent="0.25">
      <c r="G1188" s="136">
        <v>43325</v>
      </c>
      <c r="H1188" t="s">
        <v>182</v>
      </c>
      <c r="I1188" t="s">
        <v>42</v>
      </c>
      <c r="J1188" t="s">
        <v>71</v>
      </c>
      <c r="K1188" s="138">
        <v>22.58</v>
      </c>
      <c r="L1188" s="137">
        <v>0</v>
      </c>
    </row>
    <row r="1189" spans="7:12" x14ac:dyDescent="0.25">
      <c r="G1189" s="136">
        <v>43325</v>
      </c>
      <c r="H1189" t="s">
        <v>187</v>
      </c>
      <c r="I1189" t="s">
        <v>42</v>
      </c>
      <c r="J1189" t="s">
        <v>71</v>
      </c>
      <c r="K1189" s="138">
        <v>158.59</v>
      </c>
      <c r="L1189" s="137">
        <v>0</v>
      </c>
    </row>
    <row r="1190" spans="7:12" x14ac:dyDescent="0.25">
      <c r="G1190" s="136">
        <v>43325</v>
      </c>
      <c r="H1190" t="s">
        <v>28</v>
      </c>
      <c r="I1190" t="s">
        <v>66</v>
      </c>
      <c r="J1190" t="s">
        <v>110</v>
      </c>
      <c r="K1190" s="138">
        <v>1200</v>
      </c>
      <c r="L1190" s="137">
        <v>0</v>
      </c>
    </row>
    <row r="1191" spans="7:12" x14ac:dyDescent="0.25">
      <c r="G1191" s="136">
        <v>43325</v>
      </c>
      <c r="H1191" t="s">
        <v>28</v>
      </c>
      <c r="I1191" t="s">
        <v>66</v>
      </c>
      <c r="J1191" t="s">
        <v>129</v>
      </c>
      <c r="K1191" s="138">
        <v>2.1</v>
      </c>
      <c r="L1191" s="137">
        <v>0</v>
      </c>
    </row>
    <row r="1192" spans="7:12" x14ac:dyDescent="0.25">
      <c r="G1192" s="136">
        <v>43325</v>
      </c>
      <c r="H1192" t="s">
        <v>28</v>
      </c>
      <c r="I1192" t="s">
        <v>66</v>
      </c>
      <c r="J1192" t="s">
        <v>107</v>
      </c>
      <c r="K1192" s="138">
        <v>5.55</v>
      </c>
      <c r="L1192" s="137">
        <v>0</v>
      </c>
    </row>
    <row r="1193" spans="7:12" x14ac:dyDescent="0.25">
      <c r="G1193" s="136">
        <v>43325</v>
      </c>
      <c r="H1193" t="s">
        <v>28</v>
      </c>
      <c r="I1193" t="s">
        <v>42</v>
      </c>
      <c r="J1193" t="s">
        <v>71</v>
      </c>
      <c r="K1193" s="138">
        <v>38</v>
      </c>
      <c r="L1193" s="137">
        <v>0</v>
      </c>
    </row>
    <row r="1194" spans="7:12" x14ac:dyDescent="0.25">
      <c r="G1194" s="136">
        <v>43326</v>
      </c>
      <c r="H1194" t="s">
        <v>204</v>
      </c>
      <c r="I1194" t="s">
        <v>176</v>
      </c>
      <c r="J1194" t="s">
        <v>72</v>
      </c>
      <c r="K1194" s="138">
        <v>98</v>
      </c>
      <c r="L1194" s="137">
        <v>0</v>
      </c>
    </row>
    <row r="1195" spans="7:12" x14ac:dyDescent="0.25">
      <c r="G1195" s="136">
        <v>43326</v>
      </c>
      <c r="H1195" t="s">
        <v>203</v>
      </c>
      <c r="I1195" t="s">
        <v>176</v>
      </c>
      <c r="J1195" t="s">
        <v>72</v>
      </c>
      <c r="K1195" s="138">
        <v>549.04999999999995</v>
      </c>
      <c r="L1195" s="137">
        <v>0</v>
      </c>
    </row>
    <row r="1196" spans="7:12" x14ac:dyDescent="0.25">
      <c r="G1196" s="136">
        <v>43326</v>
      </c>
      <c r="H1196" t="s">
        <v>192</v>
      </c>
      <c r="I1196" t="s">
        <v>112</v>
      </c>
      <c r="J1196" t="s">
        <v>72</v>
      </c>
      <c r="K1196" s="138">
        <v>319.06</v>
      </c>
      <c r="L1196" s="137">
        <v>0</v>
      </c>
    </row>
    <row r="1197" spans="7:12" x14ac:dyDescent="0.25">
      <c r="G1197" s="136">
        <v>43326</v>
      </c>
      <c r="H1197" t="s">
        <v>192</v>
      </c>
      <c r="I1197" t="s">
        <v>155</v>
      </c>
      <c r="J1197" t="s">
        <v>72</v>
      </c>
      <c r="K1197" s="138">
        <v>146.36000000000001</v>
      </c>
      <c r="L1197" s="137">
        <v>0</v>
      </c>
    </row>
    <row r="1198" spans="7:12" x14ac:dyDescent="0.25">
      <c r="G1198" s="136">
        <v>43326</v>
      </c>
      <c r="H1198" t="s">
        <v>192</v>
      </c>
      <c r="I1198" t="s">
        <v>176</v>
      </c>
      <c r="J1198" t="s">
        <v>72</v>
      </c>
      <c r="K1198" s="138">
        <v>677.55</v>
      </c>
      <c r="L1198" s="137">
        <v>0</v>
      </c>
    </row>
    <row r="1199" spans="7:12" x14ac:dyDescent="0.25">
      <c r="G1199" s="136">
        <v>43326</v>
      </c>
      <c r="H1199" t="s">
        <v>186</v>
      </c>
      <c r="I1199" t="s">
        <v>112</v>
      </c>
      <c r="J1199" t="s">
        <v>72</v>
      </c>
      <c r="K1199" s="138">
        <v>95</v>
      </c>
      <c r="L1199" s="137">
        <v>0</v>
      </c>
    </row>
    <row r="1200" spans="7:12" x14ac:dyDescent="0.25">
      <c r="G1200" s="136">
        <v>43326</v>
      </c>
      <c r="H1200" t="s">
        <v>189</v>
      </c>
      <c r="I1200" t="s">
        <v>171</v>
      </c>
      <c r="J1200" t="s">
        <v>72</v>
      </c>
      <c r="K1200" s="138">
        <v>851.9</v>
      </c>
      <c r="L1200" s="137">
        <v>0</v>
      </c>
    </row>
    <row r="1201" spans="7:12" x14ac:dyDescent="0.25">
      <c r="G1201" s="136">
        <v>43326</v>
      </c>
      <c r="H1201" t="s">
        <v>188</v>
      </c>
      <c r="I1201" t="s">
        <v>175</v>
      </c>
      <c r="J1201" t="s">
        <v>72</v>
      </c>
      <c r="K1201" s="138">
        <v>10360</v>
      </c>
      <c r="L1201" s="137">
        <v>0</v>
      </c>
    </row>
    <row r="1202" spans="7:12" x14ac:dyDescent="0.25">
      <c r="G1202" s="136">
        <v>43326</v>
      </c>
      <c r="H1202" t="s">
        <v>25</v>
      </c>
      <c r="I1202" t="s">
        <v>63</v>
      </c>
      <c r="J1202" t="s">
        <v>72</v>
      </c>
      <c r="K1202" s="138">
        <v>32</v>
      </c>
      <c r="L1202" s="137">
        <v>0</v>
      </c>
    </row>
    <row r="1203" spans="7:12" x14ac:dyDescent="0.25">
      <c r="G1203" s="136">
        <v>43326</v>
      </c>
      <c r="H1203" t="s">
        <v>25</v>
      </c>
      <c r="I1203" t="s">
        <v>63</v>
      </c>
      <c r="J1203" t="s">
        <v>72</v>
      </c>
      <c r="K1203" s="138">
        <v>24</v>
      </c>
      <c r="L1203" s="137">
        <v>0</v>
      </c>
    </row>
    <row r="1204" spans="7:12" x14ac:dyDescent="0.25">
      <c r="G1204" s="136">
        <v>43326</v>
      </c>
      <c r="H1204" t="s">
        <v>25</v>
      </c>
      <c r="I1204" t="s">
        <v>63</v>
      </c>
      <c r="J1204" t="s">
        <v>72</v>
      </c>
      <c r="K1204" s="138">
        <v>16</v>
      </c>
      <c r="L1204" s="137">
        <v>0</v>
      </c>
    </row>
    <row r="1205" spans="7:12" x14ac:dyDescent="0.25">
      <c r="G1205" s="136">
        <v>43326</v>
      </c>
      <c r="H1205" t="s">
        <v>25</v>
      </c>
      <c r="I1205" t="s">
        <v>63</v>
      </c>
      <c r="J1205" t="s">
        <v>72</v>
      </c>
      <c r="K1205" s="138">
        <v>8</v>
      </c>
      <c r="L1205" s="137">
        <v>0</v>
      </c>
    </row>
    <row r="1206" spans="7:12" x14ac:dyDescent="0.25">
      <c r="G1206" s="136">
        <v>43326</v>
      </c>
      <c r="H1206" t="s">
        <v>201</v>
      </c>
      <c r="I1206" t="s">
        <v>176</v>
      </c>
      <c r="J1206" t="s">
        <v>72</v>
      </c>
      <c r="K1206" s="138">
        <v>94.65</v>
      </c>
      <c r="L1206" s="137">
        <v>0</v>
      </c>
    </row>
    <row r="1207" spans="7:12" x14ac:dyDescent="0.25">
      <c r="G1207" s="136">
        <v>43326</v>
      </c>
      <c r="H1207" t="s">
        <v>182</v>
      </c>
      <c r="I1207" t="s">
        <v>63</v>
      </c>
      <c r="J1207" t="s">
        <v>72</v>
      </c>
      <c r="K1207" s="138">
        <v>152</v>
      </c>
      <c r="L1207" s="137">
        <v>0</v>
      </c>
    </row>
    <row r="1208" spans="7:12" x14ac:dyDescent="0.25">
      <c r="G1208" s="136">
        <v>43326</v>
      </c>
      <c r="H1208" t="s">
        <v>182</v>
      </c>
      <c r="I1208" t="s">
        <v>42</v>
      </c>
      <c r="J1208" t="s">
        <v>72</v>
      </c>
      <c r="K1208" s="138">
        <v>15.65</v>
      </c>
      <c r="L1208" s="137">
        <v>0</v>
      </c>
    </row>
    <row r="1209" spans="7:12" x14ac:dyDescent="0.25">
      <c r="G1209" s="136">
        <v>43326</v>
      </c>
      <c r="H1209" t="s">
        <v>181</v>
      </c>
      <c r="I1209" t="s">
        <v>42</v>
      </c>
      <c r="J1209" t="s">
        <v>72</v>
      </c>
      <c r="K1209" s="138">
        <v>50.75</v>
      </c>
      <c r="L1209" s="137">
        <v>0</v>
      </c>
    </row>
    <row r="1210" spans="7:12" x14ac:dyDescent="0.25">
      <c r="G1210" s="136">
        <v>43326</v>
      </c>
      <c r="H1210" t="s">
        <v>180</v>
      </c>
      <c r="I1210" t="s">
        <v>176</v>
      </c>
      <c r="J1210" t="s">
        <v>72</v>
      </c>
      <c r="K1210" s="138">
        <v>232.15</v>
      </c>
      <c r="L1210" s="137">
        <v>0</v>
      </c>
    </row>
    <row r="1211" spans="7:12" x14ac:dyDescent="0.25">
      <c r="G1211" s="136">
        <v>43326</v>
      </c>
      <c r="H1211" t="s">
        <v>179</v>
      </c>
      <c r="I1211" t="s">
        <v>176</v>
      </c>
      <c r="J1211" t="s">
        <v>72</v>
      </c>
      <c r="K1211" s="138">
        <v>814.45</v>
      </c>
      <c r="L1211" s="137">
        <v>0</v>
      </c>
    </row>
    <row r="1212" spans="7:12" x14ac:dyDescent="0.25">
      <c r="G1212" s="136">
        <v>43326</v>
      </c>
      <c r="H1212" t="s">
        <v>28</v>
      </c>
      <c r="I1212" t="s">
        <v>112</v>
      </c>
      <c r="J1212" t="s">
        <v>72</v>
      </c>
      <c r="K1212" s="138">
        <v>51.04</v>
      </c>
      <c r="L1212" s="137">
        <v>0</v>
      </c>
    </row>
    <row r="1213" spans="7:12" x14ac:dyDescent="0.25">
      <c r="G1213" s="136">
        <v>43326</v>
      </c>
      <c r="H1213" t="s">
        <v>28</v>
      </c>
      <c r="I1213" t="s">
        <v>112</v>
      </c>
      <c r="J1213" t="s">
        <v>72</v>
      </c>
      <c r="K1213" s="138">
        <v>42.85</v>
      </c>
      <c r="L1213" s="137">
        <v>0</v>
      </c>
    </row>
    <row r="1214" spans="7:12" x14ac:dyDescent="0.25">
      <c r="G1214" s="136">
        <v>43326</v>
      </c>
      <c r="H1214" t="s">
        <v>28</v>
      </c>
      <c r="I1214" t="s">
        <v>112</v>
      </c>
      <c r="J1214" t="s">
        <v>72</v>
      </c>
      <c r="K1214" s="138">
        <v>39.979999999999997</v>
      </c>
      <c r="L1214" s="137">
        <v>0</v>
      </c>
    </row>
    <row r="1215" spans="7:12" x14ac:dyDescent="0.25">
      <c r="G1215" s="136">
        <v>43326</v>
      </c>
      <c r="H1215" t="s">
        <v>28</v>
      </c>
      <c r="I1215" t="s">
        <v>112</v>
      </c>
      <c r="J1215" t="s">
        <v>72</v>
      </c>
      <c r="K1215" s="138">
        <v>29.98</v>
      </c>
      <c r="L1215" s="137">
        <v>0</v>
      </c>
    </row>
    <row r="1216" spans="7:12" x14ac:dyDescent="0.25">
      <c r="G1216" s="136">
        <v>43326</v>
      </c>
      <c r="H1216" t="s">
        <v>28</v>
      </c>
      <c r="I1216" t="s">
        <v>155</v>
      </c>
      <c r="J1216" t="s">
        <v>72</v>
      </c>
      <c r="K1216" s="138">
        <v>126.25</v>
      </c>
      <c r="L1216" s="137">
        <v>0</v>
      </c>
    </row>
    <row r="1217" spans="7:12" x14ac:dyDescent="0.25">
      <c r="G1217" s="136">
        <v>43326</v>
      </c>
      <c r="H1217" t="s">
        <v>28</v>
      </c>
      <c r="I1217" t="s">
        <v>155</v>
      </c>
      <c r="J1217" t="s">
        <v>72</v>
      </c>
      <c r="K1217" s="138">
        <v>84.6</v>
      </c>
      <c r="L1217" s="137">
        <v>0</v>
      </c>
    </row>
    <row r="1218" spans="7:12" x14ac:dyDescent="0.25">
      <c r="G1218" s="136">
        <v>43326</v>
      </c>
      <c r="H1218" t="s">
        <v>28</v>
      </c>
      <c r="I1218" t="s">
        <v>155</v>
      </c>
      <c r="J1218" t="s">
        <v>72</v>
      </c>
      <c r="K1218" s="138">
        <v>71.92</v>
      </c>
      <c r="L1218" s="137">
        <v>0</v>
      </c>
    </row>
    <row r="1219" spans="7:12" x14ac:dyDescent="0.25">
      <c r="G1219" s="136">
        <v>43326</v>
      </c>
      <c r="H1219" t="s">
        <v>28</v>
      </c>
      <c r="I1219" t="s">
        <v>155</v>
      </c>
      <c r="J1219" t="s">
        <v>72</v>
      </c>
      <c r="K1219" s="138">
        <v>65.489999999999995</v>
      </c>
      <c r="L1219" s="137">
        <v>0</v>
      </c>
    </row>
    <row r="1220" spans="7:12" x14ac:dyDescent="0.25">
      <c r="G1220" s="136">
        <v>43326</v>
      </c>
      <c r="H1220" t="s">
        <v>28</v>
      </c>
      <c r="I1220" t="s">
        <v>155</v>
      </c>
      <c r="J1220" t="s">
        <v>72</v>
      </c>
      <c r="K1220" s="138">
        <v>63.22</v>
      </c>
      <c r="L1220" s="137">
        <v>0</v>
      </c>
    </row>
    <row r="1221" spans="7:12" x14ac:dyDescent="0.25">
      <c r="G1221" s="136">
        <v>43326</v>
      </c>
      <c r="H1221" t="s">
        <v>28</v>
      </c>
      <c r="I1221" t="s">
        <v>155</v>
      </c>
      <c r="J1221" t="s">
        <v>72</v>
      </c>
      <c r="K1221" s="138">
        <v>58.05</v>
      </c>
      <c r="L1221" s="137">
        <v>0</v>
      </c>
    </row>
    <row r="1222" spans="7:12" x14ac:dyDescent="0.25">
      <c r="G1222" s="136">
        <v>43326</v>
      </c>
      <c r="H1222" t="s">
        <v>28</v>
      </c>
      <c r="I1222" t="s">
        <v>155</v>
      </c>
      <c r="J1222" t="s">
        <v>72</v>
      </c>
      <c r="K1222" s="138">
        <v>57.76</v>
      </c>
      <c r="L1222" s="137">
        <v>0</v>
      </c>
    </row>
    <row r="1223" spans="7:12" x14ac:dyDescent="0.25">
      <c r="G1223" s="136">
        <v>43326</v>
      </c>
      <c r="H1223" t="s">
        <v>28</v>
      </c>
      <c r="I1223" t="s">
        <v>155</v>
      </c>
      <c r="J1223" t="s">
        <v>72</v>
      </c>
      <c r="K1223" s="138">
        <v>25</v>
      </c>
      <c r="L1223" s="137">
        <v>0</v>
      </c>
    </row>
    <row r="1224" spans="7:12" x14ac:dyDescent="0.25">
      <c r="G1224" s="136">
        <v>43326</v>
      </c>
      <c r="H1224" t="s">
        <v>28</v>
      </c>
      <c r="I1224" t="s">
        <v>155</v>
      </c>
      <c r="J1224" t="s">
        <v>72</v>
      </c>
      <c r="K1224" s="138">
        <v>21.57</v>
      </c>
      <c r="L1224" s="137">
        <v>0</v>
      </c>
    </row>
    <row r="1225" spans="7:12" x14ac:dyDescent="0.25">
      <c r="G1225" s="136">
        <v>43326</v>
      </c>
      <c r="H1225" t="s">
        <v>28</v>
      </c>
      <c r="I1225" t="s">
        <v>155</v>
      </c>
      <c r="J1225" t="s">
        <v>72</v>
      </c>
      <c r="K1225" s="138">
        <v>15.98</v>
      </c>
      <c r="L1225" s="137">
        <v>0</v>
      </c>
    </row>
    <row r="1226" spans="7:12" x14ac:dyDescent="0.25">
      <c r="G1226" s="136">
        <v>43326</v>
      </c>
      <c r="H1226" t="s">
        <v>28</v>
      </c>
      <c r="I1226" t="s">
        <v>155</v>
      </c>
      <c r="J1226" t="s">
        <v>72</v>
      </c>
      <c r="K1226" s="138">
        <v>14.25</v>
      </c>
      <c r="L1226" s="137">
        <v>0</v>
      </c>
    </row>
    <row r="1227" spans="7:12" x14ac:dyDescent="0.25">
      <c r="G1227" s="136">
        <v>43326</v>
      </c>
      <c r="H1227" t="s">
        <v>28</v>
      </c>
      <c r="I1227" t="s">
        <v>66</v>
      </c>
      <c r="J1227" t="s">
        <v>128</v>
      </c>
      <c r="K1227" s="138">
        <v>2.25</v>
      </c>
      <c r="L1227" s="137">
        <v>0</v>
      </c>
    </row>
    <row r="1228" spans="7:12" x14ac:dyDescent="0.25">
      <c r="G1228" s="136">
        <v>43326</v>
      </c>
      <c r="H1228" t="s">
        <v>28</v>
      </c>
      <c r="I1228" t="s">
        <v>66</v>
      </c>
      <c r="J1228" t="s">
        <v>109</v>
      </c>
      <c r="K1228" s="138">
        <v>3</v>
      </c>
      <c r="L1228" s="137">
        <v>0</v>
      </c>
    </row>
    <row r="1229" spans="7:12" x14ac:dyDescent="0.25">
      <c r="G1229" s="136">
        <v>43326</v>
      </c>
      <c r="H1229" t="s">
        <v>28</v>
      </c>
      <c r="I1229" t="s">
        <v>42</v>
      </c>
      <c r="J1229" t="s">
        <v>72</v>
      </c>
      <c r="K1229" s="138">
        <v>9.5</v>
      </c>
      <c r="L1229" s="137">
        <v>0</v>
      </c>
    </row>
    <row r="1230" spans="7:12" x14ac:dyDescent="0.25">
      <c r="G1230" s="136">
        <v>43327</v>
      </c>
      <c r="H1230" t="s">
        <v>27</v>
      </c>
      <c r="I1230" t="s">
        <v>126</v>
      </c>
      <c r="J1230" t="s">
        <v>127</v>
      </c>
      <c r="K1230" s="138">
        <v>15.81</v>
      </c>
      <c r="L1230" s="137">
        <v>0</v>
      </c>
    </row>
    <row r="1231" spans="7:12" x14ac:dyDescent="0.25">
      <c r="G1231" s="136">
        <v>43327</v>
      </c>
      <c r="H1231" t="s">
        <v>183</v>
      </c>
      <c r="I1231" t="s">
        <v>163</v>
      </c>
      <c r="J1231" t="s">
        <v>177</v>
      </c>
      <c r="K1231" s="138">
        <v>40</v>
      </c>
      <c r="L1231" s="137">
        <v>0</v>
      </c>
    </row>
    <row r="1232" spans="7:12" x14ac:dyDescent="0.25">
      <c r="G1232" s="136">
        <v>43327</v>
      </c>
      <c r="H1232" t="s">
        <v>25</v>
      </c>
      <c r="I1232" t="s">
        <v>63</v>
      </c>
      <c r="J1232" t="s">
        <v>177</v>
      </c>
      <c r="K1232" s="138">
        <v>16</v>
      </c>
      <c r="L1232" s="137">
        <v>0</v>
      </c>
    </row>
    <row r="1233" spans="7:12" x14ac:dyDescent="0.25">
      <c r="G1233" s="136">
        <v>43327</v>
      </c>
      <c r="H1233" t="s">
        <v>25</v>
      </c>
      <c r="I1233" t="s">
        <v>126</v>
      </c>
      <c r="J1233" t="s">
        <v>127</v>
      </c>
      <c r="K1233" s="138">
        <v>79.02</v>
      </c>
      <c r="L1233" s="137">
        <v>0</v>
      </c>
    </row>
    <row r="1234" spans="7:12" x14ac:dyDescent="0.25">
      <c r="G1234" s="136">
        <v>43327</v>
      </c>
      <c r="H1234" t="s">
        <v>201</v>
      </c>
      <c r="I1234" t="s">
        <v>63</v>
      </c>
      <c r="J1234" t="s">
        <v>177</v>
      </c>
      <c r="K1234" s="138">
        <v>42.94</v>
      </c>
      <c r="L1234" s="137">
        <v>0</v>
      </c>
    </row>
    <row r="1235" spans="7:12" x14ac:dyDescent="0.25">
      <c r="G1235" s="136">
        <v>43327</v>
      </c>
      <c r="H1235" t="s">
        <v>201</v>
      </c>
      <c r="I1235" t="s">
        <v>42</v>
      </c>
      <c r="J1235" t="s">
        <v>177</v>
      </c>
      <c r="K1235" s="138">
        <v>3.34</v>
      </c>
      <c r="L1235" s="137">
        <v>0</v>
      </c>
    </row>
    <row r="1236" spans="7:12" x14ac:dyDescent="0.25">
      <c r="G1236" s="136">
        <v>43327</v>
      </c>
      <c r="H1236" t="s">
        <v>179</v>
      </c>
      <c r="I1236" t="s">
        <v>63</v>
      </c>
      <c r="J1236" t="s">
        <v>177</v>
      </c>
      <c r="K1236" s="138">
        <v>46.03</v>
      </c>
      <c r="L1236" s="137">
        <v>0</v>
      </c>
    </row>
    <row r="1237" spans="7:12" x14ac:dyDescent="0.25">
      <c r="G1237" s="136">
        <v>43327</v>
      </c>
      <c r="H1237" t="s">
        <v>179</v>
      </c>
      <c r="I1237" t="s">
        <v>163</v>
      </c>
      <c r="J1237" t="s">
        <v>177</v>
      </c>
      <c r="K1237" s="138">
        <v>100</v>
      </c>
      <c r="L1237" s="137">
        <v>0</v>
      </c>
    </row>
    <row r="1238" spans="7:12" x14ac:dyDescent="0.25">
      <c r="G1238" s="136">
        <v>43327</v>
      </c>
      <c r="H1238" t="s">
        <v>28</v>
      </c>
      <c r="I1238" t="s">
        <v>66</v>
      </c>
      <c r="J1238" t="s">
        <v>125</v>
      </c>
      <c r="K1238" s="138">
        <v>7.35</v>
      </c>
      <c r="L1238" s="137">
        <v>0</v>
      </c>
    </row>
    <row r="1239" spans="7:12" x14ac:dyDescent="0.25">
      <c r="G1239" s="136">
        <v>43327</v>
      </c>
      <c r="H1239" t="s">
        <v>28</v>
      </c>
      <c r="I1239" t="s">
        <v>66</v>
      </c>
      <c r="J1239" t="s">
        <v>124</v>
      </c>
      <c r="K1239" s="138">
        <v>3.7</v>
      </c>
      <c r="L1239" s="137">
        <v>0</v>
      </c>
    </row>
    <row r="1240" spans="7:12" x14ac:dyDescent="0.25">
      <c r="G1240" s="136">
        <v>43328</v>
      </c>
      <c r="H1240" t="s">
        <v>27</v>
      </c>
      <c r="I1240" t="s">
        <v>63</v>
      </c>
      <c r="J1240" t="s">
        <v>160</v>
      </c>
      <c r="K1240" s="138">
        <v>8</v>
      </c>
      <c r="L1240" s="137">
        <v>0</v>
      </c>
    </row>
    <row r="1241" spans="7:12" x14ac:dyDescent="0.25">
      <c r="G1241" s="136">
        <v>43328</v>
      </c>
      <c r="H1241" t="s">
        <v>27</v>
      </c>
      <c r="I1241" t="s">
        <v>42</v>
      </c>
      <c r="J1241" t="s">
        <v>160</v>
      </c>
      <c r="K1241" s="138">
        <v>338</v>
      </c>
      <c r="L1241" s="137">
        <v>0</v>
      </c>
    </row>
    <row r="1242" spans="7:12" x14ac:dyDescent="0.25">
      <c r="G1242" s="136">
        <v>43328</v>
      </c>
      <c r="H1242" t="s">
        <v>27</v>
      </c>
      <c r="I1242" t="s">
        <v>42</v>
      </c>
      <c r="J1242" t="s">
        <v>160</v>
      </c>
      <c r="K1242" s="138">
        <v>190.4</v>
      </c>
      <c r="L1242" s="137">
        <v>0</v>
      </c>
    </row>
    <row r="1243" spans="7:12" x14ac:dyDescent="0.25">
      <c r="G1243" s="136">
        <v>43328</v>
      </c>
      <c r="H1243" t="s">
        <v>27</v>
      </c>
      <c r="I1243" t="s">
        <v>42</v>
      </c>
      <c r="J1243" t="s">
        <v>160</v>
      </c>
      <c r="K1243" s="138">
        <v>182</v>
      </c>
      <c r="L1243" s="137">
        <v>0</v>
      </c>
    </row>
    <row r="1244" spans="7:12" x14ac:dyDescent="0.25">
      <c r="G1244" s="136">
        <v>43328</v>
      </c>
      <c r="H1244" t="s">
        <v>27</v>
      </c>
      <c r="I1244" t="s">
        <v>42</v>
      </c>
      <c r="J1244" t="s">
        <v>160</v>
      </c>
      <c r="K1244" s="138">
        <v>136.5</v>
      </c>
      <c r="L1244" s="137">
        <v>0</v>
      </c>
    </row>
    <row r="1245" spans="7:12" x14ac:dyDescent="0.25">
      <c r="G1245" s="136">
        <v>43328</v>
      </c>
      <c r="H1245" t="s">
        <v>183</v>
      </c>
      <c r="I1245" t="s">
        <v>42</v>
      </c>
      <c r="J1245" t="s">
        <v>160</v>
      </c>
      <c r="K1245" s="138">
        <v>5</v>
      </c>
      <c r="L1245" s="137">
        <v>0</v>
      </c>
    </row>
    <row r="1246" spans="7:12" x14ac:dyDescent="0.25">
      <c r="G1246" s="136">
        <v>43328</v>
      </c>
      <c r="H1246" t="s">
        <v>208</v>
      </c>
      <c r="I1246" t="s">
        <v>63</v>
      </c>
      <c r="J1246" t="s">
        <v>160</v>
      </c>
      <c r="K1246" s="138">
        <v>280</v>
      </c>
      <c r="L1246" s="137">
        <v>0</v>
      </c>
    </row>
    <row r="1247" spans="7:12" x14ac:dyDescent="0.25">
      <c r="G1247" s="136">
        <v>43328</v>
      </c>
      <c r="H1247" t="s">
        <v>25</v>
      </c>
      <c r="I1247" t="s">
        <v>63</v>
      </c>
      <c r="J1247" t="s">
        <v>160</v>
      </c>
      <c r="K1247" s="138">
        <v>64</v>
      </c>
      <c r="L1247" s="137">
        <v>0</v>
      </c>
    </row>
    <row r="1248" spans="7:12" x14ac:dyDescent="0.25">
      <c r="G1248" s="136">
        <v>43328</v>
      </c>
      <c r="H1248" t="s">
        <v>25</v>
      </c>
      <c r="I1248" t="s">
        <v>63</v>
      </c>
      <c r="J1248" t="s">
        <v>160</v>
      </c>
      <c r="K1248" s="138">
        <v>8</v>
      </c>
      <c r="L1248" s="137">
        <v>0</v>
      </c>
    </row>
    <row r="1249" spans="7:12" x14ac:dyDescent="0.25">
      <c r="G1249" s="136">
        <v>43328</v>
      </c>
      <c r="H1249" t="s">
        <v>25</v>
      </c>
      <c r="I1249" t="s">
        <v>42</v>
      </c>
      <c r="J1249" t="s">
        <v>160</v>
      </c>
      <c r="K1249" s="138">
        <v>312</v>
      </c>
      <c r="L1249" s="137">
        <v>0</v>
      </c>
    </row>
    <row r="1250" spans="7:12" x14ac:dyDescent="0.25">
      <c r="G1250" s="136">
        <v>43328</v>
      </c>
      <c r="H1250" t="s">
        <v>181</v>
      </c>
      <c r="I1250" t="s">
        <v>163</v>
      </c>
      <c r="J1250" t="s">
        <v>160</v>
      </c>
      <c r="K1250" s="138">
        <v>156.84</v>
      </c>
      <c r="L1250" s="137">
        <v>0</v>
      </c>
    </row>
    <row r="1251" spans="7:12" x14ac:dyDescent="0.25">
      <c r="G1251" s="136">
        <v>43328</v>
      </c>
      <c r="H1251" t="s">
        <v>181</v>
      </c>
      <c r="I1251" t="s">
        <v>42</v>
      </c>
      <c r="J1251" t="s">
        <v>160</v>
      </c>
      <c r="K1251" s="138">
        <v>68.22</v>
      </c>
      <c r="L1251" s="137">
        <v>0</v>
      </c>
    </row>
    <row r="1252" spans="7:12" x14ac:dyDescent="0.25">
      <c r="G1252" s="136">
        <v>43328</v>
      </c>
      <c r="H1252" t="s">
        <v>28</v>
      </c>
      <c r="I1252" t="s">
        <v>63</v>
      </c>
      <c r="J1252" t="s">
        <v>160</v>
      </c>
      <c r="K1252" s="138">
        <v>8</v>
      </c>
      <c r="L1252" s="137">
        <v>0</v>
      </c>
    </row>
    <row r="1253" spans="7:12" x14ac:dyDescent="0.25">
      <c r="G1253" s="136">
        <v>43328</v>
      </c>
      <c r="H1253" t="s">
        <v>28</v>
      </c>
      <c r="I1253" t="s">
        <v>163</v>
      </c>
      <c r="J1253" t="s">
        <v>160</v>
      </c>
      <c r="K1253" s="138">
        <v>47.57</v>
      </c>
      <c r="L1253" s="137">
        <v>0</v>
      </c>
    </row>
    <row r="1254" spans="7:12" x14ac:dyDescent="0.25">
      <c r="G1254" s="136">
        <v>43328</v>
      </c>
      <c r="H1254" t="s">
        <v>28</v>
      </c>
      <c r="I1254" t="s">
        <v>112</v>
      </c>
      <c r="J1254" t="s">
        <v>160</v>
      </c>
      <c r="K1254" s="138">
        <v>112</v>
      </c>
      <c r="L1254" s="137">
        <v>0</v>
      </c>
    </row>
    <row r="1255" spans="7:12" x14ac:dyDescent="0.25">
      <c r="G1255" s="136">
        <v>43328</v>
      </c>
      <c r="H1255" t="s">
        <v>28</v>
      </c>
      <c r="I1255" t="s">
        <v>66</v>
      </c>
      <c r="J1255" t="s">
        <v>122</v>
      </c>
      <c r="K1255" s="138">
        <v>1.45</v>
      </c>
      <c r="L1255" s="137">
        <v>0</v>
      </c>
    </row>
    <row r="1256" spans="7:12" x14ac:dyDescent="0.25">
      <c r="G1256" s="136">
        <v>43328</v>
      </c>
      <c r="H1256" t="s">
        <v>28</v>
      </c>
      <c r="I1256" t="s">
        <v>66</v>
      </c>
      <c r="J1256" t="s">
        <v>123</v>
      </c>
      <c r="K1256" s="138">
        <v>4.5</v>
      </c>
      <c r="L1256" s="137">
        <v>0</v>
      </c>
    </row>
    <row r="1257" spans="7:12" x14ac:dyDescent="0.25">
      <c r="G1257" s="136">
        <v>43329</v>
      </c>
      <c r="H1257" t="s">
        <v>27</v>
      </c>
      <c r="I1257" t="s">
        <v>63</v>
      </c>
      <c r="J1257" t="s">
        <v>169</v>
      </c>
      <c r="K1257" s="138">
        <v>8</v>
      </c>
      <c r="L1257" s="137">
        <v>0</v>
      </c>
    </row>
    <row r="1258" spans="7:12" x14ac:dyDescent="0.25">
      <c r="G1258" s="136">
        <v>43329</v>
      </c>
      <c r="H1258" t="s">
        <v>184</v>
      </c>
      <c r="I1258" t="s">
        <v>171</v>
      </c>
      <c r="J1258" t="s">
        <v>169</v>
      </c>
      <c r="K1258" s="138">
        <v>114</v>
      </c>
      <c r="L1258" s="137">
        <v>0</v>
      </c>
    </row>
    <row r="1259" spans="7:12" x14ac:dyDescent="0.25">
      <c r="G1259" s="136">
        <v>43329</v>
      </c>
      <c r="H1259" t="s">
        <v>183</v>
      </c>
      <c r="I1259" t="s">
        <v>42</v>
      </c>
      <c r="J1259" t="s">
        <v>169</v>
      </c>
      <c r="K1259" s="138">
        <v>27.7</v>
      </c>
      <c r="L1259" s="137">
        <v>0</v>
      </c>
    </row>
    <row r="1260" spans="7:12" x14ac:dyDescent="0.25">
      <c r="G1260" s="136">
        <v>43329</v>
      </c>
      <c r="H1260" t="s">
        <v>188</v>
      </c>
      <c r="I1260" t="s">
        <v>176</v>
      </c>
      <c r="J1260" t="s">
        <v>169</v>
      </c>
      <c r="K1260" s="138">
        <v>409.83</v>
      </c>
      <c r="L1260" s="137">
        <v>0</v>
      </c>
    </row>
    <row r="1261" spans="7:12" x14ac:dyDescent="0.25">
      <c r="G1261" s="136">
        <v>43329</v>
      </c>
      <c r="H1261" t="s">
        <v>25</v>
      </c>
      <c r="I1261" t="s">
        <v>63</v>
      </c>
      <c r="J1261" t="s">
        <v>169</v>
      </c>
      <c r="K1261" s="138">
        <v>80</v>
      </c>
      <c r="L1261" s="137">
        <v>0</v>
      </c>
    </row>
    <row r="1262" spans="7:12" x14ac:dyDescent="0.25">
      <c r="G1262" s="136">
        <v>43329</v>
      </c>
      <c r="H1262" t="s">
        <v>25</v>
      </c>
      <c r="I1262" t="s">
        <v>63</v>
      </c>
      <c r="J1262" t="s">
        <v>169</v>
      </c>
      <c r="K1262" s="138">
        <v>48</v>
      </c>
      <c r="L1262" s="137">
        <v>0</v>
      </c>
    </row>
    <row r="1263" spans="7:12" x14ac:dyDescent="0.25">
      <c r="G1263" s="136">
        <v>43329</v>
      </c>
      <c r="H1263" t="s">
        <v>25</v>
      </c>
      <c r="I1263" t="s">
        <v>63</v>
      </c>
      <c r="J1263" t="s">
        <v>169</v>
      </c>
      <c r="K1263" s="138">
        <v>24</v>
      </c>
      <c r="L1263" s="137">
        <v>0</v>
      </c>
    </row>
    <row r="1264" spans="7:12" x14ac:dyDescent="0.25">
      <c r="G1264" s="136">
        <v>43329</v>
      </c>
      <c r="H1264" t="s">
        <v>25</v>
      </c>
      <c r="I1264" t="s">
        <v>63</v>
      </c>
      <c r="J1264" t="s">
        <v>169</v>
      </c>
      <c r="K1264" s="138">
        <v>16</v>
      </c>
      <c r="L1264" s="137">
        <v>0</v>
      </c>
    </row>
    <row r="1265" spans="7:12" x14ac:dyDescent="0.25">
      <c r="G1265" s="136">
        <v>43329</v>
      </c>
      <c r="H1265" t="s">
        <v>25</v>
      </c>
      <c r="I1265" t="s">
        <v>63</v>
      </c>
      <c r="J1265" t="s">
        <v>169</v>
      </c>
      <c r="K1265" s="138">
        <v>8</v>
      </c>
      <c r="L1265" s="137">
        <v>0</v>
      </c>
    </row>
    <row r="1266" spans="7:12" x14ac:dyDescent="0.25">
      <c r="G1266" s="136">
        <v>43329</v>
      </c>
      <c r="H1266" t="s">
        <v>187</v>
      </c>
      <c r="I1266" t="s">
        <v>42</v>
      </c>
      <c r="J1266" t="s">
        <v>169</v>
      </c>
      <c r="K1266" s="138">
        <v>46</v>
      </c>
      <c r="L1266" s="137">
        <v>0</v>
      </c>
    </row>
    <row r="1267" spans="7:12" x14ac:dyDescent="0.25">
      <c r="G1267" s="136">
        <v>43329</v>
      </c>
      <c r="H1267" t="s">
        <v>28</v>
      </c>
      <c r="I1267" t="s">
        <v>163</v>
      </c>
      <c r="J1267" t="s">
        <v>169</v>
      </c>
      <c r="K1267" s="138">
        <v>30</v>
      </c>
      <c r="L1267" s="137">
        <v>0</v>
      </c>
    </row>
    <row r="1268" spans="7:12" x14ac:dyDescent="0.25">
      <c r="G1268" s="136">
        <v>43329</v>
      </c>
      <c r="H1268" t="s">
        <v>28</v>
      </c>
      <c r="I1268" t="s">
        <v>112</v>
      </c>
      <c r="J1268" t="s">
        <v>169</v>
      </c>
      <c r="K1268" s="138">
        <v>48.07</v>
      </c>
      <c r="L1268" s="137">
        <v>0</v>
      </c>
    </row>
    <row r="1269" spans="7:12" x14ac:dyDescent="0.25">
      <c r="G1269" s="136">
        <v>43329</v>
      </c>
      <c r="H1269" t="s">
        <v>28</v>
      </c>
      <c r="I1269" t="s">
        <v>112</v>
      </c>
      <c r="J1269" t="s">
        <v>169</v>
      </c>
      <c r="K1269" s="138">
        <v>33.76</v>
      </c>
      <c r="L1269" s="137">
        <v>0</v>
      </c>
    </row>
    <row r="1270" spans="7:12" x14ac:dyDescent="0.25">
      <c r="G1270" s="136">
        <v>43329</v>
      </c>
      <c r="H1270" t="s">
        <v>28</v>
      </c>
      <c r="I1270" t="s">
        <v>112</v>
      </c>
      <c r="J1270" t="s">
        <v>169</v>
      </c>
      <c r="K1270" s="138">
        <v>27.47</v>
      </c>
      <c r="L1270" s="137">
        <v>0</v>
      </c>
    </row>
    <row r="1271" spans="7:12" x14ac:dyDescent="0.25">
      <c r="G1271" s="136">
        <v>43329</v>
      </c>
      <c r="H1271" t="s">
        <v>28</v>
      </c>
      <c r="I1271" t="s">
        <v>112</v>
      </c>
      <c r="J1271" t="s">
        <v>169</v>
      </c>
      <c r="K1271" s="138">
        <v>14.45</v>
      </c>
      <c r="L1271" s="137">
        <v>0</v>
      </c>
    </row>
    <row r="1272" spans="7:12" x14ac:dyDescent="0.25">
      <c r="G1272" s="136">
        <v>43329</v>
      </c>
      <c r="H1272" t="s">
        <v>28</v>
      </c>
      <c r="I1272" t="s">
        <v>112</v>
      </c>
      <c r="J1272" t="s">
        <v>169</v>
      </c>
      <c r="K1272" s="138">
        <v>13.99</v>
      </c>
      <c r="L1272" s="137">
        <v>0</v>
      </c>
    </row>
    <row r="1273" spans="7:12" x14ac:dyDescent="0.25">
      <c r="G1273" s="136">
        <v>43329</v>
      </c>
      <c r="H1273" t="s">
        <v>28</v>
      </c>
      <c r="I1273" t="s">
        <v>155</v>
      </c>
      <c r="J1273" t="s">
        <v>169</v>
      </c>
      <c r="K1273" s="138">
        <v>91.99</v>
      </c>
      <c r="L1273" s="137">
        <v>0</v>
      </c>
    </row>
    <row r="1274" spans="7:12" x14ac:dyDescent="0.25">
      <c r="G1274" s="136">
        <v>43329</v>
      </c>
      <c r="H1274" t="s">
        <v>28</v>
      </c>
      <c r="I1274" t="s">
        <v>155</v>
      </c>
      <c r="J1274" t="s">
        <v>169</v>
      </c>
      <c r="K1274" s="138">
        <v>49.46</v>
      </c>
      <c r="L1274" s="137">
        <v>0</v>
      </c>
    </row>
    <row r="1275" spans="7:12" x14ac:dyDescent="0.25">
      <c r="G1275" s="136">
        <v>43329</v>
      </c>
      <c r="H1275" t="s">
        <v>28</v>
      </c>
      <c r="I1275" t="s">
        <v>155</v>
      </c>
      <c r="J1275" t="s">
        <v>169</v>
      </c>
      <c r="K1275" s="138">
        <v>29.77</v>
      </c>
      <c r="L1275" s="137">
        <v>0</v>
      </c>
    </row>
    <row r="1276" spans="7:12" x14ac:dyDescent="0.25">
      <c r="G1276" s="136">
        <v>43329</v>
      </c>
      <c r="H1276" t="s">
        <v>28</v>
      </c>
      <c r="I1276" t="s">
        <v>176</v>
      </c>
      <c r="J1276" t="s">
        <v>169</v>
      </c>
      <c r="K1276" s="138">
        <v>136.61000000000001</v>
      </c>
      <c r="L1276" s="137">
        <v>0</v>
      </c>
    </row>
    <row r="1277" spans="7:12" x14ac:dyDescent="0.25">
      <c r="G1277" s="136">
        <v>43329</v>
      </c>
      <c r="H1277" t="s">
        <v>28</v>
      </c>
      <c r="I1277" t="s">
        <v>66</v>
      </c>
      <c r="J1277" t="s">
        <v>106</v>
      </c>
      <c r="K1277" s="138">
        <v>2.4</v>
      </c>
      <c r="L1277" s="137">
        <v>0</v>
      </c>
    </row>
    <row r="1278" spans="7:12" x14ac:dyDescent="0.25">
      <c r="G1278" s="136">
        <v>43329</v>
      </c>
      <c r="H1278" t="s">
        <v>28</v>
      </c>
      <c r="I1278" t="s">
        <v>66</v>
      </c>
      <c r="J1278" t="s">
        <v>100</v>
      </c>
      <c r="K1278" s="138">
        <v>2.4</v>
      </c>
      <c r="L1278" s="137">
        <v>0</v>
      </c>
    </row>
    <row r="1279" spans="7:12" x14ac:dyDescent="0.25">
      <c r="G1279" s="136">
        <v>43329</v>
      </c>
      <c r="H1279" t="s">
        <v>28</v>
      </c>
      <c r="I1279" t="s">
        <v>42</v>
      </c>
      <c r="J1279" t="s">
        <v>169</v>
      </c>
      <c r="K1279" s="138">
        <v>26</v>
      </c>
      <c r="L1279" s="137">
        <v>0</v>
      </c>
    </row>
    <row r="1280" spans="7:12" x14ac:dyDescent="0.25">
      <c r="G1280" s="136">
        <v>43329</v>
      </c>
      <c r="H1280" t="s">
        <v>28</v>
      </c>
      <c r="I1280" t="s">
        <v>42</v>
      </c>
      <c r="J1280" t="s">
        <v>169</v>
      </c>
      <c r="K1280" s="138">
        <v>12</v>
      </c>
      <c r="L1280" s="137">
        <v>0</v>
      </c>
    </row>
    <row r="1281" spans="7:12" x14ac:dyDescent="0.25">
      <c r="G1281" s="136">
        <v>43330</v>
      </c>
      <c r="H1281" t="s">
        <v>188</v>
      </c>
      <c r="I1281" t="s">
        <v>42</v>
      </c>
      <c r="J1281" t="s">
        <v>337</v>
      </c>
      <c r="K1281" s="138">
        <v>38</v>
      </c>
      <c r="L1281" s="137">
        <v>0</v>
      </c>
    </row>
    <row r="1282" spans="7:12" x14ac:dyDescent="0.25">
      <c r="G1282" s="136">
        <v>43330</v>
      </c>
      <c r="H1282" t="s">
        <v>28</v>
      </c>
      <c r="I1282" t="s">
        <v>66</v>
      </c>
      <c r="J1282" t="s">
        <v>98</v>
      </c>
      <c r="K1282" s="138">
        <v>27.4</v>
      </c>
      <c r="L1282" s="137">
        <v>0</v>
      </c>
    </row>
    <row r="1283" spans="7:12" x14ac:dyDescent="0.25">
      <c r="G1283" s="136">
        <v>43332</v>
      </c>
      <c r="H1283" t="s">
        <v>27</v>
      </c>
      <c r="I1283" t="s">
        <v>63</v>
      </c>
      <c r="J1283" t="s">
        <v>164</v>
      </c>
      <c r="K1283" s="138">
        <v>24</v>
      </c>
      <c r="L1283" s="137">
        <v>0</v>
      </c>
    </row>
    <row r="1284" spans="7:12" x14ac:dyDescent="0.25">
      <c r="G1284" s="136">
        <v>43332</v>
      </c>
      <c r="H1284" t="s">
        <v>199</v>
      </c>
      <c r="I1284" t="s">
        <v>175</v>
      </c>
      <c r="J1284" t="s">
        <v>164</v>
      </c>
      <c r="K1284" s="138">
        <v>48</v>
      </c>
      <c r="L1284" s="137">
        <v>0</v>
      </c>
    </row>
    <row r="1285" spans="7:12" x14ac:dyDescent="0.25">
      <c r="G1285" s="136">
        <v>43332</v>
      </c>
      <c r="H1285" t="s">
        <v>25</v>
      </c>
      <c r="I1285" t="s">
        <v>63</v>
      </c>
      <c r="J1285" t="s">
        <v>164</v>
      </c>
      <c r="K1285" s="138">
        <v>112</v>
      </c>
      <c r="L1285" s="137">
        <v>0</v>
      </c>
    </row>
    <row r="1286" spans="7:12" x14ac:dyDescent="0.25">
      <c r="G1286" s="136">
        <v>43332</v>
      </c>
      <c r="H1286" t="s">
        <v>25</v>
      </c>
      <c r="I1286" t="s">
        <v>63</v>
      </c>
      <c r="J1286" t="s">
        <v>164</v>
      </c>
      <c r="K1286" s="138">
        <v>48</v>
      </c>
      <c r="L1286" s="137">
        <v>0</v>
      </c>
    </row>
    <row r="1287" spans="7:12" x14ac:dyDescent="0.25">
      <c r="G1287" s="136">
        <v>43332</v>
      </c>
      <c r="H1287" t="s">
        <v>25</v>
      </c>
      <c r="I1287" t="s">
        <v>63</v>
      </c>
      <c r="J1287" t="s">
        <v>164</v>
      </c>
      <c r="K1287" s="138">
        <v>40</v>
      </c>
      <c r="L1287" s="137">
        <v>0</v>
      </c>
    </row>
    <row r="1288" spans="7:12" x14ac:dyDescent="0.25">
      <c r="G1288" s="136">
        <v>43332</v>
      </c>
      <c r="H1288" t="s">
        <v>25</v>
      </c>
      <c r="I1288" t="s">
        <v>63</v>
      </c>
      <c r="J1288" t="s">
        <v>164</v>
      </c>
      <c r="K1288" s="138">
        <v>32</v>
      </c>
      <c r="L1288" s="137">
        <v>0</v>
      </c>
    </row>
    <row r="1289" spans="7:12" x14ac:dyDescent="0.25">
      <c r="G1289" s="136">
        <v>43332</v>
      </c>
      <c r="H1289" t="s">
        <v>25</v>
      </c>
      <c r="I1289" t="s">
        <v>63</v>
      </c>
      <c r="J1289" t="s">
        <v>164</v>
      </c>
      <c r="K1289" s="138">
        <v>16</v>
      </c>
      <c r="L1289" s="137">
        <v>0</v>
      </c>
    </row>
    <row r="1290" spans="7:12" x14ac:dyDescent="0.25">
      <c r="G1290" s="136">
        <v>43332</v>
      </c>
      <c r="H1290" t="s">
        <v>196</v>
      </c>
      <c r="I1290" t="s">
        <v>42</v>
      </c>
      <c r="J1290" t="s">
        <v>164</v>
      </c>
      <c r="K1290" s="138">
        <v>48</v>
      </c>
      <c r="L1290" s="137">
        <v>0</v>
      </c>
    </row>
    <row r="1291" spans="7:12" x14ac:dyDescent="0.25">
      <c r="G1291" s="136">
        <v>43332</v>
      </c>
      <c r="H1291" t="s">
        <v>28</v>
      </c>
      <c r="I1291" t="s">
        <v>163</v>
      </c>
      <c r="J1291" t="s">
        <v>164</v>
      </c>
      <c r="K1291" s="138">
        <v>202.5</v>
      </c>
      <c r="L1291" s="137">
        <v>0</v>
      </c>
    </row>
    <row r="1292" spans="7:12" x14ac:dyDescent="0.25">
      <c r="G1292" s="136">
        <v>43332</v>
      </c>
      <c r="H1292" t="s">
        <v>28</v>
      </c>
      <c r="I1292" t="s">
        <v>66</v>
      </c>
      <c r="J1292" t="s">
        <v>109</v>
      </c>
      <c r="K1292" s="138">
        <v>14</v>
      </c>
      <c r="L1292" s="137">
        <v>0</v>
      </c>
    </row>
    <row r="1293" spans="7:12" x14ac:dyDescent="0.25">
      <c r="G1293" s="136">
        <v>43332</v>
      </c>
      <c r="H1293" t="s">
        <v>28</v>
      </c>
      <c r="I1293" t="s">
        <v>66</v>
      </c>
      <c r="J1293" t="s">
        <v>122</v>
      </c>
      <c r="K1293" s="138">
        <v>6.4</v>
      </c>
      <c r="L1293" s="137">
        <v>0</v>
      </c>
    </row>
    <row r="1294" spans="7:12" x14ac:dyDescent="0.25">
      <c r="G1294" s="136">
        <v>43332</v>
      </c>
      <c r="H1294" t="s">
        <v>28</v>
      </c>
      <c r="I1294" t="s">
        <v>66</v>
      </c>
      <c r="J1294" t="s">
        <v>104</v>
      </c>
      <c r="K1294" s="138">
        <v>1100</v>
      </c>
      <c r="L1294" s="137">
        <v>0</v>
      </c>
    </row>
    <row r="1295" spans="7:12" x14ac:dyDescent="0.25">
      <c r="G1295" s="136">
        <v>43332</v>
      </c>
      <c r="H1295" t="s">
        <v>28</v>
      </c>
      <c r="I1295" t="s">
        <v>66</v>
      </c>
      <c r="J1295" t="s">
        <v>121</v>
      </c>
      <c r="K1295" s="138">
        <v>10.7</v>
      </c>
      <c r="L1295" s="137">
        <v>0</v>
      </c>
    </row>
    <row r="1296" spans="7:12" x14ac:dyDescent="0.25">
      <c r="G1296" s="136">
        <v>43333</v>
      </c>
      <c r="H1296" t="s">
        <v>27</v>
      </c>
      <c r="I1296" t="s">
        <v>63</v>
      </c>
      <c r="J1296" t="s">
        <v>170</v>
      </c>
      <c r="K1296" s="138">
        <v>8</v>
      </c>
      <c r="L1296" s="137">
        <v>0</v>
      </c>
    </row>
    <row r="1297" spans="7:12" x14ac:dyDescent="0.25">
      <c r="G1297" s="136">
        <v>43333</v>
      </c>
      <c r="H1297" t="s">
        <v>183</v>
      </c>
      <c r="I1297" t="s">
        <v>63</v>
      </c>
      <c r="J1297" t="s">
        <v>170</v>
      </c>
      <c r="K1297" s="138">
        <v>20</v>
      </c>
      <c r="L1297" s="137">
        <v>0</v>
      </c>
    </row>
    <row r="1298" spans="7:12" x14ac:dyDescent="0.25">
      <c r="G1298" s="136">
        <v>43333</v>
      </c>
      <c r="H1298" t="s">
        <v>183</v>
      </c>
      <c r="I1298" t="s">
        <v>42</v>
      </c>
      <c r="J1298" t="s">
        <v>170</v>
      </c>
      <c r="K1298" s="138">
        <v>27.28</v>
      </c>
      <c r="L1298" s="137">
        <v>0</v>
      </c>
    </row>
    <row r="1299" spans="7:12" x14ac:dyDescent="0.25">
      <c r="G1299" s="136">
        <v>43333</v>
      </c>
      <c r="H1299" t="s">
        <v>25</v>
      </c>
      <c r="I1299" t="s">
        <v>63</v>
      </c>
      <c r="J1299" t="s">
        <v>170</v>
      </c>
      <c r="K1299" s="138">
        <v>40</v>
      </c>
      <c r="L1299" s="137">
        <v>0</v>
      </c>
    </row>
    <row r="1300" spans="7:12" x14ac:dyDescent="0.25">
      <c r="G1300" s="136">
        <v>43333</v>
      </c>
      <c r="H1300" t="s">
        <v>25</v>
      </c>
      <c r="I1300" t="s">
        <v>63</v>
      </c>
      <c r="J1300" t="s">
        <v>170</v>
      </c>
      <c r="K1300" s="138">
        <v>24</v>
      </c>
      <c r="L1300" s="137">
        <v>0</v>
      </c>
    </row>
    <row r="1301" spans="7:12" x14ac:dyDescent="0.25">
      <c r="G1301" s="136">
        <v>43333</v>
      </c>
      <c r="H1301" t="s">
        <v>25</v>
      </c>
      <c r="I1301" t="s">
        <v>63</v>
      </c>
      <c r="J1301" t="s">
        <v>170</v>
      </c>
      <c r="K1301" s="138">
        <v>8</v>
      </c>
      <c r="L1301" s="137">
        <v>0</v>
      </c>
    </row>
    <row r="1302" spans="7:12" x14ac:dyDescent="0.25">
      <c r="G1302" s="136">
        <v>43333</v>
      </c>
      <c r="H1302" t="s">
        <v>28</v>
      </c>
      <c r="I1302" t="s">
        <v>66</v>
      </c>
      <c r="J1302" t="s">
        <v>120</v>
      </c>
      <c r="K1302" s="138">
        <v>6.5</v>
      </c>
      <c r="L1302" s="137">
        <v>0</v>
      </c>
    </row>
    <row r="1303" spans="7:12" x14ac:dyDescent="0.25">
      <c r="G1303" s="136">
        <v>43333</v>
      </c>
      <c r="H1303" t="s">
        <v>28</v>
      </c>
      <c r="I1303" t="s">
        <v>66</v>
      </c>
      <c r="J1303" t="s">
        <v>119</v>
      </c>
      <c r="K1303" s="138">
        <v>1500</v>
      </c>
      <c r="L1303" s="137">
        <v>0</v>
      </c>
    </row>
    <row r="1304" spans="7:12" x14ac:dyDescent="0.25">
      <c r="G1304" s="136">
        <v>43333</v>
      </c>
      <c r="H1304" t="s">
        <v>28</v>
      </c>
      <c r="I1304" t="s">
        <v>66</v>
      </c>
      <c r="J1304" t="s">
        <v>118</v>
      </c>
      <c r="K1304" s="138">
        <v>5.55</v>
      </c>
      <c r="L1304" s="137">
        <v>0</v>
      </c>
    </row>
    <row r="1305" spans="7:12" x14ac:dyDescent="0.25">
      <c r="G1305" s="136">
        <v>43333</v>
      </c>
      <c r="H1305" t="s">
        <v>28</v>
      </c>
      <c r="I1305" t="s">
        <v>66</v>
      </c>
      <c r="J1305" t="s">
        <v>117</v>
      </c>
      <c r="K1305" s="138">
        <v>1100</v>
      </c>
      <c r="L1305" s="137">
        <v>0</v>
      </c>
    </row>
    <row r="1306" spans="7:12" x14ac:dyDescent="0.25">
      <c r="G1306" s="136">
        <v>43333</v>
      </c>
      <c r="H1306" t="s">
        <v>28</v>
      </c>
      <c r="I1306" t="s">
        <v>42</v>
      </c>
      <c r="J1306" t="s">
        <v>170</v>
      </c>
      <c r="K1306" s="138">
        <v>39</v>
      </c>
      <c r="L1306" s="137">
        <v>0</v>
      </c>
    </row>
    <row r="1307" spans="7:12" x14ac:dyDescent="0.25">
      <c r="G1307" s="136">
        <v>43334</v>
      </c>
      <c r="H1307" t="s">
        <v>27</v>
      </c>
      <c r="I1307" t="s">
        <v>63</v>
      </c>
      <c r="J1307" t="s">
        <v>159</v>
      </c>
      <c r="K1307" s="138">
        <v>8</v>
      </c>
      <c r="L1307" s="137">
        <v>0</v>
      </c>
    </row>
    <row r="1308" spans="7:12" x14ac:dyDescent="0.25">
      <c r="G1308" s="136">
        <v>43334</v>
      </c>
      <c r="H1308" t="s">
        <v>183</v>
      </c>
      <c r="I1308" t="s">
        <v>42</v>
      </c>
      <c r="J1308" t="s">
        <v>159</v>
      </c>
      <c r="K1308" s="138">
        <v>20.11</v>
      </c>
      <c r="L1308" s="137">
        <v>0</v>
      </c>
    </row>
    <row r="1309" spans="7:12" x14ac:dyDescent="0.25">
      <c r="G1309" s="136">
        <v>43334</v>
      </c>
      <c r="H1309" t="s">
        <v>188</v>
      </c>
      <c r="I1309" t="s">
        <v>42</v>
      </c>
      <c r="J1309" t="s">
        <v>159</v>
      </c>
      <c r="K1309" s="138">
        <v>128</v>
      </c>
      <c r="L1309" s="137">
        <v>0</v>
      </c>
    </row>
    <row r="1310" spans="7:12" x14ac:dyDescent="0.25">
      <c r="G1310" s="136">
        <v>43334</v>
      </c>
      <c r="H1310" t="s">
        <v>25</v>
      </c>
      <c r="I1310" t="s">
        <v>63</v>
      </c>
      <c r="J1310" t="s">
        <v>159</v>
      </c>
      <c r="K1310" s="138">
        <v>88</v>
      </c>
      <c r="L1310" s="137">
        <v>0</v>
      </c>
    </row>
    <row r="1311" spans="7:12" x14ac:dyDescent="0.25">
      <c r="G1311" s="136">
        <v>43334</v>
      </c>
      <c r="H1311" t="s">
        <v>25</v>
      </c>
      <c r="I1311" t="s">
        <v>63</v>
      </c>
      <c r="J1311" t="s">
        <v>159</v>
      </c>
      <c r="K1311" s="138">
        <v>72</v>
      </c>
      <c r="L1311" s="137">
        <v>0</v>
      </c>
    </row>
    <row r="1312" spans="7:12" x14ac:dyDescent="0.25">
      <c r="G1312" s="136">
        <v>43334</v>
      </c>
      <c r="H1312" t="s">
        <v>25</v>
      </c>
      <c r="I1312" t="s">
        <v>63</v>
      </c>
      <c r="J1312" t="s">
        <v>159</v>
      </c>
      <c r="K1312" s="138">
        <v>48</v>
      </c>
      <c r="L1312" s="137">
        <v>0</v>
      </c>
    </row>
    <row r="1313" spans="7:12" x14ac:dyDescent="0.25">
      <c r="G1313" s="136">
        <v>43334</v>
      </c>
      <c r="H1313" t="s">
        <v>25</v>
      </c>
      <c r="I1313" t="s">
        <v>63</v>
      </c>
      <c r="J1313" t="s">
        <v>159</v>
      </c>
      <c r="K1313" s="138">
        <v>40</v>
      </c>
      <c r="L1313" s="137">
        <v>0</v>
      </c>
    </row>
    <row r="1314" spans="7:12" x14ac:dyDescent="0.25">
      <c r="G1314" s="136">
        <v>43334</v>
      </c>
      <c r="H1314" t="s">
        <v>25</v>
      </c>
      <c r="I1314" t="s">
        <v>63</v>
      </c>
      <c r="J1314" t="s">
        <v>159</v>
      </c>
      <c r="K1314" s="138">
        <v>24</v>
      </c>
      <c r="L1314" s="137">
        <v>0</v>
      </c>
    </row>
    <row r="1315" spans="7:12" x14ac:dyDescent="0.25">
      <c r="G1315" s="136">
        <v>43334</v>
      </c>
      <c r="H1315" t="s">
        <v>25</v>
      </c>
      <c r="I1315" t="s">
        <v>63</v>
      </c>
      <c r="J1315" t="s">
        <v>159</v>
      </c>
      <c r="K1315" s="138">
        <v>16</v>
      </c>
      <c r="L1315" s="137">
        <v>0</v>
      </c>
    </row>
    <row r="1316" spans="7:12" x14ac:dyDescent="0.25">
      <c r="G1316" s="136">
        <v>43334</v>
      </c>
      <c r="H1316" t="s">
        <v>25</v>
      </c>
      <c r="I1316" t="s">
        <v>63</v>
      </c>
      <c r="J1316" t="s">
        <v>159</v>
      </c>
      <c r="K1316" s="138">
        <v>8</v>
      </c>
      <c r="L1316" s="137">
        <v>0</v>
      </c>
    </row>
    <row r="1317" spans="7:12" x14ac:dyDescent="0.25">
      <c r="G1317" s="136">
        <v>43334</v>
      </c>
      <c r="H1317" t="s">
        <v>201</v>
      </c>
      <c r="I1317" t="s">
        <v>171</v>
      </c>
      <c r="J1317" t="s">
        <v>159</v>
      </c>
      <c r="K1317" s="138">
        <v>340</v>
      </c>
      <c r="L1317" s="137">
        <v>0</v>
      </c>
    </row>
    <row r="1318" spans="7:12" x14ac:dyDescent="0.25">
      <c r="G1318" s="136">
        <v>43334</v>
      </c>
      <c r="H1318" t="s">
        <v>197</v>
      </c>
      <c r="I1318" t="s">
        <v>42</v>
      </c>
      <c r="J1318" t="s">
        <v>159</v>
      </c>
      <c r="K1318" s="138">
        <v>118.76</v>
      </c>
      <c r="L1318" s="137">
        <v>0</v>
      </c>
    </row>
    <row r="1319" spans="7:12" x14ac:dyDescent="0.25">
      <c r="G1319" s="136">
        <v>43334</v>
      </c>
      <c r="H1319" t="s">
        <v>197</v>
      </c>
      <c r="I1319" t="s">
        <v>171</v>
      </c>
      <c r="J1319" t="s">
        <v>159</v>
      </c>
      <c r="K1319" s="138">
        <v>85</v>
      </c>
      <c r="L1319" s="137">
        <v>0</v>
      </c>
    </row>
    <row r="1320" spans="7:12" x14ac:dyDescent="0.25">
      <c r="G1320" s="136">
        <v>43334</v>
      </c>
      <c r="H1320" t="s">
        <v>196</v>
      </c>
      <c r="I1320" t="s">
        <v>171</v>
      </c>
      <c r="J1320" t="s">
        <v>159</v>
      </c>
      <c r="K1320" s="138">
        <v>340</v>
      </c>
      <c r="L1320" s="137">
        <v>0</v>
      </c>
    </row>
    <row r="1321" spans="7:12" x14ac:dyDescent="0.25">
      <c r="G1321" s="136">
        <v>43334</v>
      </c>
      <c r="H1321" t="s">
        <v>180</v>
      </c>
      <c r="I1321" t="s">
        <v>42</v>
      </c>
      <c r="J1321" t="s">
        <v>159</v>
      </c>
      <c r="K1321" s="138">
        <v>10</v>
      </c>
      <c r="L1321" s="137">
        <v>0</v>
      </c>
    </row>
    <row r="1322" spans="7:12" x14ac:dyDescent="0.25">
      <c r="G1322" s="136">
        <v>43334</v>
      </c>
      <c r="H1322" t="s">
        <v>180</v>
      </c>
      <c r="I1322" t="s">
        <v>171</v>
      </c>
      <c r="J1322" t="s">
        <v>159</v>
      </c>
      <c r="K1322" s="138">
        <v>85</v>
      </c>
      <c r="L1322" s="137">
        <v>0</v>
      </c>
    </row>
    <row r="1323" spans="7:12" x14ac:dyDescent="0.25">
      <c r="G1323" s="136">
        <v>43334</v>
      </c>
      <c r="H1323" t="s">
        <v>28</v>
      </c>
      <c r="I1323" t="s">
        <v>66</v>
      </c>
      <c r="J1323" t="s">
        <v>108</v>
      </c>
      <c r="K1323" s="138">
        <v>13.3</v>
      </c>
      <c r="L1323" s="137">
        <v>0</v>
      </c>
    </row>
    <row r="1324" spans="7:12" x14ac:dyDescent="0.25">
      <c r="G1324" s="136">
        <v>43334</v>
      </c>
      <c r="H1324" t="s">
        <v>28</v>
      </c>
      <c r="I1324" t="s">
        <v>66</v>
      </c>
      <c r="J1324" t="s">
        <v>116</v>
      </c>
      <c r="K1324" s="138">
        <v>3.6</v>
      </c>
      <c r="L1324" s="137">
        <v>0</v>
      </c>
    </row>
    <row r="1325" spans="7:12" x14ac:dyDescent="0.25">
      <c r="G1325" s="136">
        <v>43335</v>
      </c>
      <c r="H1325" t="s">
        <v>203</v>
      </c>
      <c r="I1325" t="s">
        <v>42</v>
      </c>
      <c r="J1325" t="s">
        <v>113</v>
      </c>
      <c r="K1325" s="138">
        <v>70.23</v>
      </c>
      <c r="L1325" s="137">
        <v>0</v>
      </c>
    </row>
    <row r="1326" spans="7:12" x14ac:dyDescent="0.25">
      <c r="G1326" s="136">
        <v>43335</v>
      </c>
      <c r="H1326" t="s">
        <v>192</v>
      </c>
      <c r="I1326" t="s">
        <v>63</v>
      </c>
      <c r="J1326" t="s">
        <v>113</v>
      </c>
      <c r="K1326" s="138">
        <v>125.2</v>
      </c>
      <c r="L1326" s="137">
        <v>0</v>
      </c>
    </row>
    <row r="1327" spans="7:12" x14ac:dyDescent="0.25">
      <c r="G1327" s="136">
        <v>43335</v>
      </c>
      <c r="H1327" t="s">
        <v>192</v>
      </c>
      <c r="I1327" t="s">
        <v>178</v>
      </c>
      <c r="J1327" t="s">
        <v>113</v>
      </c>
      <c r="K1327" s="138">
        <v>210</v>
      </c>
      <c r="L1327" s="137">
        <v>0</v>
      </c>
    </row>
    <row r="1328" spans="7:12" x14ac:dyDescent="0.25">
      <c r="G1328" s="136">
        <v>43335</v>
      </c>
      <c r="H1328" t="s">
        <v>27</v>
      </c>
      <c r="I1328" t="s">
        <v>63</v>
      </c>
      <c r="J1328" t="s">
        <v>113</v>
      </c>
      <c r="K1328" s="138">
        <v>8</v>
      </c>
      <c r="L1328" s="137">
        <v>0</v>
      </c>
    </row>
    <row r="1329" spans="7:12" x14ac:dyDescent="0.25">
      <c r="G1329" s="136">
        <v>43335</v>
      </c>
      <c r="H1329" t="s">
        <v>198</v>
      </c>
      <c r="I1329" t="s">
        <v>175</v>
      </c>
      <c r="J1329" t="s">
        <v>113</v>
      </c>
      <c r="K1329" s="138">
        <v>80</v>
      </c>
      <c r="L1329" s="137">
        <v>0</v>
      </c>
    </row>
    <row r="1330" spans="7:12" x14ac:dyDescent="0.25">
      <c r="G1330" s="136">
        <v>43335</v>
      </c>
      <c r="H1330" t="s">
        <v>185</v>
      </c>
      <c r="I1330" t="s">
        <v>42</v>
      </c>
      <c r="J1330" t="s">
        <v>113</v>
      </c>
      <c r="K1330" s="138">
        <v>21.65</v>
      </c>
      <c r="L1330" s="137">
        <v>0</v>
      </c>
    </row>
    <row r="1331" spans="7:12" x14ac:dyDescent="0.25">
      <c r="G1331" s="136">
        <v>43335</v>
      </c>
      <c r="H1331" t="s">
        <v>183</v>
      </c>
      <c r="I1331" t="s">
        <v>178</v>
      </c>
      <c r="J1331" t="s">
        <v>113</v>
      </c>
      <c r="K1331" s="138">
        <v>25</v>
      </c>
      <c r="L1331" s="137">
        <v>0</v>
      </c>
    </row>
    <row r="1332" spans="7:12" x14ac:dyDescent="0.25">
      <c r="G1332" s="136">
        <v>43335</v>
      </c>
      <c r="H1332" t="s">
        <v>191</v>
      </c>
      <c r="I1332" t="s">
        <v>175</v>
      </c>
      <c r="J1332" t="s">
        <v>113</v>
      </c>
      <c r="K1332" s="138">
        <v>134.82</v>
      </c>
      <c r="L1332" s="137">
        <v>0</v>
      </c>
    </row>
    <row r="1333" spans="7:12" x14ac:dyDescent="0.25">
      <c r="G1333" s="136">
        <v>43335</v>
      </c>
      <c r="H1333" t="s">
        <v>188</v>
      </c>
      <c r="I1333" t="s">
        <v>155</v>
      </c>
      <c r="J1333" t="s">
        <v>113</v>
      </c>
      <c r="K1333" s="138">
        <v>84</v>
      </c>
      <c r="L1333" s="137">
        <v>0</v>
      </c>
    </row>
    <row r="1334" spans="7:12" x14ac:dyDescent="0.25">
      <c r="G1334" s="136">
        <v>43335</v>
      </c>
      <c r="H1334" t="s">
        <v>188</v>
      </c>
      <c r="I1334" t="s">
        <v>42</v>
      </c>
      <c r="J1334" t="s">
        <v>113</v>
      </c>
      <c r="K1334" s="138">
        <v>56</v>
      </c>
      <c r="L1334" s="137">
        <v>0</v>
      </c>
    </row>
    <row r="1335" spans="7:12" x14ac:dyDescent="0.25">
      <c r="G1335" s="136">
        <v>43335</v>
      </c>
      <c r="H1335" t="s">
        <v>200</v>
      </c>
      <c r="I1335" t="s">
        <v>42</v>
      </c>
      <c r="J1335" t="s">
        <v>113</v>
      </c>
      <c r="K1335" s="138">
        <v>8.94</v>
      </c>
      <c r="L1335" s="137">
        <v>0</v>
      </c>
    </row>
    <row r="1336" spans="7:12" x14ac:dyDescent="0.25">
      <c r="G1336" s="136">
        <v>43335</v>
      </c>
      <c r="H1336" t="s">
        <v>25</v>
      </c>
      <c r="I1336" t="s">
        <v>63</v>
      </c>
      <c r="J1336" t="s">
        <v>113</v>
      </c>
      <c r="K1336" s="138">
        <v>48</v>
      </c>
      <c r="L1336" s="137">
        <v>0</v>
      </c>
    </row>
    <row r="1337" spans="7:12" x14ac:dyDescent="0.25">
      <c r="G1337" s="136">
        <v>43335</v>
      </c>
      <c r="H1337" t="s">
        <v>25</v>
      </c>
      <c r="I1337" t="s">
        <v>63</v>
      </c>
      <c r="J1337" t="s">
        <v>113</v>
      </c>
      <c r="K1337" s="138">
        <v>16</v>
      </c>
      <c r="L1337" s="137">
        <v>0</v>
      </c>
    </row>
    <row r="1338" spans="7:12" x14ac:dyDescent="0.25">
      <c r="G1338" s="136">
        <v>43335</v>
      </c>
      <c r="H1338" t="s">
        <v>25</v>
      </c>
      <c r="I1338" t="s">
        <v>63</v>
      </c>
      <c r="J1338" t="s">
        <v>113</v>
      </c>
      <c r="K1338" s="138">
        <v>8</v>
      </c>
      <c r="L1338" s="137">
        <v>0</v>
      </c>
    </row>
    <row r="1339" spans="7:12" x14ac:dyDescent="0.25">
      <c r="G1339" s="136">
        <v>43335</v>
      </c>
      <c r="H1339" t="s">
        <v>207</v>
      </c>
      <c r="I1339" t="s">
        <v>176</v>
      </c>
      <c r="J1339" t="s">
        <v>113</v>
      </c>
      <c r="K1339" s="138">
        <v>13.8</v>
      </c>
      <c r="L1339" s="137">
        <v>0</v>
      </c>
    </row>
    <row r="1340" spans="7:12" x14ac:dyDescent="0.25">
      <c r="G1340" s="136">
        <v>43335</v>
      </c>
      <c r="H1340" t="s">
        <v>197</v>
      </c>
      <c r="I1340" t="s">
        <v>42</v>
      </c>
      <c r="J1340" t="s">
        <v>113</v>
      </c>
      <c r="K1340" s="138">
        <v>55</v>
      </c>
      <c r="L1340" s="137">
        <v>0</v>
      </c>
    </row>
    <row r="1341" spans="7:12" x14ac:dyDescent="0.25">
      <c r="G1341" s="136">
        <v>43335</v>
      </c>
      <c r="H1341" t="s">
        <v>180</v>
      </c>
      <c r="I1341" t="s">
        <v>163</v>
      </c>
      <c r="J1341" t="s">
        <v>113</v>
      </c>
      <c r="K1341" s="138">
        <v>79.48</v>
      </c>
      <c r="L1341" s="137">
        <v>0</v>
      </c>
    </row>
    <row r="1342" spans="7:12" x14ac:dyDescent="0.25">
      <c r="G1342" s="136">
        <v>43335</v>
      </c>
      <c r="H1342" t="s">
        <v>179</v>
      </c>
      <c r="I1342" t="s">
        <v>63</v>
      </c>
      <c r="J1342" t="s">
        <v>113</v>
      </c>
      <c r="K1342" s="138">
        <v>68.2</v>
      </c>
      <c r="L1342" s="137">
        <v>0</v>
      </c>
    </row>
    <row r="1343" spans="7:12" x14ac:dyDescent="0.25">
      <c r="G1343" s="136">
        <v>43335</v>
      </c>
      <c r="H1343" t="s">
        <v>28</v>
      </c>
      <c r="I1343" t="s">
        <v>63</v>
      </c>
      <c r="J1343" t="s">
        <v>113</v>
      </c>
      <c r="K1343" s="138">
        <v>16</v>
      </c>
      <c r="L1343" s="137">
        <v>0</v>
      </c>
    </row>
    <row r="1344" spans="7:12" x14ac:dyDescent="0.25">
      <c r="G1344" s="136">
        <v>43335</v>
      </c>
      <c r="H1344" t="s">
        <v>28</v>
      </c>
      <c r="I1344" t="s">
        <v>112</v>
      </c>
      <c r="J1344" t="s">
        <v>113</v>
      </c>
      <c r="K1344" s="138">
        <v>113</v>
      </c>
      <c r="L1344" s="137">
        <v>0</v>
      </c>
    </row>
    <row r="1345" spans="7:12" x14ac:dyDescent="0.25">
      <c r="G1345" s="136">
        <v>43335</v>
      </c>
      <c r="H1345" t="s">
        <v>28</v>
      </c>
      <c r="I1345" t="s">
        <v>112</v>
      </c>
      <c r="J1345" t="s">
        <v>113</v>
      </c>
      <c r="K1345" s="138">
        <v>63.13</v>
      </c>
      <c r="L1345" s="137">
        <v>0</v>
      </c>
    </row>
    <row r="1346" spans="7:12" x14ac:dyDescent="0.25">
      <c r="G1346" s="136">
        <v>43335</v>
      </c>
      <c r="H1346" t="s">
        <v>28</v>
      </c>
      <c r="I1346" t="s">
        <v>112</v>
      </c>
      <c r="J1346" t="s">
        <v>113</v>
      </c>
      <c r="K1346" s="138">
        <v>40.450000000000003</v>
      </c>
      <c r="L1346" s="137">
        <v>0</v>
      </c>
    </row>
    <row r="1347" spans="7:12" x14ac:dyDescent="0.25">
      <c r="G1347" s="136">
        <v>43335</v>
      </c>
      <c r="H1347" t="s">
        <v>28</v>
      </c>
      <c r="I1347" t="s">
        <v>112</v>
      </c>
      <c r="J1347" t="s">
        <v>113</v>
      </c>
      <c r="K1347" s="138">
        <v>31.6</v>
      </c>
      <c r="L1347" s="137">
        <v>0</v>
      </c>
    </row>
    <row r="1348" spans="7:12" x14ac:dyDescent="0.25">
      <c r="G1348" s="136">
        <v>43335</v>
      </c>
      <c r="H1348" t="s">
        <v>28</v>
      </c>
      <c r="I1348" t="s">
        <v>112</v>
      </c>
      <c r="J1348" t="s">
        <v>113</v>
      </c>
      <c r="K1348" s="138">
        <v>24.62</v>
      </c>
      <c r="L1348" s="137">
        <v>0</v>
      </c>
    </row>
    <row r="1349" spans="7:12" x14ac:dyDescent="0.25">
      <c r="G1349" s="136">
        <v>43335</v>
      </c>
      <c r="H1349" t="s">
        <v>28</v>
      </c>
      <c r="I1349" t="s">
        <v>112</v>
      </c>
      <c r="J1349" t="s">
        <v>113</v>
      </c>
      <c r="K1349" s="138">
        <v>14.25</v>
      </c>
      <c r="L1349" s="137">
        <v>0</v>
      </c>
    </row>
    <row r="1350" spans="7:12" x14ac:dyDescent="0.25">
      <c r="G1350" s="136">
        <v>43335</v>
      </c>
      <c r="H1350" t="s">
        <v>28</v>
      </c>
      <c r="I1350" t="s">
        <v>155</v>
      </c>
      <c r="J1350" t="s">
        <v>113</v>
      </c>
      <c r="K1350" s="138">
        <v>211</v>
      </c>
      <c r="L1350" s="137">
        <v>0</v>
      </c>
    </row>
    <row r="1351" spans="7:12" x14ac:dyDescent="0.25">
      <c r="G1351" s="136">
        <v>43335</v>
      </c>
      <c r="H1351" t="s">
        <v>28</v>
      </c>
      <c r="I1351" t="s">
        <v>155</v>
      </c>
      <c r="J1351" t="s">
        <v>113</v>
      </c>
      <c r="K1351" s="138">
        <v>128.04</v>
      </c>
      <c r="L1351" s="137">
        <v>0</v>
      </c>
    </row>
    <row r="1352" spans="7:12" x14ac:dyDescent="0.25">
      <c r="G1352" s="136">
        <v>43335</v>
      </c>
      <c r="H1352" t="s">
        <v>28</v>
      </c>
      <c r="I1352" t="s">
        <v>155</v>
      </c>
      <c r="J1352" t="s">
        <v>113</v>
      </c>
      <c r="K1352" s="138">
        <v>86.93</v>
      </c>
      <c r="L1352" s="137">
        <v>0</v>
      </c>
    </row>
    <row r="1353" spans="7:12" x14ac:dyDescent="0.25">
      <c r="G1353" s="136">
        <v>43335</v>
      </c>
      <c r="H1353" t="s">
        <v>28</v>
      </c>
      <c r="I1353" t="s">
        <v>155</v>
      </c>
      <c r="J1353" t="s">
        <v>113</v>
      </c>
      <c r="K1353" s="138">
        <v>63.77</v>
      </c>
      <c r="L1353" s="137">
        <v>0</v>
      </c>
    </row>
    <row r="1354" spans="7:12" x14ac:dyDescent="0.25">
      <c r="G1354" s="136">
        <v>43335</v>
      </c>
      <c r="H1354" t="s">
        <v>28</v>
      </c>
      <c r="I1354" t="s">
        <v>155</v>
      </c>
      <c r="J1354" t="s">
        <v>113</v>
      </c>
      <c r="K1354" s="138">
        <v>47</v>
      </c>
      <c r="L1354" s="137">
        <v>0</v>
      </c>
    </row>
    <row r="1355" spans="7:12" x14ac:dyDescent="0.25">
      <c r="G1355" s="136">
        <v>43335</v>
      </c>
      <c r="H1355" t="s">
        <v>28</v>
      </c>
      <c r="I1355" t="s">
        <v>155</v>
      </c>
      <c r="J1355" t="s">
        <v>113</v>
      </c>
      <c r="K1355" s="138">
        <v>35.659999999999997</v>
      </c>
      <c r="L1355" s="137">
        <v>0</v>
      </c>
    </row>
    <row r="1356" spans="7:12" x14ac:dyDescent="0.25">
      <c r="G1356" s="136">
        <v>43335</v>
      </c>
      <c r="H1356" t="s">
        <v>28</v>
      </c>
      <c r="I1356" t="s">
        <v>155</v>
      </c>
      <c r="J1356" t="s">
        <v>113</v>
      </c>
      <c r="K1356" s="138">
        <v>29.96</v>
      </c>
      <c r="L1356" s="137">
        <v>0</v>
      </c>
    </row>
    <row r="1357" spans="7:12" x14ac:dyDescent="0.25">
      <c r="G1357" s="136">
        <v>43335</v>
      </c>
      <c r="H1357" t="s">
        <v>28</v>
      </c>
      <c r="I1357" t="s">
        <v>155</v>
      </c>
      <c r="J1357" t="s">
        <v>113</v>
      </c>
      <c r="K1357" s="138">
        <v>15.95</v>
      </c>
      <c r="L1357" s="137">
        <v>0</v>
      </c>
    </row>
    <row r="1358" spans="7:12" x14ac:dyDescent="0.25">
      <c r="G1358" s="136">
        <v>43335</v>
      </c>
      <c r="H1358" t="s">
        <v>28</v>
      </c>
      <c r="I1358" t="s">
        <v>155</v>
      </c>
      <c r="J1358" t="s">
        <v>113</v>
      </c>
      <c r="K1358" s="138">
        <v>0.01</v>
      </c>
      <c r="L1358" s="137">
        <v>0</v>
      </c>
    </row>
    <row r="1359" spans="7:12" x14ac:dyDescent="0.25">
      <c r="G1359" s="136">
        <v>43335</v>
      </c>
      <c r="H1359" t="s">
        <v>28</v>
      </c>
      <c r="I1359" t="s">
        <v>155</v>
      </c>
      <c r="J1359" t="s">
        <v>113</v>
      </c>
      <c r="K1359" s="138">
        <v>0</v>
      </c>
      <c r="L1359" s="137">
        <v>0.01</v>
      </c>
    </row>
    <row r="1360" spans="7:12" x14ac:dyDescent="0.25">
      <c r="G1360" s="136">
        <v>43335</v>
      </c>
      <c r="H1360" t="s">
        <v>28</v>
      </c>
      <c r="I1360" t="s">
        <v>66</v>
      </c>
      <c r="J1360" t="s">
        <v>110</v>
      </c>
      <c r="K1360" s="138">
        <v>6.5</v>
      </c>
      <c r="L1360" s="137">
        <v>0</v>
      </c>
    </row>
    <row r="1361" spans="7:12" x14ac:dyDescent="0.25">
      <c r="G1361" s="136">
        <v>43335</v>
      </c>
      <c r="H1361" t="s">
        <v>28</v>
      </c>
      <c r="I1361" t="s">
        <v>66</v>
      </c>
      <c r="J1361" t="s">
        <v>115</v>
      </c>
      <c r="K1361" s="138">
        <v>4.5</v>
      </c>
      <c r="L1361" s="137">
        <v>0</v>
      </c>
    </row>
    <row r="1362" spans="7:12" x14ac:dyDescent="0.25">
      <c r="G1362" s="136">
        <v>43335</v>
      </c>
      <c r="H1362" t="s">
        <v>28</v>
      </c>
      <c r="I1362" t="s">
        <v>66</v>
      </c>
      <c r="J1362" t="s">
        <v>114</v>
      </c>
      <c r="K1362" s="138">
        <v>1.8</v>
      </c>
      <c r="L1362" s="137">
        <v>0</v>
      </c>
    </row>
    <row r="1363" spans="7:12" x14ac:dyDescent="0.25">
      <c r="G1363" s="136">
        <v>43336</v>
      </c>
      <c r="H1363" t="s">
        <v>27</v>
      </c>
      <c r="I1363" t="s">
        <v>63</v>
      </c>
      <c r="J1363" t="s">
        <v>73</v>
      </c>
      <c r="K1363" s="138">
        <v>8</v>
      </c>
      <c r="L1363" s="137">
        <v>0</v>
      </c>
    </row>
    <row r="1364" spans="7:12" x14ac:dyDescent="0.25">
      <c r="G1364" s="136">
        <v>43336</v>
      </c>
      <c r="H1364" t="s">
        <v>184</v>
      </c>
      <c r="I1364" t="s">
        <v>171</v>
      </c>
      <c r="J1364" t="s">
        <v>73</v>
      </c>
      <c r="K1364" s="138">
        <v>40</v>
      </c>
      <c r="L1364" s="137">
        <v>0</v>
      </c>
    </row>
    <row r="1365" spans="7:12" x14ac:dyDescent="0.25">
      <c r="G1365" s="136">
        <v>43336</v>
      </c>
      <c r="H1365" t="s">
        <v>183</v>
      </c>
      <c r="I1365" t="s">
        <v>42</v>
      </c>
      <c r="J1365" t="s">
        <v>73</v>
      </c>
      <c r="K1365" s="138">
        <v>15.64</v>
      </c>
      <c r="L1365" s="137">
        <v>0</v>
      </c>
    </row>
    <row r="1366" spans="7:12" x14ac:dyDescent="0.25">
      <c r="G1366" s="136">
        <v>43336</v>
      </c>
      <c r="H1366" t="s">
        <v>25</v>
      </c>
      <c r="I1366" t="s">
        <v>63</v>
      </c>
      <c r="J1366" t="s">
        <v>73</v>
      </c>
      <c r="K1366" s="138">
        <v>112</v>
      </c>
      <c r="L1366" s="137">
        <v>0</v>
      </c>
    </row>
    <row r="1367" spans="7:12" x14ac:dyDescent="0.25">
      <c r="G1367" s="136">
        <v>43336</v>
      </c>
      <c r="H1367" t="s">
        <v>25</v>
      </c>
      <c r="I1367" t="s">
        <v>63</v>
      </c>
      <c r="J1367" t="s">
        <v>73</v>
      </c>
      <c r="K1367" s="138">
        <v>64</v>
      </c>
      <c r="L1367" s="137">
        <v>0</v>
      </c>
    </row>
    <row r="1368" spans="7:12" x14ac:dyDescent="0.25">
      <c r="G1368" s="136">
        <v>43336</v>
      </c>
      <c r="H1368" t="s">
        <v>25</v>
      </c>
      <c r="I1368" t="s">
        <v>63</v>
      </c>
      <c r="J1368" t="s">
        <v>73</v>
      </c>
      <c r="K1368" s="138">
        <v>32</v>
      </c>
      <c r="L1368" s="137">
        <v>0</v>
      </c>
    </row>
    <row r="1369" spans="7:12" x14ac:dyDescent="0.25">
      <c r="G1369" s="136">
        <v>43336</v>
      </c>
      <c r="H1369" t="s">
        <v>25</v>
      </c>
      <c r="I1369" t="s">
        <v>63</v>
      </c>
      <c r="J1369" t="s">
        <v>73</v>
      </c>
      <c r="K1369" s="138">
        <v>24</v>
      </c>
      <c r="L1369" s="137">
        <v>0</v>
      </c>
    </row>
    <row r="1370" spans="7:12" x14ac:dyDescent="0.25">
      <c r="G1370" s="136">
        <v>43336</v>
      </c>
      <c r="H1370" t="s">
        <v>25</v>
      </c>
      <c r="I1370" t="s">
        <v>63</v>
      </c>
      <c r="J1370" t="s">
        <v>73</v>
      </c>
      <c r="K1370" s="138">
        <v>16</v>
      </c>
      <c r="L1370" s="137">
        <v>0</v>
      </c>
    </row>
    <row r="1371" spans="7:12" x14ac:dyDescent="0.25">
      <c r="G1371" s="136">
        <v>43336</v>
      </c>
      <c r="H1371" t="s">
        <v>25</v>
      </c>
      <c r="I1371" t="s">
        <v>63</v>
      </c>
      <c r="J1371" t="s">
        <v>73</v>
      </c>
      <c r="K1371" s="138">
        <v>8</v>
      </c>
      <c r="L1371" s="137">
        <v>0</v>
      </c>
    </row>
    <row r="1372" spans="7:12" x14ac:dyDescent="0.25">
      <c r="G1372" s="136">
        <v>43336</v>
      </c>
      <c r="H1372" t="s">
        <v>181</v>
      </c>
      <c r="I1372" t="s">
        <v>42</v>
      </c>
      <c r="J1372" t="s">
        <v>73</v>
      </c>
      <c r="K1372" s="138">
        <v>212.77</v>
      </c>
      <c r="L1372" s="137">
        <v>0</v>
      </c>
    </row>
    <row r="1373" spans="7:12" x14ac:dyDescent="0.25">
      <c r="G1373" s="136">
        <v>43336</v>
      </c>
      <c r="H1373" t="s">
        <v>180</v>
      </c>
      <c r="I1373" t="s">
        <v>42</v>
      </c>
      <c r="J1373" t="s">
        <v>73</v>
      </c>
      <c r="K1373" s="138">
        <v>34.33</v>
      </c>
      <c r="L1373" s="137">
        <v>0</v>
      </c>
    </row>
    <row r="1374" spans="7:12" x14ac:dyDescent="0.25">
      <c r="G1374" s="136">
        <v>43336</v>
      </c>
      <c r="H1374" t="s">
        <v>28</v>
      </c>
      <c r="I1374" t="s">
        <v>148</v>
      </c>
      <c r="J1374" t="s">
        <v>149</v>
      </c>
      <c r="K1374" s="138">
        <v>0</v>
      </c>
      <c r="L1374" s="137">
        <v>1200</v>
      </c>
    </row>
    <row r="1375" spans="7:12" x14ac:dyDescent="0.25">
      <c r="G1375" s="136">
        <v>43336</v>
      </c>
      <c r="H1375" t="s">
        <v>28</v>
      </c>
      <c r="I1375" t="s">
        <v>150</v>
      </c>
      <c r="J1375" t="s">
        <v>151</v>
      </c>
      <c r="K1375" s="138">
        <v>0</v>
      </c>
      <c r="L1375" s="137">
        <v>1100</v>
      </c>
    </row>
    <row r="1376" spans="7:12" x14ac:dyDescent="0.25">
      <c r="G1376" s="136">
        <v>43336</v>
      </c>
      <c r="H1376" t="s">
        <v>28</v>
      </c>
      <c r="I1376" t="s">
        <v>152</v>
      </c>
      <c r="J1376" t="s">
        <v>149</v>
      </c>
      <c r="K1376" s="138">
        <v>0</v>
      </c>
      <c r="L1376" s="137">
        <v>1500</v>
      </c>
    </row>
    <row r="1377" spans="7:12" x14ac:dyDescent="0.25">
      <c r="G1377" s="136">
        <v>43336</v>
      </c>
      <c r="H1377" t="s">
        <v>28</v>
      </c>
      <c r="I1377" t="s">
        <v>153</v>
      </c>
      <c r="J1377" t="s">
        <v>151</v>
      </c>
      <c r="K1377" s="138">
        <v>0</v>
      </c>
      <c r="L1377" s="137">
        <v>1100</v>
      </c>
    </row>
    <row r="1378" spans="7:12" x14ac:dyDescent="0.25">
      <c r="G1378" s="136">
        <v>43336</v>
      </c>
      <c r="H1378" t="s">
        <v>28</v>
      </c>
      <c r="I1378" t="s">
        <v>163</v>
      </c>
      <c r="J1378" t="s">
        <v>73</v>
      </c>
      <c r="K1378" s="138">
        <v>29.33</v>
      </c>
      <c r="L1378" s="137">
        <v>0</v>
      </c>
    </row>
    <row r="1379" spans="7:12" x14ac:dyDescent="0.25">
      <c r="G1379" s="136">
        <v>43336</v>
      </c>
      <c r="H1379" t="s">
        <v>28</v>
      </c>
      <c r="I1379" t="s">
        <v>66</v>
      </c>
      <c r="J1379" t="s">
        <v>111</v>
      </c>
      <c r="K1379" s="138">
        <v>18.399999999999999</v>
      </c>
      <c r="L1379" s="137">
        <v>0</v>
      </c>
    </row>
    <row r="1380" spans="7:12" x14ac:dyDescent="0.25">
      <c r="G1380" s="136">
        <v>43336</v>
      </c>
      <c r="H1380" t="s">
        <v>28</v>
      </c>
      <c r="I1380" t="s">
        <v>154</v>
      </c>
      <c r="J1380" t="s">
        <v>149</v>
      </c>
      <c r="K1380" s="138">
        <v>0</v>
      </c>
      <c r="L1380" s="137">
        <v>1500</v>
      </c>
    </row>
    <row r="1381" spans="7:12" x14ac:dyDescent="0.25">
      <c r="G1381" s="136">
        <v>43336</v>
      </c>
      <c r="H1381" t="s">
        <v>28</v>
      </c>
      <c r="I1381" t="s">
        <v>42</v>
      </c>
      <c r="J1381" t="s">
        <v>73</v>
      </c>
      <c r="K1381" s="138">
        <v>167.26</v>
      </c>
      <c r="L1381" s="137">
        <v>0</v>
      </c>
    </row>
    <row r="1382" spans="7:12" x14ac:dyDescent="0.25">
      <c r="G1382" s="136">
        <v>43336</v>
      </c>
      <c r="H1382" t="s">
        <v>28</v>
      </c>
      <c r="I1382" t="s">
        <v>42</v>
      </c>
      <c r="J1382" t="s">
        <v>73</v>
      </c>
      <c r="K1382" s="138">
        <v>12</v>
      </c>
      <c r="L1382" s="137">
        <v>0</v>
      </c>
    </row>
    <row r="1383" spans="7:12" x14ac:dyDescent="0.25">
      <c r="G1383" s="136">
        <v>43337</v>
      </c>
      <c r="H1383" t="s">
        <v>192</v>
      </c>
      <c r="I1383" t="s">
        <v>65</v>
      </c>
      <c r="J1383" t="s">
        <v>74</v>
      </c>
      <c r="K1383" s="138">
        <v>488.12</v>
      </c>
      <c r="L1383" s="137">
        <v>0</v>
      </c>
    </row>
    <row r="1384" spans="7:12" x14ac:dyDescent="0.25">
      <c r="G1384" s="136">
        <v>43337</v>
      </c>
      <c r="H1384" t="s">
        <v>27</v>
      </c>
      <c r="I1384" t="s">
        <v>65</v>
      </c>
      <c r="J1384" t="s">
        <v>74</v>
      </c>
      <c r="K1384" s="138">
        <v>77.28</v>
      </c>
      <c r="L1384" s="137">
        <v>0</v>
      </c>
    </row>
    <row r="1385" spans="7:12" x14ac:dyDescent="0.25">
      <c r="G1385" s="136">
        <v>43337</v>
      </c>
      <c r="H1385" t="s">
        <v>27</v>
      </c>
      <c r="I1385" t="s">
        <v>65</v>
      </c>
      <c r="J1385" t="s">
        <v>74</v>
      </c>
      <c r="K1385" s="138">
        <v>55.37</v>
      </c>
      <c r="L1385" s="137">
        <v>0</v>
      </c>
    </row>
    <row r="1386" spans="7:12" x14ac:dyDescent="0.25">
      <c r="G1386" s="136">
        <v>43337</v>
      </c>
      <c r="H1386" t="s">
        <v>27</v>
      </c>
      <c r="I1386" t="s">
        <v>65</v>
      </c>
      <c r="J1386" t="s">
        <v>74</v>
      </c>
      <c r="K1386" s="138">
        <v>52.49</v>
      </c>
      <c r="L1386" s="137">
        <v>0</v>
      </c>
    </row>
    <row r="1387" spans="7:12" x14ac:dyDescent="0.25">
      <c r="G1387" s="136">
        <v>43337</v>
      </c>
      <c r="H1387" t="s">
        <v>27</v>
      </c>
      <c r="I1387" t="s">
        <v>65</v>
      </c>
      <c r="J1387" t="s">
        <v>74</v>
      </c>
      <c r="K1387" s="138">
        <v>49.7</v>
      </c>
      <c r="L1387" s="137">
        <v>0</v>
      </c>
    </row>
    <row r="1388" spans="7:12" x14ac:dyDescent="0.25">
      <c r="G1388" s="136">
        <v>43337</v>
      </c>
      <c r="H1388" t="s">
        <v>27</v>
      </c>
      <c r="I1388" t="s">
        <v>65</v>
      </c>
      <c r="J1388" t="s">
        <v>74</v>
      </c>
      <c r="K1388" s="138">
        <v>43.81</v>
      </c>
      <c r="L1388" s="137">
        <v>0</v>
      </c>
    </row>
    <row r="1389" spans="7:12" x14ac:dyDescent="0.25">
      <c r="G1389" s="136">
        <v>43337</v>
      </c>
      <c r="H1389" t="s">
        <v>27</v>
      </c>
      <c r="I1389" t="s">
        <v>65</v>
      </c>
      <c r="J1389" t="s">
        <v>74</v>
      </c>
      <c r="K1389" s="138">
        <v>30.92</v>
      </c>
      <c r="L1389" s="137">
        <v>0</v>
      </c>
    </row>
    <row r="1390" spans="7:12" x14ac:dyDescent="0.25">
      <c r="G1390" s="136">
        <v>43337</v>
      </c>
      <c r="H1390" t="s">
        <v>27</v>
      </c>
      <c r="I1390" t="s">
        <v>65</v>
      </c>
      <c r="J1390" t="s">
        <v>74</v>
      </c>
      <c r="K1390" s="138">
        <v>29.35</v>
      </c>
      <c r="L1390" s="137">
        <v>0</v>
      </c>
    </row>
    <row r="1391" spans="7:12" x14ac:dyDescent="0.25">
      <c r="G1391" s="136">
        <v>43337</v>
      </c>
      <c r="H1391" t="s">
        <v>27</v>
      </c>
      <c r="I1391" t="s">
        <v>65</v>
      </c>
      <c r="J1391" t="s">
        <v>74</v>
      </c>
      <c r="K1391" s="138">
        <v>28.06</v>
      </c>
      <c r="L1391" s="137">
        <v>0</v>
      </c>
    </row>
    <row r="1392" spans="7:12" x14ac:dyDescent="0.25">
      <c r="G1392" s="136">
        <v>43337</v>
      </c>
      <c r="H1392" t="s">
        <v>27</v>
      </c>
      <c r="I1392" t="s">
        <v>65</v>
      </c>
      <c r="J1392" t="s">
        <v>74</v>
      </c>
      <c r="K1392" s="138">
        <v>24.92</v>
      </c>
      <c r="L1392" s="137">
        <v>0</v>
      </c>
    </row>
    <row r="1393" spans="7:12" x14ac:dyDescent="0.25">
      <c r="G1393" s="136">
        <v>43337</v>
      </c>
      <c r="H1393" t="s">
        <v>27</v>
      </c>
      <c r="I1393" t="s">
        <v>65</v>
      </c>
      <c r="J1393" t="s">
        <v>74</v>
      </c>
      <c r="K1393" s="138">
        <v>15.39</v>
      </c>
      <c r="L1393" s="137">
        <v>0</v>
      </c>
    </row>
    <row r="1394" spans="7:12" x14ac:dyDescent="0.25">
      <c r="G1394" s="136">
        <v>43337</v>
      </c>
      <c r="H1394" t="s">
        <v>27</v>
      </c>
      <c r="I1394" t="s">
        <v>65</v>
      </c>
      <c r="J1394" t="s">
        <v>74</v>
      </c>
      <c r="K1394" s="138">
        <v>13.86</v>
      </c>
      <c r="L1394" s="137">
        <v>0</v>
      </c>
    </row>
    <row r="1395" spans="7:12" x14ac:dyDescent="0.25">
      <c r="G1395" s="136">
        <v>43337</v>
      </c>
      <c r="H1395" t="s">
        <v>195</v>
      </c>
      <c r="I1395" t="s">
        <v>65</v>
      </c>
      <c r="J1395" t="s">
        <v>74</v>
      </c>
      <c r="K1395" s="138">
        <v>120.7</v>
      </c>
      <c r="L1395" s="137">
        <v>0</v>
      </c>
    </row>
    <row r="1396" spans="7:12" x14ac:dyDescent="0.25">
      <c r="G1396" s="136">
        <v>43337</v>
      </c>
      <c r="H1396" t="s">
        <v>183</v>
      </c>
      <c r="I1396" t="s">
        <v>65</v>
      </c>
      <c r="J1396" t="s">
        <v>74</v>
      </c>
      <c r="K1396" s="138">
        <v>3012.69</v>
      </c>
      <c r="L1396" s="137">
        <v>0</v>
      </c>
    </row>
    <row r="1397" spans="7:12" x14ac:dyDescent="0.25">
      <c r="G1397" s="136">
        <v>43337</v>
      </c>
      <c r="H1397" t="s">
        <v>193</v>
      </c>
      <c r="I1397" t="s">
        <v>65</v>
      </c>
      <c r="J1397" t="s">
        <v>74</v>
      </c>
      <c r="K1397" s="138">
        <v>21.39</v>
      </c>
      <c r="L1397" s="137">
        <v>0</v>
      </c>
    </row>
    <row r="1398" spans="7:12" x14ac:dyDescent="0.25">
      <c r="G1398" s="136">
        <v>43337</v>
      </c>
      <c r="H1398" t="s">
        <v>25</v>
      </c>
      <c r="I1398" t="s">
        <v>65</v>
      </c>
      <c r="J1398" t="s">
        <v>74</v>
      </c>
      <c r="K1398" s="138">
        <v>1473.5</v>
      </c>
      <c r="L1398" s="137">
        <v>0</v>
      </c>
    </row>
    <row r="1399" spans="7:12" x14ac:dyDescent="0.25">
      <c r="G1399" s="136">
        <v>43337</v>
      </c>
      <c r="H1399" t="s">
        <v>25</v>
      </c>
      <c r="I1399" t="s">
        <v>65</v>
      </c>
      <c r="J1399" t="s">
        <v>74</v>
      </c>
      <c r="K1399" s="138">
        <v>1388.9</v>
      </c>
      <c r="L1399" s="137">
        <v>0</v>
      </c>
    </row>
    <row r="1400" spans="7:12" x14ac:dyDescent="0.25">
      <c r="G1400" s="136">
        <v>43337</v>
      </c>
      <c r="H1400" t="s">
        <v>25</v>
      </c>
      <c r="I1400" t="s">
        <v>65</v>
      </c>
      <c r="J1400" t="s">
        <v>74</v>
      </c>
      <c r="K1400" s="138">
        <v>1066.53</v>
      </c>
      <c r="L1400" s="137">
        <v>0</v>
      </c>
    </row>
    <row r="1401" spans="7:12" x14ac:dyDescent="0.25">
      <c r="G1401" s="136">
        <v>43337</v>
      </c>
      <c r="H1401" t="s">
        <v>25</v>
      </c>
      <c r="I1401" t="s">
        <v>65</v>
      </c>
      <c r="J1401" t="s">
        <v>74</v>
      </c>
      <c r="K1401" s="138">
        <v>938.84</v>
      </c>
      <c r="L1401" s="137">
        <v>0</v>
      </c>
    </row>
    <row r="1402" spans="7:12" x14ac:dyDescent="0.25">
      <c r="G1402" s="136">
        <v>43337</v>
      </c>
      <c r="H1402" t="s">
        <v>25</v>
      </c>
      <c r="I1402" t="s">
        <v>65</v>
      </c>
      <c r="J1402" t="s">
        <v>74</v>
      </c>
      <c r="K1402" s="138">
        <v>867.93</v>
      </c>
      <c r="L1402" s="137">
        <v>0</v>
      </c>
    </row>
    <row r="1403" spans="7:12" x14ac:dyDescent="0.25">
      <c r="G1403" s="136">
        <v>43337</v>
      </c>
      <c r="H1403" t="s">
        <v>25</v>
      </c>
      <c r="I1403" t="s">
        <v>65</v>
      </c>
      <c r="J1403" t="s">
        <v>74</v>
      </c>
      <c r="K1403" s="138">
        <v>661.6</v>
      </c>
      <c r="L1403" s="137">
        <v>0</v>
      </c>
    </row>
    <row r="1404" spans="7:12" x14ac:dyDescent="0.25">
      <c r="G1404" s="136">
        <v>43337</v>
      </c>
      <c r="H1404" t="s">
        <v>25</v>
      </c>
      <c r="I1404" t="s">
        <v>65</v>
      </c>
      <c r="J1404" t="s">
        <v>74</v>
      </c>
      <c r="K1404" s="138">
        <v>471.52</v>
      </c>
      <c r="L1404" s="137">
        <v>0</v>
      </c>
    </row>
    <row r="1405" spans="7:12" x14ac:dyDescent="0.25">
      <c r="G1405" s="136">
        <v>43337</v>
      </c>
      <c r="H1405" t="s">
        <v>25</v>
      </c>
      <c r="I1405" t="s">
        <v>65</v>
      </c>
      <c r="J1405" t="s">
        <v>74</v>
      </c>
      <c r="K1405" s="138">
        <v>465.27</v>
      </c>
      <c r="L1405" s="137">
        <v>0</v>
      </c>
    </row>
    <row r="1406" spans="7:12" x14ac:dyDescent="0.25">
      <c r="G1406" s="136">
        <v>43337</v>
      </c>
      <c r="H1406" t="s">
        <v>25</v>
      </c>
      <c r="I1406" t="s">
        <v>65</v>
      </c>
      <c r="J1406" t="s">
        <v>74</v>
      </c>
      <c r="K1406" s="138">
        <v>451.51</v>
      </c>
      <c r="L1406" s="137">
        <v>0</v>
      </c>
    </row>
    <row r="1407" spans="7:12" x14ac:dyDescent="0.25">
      <c r="G1407" s="136">
        <v>43337</v>
      </c>
      <c r="H1407" t="s">
        <v>25</v>
      </c>
      <c r="I1407" t="s">
        <v>65</v>
      </c>
      <c r="J1407" t="s">
        <v>74</v>
      </c>
      <c r="K1407" s="138">
        <v>403.79</v>
      </c>
      <c r="L1407" s="137">
        <v>0</v>
      </c>
    </row>
    <row r="1408" spans="7:12" x14ac:dyDescent="0.25">
      <c r="G1408" s="136">
        <v>43337</v>
      </c>
      <c r="H1408" t="s">
        <v>25</v>
      </c>
      <c r="I1408" t="s">
        <v>65</v>
      </c>
      <c r="J1408" t="s">
        <v>74</v>
      </c>
      <c r="K1408" s="138">
        <v>327.9</v>
      </c>
      <c r="L1408" s="137">
        <v>0</v>
      </c>
    </row>
    <row r="1409" spans="7:12" x14ac:dyDescent="0.25">
      <c r="G1409" s="136">
        <v>43337</v>
      </c>
      <c r="H1409" t="s">
        <v>25</v>
      </c>
      <c r="I1409" t="s">
        <v>65</v>
      </c>
      <c r="J1409" t="s">
        <v>74</v>
      </c>
      <c r="K1409" s="138">
        <v>323.60000000000002</v>
      </c>
      <c r="L1409" s="137">
        <v>0</v>
      </c>
    </row>
    <row r="1410" spans="7:12" x14ac:dyDescent="0.25">
      <c r="G1410" s="136">
        <v>43337</v>
      </c>
      <c r="H1410" t="s">
        <v>25</v>
      </c>
      <c r="I1410" t="s">
        <v>65</v>
      </c>
      <c r="J1410" t="s">
        <v>74</v>
      </c>
      <c r="K1410" s="138">
        <v>306.07</v>
      </c>
      <c r="L1410" s="137">
        <v>0</v>
      </c>
    </row>
    <row r="1411" spans="7:12" x14ac:dyDescent="0.25">
      <c r="G1411" s="136">
        <v>43337</v>
      </c>
      <c r="H1411" t="s">
        <v>25</v>
      </c>
      <c r="I1411" t="s">
        <v>65</v>
      </c>
      <c r="J1411" t="s">
        <v>74</v>
      </c>
      <c r="K1411" s="138">
        <v>301.62</v>
      </c>
      <c r="L1411" s="137">
        <v>0</v>
      </c>
    </row>
    <row r="1412" spans="7:12" x14ac:dyDescent="0.25">
      <c r="G1412" s="136">
        <v>43337</v>
      </c>
      <c r="H1412" t="s">
        <v>25</v>
      </c>
      <c r="I1412" t="s">
        <v>65</v>
      </c>
      <c r="J1412" t="s">
        <v>74</v>
      </c>
      <c r="K1412" s="138">
        <v>281.75</v>
      </c>
      <c r="L1412" s="137">
        <v>0</v>
      </c>
    </row>
    <row r="1413" spans="7:12" x14ac:dyDescent="0.25">
      <c r="G1413" s="136">
        <v>43337</v>
      </c>
      <c r="H1413" t="s">
        <v>25</v>
      </c>
      <c r="I1413" t="s">
        <v>65</v>
      </c>
      <c r="J1413" t="s">
        <v>74</v>
      </c>
      <c r="K1413" s="138">
        <v>281.07</v>
      </c>
      <c r="L1413" s="137">
        <v>0</v>
      </c>
    </row>
    <row r="1414" spans="7:12" x14ac:dyDescent="0.25">
      <c r="G1414" s="136">
        <v>43337</v>
      </c>
      <c r="H1414" t="s">
        <v>25</v>
      </c>
      <c r="I1414" t="s">
        <v>65</v>
      </c>
      <c r="J1414" t="s">
        <v>74</v>
      </c>
      <c r="K1414" s="138">
        <v>246.81</v>
      </c>
      <c r="L1414" s="137">
        <v>0</v>
      </c>
    </row>
    <row r="1415" spans="7:12" x14ac:dyDescent="0.25">
      <c r="G1415" s="136">
        <v>43337</v>
      </c>
      <c r="H1415" t="s">
        <v>25</v>
      </c>
      <c r="I1415" t="s">
        <v>65</v>
      </c>
      <c r="J1415" t="s">
        <v>74</v>
      </c>
      <c r="K1415" s="138">
        <v>235.92</v>
      </c>
      <c r="L1415" s="137">
        <v>0</v>
      </c>
    </row>
    <row r="1416" spans="7:12" x14ac:dyDescent="0.25">
      <c r="G1416" s="136">
        <v>43337</v>
      </c>
      <c r="H1416" t="s">
        <v>25</v>
      </c>
      <c r="I1416" t="s">
        <v>65</v>
      </c>
      <c r="J1416" t="s">
        <v>74</v>
      </c>
      <c r="K1416" s="138">
        <v>172.65</v>
      </c>
      <c r="L1416" s="137">
        <v>0</v>
      </c>
    </row>
    <row r="1417" spans="7:12" x14ac:dyDescent="0.25">
      <c r="G1417" s="136">
        <v>43337</v>
      </c>
      <c r="H1417" t="s">
        <v>25</v>
      </c>
      <c r="I1417" t="s">
        <v>65</v>
      </c>
      <c r="J1417" t="s">
        <v>74</v>
      </c>
      <c r="K1417" s="138">
        <v>119.59</v>
      </c>
      <c r="L1417" s="137">
        <v>0</v>
      </c>
    </row>
    <row r="1418" spans="7:12" x14ac:dyDescent="0.25">
      <c r="G1418" s="136">
        <v>43337</v>
      </c>
      <c r="H1418" t="s">
        <v>25</v>
      </c>
      <c r="I1418" t="s">
        <v>65</v>
      </c>
      <c r="J1418" t="s">
        <v>74</v>
      </c>
      <c r="K1418" s="138">
        <v>83.43</v>
      </c>
      <c r="L1418" s="137">
        <v>0</v>
      </c>
    </row>
    <row r="1419" spans="7:12" x14ac:dyDescent="0.25">
      <c r="G1419" s="136">
        <v>43337</v>
      </c>
      <c r="H1419" t="s">
        <v>25</v>
      </c>
      <c r="I1419" t="s">
        <v>65</v>
      </c>
      <c r="J1419" t="s">
        <v>74</v>
      </c>
      <c r="K1419" s="138">
        <v>80.37</v>
      </c>
      <c r="L1419" s="137">
        <v>0</v>
      </c>
    </row>
    <row r="1420" spans="7:12" x14ac:dyDescent="0.25">
      <c r="G1420" s="136">
        <v>43337</v>
      </c>
      <c r="H1420" t="s">
        <v>25</v>
      </c>
      <c r="I1420" t="s">
        <v>65</v>
      </c>
      <c r="J1420" t="s">
        <v>74</v>
      </c>
      <c r="K1420" s="138">
        <v>60.69</v>
      </c>
      <c r="L1420" s="137">
        <v>0</v>
      </c>
    </row>
    <row r="1421" spans="7:12" x14ac:dyDescent="0.25">
      <c r="G1421" s="136">
        <v>43337</v>
      </c>
      <c r="H1421" t="s">
        <v>25</v>
      </c>
      <c r="I1421" t="s">
        <v>65</v>
      </c>
      <c r="J1421" t="s">
        <v>74</v>
      </c>
      <c r="K1421" s="138">
        <v>53.95</v>
      </c>
      <c r="L1421" s="137">
        <v>0</v>
      </c>
    </row>
    <row r="1422" spans="7:12" x14ac:dyDescent="0.25">
      <c r="G1422" s="136">
        <v>43337</v>
      </c>
      <c r="H1422" t="s">
        <v>25</v>
      </c>
      <c r="I1422" t="s">
        <v>65</v>
      </c>
      <c r="J1422" t="s">
        <v>74</v>
      </c>
      <c r="K1422" s="138">
        <v>51.73</v>
      </c>
      <c r="L1422" s="137">
        <v>0</v>
      </c>
    </row>
    <row r="1423" spans="7:12" x14ac:dyDescent="0.25">
      <c r="G1423" s="136">
        <v>43337</v>
      </c>
      <c r="H1423" t="s">
        <v>25</v>
      </c>
      <c r="I1423" t="s">
        <v>65</v>
      </c>
      <c r="J1423" t="s">
        <v>74</v>
      </c>
      <c r="K1423" s="138">
        <v>51.17</v>
      </c>
      <c r="L1423" s="137">
        <v>0</v>
      </c>
    </row>
    <row r="1424" spans="7:12" x14ac:dyDescent="0.25">
      <c r="G1424" s="136">
        <v>43337</v>
      </c>
      <c r="H1424" t="s">
        <v>25</v>
      </c>
      <c r="I1424" t="s">
        <v>65</v>
      </c>
      <c r="J1424" t="s">
        <v>74</v>
      </c>
      <c r="K1424" s="138">
        <v>45.75</v>
      </c>
      <c r="L1424" s="137">
        <v>0</v>
      </c>
    </row>
    <row r="1425" spans="7:12" x14ac:dyDescent="0.25">
      <c r="G1425" s="136">
        <v>43337</v>
      </c>
      <c r="H1425" t="s">
        <v>25</v>
      </c>
      <c r="I1425" t="s">
        <v>65</v>
      </c>
      <c r="J1425" t="s">
        <v>74</v>
      </c>
      <c r="K1425" s="138">
        <v>45.5</v>
      </c>
      <c r="L1425" s="137">
        <v>0</v>
      </c>
    </row>
    <row r="1426" spans="7:12" x14ac:dyDescent="0.25">
      <c r="G1426" s="136">
        <v>43337</v>
      </c>
      <c r="H1426" t="s">
        <v>25</v>
      </c>
      <c r="I1426" t="s">
        <v>65</v>
      </c>
      <c r="J1426" t="s">
        <v>74</v>
      </c>
      <c r="K1426" s="138">
        <v>25.14</v>
      </c>
      <c r="L1426" s="137">
        <v>0</v>
      </c>
    </row>
    <row r="1427" spans="7:12" x14ac:dyDescent="0.25">
      <c r="G1427" s="136">
        <v>43337</v>
      </c>
      <c r="H1427" t="s">
        <v>25</v>
      </c>
      <c r="I1427" t="s">
        <v>65</v>
      </c>
      <c r="J1427" t="s">
        <v>74</v>
      </c>
      <c r="K1427" s="138">
        <v>24.85</v>
      </c>
      <c r="L1427" s="137">
        <v>0</v>
      </c>
    </row>
    <row r="1428" spans="7:12" x14ac:dyDescent="0.25">
      <c r="G1428" s="136">
        <v>43337</v>
      </c>
      <c r="H1428" t="s">
        <v>25</v>
      </c>
      <c r="I1428" t="s">
        <v>65</v>
      </c>
      <c r="J1428" t="s">
        <v>74</v>
      </c>
      <c r="K1428" s="138">
        <v>12.79</v>
      </c>
      <c r="L1428" s="137">
        <v>0</v>
      </c>
    </row>
    <row r="1429" spans="7:12" x14ac:dyDescent="0.25">
      <c r="G1429" s="136">
        <v>43337</v>
      </c>
      <c r="H1429" t="s">
        <v>25</v>
      </c>
      <c r="I1429" t="s">
        <v>65</v>
      </c>
      <c r="J1429" t="s">
        <v>74</v>
      </c>
      <c r="K1429" s="138">
        <v>12.65</v>
      </c>
      <c r="L1429" s="137">
        <v>0</v>
      </c>
    </row>
    <row r="1430" spans="7:12" x14ac:dyDescent="0.25">
      <c r="G1430" s="136">
        <v>43337</v>
      </c>
      <c r="H1430" t="s">
        <v>25</v>
      </c>
      <c r="I1430" t="s">
        <v>65</v>
      </c>
      <c r="J1430" t="s">
        <v>74</v>
      </c>
      <c r="K1430" s="138">
        <v>9.59</v>
      </c>
      <c r="L1430" s="137">
        <v>0</v>
      </c>
    </row>
    <row r="1431" spans="7:12" x14ac:dyDescent="0.25">
      <c r="G1431" s="136">
        <v>43337</v>
      </c>
      <c r="H1431" t="s">
        <v>25</v>
      </c>
      <c r="I1431" t="s">
        <v>65</v>
      </c>
      <c r="J1431" t="s">
        <v>74</v>
      </c>
      <c r="K1431" s="138">
        <v>6.66</v>
      </c>
      <c r="L1431" s="137">
        <v>0</v>
      </c>
    </row>
    <row r="1432" spans="7:12" x14ac:dyDescent="0.25">
      <c r="G1432" s="136">
        <v>43337</v>
      </c>
      <c r="H1432" t="s">
        <v>180</v>
      </c>
      <c r="I1432" t="s">
        <v>65</v>
      </c>
      <c r="J1432" t="s">
        <v>74</v>
      </c>
      <c r="K1432" s="138">
        <v>14.22</v>
      </c>
      <c r="L1432" s="137">
        <v>0</v>
      </c>
    </row>
    <row r="1433" spans="7:12" x14ac:dyDescent="0.25">
      <c r="G1433" s="136">
        <v>43337</v>
      </c>
      <c r="H1433" t="s">
        <v>179</v>
      </c>
      <c r="I1433" t="s">
        <v>65</v>
      </c>
      <c r="J1433" t="s">
        <v>74</v>
      </c>
      <c r="K1433" s="138">
        <v>343.02</v>
      </c>
      <c r="L1433" s="137">
        <v>0</v>
      </c>
    </row>
    <row r="1434" spans="7:12" x14ac:dyDescent="0.25">
      <c r="G1434" s="136">
        <v>43337</v>
      </c>
      <c r="H1434" t="s">
        <v>28</v>
      </c>
      <c r="I1434" t="s">
        <v>112</v>
      </c>
      <c r="J1434" t="s">
        <v>165</v>
      </c>
      <c r="K1434" s="138">
        <v>104</v>
      </c>
      <c r="L1434" s="137">
        <v>0</v>
      </c>
    </row>
    <row r="1435" spans="7:12" x14ac:dyDescent="0.25">
      <c r="G1435" s="136">
        <v>43337</v>
      </c>
      <c r="H1435" t="s">
        <v>28</v>
      </c>
      <c r="I1435" t="s">
        <v>66</v>
      </c>
      <c r="J1435" t="s">
        <v>110</v>
      </c>
      <c r="K1435" s="138">
        <v>14.55</v>
      </c>
      <c r="L1435" s="137">
        <v>0</v>
      </c>
    </row>
    <row r="1436" spans="7:12" x14ac:dyDescent="0.25">
      <c r="G1436" s="136">
        <v>43337</v>
      </c>
      <c r="H1436" t="s">
        <v>28</v>
      </c>
      <c r="I1436" t="s">
        <v>66</v>
      </c>
      <c r="J1436" t="s">
        <v>109</v>
      </c>
      <c r="K1436" s="138">
        <v>14</v>
      </c>
      <c r="L1436" s="137">
        <v>0</v>
      </c>
    </row>
    <row r="1437" spans="7:12" x14ac:dyDescent="0.25">
      <c r="G1437" s="136">
        <v>43337</v>
      </c>
      <c r="H1437" t="s">
        <v>28</v>
      </c>
      <c r="I1437" t="s">
        <v>65</v>
      </c>
      <c r="J1437" t="s">
        <v>74</v>
      </c>
      <c r="K1437" s="138">
        <v>73.349999999999994</v>
      </c>
      <c r="L1437" s="137">
        <v>0</v>
      </c>
    </row>
    <row r="1438" spans="7:12" x14ac:dyDescent="0.25">
      <c r="G1438" s="136">
        <v>43337</v>
      </c>
      <c r="H1438" t="s">
        <v>28</v>
      </c>
      <c r="I1438" t="s">
        <v>65</v>
      </c>
      <c r="J1438" t="s">
        <v>74</v>
      </c>
      <c r="K1438" s="138">
        <v>49.82</v>
      </c>
      <c r="L1438" s="137">
        <v>0</v>
      </c>
    </row>
    <row r="1439" spans="7:12" x14ac:dyDescent="0.25">
      <c r="G1439" s="136">
        <v>43337</v>
      </c>
      <c r="H1439" t="s">
        <v>28</v>
      </c>
      <c r="I1439" t="s">
        <v>65</v>
      </c>
      <c r="J1439" t="s">
        <v>74</v>
      </c>
      <c r="K1439" s="138">
        <v>34.42</v>
      </c>
      <c r="L1439" s="137">
        <v>0</v>
      </c>
    </row>
    <row r="1440" spans="7:12" x14ac:dyDescent="0.25">
      <c r="G1440" s="136">
        <v>43337</v>
      </c>
      <c r="H1440" t="s">
        <v>28</v>
      </c>
      <c r="I1440" t="s">
        <v>65</v>
      </c>
      <c r="J1440" t="s">
        <v>74</v>
      </c>
      <c r="K1440" s="138">
        <v>28.22</v>
      </c>
      <c r="L1440" s="137">
        <v>0</v>
      </c>
    </row>
    <row r="1441" spans="7:12" x14ac:dyDescent="0.25">
      <c r="G1441" s="136">
        <v>43339</v>
      </c>
      <c r="H1441" t="s">
        <v>27</v>
      </c>
      <c r="I1441" t="s">
        <v>63</v>
      </c>
      <c r="J1441" t="s">
        <v>174</v>
      </c>
      <c r="K1441" s="138">
        <v>8</v>
      </c>
      <c r="L1441" s="137">
        <v>0</v>
      </c>
    </row>
    <row r="1442" spans="7:12" x14ac:dyDescent="0.25">
      <c r="G1442" s="136">
        <v>43339</v>
      </c>
      <c r="H1442" t="s">
        <v>25</v>
      </c>
      <c r="I1442" t="s">
        <v>63</v>
      </c>
      <c r="J1442" t="s">
        <v>174</v>
      </c>
      <c r="K1442" s="138">
        <v>16</v>
      </c>
      <c r="L1442" s="137">
        <v>0</v>
      </c>
    </row>
    <row r="1443" spans="7:12" x14ac:dyDescent="0.25">
      <c r="G1443" s="136">
        <v>43339</v>
      </c>
      <c r="H1443" t="s">
        <v>25</v>
      </c>
      <c r="I1443" t="s">
        <v>63</v>
      </c>
      <c r="J1443" t="s">
        <v>174</v>
      </c>
      <c r="K1443" s="138">
        <v>8</v>
      </c>
      <c r="L1443" s="137">
        <v>0</v>
      </c>
    </row>
    <row r="1444" spans="7:12" x14ac:dyDescent="0.25">
      <c r="G1444" s="136">
        <v>43339</v>
      </c>
      <c r="H1444" t="s">
        <v>25</v>
      </c>
      <c r="I1444" t="s">
        <v>146</v>
      </c>
      <c r="J1444" t="s">
        <v>147</v>
      </c>
      <c r="K1444" s="138">
        <v>0</v>
      </c>
      <c r="L1444" s="137">
        <v>6.85</v>
      </c>
    </row>
    <row r="1445" spans="7:12" x14ac:dyDescent="0.25">
      <c r="G1445" s="136">
        <v>43339</v>
      </c>
      <c r="H1445" t="s">
        <v>179</v>
      </c>
      <c r="I1445" t="s">
        <v>63</v>
      </c>
      <c r="J1445" t="s">
        <v>174</v>
      </c>
      <c r="K1445" s="138">
        <v>35.909999999999997</v>
      </c>
      <c r="L1445" s="137">
        <v>0</v>
      </c>
    </row>
    <row r="1446" spans="7:12" x14ac:dyDescent="0.25">
      <c r="G1446" s="136">
        <v>43339</v>
      </c>
      <c r="H1446" t="s">
        <v>179</v>
      </c>
      <c r="I1446" t="s">
        <v>163</v>
      </c>
      <c r="J1446" t="s">
        <v>174</v>
      </c>
      <c r="K1446" s="138">
        <v>41.08</v>
      </c>
      <c r="L1446" s="137">
        <v>0</v>
      </c>
    </row>
    <row r="1447" spans="7:12" x14ac:dyDescent="0.25">
      <c r="G1447" s="136">
        <v>43339</v>
      </c>
      <c r="H1447" t="s">
        <v>28</v>
      </c>
      <c r="I1447" t="s">
        <v>163</v>
      </c>
      <c r="J1447" t="s">
        <v>174</v>
      </c>
      <c r="K1447" s="138">
        <v>16.82</v>
      </c>
      <c r="L1447" s="137">
        <v>0</v>
      </c>
    </row>
    <row r="1448" spans="7:12" x14ac:dyDescent="0.25">
      <c r="G1448" s="136">
        <v>43339</v>
      </c>
      <c r="H1448" t="s">
        <v>28</v>
      </c>
      <c r="I1448" t="s">
        <v>66</v>
      </c>
      <c r="J1448" t="s">
        <v>108</v>
      </c>
      <c r="K1448" s="138">
        <v>2.4</v>
      </c>
      <c r="L1448" s="137">
        <v>0</v>
      </c>
    </row>
    <row r="1449" spans="7:12" x14ac:dyDescent="0.25">
      <c r="G1449" s="136">
        <v>43339</v>
      </c>
      <c r="H1449" t="s">
        <v>28</v>
      </c>
      <c r="I1449" t="s">
        <v>66</v>
      </c>
      <c r="J1449" t="s">
        <v>75</v>
      </c>
      <c r="K1449" s="138">
        <v>17.399999999999999</v>
      </c>
      <c r="L1449" s="137">
        <v>0</v>
      </c>
    </row>
    <row r="1450" spans="7:12" x14ac:dyDescent="0.25">
      <c r="G1450" s="136">
        <v>43339</v>
      </c>
      <c r="H1450" t="s">
        <v>28</v>
      </c>
      <c r="I1450" t="s">
        <v>66</v>
      </c>
      <c r="J1450" t="s">
        <v>107</v>
      </c>
      <c r="K1450" s="138">
        <v>2.4</v>
      </c>
      <c r="L1450" s="137">
        <v>0</v>
      </c>
    </row>
    <row r="1451" spans="7:12" x14ac:dyDescent="0.25">
      <c r="G1451" s="136">
        <v>43340</v>
      </c>
      <c r="H1451" t="s">
        <v>27</v>
      </c>
      <c r="I1451" t="s">
        <v>63</v>
      </c>
      <c r="J1451" t="s">
        <v>168</v>
      </c>
      <c r="K1451" s="138">
        <v>8</v>
      </c>
      <c r="L1451" s="137">
        <v>0</v>
      </c>
    </row>
    <row r="1452" spans="7:12" x14ac:dyDescent="0.25">
      <c r="G1452" s="136">
        <v>43340</v>
      </c>
      <c r="H1452" t="s">
        <v>183</v>
      </c>
      <c r="I1452" t="s">
        <v>42</v>
      </c>
      <c r="J1452" t="s">
        <v>168</v>
      </c>
      <c r="K1452" s="138">
        <v>39.700000000000003</v>
      </c>
      <c r="L1452" s="137">
        <v>0</v>
      </c>
    </row>
    <row r="1453" spans="7:12" x14ac:dyDescent="0.25">
      <c r="G1453" s="136">
        <v>43340</v>
      </c>
      <c r="H1453" t="s">
        <v>25</v>
      </c>
      <c r="I1453" t="s">
        <v>63</v>
      </c>
      <c r="J1453" t="s">
        <v>168</v>
      </c>
      <c r="K1453" s="138">
        <v>32</v>
      </c>
      <c r="L1453" s="137">
        <v>0</v>
      </c>
    </row>
    <row r="1454" spans="7:12" x14ac:dyDescent="0.25">
      <c r="G1454" s="136">
        <v>43340</v>
      </c>
      <c r="H1454" t="s">
        <v>25</v>
      </c>
      <c r="I1454" t="s">
        <v>63</v>
      </c>
      <c r="J1454" t="s">
        <v>168</v>
      </c>
      <c r="K1454" s="138">
        <v>16</v>
      </c>
      <c r="L1454" s="137">
        <v>0</v>
      </c>
    </row>
    <row r="1455" spans="7:12" x14ac:dyDescent="0.25">
      <c r="G1455" s="136">
        <v>43340</v>
      </c>
      <c r="H1455" t="s">
        <v>25</v>
      </c>
      <c r="I1455" t="s">
        <v>63</v>
      </c>
      <c r="J1455" t="s">
        <v>168</v>
      </c>
      <c r="K1455" s="138">
        <v>8</v>
      </c>
      <c r="L1455" s="137">
        <v>0</v>
      </c>
    </row>
    <row r="1456" spans="7:12" x14ac:dyDescent="0.25">
      <c r="G1456" s="136">
        <v>43340</v>
      </c>
      <c r="H1456" t="s">
        <v>181</v>
      </c>
      <c r="I1456" t="s">
        <v>63</v>
      </c>
      <c r="J1456" t="s">
        <v>168</v>
      </c>
      <c r="K1456" s="138">
        <v>132.62</v>
      </c>
      <c r="L1456" s="137">
        <v>0</v>
      </c>
    </row>
    <row r="1457" spans="7:12" x14ac:dyDescent="0.25">
      <c r="G1457" s="136">
        <v>43340</v>
      </c>
      <c r="H1457" t="s">
        <v>181</v>
      </c>
      <c r="I1457" t="s">
        <v>42</v>
      </c>
      <c r="J1457" t="s">
        <v>168</v>
      </c>
      <c r="K1457" s="138">
        <v>711.35</v>
      </c>
      <c r="L1457" s="137">
        <v>0</v>
      </c>
    </row>
    <row r="1458" spans="7:12" x14ac:dyDescent="0.25">
      <c r="G1458" s="136">
        <v>43340</v>
      </c>
      <c r="H1458" t="s">
        <v>179</v>
      </c>
      <c r="I1458" t="s">
        <v>63</v>
      </c>
      <c r="J1458" t="s">
        <v>168</v>
      </c>
      <c r="K1458" s="138">
        <v>68.2</v>
      </c>
      <c r="L1458" s="137">
        <v>0</v>
      </c>
    </row>
    <row r="1459" spans="7:12" x14ac:dyDescent="0.25">
      <c r="G1459" s="136">
        <v>43340</v>
      </c>
      <c r="H1459" t="s">
        <v>28</v>
      </c>
      <c r="I1459" t="s">
        <v>176</v>
      </c>
      <c r="J1459" t="s">
        <v>168</v>
      </c>
      <c r="K1459" s="138">
        <v>0</v>
      </c>
      <c r="L1459" s="137">
        <v>22</v>
      </c>
    </row>
    <row r="1460" spans="7:12" x14ac:dyDescent="0.25">
      <c r="G1460" s="136">
        <v>43340</v>
      </c>
      <c r="H1460" t="s">
        <v>28</v>
      </c>
      <c r="I1460" t="s">
        <v>66</v>
      </c>
      <c r="J1460" t="s">
        <v>101</v>
      </c>
      <c r="K1460" s="138">
        <v>1.5</v>
      </c>
      <c r="L1460" s="137">
        <v>0</v>
      </c>
    </row>
    <row r="1461" spans="7:12" x14ac:dyDescent="0.25">
      <c r="G1461" s="136">
        <v>43340</v>
      </c>
      <c r="H1461" t="s">
        <v>28</v>
      </c>
      <c r="I1461" t="s">
        <v>66</v>
      </c>
      <c r="J1461" t="s">
        <v>106</v>
      </c>
      <c r="K1461" s="138">
        <v>1.8</v>
      </c>
      <c r="L1461" s="137">
        <v>0</v>
      </c>
    </row>
    <row r="1462" spans="7:12" x14ac:dyDescent="0.25">
      <c r="G1462" s="136">
        <v>43340</v>
      </c>
      <c r="H1462" t="s">
        <v>28</v>
      </c>
      <c r="I1462" t="s">
        <v>66</v>
      </c>
      <c r="J1462" t="s">
        <v>105</v>
      </c>
      <c r="K1462" s="138">
        <v>15</v>
      </c>
      <c r="L1462" s="137">
        <v>0</v>
      </c>
    </row>
    <row r="1463" spans="7:12" x14ac:dyDescent="0.25">
      <c r="G1463" s="136">
        <v>43340</v>
      </c>
      <c r="H1463" t="s">
        <v>28</v>
      </c>
      <c r="I1463" t="s">
        <v>66</v>
      </c>
      <c r="J1463" t="s">
        <v>104</v>
      </c>
      <c r="K1463" s="138">
        <v>11.5</v>
      </c>
      <c r="L1463" s="137">
        <v>0</v>
      </c>
    </row>
    <row r="1464" spans="7:12" x14ac:dyDescent="0.25">
      <c r="G1464" s="136">
        <v>43341</v>
      </c>
      <c r="H1464" t="s">
        <v>27</v>
      </c>
      <c r="I1464" t="s">
        <v>63</v>
      </c>
      <c r="J1464" t="s">
        <v>167</v>
      </c>
      <c r="K1464" s="138">
        <v>8</v>
      </c>
      <c r="L1464" s="137">
        <v>0</v>
      </c>
    </row>
    <row r="1465" spans="7:12" x14ac:dyDescent="0.25">
      <c r="G1465" s="136">
        <v>43341</v>
      </c>
      <c r="H1465" t="s">
        <v>199</v>
      </c>
      <c r="I1465" t="s">
        <v>42</v>
      </c>
      <c r="J1465" t="s">
        <v>167</v>
      </c>
      <c r="K1465" s="138">
        <v>25.68</v>
      </c>
      <c r="L1465" s="137">
        <v>0</v>
      </c>
    </row>
    <row r="1466" spans="7:12" x14ac:dyDescent="0.25">
      <c r="G1466" s="136">
        <v>43341</v>
      </c>
      <c r="H1466" t="s">
        <v>193</v>
      </c>
      <c r="I1466" t="s">
        <v>42</v>
      </c>
      <c r="J1466" t="s">
        <v>167</v>
      </c>
      <c r="K1466" s="138">
        <v>23.4</v>
      </c>
      <c r="L1466" s="137">
        <v>0</v>
      </c>
    </row>
    <row r="1467" spans="7:12" x14ac:dyDescent="0.25">
      <c r="G1467" s="136">
        <v>43341</v>
      </c>
      <c r="H1467" t="s">
        <v>188</v>
      </c>
      <c r="I1467" t="s">
        <v>163</v>
      </c>
      <c r="J1467" t="s">
        <v>167</v>
      </c>
      <c r="K1467" s="138">
        <v>37</v>
      </c>
      <c r="L1467" s="137">
        <v>0</v>
      </c>
    </row>
    <row r="1468" spans="7:12" x14ac:dyDescent="0.25">
      <c r="G1468" s="136">
        <v>43341</v>
      </c>
      <c r="H1468" t="s">
        <v>25</v>
      </c>
      <c r="I1468" t="s">
        <v>63</v>
      </c>
      <c r="J1468" t="s">
        <v>167</v>
      </c>
      <c r="K1468" s="138">
        <v>8</v>
      </c>
      <c r="L1468" s="137">
        <v>0</v>
      </c>
    </row>
    <row r="1469" spans="7:12" x14ac:dyDescent="0.25">
      <c r="G1469" s="136">
        <v>43341</v>
      </c>
      <c r="H1469" t="s">
        <v>25</v>
      </c>
      <c r="I1469" t="s">
        <v>102</v>
      </c>
      <c r="J1469" t="s">
        <v>103</v>
      </c>
      <c r="K1469" s="138">
        <v>6.85</v>
      </c>
      <c r="L1469" s="137">
        <v>0</v>
      </c>
    </row>
    <row r="1470" spans="7:12" x14ac:dyDescent="0.25">
      <c r="G1470" s="136">
        <v>43341</v>
      </c>
      <c r="H1470" t="s">
        <v>25</v>
      </c>
      <c r="I1470" t="s">
        <v>158</v>
      </c>
      <c r="J1470" t="s">
        <v>103</v>
      </c>
      <c r="K1470" s="138">
        <v>6.85</v>
      </c>
      <c r="L1470" s="137">
        <v>0</v>
      </c>
    </row>
    <row r="1471" spans="7:12" x14ac:dyDescent="0.25">
      <c r="G1471" s="136">
        <v>43341</v>
      </c>
      <c r="H1471" t="s">
        <v>201</v>
      </c>
      <c r="I1471" t="s">
        <v>63</v>
      </c>
      <c r="J1471" t="s">
        <v>167</v>
      </c>
      <c r="K1471" s="138">
        <v>9.4499999999999993</v>
      </c>
      <c r="L1471" s="137">
        <v>0</v>
      </c>
    </row>
    <row r="1472" spans="7:12" x14ac:dyDescent="0.25">
      <c r="G1472" s="136">
        <v>43341</v>
      </c>
      <c r="H1472" t="s">
        <v>28</v>
      </c>
      <c r="I1472" t="s">
        <v>163</v>
      </c>
      <c r="J1472" t="s">
        <v>167</v>
      </c>
      <c r="K1472" s="138">
        <v>169.85</v>
      </c>
      <c r="L1472" s="137">
        <v>0</v>
      </c>
    </row>
    <row r="1473" spans="7:12" x14ac:dyDescent="0.25">
      <c r="G1473" s="136">
        <v>43341</v>
      </c>
      <c r="H1473" t="s">
        <v>28</v>
      </c>
      <c r="I1473" t="s">
        <v>155</v>
      </c>
      <c r="J1473" t="s">
        <v>167</v>
      </c>
      <c r="K1473" s="138">
        <v>52.89</v>
      </c>
      <c r="L1473" s="137">
        <v>0</v>
      </c>
    </row>
    <row r="1474" spans="7:12" x14ac:dyDescent="0.25">
      <c r="G1474" s="136">
        <v>43341</v>
      </c>
      <c r="H1474" t="s">
        <v>28</v>
      </c>
      <c r="I1474" t="s">
        <v>66</v>
      </c>
      <c r="J1474" t="s">
        <v>101</v>
      </c>
      <c r="K1474" s="138">
        <v>1.5</v>
      </c>
      <c r="L1474" s="137">
        <v>0</v>
      </c>
    </row>
    <row r="1475" spans="7:12" x14ac:dyDescent="0.25">
      <c r="G1475" s="136">
        <v>43341</v>
      </c>
      <c r="H1475" t="s">
        <v>28</v>
      </c>
      <c r="I1475" t="s">
        <v>66</v>
      </c>
      <c r="J1475" t="s">
        <v>100</v>
      </c>
      <c r="K1475" s="138">
        <v>1.8</v>
      </c>
      <c r="L1475" s="137">
        <v>0</v>
      </c>
    </row>
    <row r="1476" spans="7:12" x14ac:dyDescent="0.25">
      <c r="G1476" s="136">
        <v>43341</v>
      </c>
      <c r="H1476" t="s">
        <v>28</v>
      </c>
      <c r="I1476" t="s">
        <v>66</v>
      </c>
      <c r="J1476" t="s">
        <v>99</v>
      </c>
      <c r="K1476" s="138">
        <v>9.5500000000000007</v>
      </c>
      <c r="L1476" s="137">
        <v>0</v>
      </c>
    </row>
    <row r="1477" spans="7:12" x14ac:dyDescent="0.25">
      <c r="G1477" s="136">
        <v>43342</v>
      </c>
      <c r="H1477" t="s">
        <v>192</v>
      </c>
      <c r="I1477" t="s">
        <v>63</v>
      </c>
      <c r="J1477" t="s">
        <v>338</v>
      </c>
      <c r="K1477" s="138">
        <v>23.89</v>
      </c>
      <c r="L1477" s="137">
        <v>0</v>
      </c>
    </row>
    <row r="1478" spans="7:12" x14ac:dyDescent="0.25">
      <c r="G1478" s="136">
        <v>43342</v>
      </c>
      <c r="H1478" t="s">
        <v>198</v>
      </c>
      <c r="I1478" t="s">
        <v>42</v>
      </c>
      <c r="J1478" t="s">
        <v>338</v>
      </c>
      <c r="K1478" s="138">
        <v>69.400000000000006</v>
      </c>
      <c r="L1478" s="137">
        <v>0</v>
      </c>
    </row>
    <row r="1479" spans="7:12" x14ac:dyDescent="0.25">
      <c r="G1479" s="136">
        <v>43342</v>
      </c>
      <c r="H1479" t="s">
        <v>200</v>
      </c>
      <c r="I1479" t="s">
        <v>42</v>
      </c>
      <c r="J1479" t="s">
        <v>338</v>
      </c>
      <c r="K1479" s="138">
        <v>10</v>
      </c>
      <c r="L1479" s="137">
        <v>0</v>
      </c>
    </row>
    <row r="1480" spans="7:12" x14ac:dyDescent="0.25">
      <c r="G1480" s="136">
        <v>43342</v>
      </c>
      <c r="H1480" t="s">
        <v>28</v>
      </c>
      <c r="I1480" t="s">
        <v>66</v>
      </c>
      <c r="J1480" t="s">
        <v>98</v>
      </c>
      <c r="K1480" s="138">
        <v>8.6999999999999993</v>
      </c>
      <c r="L1480" s="137">
        <v>0</v>
      </c>
    </row>
    <row r="1481" spans="7:12" x14ac:dyDescent="0.25">
      <c r="G1481" s="136">
        <v>43343</v>
      </c>
      <c r="H1481" t="s">
        <v>192</v>
      </c>
      <c r="I1481" t="s">
        <v>63</v>
      </c>
      <c r="J1481" t="s">
        <v>339</v>
      </c>
      <c r="K1481" s="138">
        <v>18.079999999999998</v>
      </c>
      <c r="L1481" s="137">
        <v>0</v>
      </c>
    </row>
    <row r="1482" spans="7:12" x14ac:dyDescent="0.25">
      <c r="G1482" s="136">
        <v>43343</v>
      </c>
      <c r="H1482" t="s">
        <v>27</v>
      </c>
      <c r="I1482" t="s">
        <v>63</v>
      </c>
      <c r="J1482" t="s">
        <v>339</v>
      </c>
      <c r="K1482" s="138">
        <v>8</v>
      </c>
      <c r="L1482" s="137">
        <v>0</v>
      </c>
    </row>
    <row r="1483" spans="7:12" x14ac:dyDescent="0.25">
      <c r="G1483" s="136">
        <v>43343</v>
      </c>
      <c r="H1483" t="s">
        <v>195</v>
      </c>
      <c r="I1483" t="s">
        <v>163</v>
      </c>
      <c r="J1483" t="s">
        <v>339</v>
      </c>
      <c r="K1483" s="138">
        <v>237.6</v>
      </c>
      <c r="L1483" s="137">
        <v>0</v>
      </c>
    </row>
    <row r="1484" spans="7:12" x14ac:dyDescent="0.25">
      <c r="G1484" s="136">
        <v>43343</v>
      </c>
      <c r="H1484" t="s">
        <v>195</v>
      </c>
      <c r="I1484" t="s">
        <v>42</v>
      </c>
      <c r="J1484" t="s">
        <v>339</v>
      </c>
      <c r="K1484" s="138">
        <v>35.299999999999997</v>
      </c>
      <c r="L1484" s="137">
        <v>0</v>
      </c>
    </row>
    <row r="1485" spans="7:12" x14ac:dyDescent="0.25">
      <c r="G1485" s="136">
        <v>43343</v>
      </c>
      <c r="H1485" t="s">
        <v>25</v>
      </c>
      <c r="I1485" t="s">
        <v>63</v>
      </c>
      <c r="J1485" t="s">
        <v>339</v>
      </c>
      <c r="K1485" s="138">
        <v>16</v>
      </c>
      <c r="L1485" s="137">
        <v>0</v>
      </c>
    </row>
    <row r="1486" spans="7:12" x14ac:dyDescent="0.25">
      <c r="G1486" s="136">
        <v>43343</v>
      </c>
      <c r="H1486" t="s">
        <v>187</v>
      </c>
      <c r="I1486" t="s">
        <v>42</v>
      </c>
      <c r="J1486" t="s">
        <v>339</v>
      </c>
      <c r="K1486" s="138">
        <v>83.01</v>
      </c>
      <c r="L1486" s="137">
        <v>0</v>
      </c>
    </row>
    <row r="1487" spans="7:12" x14ac:dyDescent="0.25">
      <c r="G1487" s="136">
        <v>43343</v>
      </c>
      <c r="H1487" t="s">
        <v>28</v>
      </c>
      <c r="I1487" t="s">
        <v>66</v>
      </c>
      <c r="J1487" t="s">
        <v>134</v>
      </c>
      <c r="K1487" s="138">
        <v>9</v>
      </c>
      <c r="L1487" s="137">
        <v>0</v>
      </c>
    </row>
    <row r="1488" spans="7:12" x14ac:dyDescent="0.25">
      <c r="G1488" s="136">
        <v>43343</v>
      </c>
      <c r="H1488" t="s">
        <v>28</v>
      </c>
      <c r="I1488" t="s">
        <v>66</v>
      </c>
      <c r="J1488" t="s">
        <v>135</v>
      </c>
      <c r="K1488" s="138">
        <v>14.55</v>
      </c>
      <c r="L1488" s="137">
        <v>0</v>
      </c>
    </row>
    <row r="1489" spans="7:12" x14ac:dyDescent="0.25">
      <c r="G1489" s="136">
        <v>43343</v>
      </c>
      <c r="H1489" t="s">
        <v>28</v>
      </c>
      <c r="I1489" t="s">
        <v>66</v>
      </c>
      <c r="J1489" t="s">
        <v>75</v>
      </c>
      <c r="K1489" s="138">
        <v>1.8</v>
      </c>
      <c r="L1489" s="137">
        <v>0</v>
      </c>
    </row>
    <row r="1490" spans="7:12" x14ac:dyDescent="0.25">
      <c r="G1490" s="136">
        <v>43343</v>
      </c>
      <c r="H1490" t="s">
        <v>28</v>
      </c>
      <c r="I1490" t="s">
        <v>66</v>
      </c>
      <c r="J1490" t="s">
        <v>145</v>
      </c>
      <c r="K1490" s="138">
        <v>4.5</v>
      </c>
      <c r="L1490" s="137">
        <v>0</v>
      </c>
    </row>
    <row r="1491" spans="7:12" x14ac:dyDescent="0.25">
      <c r="G1491" s="136">
        <v>43344</v>
      </c>
      <c r="H1491" t="s">
        <v>184</v>
      </c>
      <c r="I1491" t="s">
        <v>42</v>
      </c>
      <c r="J1491" t="s">
        <v>340</v>
      </c>
      <c r="K1491" s="138">
        <v>50</v>
      </c>
      <c r="L1491" s="137">
        <v>0</v>
      </c>
    </row>
    <row r="1492" spans="7:12" x14ac:dyDescent="0.25">
      <c r="G1492" s="136">
        <v>43344</v>
      </c>
      <c r="H1492" t="s">
        <v>188</v>
      </c>
      <c r="I1492" t="s">
        <v>171</v>
      </c>
      <c r="J1492" t="s">
        <v>340</v>
      </c>
      <c r="K1492" s="138">
        <v>1197.1400000000001</v>
      </c>
      <c r="L1492" s="137">
        <v>0</v>
      </c>
    </row>
    <row r="1493" spans="7:12" x14ac:dyDescent="0.25">
      <c r="G1493" s="136">
        <v>43344</v>
      </c>
      <c r="H1493" t="s">
        <v>201</v>
      </c>
      <c r="I1493" t="s">
        <v>171</v>
      </c>
      <c r="J1493" t="s">
        <v>340</v>
      </c>
      <c r="K1493" s="138">
        <v>513.05999999999995</v>
      </c>
      <c r="L1493" s="137">
        <v>0</v>
      </c>
    </row>
    <row r="1494" spans="7:12" x14ac:dyDescent="0.25">
      <c r="G1494" s="136">
        <v>43344</v>
      </c>
      <c r="H1494" t="s">
        <v>28</v>
      </c>
      <c r="I1494" t="s">
        <v>112</v>
      </c>
      <c r="J1494" t="s">
        <v>340</v>
      </c>
      <c r="K1494" s="138">
        <v>104</v>
      </c>
      <c r="L1494" s="137">
        <v>0</v>
      </c>
    </row>
    <row r="1495" spans="7:12" x14ac:dyDescent="0.25">
      <c r="G1495" s="136">
        <v>43344</v>
      </c>
      <c r="H1495" t="s">
        <v>28</v>
      </c>
      <c r="I1495" t="s">
        <v>66</v>
      </c>
      <c r="J1495" t="s">
        <v>115</v>
      </c>
      <c r="K1495" s="138">
        <v>9</v>
      </c>
      <c r="L1495" s="137">
        <v>0</v>
      </c>
    </row>
    <row r="1496" spans="7:12" x14ac:dyDescent="0.25">
      <c r="G1496" s="136">
        <v>43344</v>
      </c>
      <c r="H1496" t="s">
        <v>28</v>
      </c>
      <c r="I1496" t="s">
        <v>42</v>
      </c>
      <c r="J1496" t="s">
        <v>340</v>
      </c>
      <c r="K1496" s="138">
        <v>234</v>
      </c>
      <c r="L1496" s="137">
        <v>0</v>
      </c>
    </row>
    <row r="1497" spans="7:12" x14ac:dyDescent="0.25">
      <c r="G1497" s="136">
        <v>43344</v>
      </c>
      <c r="H1497" t="s">
        <v>28</v>
      </c>
      <c r="I1497" t="s">
        <v>42</v>
      </c>
      <c r="J1497" t="s">
        <v>340</v>
      </c>
      <c r="K1497" s="138">
        <v>176.8</v>
      </c>
      <c r="L1497" s="137">
        <v>0</v>
      </c>
    </row>
    <row r="1498" spans="7:12" x14ac:dyDescent="0.25">
      <c r="G1498" s="136">
        <v>43344</v>
      </c>
      <c r="H1498" t="s">
        <v>28</v>
      </c>
      <c r="I1498" t="s">
        <v>42</v>
      </c>
      <c r="J1498" t="s">
        <v>340</v>
      </c>
      <c r="K1498" s="138">
        <v>154</v>
      </c>
      <c r="L1498" s="137">
        <v>0</v>
      </c>
    </row>
    <row r="1499" spans="7:12" x14ac:dyDescent="0.25">
      <c r="G1499" s="136">
        <v>43344</v>
      </c>
      <c r="H1499" t="s">
        <v>28</v>
      </c>
      <c r="I1499" t="s">
        <v>42</v>
      </c>
      <c r="J1499" t="s">
        <v>340</v>
      </c>
      <c r="K1499" s="138">
        <v>149.5</v>
      </c>
      <c r="L1499" s="137">
        <v>0</v>
      </c>
    </row>
    <row r="1500" spans="7:12" x14ac:dyDescent="0.25">
      <c r="G1500" s="136">
        <v>43346</v>
      </c>
      <c r="H1500" t="s">
        <v>27</v>
      </c>
      <c r="I1500" t="s">
        <v>63</v>
      </c>
      <c r="J1500" t="s">
        <v>341</v>
      </c>
      <c r="K1500" s="138">
        <v>8</v>
      </c>
      <c r="L1500" s="137">
        <v>0</v>
      </c>
    </row>
    <row r="1501" spans="7:12" x14ac:dyDescent="0.25">
      <c r="G1501" s="136">
        <v>43346</v>
      </c>
      <c r="H1501" t="s">
        <v>186</v>
      </c>
      <c r="I1501" t="s">
        <v>112</v>
      </c>
      <c r="J1501" t="s">
        <v>341</v>
      </c>
      <c r="K1501" s="138">
        <v>49.5</v>
      </c>
      <c r="L1501" s="137">
        <v>0</v>
      </c>
    </row>
    <row r="1502" spans="7:12" x14ac:dyDescent="0.25">
      <c r="G1502" s="136">
        <v>43346</v>
      </c>
      <c r="H1502" t="s">
        <v>188</v>
      </c>
      <c r="I1502" t="s">
        <v>155</v>
      </c>
      <c r="J1502" t="s">
        <v>341</v>
      </c>
      <c r="K1502" s="138">
        <v>64.849999999999994</v>
      </c>
      <c r="L1502" s="137">
        <v>0</v>
      </c>
    </row>
    <row r="1503" spans="7:12" x14ac:dyDescent="0.25">
      <c r="G1503" s="136">
        <v>43346</v>
      </c>
      <c r="H1503" t="s">
        <v>25</v>
      </c>
      <c r="I1503" t="s">
        <v>63</v>
      </c>
      <c r="J1503" t="s">
        <v>341</v>
      </c>
      <c r="K1503" s="138">
        <v>24</v>
      </c>
      <c r="L1503" s="137">
        <v>0</v>
      </c>
    </row>
    <row r="1504" spans="7:12" x14ac:dyDescent="0.25">
      <c r="G1504" s="136">
        <v>43346</v>
      </c>
      <c r="H1504" t="s">
        <v>25</v>
      </c>
      <c r="I1504" t="s">
        <v>63</v>
      </c>
      <c r="J1504" t="s">
        <v>341</v>
      </c>
      <c r="K1504" s="138">
        <v>8</v>
      </c>
      <c r="L1504" s="137">
        <v>0</v>
      </c>
    </row>
    <row r="1505" spans="7:12" x14ac:dyDescent="0.25">
      <c r="G1505" s="136">
        <v>43346</v>
      </c>
      <c r="H1505" t="s">
        <v>181</v>
      </c>
      <c r="I1505" t="s">
        <v>176</v>
      </c>
      <c r="J1505" t="s">
        <v>341</v>
      </c>
      <c r="K1505" s="138">
        <v>67.48</v>
      </c>
      <c r="L1505" s="137">
        <v>0</v>
      </c>
    </row>
    <row r="1506" spans="7:12" x14ac:dyDescent="0.25">
      <c r="G1506" s="136">
        <v>43346</v>
      </c>
      <c r="H1506" t="s">
        <v>181</v>
      </c>
      <c r="I1506" t="s">
        <v>42</v>
      </c>
      <c r="J1506" t="s">
        <v>341</v>
      </c>
      <c r="K1506" s="138">
        <v>192.67</v>
      </c>
      <c r="L1506" s="137">
        <v>0</v>
      </c>
    </row>
    <row r="1507" spans="7:12" x14ac:dyDescent="0.25">
      <c r="G1507" s="136">
        <v>43346</v>
      </c>
      <c r="H1507" t="s">
        <v>197</v>
      </c>
      <c r="I1507" t="s">
        <v>176</v>
      </c>
      <c r="J1507" t="s">
        <v>341</v>
      </c>
      <c r="K1507" s="138">
        <v>131.15</v>
      </c>
      <c r="L1507" s="137">
        <v>0</v>
      </c>
    </row>
    <row r="1508" spans="7:12" x14ac:dyDescent="0.25">
      <c r="G1508" s="136">
        <v>43346</v>
      </c>
      <c r="H1508" t="s">
        <v>187</v>
      </c>
      <c r="I1508" t="s">
        <v>42</v>
      </c>
      <c r="J1508" t="s">
        <v>341</v>
      </c>
      <c r="K1508" s="138">
        <v>80.5</v>
      </c>
      <c r="L1508" s="137">
        <v>0</v>
      </c>
    </row>
    <row r="1509" spans="7:12" x14ac:dyDescent="0.25">
      <c r="G1509" s="136">
        <v>43346</v>
      </c>
      <c r="H1509" t="s">
        <v>196</v>
      </c>
      <c r="I1509" t="s">
        <v>112</v>
      </c>
      <c r="J1509" t="s">
        <v>341</v>
      </c>
      <c r="K1509" s="138">
        <v>86.3</v>
      </c>
      <c r="L1509" s="137">
        <v>0</v>
      </c>
    </row>
    <row r="1510" spans="7:12" x14ac:dyDescent="0.25">
      <c r="G1510" s="136">
        <v>43346</v>
      </c>
      <c r="H1510" t="s">
        <v>179</v>
      </c>
      <c r="I1510" t="s">
        <v>112</v>
      </c>
      <c r="J1510" t="s">
        <v>341</v>
      </c>
      <c r="K1510" s="138">
        <v>204.83</v>
      </c>
      <c r="L1510" s="137">
        <v>0</v>
      </c>
    </row>
    <row r="1511" spans="7:12" x14ac:dyDescent="0.25">
      <c r="G1511" s="136">
        <v>43346</v>
      </c>
      <c r="H1511" t="s">
        <v>28</v>
      </c>
      <c r="I1511" t="s">
        <v>112</v>
      </c>
      <c r="J1511" t="s">
        <v>341</v>
      </c>
      <c r="K1511" s="138">
        <v>76.75</v>
      </c>
      <c r="L1511" s="137">
        <v>0</v>
      </c>
    </row>
    <row r="1512" spans="7:12" x14ac:dyDescent="0.25">
      <c r="G1512" s="136">
        <v>43346</v>
      </c>
      <c r="H1512" t="s">
        <v>28</v>
      </c>
      <c r="I1512" t="s">
        <v>112</v>
      </c>
      <c r="J1512" t="s">
        <v>341</v>
      </c>
      <c r="K1512" s="138">
        <v>21.29</v>
      </c>
      <c r="L1512" s="137">
        <v>0</v>
      </c>
    </row>
    <row r="1513" spans="7:12" x14ac:dyDescent="0.25">
      <c r="G1513" s="136">
        <v>43346</v>
      </c>
      <c r="H1513" t="s">
        <v>28</v>
      </c>
      <c r="I1513" t="s">
        <v>112</v>
      </c>
      <c r="J1513" t="s">
        <v>341</v>
      </c>
      <c r="K1513" s="138">
        <v>7.7</v>
      </c>
      <c r="L1513" s="137">
        <v>0</v>
      </c>
    </row>
    <row r="1514" spans="7:12" x14ac:dyDescent="0.25">
      <c r="G1514" s="136">
        <v>43346</v>
      </c>
      <c r="H1514" t="s">
        <v>28</v>
      </c>
      <c r="I1514" t="s">
        <v>155</v>
      </c>
      <c r="J1514" t="s">
        <v>341</v>
      </c>
      <c r="K1514" s="138">
        <v>124.78</v>
      </c>
      <c r="L1514" s="137">
        <v>0</v>
      </c>
    </row>
    <row r="1515" spans="7:12" x14ac:dyDescent="0.25">
      <c r="G1515" s="136">
        <v>43346</v>
      </c>
      <c r="H1515" t="s">
        <v>28</v>
      </c>
      <c r="I1515" t="s">
        <v>155</v>
      </c>
      <c r="J1515" t="s">
        <v>341</v>
      </c>
      <c r="K1515" s="138">
        <v>82.16</v>
      </c>
      <c r="L1515" s="137">
        <v>0</v>
      </c>
    </row>
    <row r="1516" spans="7:12" x14ac:dyDescent="0.25">
      <c r="G1516" s="136">
        <v>43346</v>
      </c>
      <c r="H1516" t="s">
        <v>28</v>
      </c>
      <c r="I1516" t="s">
        <v>155</v>
      </c>
      <c r="J1516" t="s">
        <v>341</v>
      </c>
      <c r="K1516" s="138">
        <v>71</v>
      </c>
      <c r="L1516" s="137">
        <v>0</v>
      </c>
    </row>
    <row r="1517" spans="7:12" x14ac:dyDescent="0.25">
      <c r="G1517" s="136">
        <v>43346</v>
      </c>
      <c r="H1517" t="s">
        <v>28</v>
      </c>
      <c r="I1517" t="s">
        <v>155</v>
      </c>
      <c r="J1517" t="s">
        <v>341</v>
      </c>
      <c r="K1517" s="138">
        <v>60</v>
      </c>
      <c r="L1517" s="137">
        <v>0</v>
      </c>
    </row>
    <row r="1518" spans="7:12" x14ac:dyDescent="0.25">
      <c r="G1518" s="136">
        <v>43346</v>
      </c>
      <c r="H1518" t="s">
        <v>28</v>
      </c>
      <c r="I1518" t="s">
        <v>155</v>
      </c>
      <c r="J1518" t="s">
        <v>341</v>
      </c>
      <c r="K1518" s="138">
        <v>45.62</v>
      </c>
      <c r="L1518" s="137">
        <v>0</v>
      </c>
    </row>
    <row r="1519" spans="7:12" x14ac:dyDescent="0.25">
      <c r="G1519" s="136">
        <v>43346</v>
      </c>
      <c r="H1519" t="s">
        <v>28</v>
      </c>
      <c r="I1519" t="s">
        <v>155</v>
      </c>
      <c r="J1519" t="s">
        <v>341</v>
      </c>
      <c r="K1519" s="138">
        <v>42.34</v>
      </c>
      <c r="L1519" s="137">
        <v>0</v>
      </c>
    </row>
    <row r="1520" spans="7:12" x14ac:dyDescent="0.25">
      <c r="G1520" s="136">
        <v>43346</v>
      </c>
      <c r="H1520" t="s">
        <v>28</v>
      </c>
      <c r="I1520" t="s">
        <v>155</v>
      </c>
      <c r="J1520" t="s">
        <v>341</v>
      </c>
      <c r="K1520" s="138">
        <v>38.32</v>
      </c>
      <c r="L1520" s="137">
        <v>0</v>
      </c>
    </row>
    <row r="1521" spans="7:12" x14ac:dyDescent="0.25">
      <c r="G1521" s="136">
        <v>43346</v>
      </c>
      <c r="H1521" t="s">
        <v>28</v>
      </c>
      <c r="I1521" t="s">
        <v>155</v>
      </c>
      <c r="J1521" t="s">
        <v>341</v>
      </c>
      <c r="K1521" s="138">
        <v>29.17</v>
      </c>
      <c r="L1521" s="137">
        <v>0</v>
      </c>
    </row>
    <row r="1522" spans="7:12" x14ac:dyDescent="0.25">
      <c r="G1522" s="136">
        <v>43346</v>
      </c>
      <c r="H1522" t="s">
        <v>28</v>
      </c>
      <c r="I1522" t="s">
        <v>155</v>
      </c>
      <c r="J1522" t="s">
        <v>341</v>
      </c>
      <c r="K1522" s="138">
        <v>28</v>
      </c>
      <c r="L1522" s="137">
        <v>0</v>
      </c>
    </row>
    <row r="1523" spans="7:12" x14ac:dyDescent="0.25">
      <c r="G1523" s="136">
        <v>43346</v>
      </c>
      <c r="H1523" t="s">
        <v>28</v>
      </c>
      <c r="I1523" t="s">
        <v>155</v>
      </c>
      <c r="J1523" t="s">
        <v>341</v>
      </c>
      <c r="K1523" s="138">
        <v>26.1</v>
      </c>
      <c r="L1523" s="137">
        <v>0</v>
      </c>
    </row>
    <row r="1524" spans="7:12" x14ac:dyDescent="0.25">
      <c r="G1524" s="136">
        <v>43346</v>
      </c>
      <c r="H1524" t="s">
        <v>28</v>
      </c>
      <c r="I1524" t="s">
        <v>155</v>
      </c>
      <c r="J1524" t="s">
        <v>341</v>
      </c>
      <c r="K1524" s="138">
        <v>7.89</v>
      </c>
      <c r="L1524" s="137">
        <v>0</v>
      </c>
    </row>
    <row r="1525" spans="7:12" x14ac:dyDescent="0.25">
      <c r="G1525" s="136">
        <v>43346</v>
      </c>
      <c r="H1525" t="s">
        <v>28</v>
      </c>
      <c r="I1525" t="s">
        <v>66</v>
      </c>
      <c r="J1525" t="s">
        <v>144</v>
      </c>
      <c r="K1525" s="138">
        <v>35.200000000000003</v>
      </c>
      <c r="L1525" s="137">
        <v>0</v>
      </c>
    </row>
    <row r="1526" spans="7:12" x14ac:dyDescent="0.25">
      <c r="G1526" s="136">
        <v>43346</v>
      </c>
      <c r="H1526" t="s">
        <v>28</v>
      </c>
      <c r="I1526" t="s">
        <v>66</v>
      </c>
      <c r="J1526" t="s">
        <v>123</v>
      </c>
      <c r="K1526" s="138">
        <v>25</v>
      </c>
      <c r="L1526" s="137">
        <v>0</v>
      </c>
    </row>
    <row r="1527" spans="7:12" x14ac:dyDescent="0.25">
      <c r="G1527" s="136">
        <v>43347</v>
      </c>
      <c r="H1527" t="s">
        <v>184</v>
      </c>
      <c r="I1527" t="s">
        <v>42</v>
      </c>
      <c r="J1527" t="s">
        <v>342</v>
      </c>
      <c r="K1527" s="138">
        <v>49.6</v>
      </c>
      <c r="L1527" s="137">
        <v>0</v>
      </c>
    </row>
    <row r="1528" spans="7:12" x14ac:dyDescent="0.25">
      <c r="G1528" s="136">
        <v>43347</v>
      </c>
      <c r="H1528" t="s">
        <v>184</v>
      </c>
      <c r="I1528" t="s">
        <v>171</v>
      </c>
      <c r="J1528" t="s">
        <v>342</v>
      </c>
      <c r="K1528" s="138">
        <v>2166</v>
      </c>
      <c r="L1528" s="137">
        <v>0</v>
      </c>
    </row>
    <row r="1529" spans="7:12" x14ac:dyDescent="0.25">
      <c r="G1529" s="136">
        <v>43347</v>
      </c>
      <c r="H1529" t="s">
        <v>183</v>
      </c>
      <c r="I1529" t="s">
        <v>171</v>
      </c>
      <c r="J1529" t="s">
        <v>342</v>
      </c>
      <c r="K1529" s="138">
        <v>2400</v>
      </c>
      <c r="L1529" s="137">
        <v>0</v>
      </c>
    </row>
    <row r="1530" spans="7:12" x14ac:dyDescent="0.25">
      <c r="G1530" s="136">
        <v>43347</v>
      </c>
      <c r="H1530" t="s">
        <v>189</v>
      </c>
      <c r="I1530" t="s">
        <v>171</v>
      </c>
      <c r="J1530" t="s">
        <v>342</v>
      </c>
      <c r="K1530" s="138">
        <v>300</v>
      </c>
      <c r="L1530" s="137">
        <v>0</v>
      </c>
    </row>
    <row r="1531" spans="7:12" x14ac:dyDescent="0.25">
      <c r="G1531" s="136">
        <v>43347</v>
      </c>
      <c r="H1531" t="s">
        <v>188</v>
      </c>
      <c r="I1531" t="s">
        <v>171</v>
      </c>
      <c r="J1531" t="s">
        <v>342</v>
      </c>
      <c r="K1531" s="138">
        <v>150</v>
      </c>
      <c r="L1531" s="137">
        <v>0</v>
      </c>
    </row>
    <row r="1532" spans="7:12" x14ac:dyDescent="0.25">
      <c r="G1532" s="136">
        <v>43347</v>
      </c>
      <c r="H1532" t="s">
        <v>28</v>
      </c>
      <c r="I1532" t="s">
        <v>42</v>
      </c>
      <c r="J1532" t="s">
        <v>342</v>
      </c>
      <c r="K1532" s="138">
        <v>286</v>
      </c>
      <c r="L1532" s="137">
        <v>0</v>
      </c>
    </row>
    <row r="1533" spans="7:12" x14ac:dyDescent="0.25">
      <c r="G1533" s="136">
        <v>43348</v>
      </c>
      <c r="H1533" t="s">
        <v>27</v>
      </c>
      <c r="I1533" t="s">
        <v>63</v>
      </c>
      <c r="J1533" t="s">
        <v>343</v>
      </c>
      <c r="K1533" s="138">
        <v>16</v>
      </c>
      <c r="L1533" s="137">
        <v>0</v>
      </c>
    </row>
    <row r="1534" spans="7:12" x14ac:dyDescent="0.25">
      <c r="G1534" s="136">
        <v>43348</v>
      </c>
      <c r="H1534" t="s">
        <v>198</v>
      </c>
      <c r="I1534" t="s">
        <v>42</v>
      </c>
      <c r="J1534" t="s">
        <v>343</v>
      </c>
      <c r="K1534" s="138">
        <v>6.12</v>
      </c>
      <c r="L1534" s="137">
        <v>0</v>
      </c>
    </row>
    <row r="1535" spans="7:12" x14ac:dyDescent="0.25">
      <c r="G1535" s="136">
        <v>43348</v>
      </c>
      <c r="H1535" t="s">
        <v>183</v>
      </c>
      <c r="I1535" t="s">
        <v>63</v>
      </c>
      <c r="J1535" t="s">
        <v>343</v>
      </c>
      <c r="K1535" s="138">
        <v>10</v>
      </c>
      <c r="L1535" s="137">
        <v>0</v>
      </c>
    </row>
    <row r="1536" spans="7:12" x14ac:dyDescent="0.25">
      <c r="G1536" s="136">
        <v>43348</v>
      </c>
      <c r="H1536" t="s">
        <v>183</v>
      </c>
      <c r="I1536" t="s">
        <v>163</v>
      </c>
      <c r="J1536" t="s">
        <v>343</v>
      </c>
      <c r="K1536" s="138">
        <v>22</v>
      </c>
      <c r="L1536" s="137">
        <v>0</v>
      </c>
    </row>
    <row r="1537" spans="7:12" x14ac:dyDescent="0.25">
      <c r="G1537" s="136">
        <v>43348</v>
      </c>
      <c r="H1537" t="s">
        <v>183</v>
      </c>
      <c r="I1537" t="s">
        <v>42</v>
      </c>
      <c r="J1537" t="s">
        <v>343</v>
      </c>
      <c r="K1537" s="138">
        <v>10.07</v>
      </c>
      <c r="L1537" s="137">
        <v>0</v>
      </c>
    </row>
    <row r="1538" spans="7:12" x14ac:dyDescent="0.25">
      <c r="G1538" s="136">
        <v>43348</v>
      </c>
      <c r="H1538" t="s">
        <v>188</v>
      </c>
      <c r="I1538" t="s">
        <v>42</v>
      </c>
      <c r="J1538" t="s">
        <v>343</v>
      </c>
      <c r="K1538" s="138">
        <v>49</v>
      </c>
      <c r="L1538" s="137">
        <v>0</v>
      </c>
    </row>
    <row r="1539" spans="7:12" x14ac:dyDescent="0.25">
      <c r="G1539" s="136">
        <v>43348</v>
      </c>
      <c r="H1539" t="s">
        <v>25</v>
      </c>
      <c r="I1539" t="s">
        <v>63</v>
      </c>
      <c r="J1539" t="s">
        <v>343</v>
      </c>
      <c r="K1539" s="138">
        <v>64</v>
      </c>
      <c r="L1539" s="137">
        <v>0</v>
      </c>
    </row>
    <row r="1540" spans="7:12" x14ac:dyDescent="0.25">
      <c r="G1540" s="136">
        <v>43348</v>
      </c>
      <c r="H1540" t="s">
        <v>25</v>
      </c>
      <c r="I1540" t="s">
        <v>63</v>
      </c>
      <c r="J1540" t="s">
        <v>343</v>
      </c>
      <c r="K1540" s="138">
        <v>56</v>
      </c>
      <c r="L1540" s="137">
        <v>0</v>
      </c>
    </row>
    <row r="1541" spans="7:12" x14ac:dyDescent="0.25">
      <c r="G1541" s="136">
        <v>43348</v>
      </c>
      <c r="H1541" t="s">
        <v>25</v>
      </c>
      <c r="I1541" t="s">
        <v>63</v>
      </c>
      <c r="J1541" t="s">
        <v>343</v>
      </c>
      <c r="K1541" s="138">
        <v>48</v>
      </c>
      <c r="L1541" s="137">
        <v>0</v>
      </c>
    </row>
    <row r="1542" spans="7:12" x14ac:dyDescent="0.25">
      <c r="G1542" s="136">
        <v>43348</v>
      </c>
      <c r="H1542" t="s">
        <v>25</v>
      </c>
      <c r="I1542" t="s">
        <v>63</v>
      </c>
      <c r="J1542" t="s">
        <v>343</v>
      </c>
      <c r="K1542" s="138">
        <v>40</v>
      </c>
      <c r="L1542" s="137">
        <v>0</v>
      </c>
    </row>
    <row r="1543" spans="7:12" x14ac:dyDescent="0.25">
      <c r="G1543" s="136">
        <v>43348</v>
      </c>
      <c r="H1543" t="s">
        <v>25</v>
      </c>
      <c r="I1543" t="s">
        <v>63</v>
      </c>
      <c r="J1543" t="s">
        <v>343</v>
      </c>
      <c r="K1543" s="138">
        <v>32</v>
      </c>
      <c r="L1543" s="137">
        <v>0</v>
      </c>
    </row>
    <row r="1544" spans="7:12" x14ac:dyDescent="0.25">
      <c r="G1544" s="136">
        <v>43348</v>
      </c>
      <c r="H1544" t="s">
        <v>25</v>
      </c>
      <c r="I1544" t="s">
        <v>63</v>
      </c>
      <c r="J1544" t="s">
        <v>343</v>
      </c>
      <c r="K1544" s="138">
        <v>24</v>
      </c>
      <c r="L1544" s="137">
        <v>0</v>
      </c>
    </row>
    <row r="1545" spans="7:12" x14ac:dyDescent="0.25">
      <c r="G1545" s="136">
        <v>43348</v>
      </c>
      <c r="H1545" t="s">
        <v>25</v>
      </c>
      <c r="I1545" t="s">
        <v>63</v>
      </c>
      <c r="J1545" t="s">
        <v>343</v>
      </c>
      <c r="K1545" s="138">
        <v>16</v>
      </c>
      <c r="L1545" s="137">
        <v>0</v>
      </c>
    </row>
    <row r="1546" spans="7:12" x14ac:dyDescent="0.25">
      <c r="G1546" s="136">
        <v>43348</v>
      </c>
      <c r="H1546" t="s">
        <v>25</v>
      </c>
      <c r="I1546" t="s">
        <v>63</v>
      </c>
      <c r="J1546" t="s">
        <v>343</v>
      </c>
      <c r="K1546" s="138">
        <v>8</v>
      </c>
      <c r="L1546" s="137">
        <v>0</v>
      </c>
    </row>
    <row r="1547" spans="7:12" x14ac:dyDescent="0.25">
      <c r="G1547" s="136">
        <v>43348</v>
      </c>
      <c r="H1547" t="s">
        <v>181</v>
      </c>
      <c r="I1547" t="s">
        <v>42</v>
      </c>
      <c r="J1547" t="s">
        <v>343</v>
      </c>
      <c r="K1547" s="138">
        <v>37</v>
      </c>
      <c r="L1547" s="137">
        <v>0</v>
      </c>
    </row>
    <row r="1548" spans="7:12" x14ac:dyDescent="0.25">
      <c r="G1548" s="136">
        <v>43348</v>
      </c>
      <c r="H1548" t="s">
        <v>197</v>
      </c>
      <c r="I1548" t="s">
        <v>42</v>
      </c>
      <c r="J1548" t="s">
        <v>343</v>
      </c>
      <c r="K1548" s="138">
        <v>20</v>
      </c>
      <c r="L1548" s="137">
        <v>0</v>
      </c>
    </row>
    <row r="1549" spans="7:12" x14ac:dyDescent="0.25">
      <c r="G1549" s="136">
        <v>43348</v>
      </c>
      <c r="H1549" t="s">
        <v>187</v>
      </c>
      <c r="I1549" t="s">
        <v>42</v>
      </c>
      <c r="J1549" t="s">
        <v>343</v>
      </c>
      <c r="K1549" s="138">
        <v>159.38999999999999</v>
      </c>
      <c r="L1549" s="137">
        <v>0</v>
      </c>
    </row>
    <row r="1550" spans="7:12" x14ac:dyDescent="0.25">
      <c r="G1550" s="136">
        <v>43348</v>
      </c>
      <c r="H1550" t="s">
        <v>196</v>
      </c>
      <c r="I1550" t="s">
        <v>42</v>
      </c>
      <c r="J1550" t="s">
        <v>343</v>
      </c>
      <c r="K1550" s="138">
        <v>46</v>
      </c>
      <c r="L1550" s="137">
        <v>0</v>
      </c>
    </row>
    <row r="1551" spans="7:12" x14ac:dyDescent="0.25">
      <c r="G1551" s="136">
        <v>43348</v>
      </c>
      <c r="H1551" t="s">
        <v>28</v>
      </c>
      <c r="I1551" t="s">
        <v>163</v>
      </c>
      <c r="J1551" t="s">
        <v>343</v>
      </c>
      <c r="K1551" s="138">
        <v>41.71</v>
      </c>
      <c r="L1551" s="137">
        <v>0</v>
      </c>
    </row>
    <row r="1552" spans="7:12" x14ac:dyDescent="0.25">
      <c r="G1552" s="136">
        <v>43348</v>
      </c>
      <c r="H1552" t="s">
        <v>28</v>
      </c>
      <c r="I1552" t="s">
        <v>66</v>
      </c>
      <c r="J1552" t="s">
        <v>115</v>
      </c>
      <c r="K1552" s="138">
        <v>2.25</v>
      </c>
      <c r="L1552" s="137">
        <v>0</v>
      </c>
    </row>
    <row r="1553" spans="7:12" x14ac:dyDescent="0.25">
      <c r="G1553" s="136">
        <v>43349</v>
      </c>
      <c r="H1553" t="s">
        <v>192</v>
      </c>
      <c r="I1553" t="s">
        <v>112</v>
      </c>
      <c r="J1553" t="s">
        <v>344</v>
      </c>
      <c r="K1553" s="138">
        <v>453.48</v>
      </c>
      <c r="L1553" s="137">
        <v>0</v>
      </c>
    </row>
    <row r="1554" spans="7:12" x14ac:dyDescent="0.25">
      <c r="G1554" s="136">
        <v>43349</v>
      </c>
      <c r="H1554" t="s">
        <v>192</v>
      </c>
      <c r="I1554" t="s">
        <v>155</v>
      </c>
      <c r="J1554" t="s">
        <v>344</v>
      </c>
      <c r="K1554" s="138">
        <v>8.57</v>
      </c>
      <c r="L1554" s="137">
        <v>0</v>
      </c>
    </row>
    <row r="1555" spans="7:12" x14ac:dyDescent="0.25">
      <c r="G1555" s="136">
        <v>43349</v>
      </c>
      <c r="H1555" t="s">
        <v>212</v>
      </c>
      <c r="I1555" t="s">
        <v>112</v>
      </c>
      <c r="J1555" t="s">
        <v>344</v>
      </c>
      <c r="K1555" s="138">
        <v>163.9</v>
      </c>
      <c r="L1555" s="137">
        <v>0</v>
      </c>
    </row>
    <row r="1556" spans="7:12" x14ac:dyDescent="0.25">
      <c r="G1556" s="136">
        <v>43349</v>
      </c>
      <c r="H1556" t="s">
        <v>186</v>
      </c>
      <c r="I1556" t="s">
        <v>42</v>
      </c>
      <c r="J1556" t="s">
        <v>344</v>
      </c>
      <c r="K1556" s="138">
        <v>50.75</v>
      </c>
      <c r="L1556" s="137">
        <v>0</v>
      </c>
    </row>
    <row r="1557" spans="7:12" x14ac:dyDescent="0.25">
      <c r="G1557" s="136">
        <v>43349</v>
      </c>
      <c r="H1557" t="s">
        <v>185</v>
      </c>
      <c r="I1557" t="s">
        <v>163</v>
      </c>
      <c r="J1557" t="s">
        <v>344</v>
      </c>
      <c r="K1557" s="138">
        <v>253.24</v>
      </c>
      <c r="L1557" s="137">
        <v>0</v>
      </c>
    </row>
    <row r="1558" spans="7:12" x14ac:dyDescent="0.25">
      <c r="G1558" s="136">
        <v>43349</v>
      </c>
      <c r="H1558" t="s">
        <v>184</v>
      </c>
      <c r="I1558" t="s">
        <v>176</v>
      </c>
      <c r="J1558" t="s">
        <v>344</v>
      </c>
      <c r="K1558" s="138">
        <v>0</v>
      </c>
      <c r="L1558" s="137">
        <v>24</v>
      </c>
    </row>
    <row r="1559" spans="7:12" x14ac:dyDescent="0.25">
      <c r="G1559" s="136">
        <v>43349</v>
      </c>
      <c r="H1559" t="s">
        <v>184</v>
      </c>
      <c r="I1559" t="s">
        <v>42</v>
      </c>
      <c r="J1559" t="s">
        <v>344</v>
      </c>
      <c r="K1559" s="138">
        <v>67.599999999999994</v>
      </c>
      <c r="L1559" s="137">
        <v>0</v>
      </c>
    </row>
    <row r="1560" spans="7:12" x14ac:dyDescent="0.25">
      <c r="G1560" s="136">
        <v>43349</v>
      </c>
      <c r="H1560" t="s">
        <v>183</v>
      </c>
      <c r="I1560" t="s">
        <v>163</v>
      </c>
      <c r="J1560" t="s">
        <v>344</v>
      </c>
      <c r="K1560" s="138">
        <v>128</v>
      </c>
      <c r="L1560" s="137">
        <v>0</v>
      </c>
    </row>
    <row r="1561" spans="7:12" x14ac:dyDescent="0.25">
      <c r="G1561" s="136">
        <v>43349</v>
      </c>
      <c r="H1561" t="s">
        <v>191</v>
      </c>
      <c r="I1561" t="s">
        <v>42</v>
      </c>
      <c r="J1561" t="s">
        <v>344</v>
      </c>
      <c r="K1561" s="138">
        <v>57.9</v>
      </c>
      <c r="L1561" s="137">
        <v>0</v>
      </c>
    </row>
    <row r="1562" spans="7:12" x14ac:dyDescent="0.25">
      <c r="G1562" s="136">
        <v>43349</v>
      </c>
      <c r="H1562" t="s">
        <v>188</v>
      </c>
      <c r="I1562" t="s">
        <v>155</v>
      </c>
      <c r="J1562" t="s">
        <v>344</v>
      </c>
      <c r="K1562" s="138">
        <v>25.68</v>
      </c>
      <c r="L1562" s="137">
        <v>0</v>
      </c>
    </row>
    <row r="1563" spans="7:12" x14ac:dyDescent="0.25">
      <c r="G1563" s="136">
        <v>43349</v>
      </c>
      <c r="H1563" t="s">
        <v>200</v>
      </c>
      <c r="I1563" t="s">
        <v>63</v>
      </c>
      <c r="J1563" t="s">
        <v>344</v>
      </c>
      <c r="K1563" s="138">
        <v>62.42</v>
      </c>
      <c r="L1563" s="137">
        <v>0</v>
      </c>
    </row>
    <row r="1564" spans="7:12" x14ac:dyDescent="0.25">
      <c r="G1564" s="136">
        <v>43349</v>
      </c>
      <c r="H1564" t="s">
        <v>25</v>
      </c>
      <c r="I1564" t="s">
        <v>63</v>
      </c>
      <c r="J1564" t="s">
        <v>344</v>
      </c>
      <c r="K1564" s="138">
        <v>88</v>
      </c>
      <c r="L1564" s="137">
        <v>0</v>
      </c>
    </row>
    <row r="1565" spans="7:12" x14ac:dyDescent="0.25">
      <c r="G1565" s="136">
        <v>43349</v>
      </c>
      <c r="H1565" t="s">
        <v>25</v>
      </c>
      <c r="I1565" t="s">
        <v>63</v>
      </c>
      <c r="J1565" t="s">
        <v>344</v>
      </c>
      <c r="K1565" s="138">
        <v>64</v>
      </c>
      <c r="L1565" s="137">
        <v>0</v>
      </c>
    </row>
    <row r="1566" spans="7:12" x14ac:dyDescent="0.25">
      <c r="G1566" s="136">
        <v>43349</v>
      </c>
      <c r="H1566" t="s">
        <v>25</v>
      </c>
      <c r="I1566" t="s">
        <v>63</v>
      </c>
      <c r="J1566" t="s">
        <v>344</v>
      </c>
      <c r="K1566" s="138">
        <v>40</v>
      </c>
      <c r="L1566" s="137">
        <v>0</v>
      </c>
    </row>
    <row r="1567" spans="7:12" x14ac:dyDescent="0.25">
      <c r="G1567" s="136">
        <v>43349</v>
      </c>
      <c r="H1567" t="s">
        <v>25</v>
      </c>
      <c r="I1567" t="s">
        <v>63</v>
      </c>
      <c r="J1567" t="s">
        <v>344</v>
      </c>
      <c r="K1567" s="138">
        <v>32</v>
      </c>
      <c r="L1567" s="137">
        <v>0</v>
      </c>
    </row>
    <row r="1568" spans="7:12" x14ac:dyDescent="0.25">
      <c r="G1568" s="136">
        <v>43349</v>
      </c>
      <c r="H1568" t="s">
        <v>25</v>
      </c>
      <c r="I1568" t="s">
        <v>63</v>
      </c>
      <c r="J1568" t="s">
        <v>344</v>
      </c>
      <c r="K1568" s="138">
        <v>24</v>
      </c>
      <c r="L1568" s="137">
        <v>0</v>
      </c>
    </row>
    <row r="1569" spans="7:12" x14ac:dyDescent="0.25">
      <c r="G1569" s="136">
        <v>43349</v>
      </c>
      <c r="H1569" t="s">
        <v>180</v>
      </c>
      <c r="I1569" t="s">
        <v>42</v>
      </c>
      <c r="J1569" t="s">
        <v>344</v>
      </c>
      <c r="K1569" s="138">
        <v>1.57</v>
      </c>
      <c r="L1569" s="137">
        <v>0</v>
      </c>
    </row>
    <row r="1570" spans="7:12" x14ac:dyDescent="0.25">
      <c r="G1570" s="136">
        <v>43349</v>
      </c>
      <c r="H1570" t="s">
        <v>28</v>
      </c>
      <c r="I1570" t="s">
        <v>155</v>
      </c>
      <c r="J1570" t="s">
        <v>344</v>
      </c>
      <c r="K1570" s="138">
        <v>88.75</v>
      </c>
      <c r="L1570" s="137">
        <v>0</v>
      </c>
    </row>
    <row r="1571" spans="7:12" x14ac:dyDescent="0.25">
      <c r="G1571" s="136">
        <v>43349</v>
      </c>
      <c r="H1571" t="s">
        <v>28</v>
      </c>
      <c r="I1571" t="s">
        <v>155</v>
      </c>
      <c r="J1571" t="s">
        <v>344</v>
      </c>
      <c r="K1571" s="138">
        <v>75.099999999999994</v>
      </c>
      <c r="L1571" s="137">
        <v>0</v>
      </c>
    </row>
    <row r="1572" spans="7:12" x14ac:dyDescent="0.25">
      <c r="G1572" s="136">
        <v>43349</v>
      </c>
      <c r="H1572" t="s">
        <v>28</v>
      </c>
      <c r="I1572" t="s">
        <v>155</v>
      </c>
      <c r="J1572" t="s">
        <v>344</v>
      </c>
      <c r="K1572" s="138">
        <v>48.5</v>
      </c>
      <c r="L1572" s="137">
        <v>0</v>
      </c>
    </row>
    <row r="1573" spans="7:12" x14ac:dyDescent="0.25">
      <c r="G1573" s="136">
        <v>43349</v>
      </c>
      <c r="H1573" t="s">
        <v>28</v>
      </c>
      <c r="I1573" t="s">
        <v>155</v>
      </c>
      <c r="J1573" t="s">
        <v>344</v>
      </c>
      <c r="K1573" s="138">
        <v>34.049999999999997</v>
      </c>
      <c r="L1573" s="137">
        <v>0</v>
      </c>
    </row>
    <row r="1574" spans="7:12" x14ac:dyDescent="0.25">
      <c r="G1574" s="136">
        <v>43350</v>
      </c>
      <c r="H1574" t="s">
        <v>202</v>
      </c>
      <c r="I1574" t="s">
        <v>163</v>
      </c>
      <c r="J1574" t="s">
        <v>345</v>
      </c>
      <c r="K1574" s="138">
        <v>1287</v>
      </c>
      <c r="L1574" s="137">
        <v>0</v>
      </c>
    </row>
    <row r="1575" spans="7:12" x14ac:dyDescent="0.25">
      <c r="G1575" s="136">
        <v>43350</v>
      </c>
      <c r="H1575" t="s">
        <v>184</v>
      </c>
      <c r="I1575" t="s">
        <v>42</v>
      </c>
      <c r="J1575" t="s">
        <v>345</v>
      </c>
      <c r="K1575" s="138">
        <v>16</v>
      </c>
      <c r="L1575" s="137">
        <v>0</v>
      </c>
    </row>
    <row r="1576" spans="7:12" x14ac:dyDescent="0.25">
      <c r="G1576" s="136">
        <v>43350</v>
      </c>
      <c r="H1576" t="s">
        <v>183</v>
      </c>
      <c r="I1576" t="s">
        <v>63</v>
      </c>
      <c r="J1576" t="s">
        <v>345</v>
      </c>
      <c r="K1576" s="138">
        <v>5</v>
      </c>
      <c r="L1576" s="137">
        <v>0</v>
      </c>
    </row>
    <row r="1577" spans="7:12" x14ac:dyDescent="0.25">
      <c r="G1577" s="136">
        <v>43350</v>
      </c>
      <c r="H1577" t="s">
        <v>183</v>
      </c>
      <c r="I1577" t="s">
        <v>42</v>
      </c>
      <c r="J1577" t="s">
        <v>345</v>
      </c>
      <c r="K1577" s="138">
        <v>177.5</v>
      </c>
      <c r="L1577" s="137">
        <v>0</v>
      </c>
    </row>
    <row r="1578" spans="7:12" x14ac:dyDescent="0.25">
      <c r="G1578" s="136">
        <v>43350</v>
      </c>
      <c r="H1578" t="s">
        <v>188</v>
      </c>
      <c r="I1578" t="s">
        <v>42</v>
      </c>
      <c r="J1578" t="s">
        <v>345</v>
      </c>
      <c r="K1578" s="138">
        <v>76</v>
      </c>
      <c r="L1578" s="137">
        <v>0</v>
      </c>
    </row>
    <row r="1579" spans="7:12" x14ac:dyDescent="0.25">
      <c r="G1579" s="136">
        <v>43350</v>
      </c>
      <c r="H1579" t="s">
        <v>25</v>
      </c>
      <c r="I1579" t="s">
        <v>63</v>
      </c>
      <c r="J1579" t="s">
        <v>345</v>
      </c>
      <c r="K1579" s="138">
        <v>56</v>
      </c>
      <c r="L1579" s="137">
        <v>0</v>
      </c>
    </row>
    <row r="1580" spans="7:12" x14ac:dyDescent="0.25">
      <c r="G1580" s="136">
        <v>43350</v>
      </c>
      <c r="H1580" t="s">
        <v>25</v>
      </c>
      <c r="I1580" t="s">
        <v>63</v>
      </c>
      <c r="J1580" t="s">
        <v>345</v>
      </c>
      <c r="K1580" s="138">
        <v>48</v>
      </c>
      <c r="L1580" s="137">
        <v>0</v>
      </c>
    </row>
    <row r="1581" spans="7:12" x14ac:dyDescent="0.25">
      <c r="G1581" s="136">
        <v>43350</v>
      </c>
      <c r="H1581" t="s">
        <v>25</v>
      </c>
      <c r="I1581" t="s">
        <v>63</v>
      </c>
      <c r="J1581" t="s">
        <v>345</v>
      </c>
      <c r="K1581" s="138">
        <v>32</v>
      </c>
      <c r="L1581" s="137">
        <v>0</v>
      </c>
    </row>
    <row r="1582" spans="7:12" x14ac:dyDescent="0.25">
      <c r="G1582" s="136">
        <v>43350</v>
      </c>
      <c r="H1582" t="s">
        <v>25</v>
      </c>
      <c r="I1582" t="s">
        <v>63</v>
      </c>
      <c r="J1582" t="s">
        <v>345</v>
      </c>
      <c r="K1582" s="138">
        <v>24</v>
      </c>
      <c r="L1582" s="137">
        <v>0</v>
      </c>
    </row>
    <row r="1583" spans="7:12" x14ac:dyDescent="0.25">
      <c r="G1583" s="136">
        <v>43350</v>
      </c>
      <c r="H1583" t="s">
        <v>25</v>
      </c>
      <c r="I1583" t="s">
        <v>63</v>
      </c>
      <c r="J1583" t="s">
        <v>345</v>
      </c>
      <c r="K1583" s="138">
        <v>16</v>
      </c>
      <c r="L1583" s="137">
        <v>0</v>
      </c>
    </row>
    <row r="1584" spans="7:12" x14ac:dyDescent="0.25">
      <c r="G1584" s="136">
        <v>43350</v>
      </c>
      <c r="H1584" t="s">
        <v>25</v>
      </c>
      <c r="I1584" t="s">
        <v>63</v>
      </c>
      <c r="J1584" t="s">
        <v>345</v>
      </c>
      <c r="K1584" s="138">
        <v>8</v>
      </c>
      <c r="L1584" s="137">
        <v>0</v>
      </c>
    </row>
    <row r="1585" spans="7:12" x14ac:dyDescent="0.25">
      <c r="G1585" s="136">
        <v>43350</v>
      </c>
      <c r="H1585" t="s">
        <v>25</v>
      </c>
      <c r="I1585" t="s">
        <v>42</v>
      </c>
      <c r="J1585" t="s">
        <v>345</v>
      </c>
      <c r="K1585" s="138">
        <v>165.3</v>
      </c>
      <c r="L1585" s="137">
        <v>0</v>
      </c>
    </row>
    <row r="1586" spans="7:12" x14ac:dyDescent="0.25">
      <c r="G1586" s="136">
        <v>43350</v>
      </c>
      <c r="H1586" t="s">
        <v>201</v>
      </c>
      <c r="I1586" t="s">
        <v>63</v>
      </c>
      <c r="J1586" t="s">
        <v>345</v>
      </c>
      <c r="K1586" s="138">
        <v>53.82</v>
      </c>
      <c r="L1586" s="137">
        <v>0</v>
      </c>
    </row>
    <row r="1587" spans="7:12" x14ac:dyDescent="0.25">
      <c r="G1587" s="136">
        <v>43350</v>
      </c>
      <c r="H1587" t="s">
        <v>196</v>
      </c>
      <c r="I1587" t="s">
        <v>171</v>
      </c>
      <c r="J1587" t="s">
        <v>345</v>
      </c>
      <c r="K1587" s="138">
        <v>340</v>
      </c>
      <c r="L1587" s="137">
        <v>0</v>
      </c>
    </row>
    <row r="1588" spans="7:12" x14ac:dyDescent="0.25">
      <c r="G1588" s="136">
        <v>43350</v>
      </c>
      <c r="H1588" t="s">
        <v>180</v>
      </c>
      <c r="I1588" t="s">
        <v>163</v>
      </c>
      <c r="J1588" t="s">
        <v>345</v>
      </c>
      <c r="K1588" s="138">
        <v>25.95</v>
      </c>
      <c r="L1588" s="137">
        <v>0</v>
      </c>
    </row>
    <row r="1589" spans="7:12" x14ac:dyDescent="0.25">
      <c r="G1589" s="136">
        <v>43350</v>
      </c>
      <c r="H1589" t="s">
        <v>180</v>
      </c>
      <c r="I1589" t="s">
        <v>42</v>
      </c>
      <c r="J1589" t="s">
        <v>345</v>
      </c>
      <c r="K1589" s="138">
        <v>24.6</v>
      </c>
      <c r="L1589" s="137">
        <v>0</v>
      </c>
    </row>
    <row r="1590" spans="7:12" x14ac:dyDescent="0.25">
      <c r="G1590" s="136">
        <v>43350</v>
      </c>
      <c r="H1590" t="s">
        <v>179</v>
      </c>
      <c r="I1590" t="s">
        <v>163</v>
      </c>
      <c r="J1590" t="s">
        <v>345</v>
      </c>
      <c r="K1590" s="138">
        <v>54.2</v>
      </c>
      <c r="L1590" s="137">
        <v>0</v>
      </c>
    </row>
    <row r="1591" spans="7:12" x14ac:dyDescent="0.25">
      <c r="G1591" s="136">
        <v>43350</v>
      </c>
      <c r="H1591" t="s">
        <v>28</v>
      </c>
      <c r="I1591" t="s">
        <v>63</v>
      </c>
      <c r="J1591" t="s">
        <v>345</v>
      </c>
      <c r="K1591" s="138">
        <v>8</v>
      </c>
      <c r="L1591" s="137">
        <v>0</v>
      </c>
    </row>
    <row r="1592" spans="7:12" x14ac:dyDescent="0.25">
      <c r="G1592" s="136">
        <v>43350</v>
      </c>
      <c r="H1592" t="s">
        <v>28</v>
      </c>
      <c r="I1592" t="s">
        <v>163</v>
      </c>
      <c r="J1592" t="s">
        <v>345</v>
      </c>
      <c r="K1592" s="138">
        <v>39.99</v>
      </c>
      <c r="L1592" s="137">
        <v>0</v>
      </c>
    </row>
    <row r="1593" spans="7:12" x14ac:dyDescent="0.25">
      <c r="G1593" s="136">
        <v>43350</v>
      </c>
      <c r="H1593" t="s">
        <v>28</v>
      </c>
      <c r="I1593" t="s">
        <v>66</v>
      </c>
      <c r="J1593" t="s">
        <v>141</v>
      </c>
      <c r="K1593" s="138">
        <v>3.15</v>
      </c>
      <c r="L1593" s="137">
        <v>0</v>
      </c>
    </row>
    <row r="1594" spans="7:12" x14ac:dyDescent="0.25">
      <c r="G1594" s="136">
        <v>43350</v>
      </c>
      <c r="H1594" t="s">
        <v>28</v>
      </c>
      <c r="I1594" t="s">
        <v>66</v>
      </c>
      <c r="J1594" t="s">
        <v>123</v>
      </c>
      <c r="K1594" s="138">
        <v>4.5</v>
      </c>
      <c r="L1594" s="137">
        <v>0</v>
      </c>
    </row>
    <row r="1595" spans="7:12" x14ac:dyDescent="0.25">
      <c r="G1595" s="136">
        <v>43351</v>
      </c>
      <c r="H1595" t="s">
        <v>199</v>
      </c>
      <c r="I1595" t="s">
        <v>163</v>
      </c>
      <c r="J1595" t="s">
        <v>346</v>
      </c>
      <c r="K1595" s="138">
        <v>29.4</v>
      </c>
      <c r="L1595" s="137">
        <v>0</v>
      </c>
    </row>
    <row r="1596" spans="7:12" x14ac:dyDescent="0.25">
      <c r="G1596" s="136">
        <v>43351</v>
      </c>
      <c r="H1596" t="s">
        <v>183</v>
      </c>
      <c r="I1596" t="s">
        <v>63</v>
      </c>
      <c r="J1596" t="s">
        <v>346</v>
      </c>
      <c r="K1596" s="138">
        <v>15</v>
      </c>
      <c r="L1596" s="137">
        <v>0</v>
      </c>
    </row>
    <row r="1597" spans="7:12" x14ac:dyDescent="0.25">
      <c r="G1597" s="136">
        <v>43351</v>
      </c>
      <c r="H1597" t="s">
        <v>183</v>
      </c>
      <c r="I1597" t="s">
        <v>163</v>
      </c>
      <c r="J1597" t="s">
        <v>346</v>
      </c>
      <c r="K1597" s="138">
        <v>64.55</v>
      </c>
      <c r="L1597" s="137">
        <v>0</v>
      </c>
    </row>
    <row r="1598" spans="7:12" x14ac:dyDescent="0.25">
      <c r="G1598" s="136">
        <v>43351</v>
      </c>
      <c r="H1598" t="s">
        <v>183</v>
      </c>
      <c r="I1598" t="s">
        <v>42</v>
      </c>
      <c r="J1598" t="s">
        <v>346</v>
      </c>
      <c r="K1598" s="138">
        <v>38.08</v>
      </c>
      <c r="L1598" s="137">
        <v>0</v>
      </c>
    </row>
    <row r="1599" spans="7:12" x14ac:dyDescent="0.25">
      <c r="G1599" s="136">
        <v>43351</v>
      </c>
      <c r="H1599" t="s">
        <v>193</v>
      </c>
      <c r="I1599" t="s">
        <v>42</v>
      </c>
      <c r="J1599" t="s">
        <v>346</v>
      </c>
      <c r="K1599" s="138">
        <v>36.15</v>
      </c>
      <c r="L1599" s="137">
        <v>0</v>
      </c>
    </row>
    <row r="1600" spans="7:12" x14ac:dyDescent="0.25">
      <c r="G1600" s="136">
        <v>43351</v>
      </c>
      <c r="H1600" t="s">
        <v>25</v>
      </c>
      <c r="I1600" t="s">
        <v>63</v>
      </c>
      <c r="J1600" t="s">
        <v>346</v>
      </c>
      <c r="K1600" s="138">
        <v>16</v>
      </c>
      <c r="L1600" s="137">
        <v>0</v>
      </c>
    </row>
    <row r="1601" spans="7:12" x14ac:dyDescent="0.25">
      <c r="G1601" s="136">
        <v>43351</v>
      </c>
      <c r="H1601" t="s">
        <v>25</v>
      </c>
      <c r="I1601" t="s">
        <v>63</v>
      </c>
      <c r="J1601" t="s">
        <v>346</v>
      </c>
      <c r="K1601" s="138">
        <v>8</v>
      </c>
      <c r="L1601" s="137">
        <v>0</v>
      </c>
    </row>
    <row r="1602" spans="7:12" x14ac:dyDescent="0.25">
      <c r="G1602" s="136">
        <v>43351</v>
      </c>
      <c r="H1602" t="s">
        <v>197</v>
      </c>
      <c r="I1602" t="s">
        <v>42</v>
      </c>
      <c r="J1602" t="s">
        <v>346</v>
      </c>
      <c r="K1602" s="138">
        <v>146.56</v>
      </c>
      <c r="L1602" s="137">
        <v>0</v>
      </c>
    </row>
    <row r="1603" spans="7:12" x14ac:dyDescent="0.25">
      <c r="G1603" s="136">
        <v>43351</v>
      </c>
      <c r="H1603" t="s">
        <v>179</v>
      </c>
      <c r="I1603" t="s">
        <v>63</v>
      </c>
      <c r="J1603" t="s">
        <v>346</v>
      </c>
      <c r="K1603" s="138">
        <v>32.729999999999997</v>
      </c>
      <c r="L1603" s="137">
        <v>0</v>
      </c>
    </row>
    <row r="1604" spans="7:12" x14ac:dyDescent="0.25">
      <c r="G1604" s="136">
        <v>43351</v>
      </c>
      <c r="H1604" t="s">
        <v>179</v>
      </c>
      <c r="I1604" t="s">
        <v>163</v>
      </c>
      <c r="J1604" t="s">
        <v>346</v>
      </c>
      <c r="K1604" s="138">
        <v>81.099999999999994</v>
      </c>
      <c r="L1604" s="137">
        <v>0</v>
      </c>
    </row>
    <row r="1605" spans="7:12" x14ac:dyDescent="0.25">
      <c r="G1605" s="136">
        <v>43351</v>
      </c>
      <c r="H1605" t="s">
        <v>28</v>
      </c>
      <c r="I1605" t="s">
        <v>163</v>
      </c>
      <c r="J1605" t="s">
        <v>346</v>
      </c>
      <c r="K1605" s="138">
        <v>47</v>
      </c>
      <c r="L1605" s="137">
        <v>0</v>
      </c>
    </row>
    <row r="1606" spans="7:12" x14ac:dyDescent="0.25">
      <c r="G1606" s="136">
        <v>43353</v>
      </c>
      <c r="H1606" t="s">
        <v>203</v>
      </c>
      <c r="I1606" t="s">
        <v>226</v>
      </c>
      <c r="J1606" t="s">
        <v>347</v>
      </c>
      <c r="K1606" s="138">
        <v>447.54</v>
      </c>
      <c r="L1606" s="137">
        <v>0</v>
      </c>
    </row>
    <row r="1607" spans="7:12" x14ac:dyDescent="0.25">
      <c r="G1607" s="136">
        <v>43353</v>
      </c>
      <c r="H1607" t="s">
        <v>192</v>
      </c>
      <c r="I1607" t="s">
        <v>226</v>
      </c>
      <c r="J1607" t="s">
        <v>347</v>
      </c>
      <c r="K1607" s="138">
        <v>76.7</v>
      </c>
      <c r="L1607" s="137">
        <v>0</v>
      </c>
    </row>
    <row r="1608" spans="7:12" x14ac:dyDescent="0.25">
      <c r="G1608" s="136">
        <v>43353</v>
      </c>
      <c r="H1608" t="s">
        <v>27</v>
      </c>
      <c r="I1608" t="s">
        <v>226</v>
      </c>
      <c r="J1608" t="s">
        <v>347</v>
      </c>
      <c r="K1608" s="138">
        <v>88.76</v>
      </c>
      <c r="L1608" s="137">
        <v>0</v>
      </c>
    </row>
    <row r="1609" spans="7:12" x14ac:dyDescent="0.25">
      <c r="G1609" s="136">
        <v>43353</v>
      </c>
      <c r="H1609" t="s">
        <v>27</v>
      </c>
      <c r="I1609" t="s">
        <v>226</v>
      </c>
      <c r="J1609" t="s">
        <v>347</v>
      </c>
      <c r="K1609" s="138">
        <v>59.19</v>
      </c>
      <c r="L1609" s="137">
        <v>0</v>
      </c>
    </row>
    <row r="1610" spans="7:12" x14ac:dyDescent="0.25">
      <c r="G1610" s="136">
        <v>43353</v>
      </c>
      <c r="H1610" t="s">
        <v>27</v>
      </c>
      <c r="I1610" t="s">
        <v>226</v>
      </c>
      <c r="J1610" t="s">
        <v>347</v>
      </c>
      <c r="K1610" s="138">
        <v>58.52</v>
      </c>
      <c r="L1610" s="137">
        <v>0</v>
      </c>
    </row>
    <row r="1611" spans="7:12" x14ac:dyDescent="0.25">
      <c r="G1611" s="136">
        <v>43353</v>
      </c>
      <c r="H1611" t="s">
        <v>27</v>
      </c>
      <c r="I1611" t="s">
        <v>226</v>
      </c>
      <c r="J1611" t="s">
        <v>347</v>
      </c>
      <c r="K1611" s="138">
        <v>58.09</v>
      </c>
      <c r="L1611" s="137">
        <v>0</v>
      </c>
    </row>
    <row r="1612" spans="7:12" x14ac:dyDescent="0.25">
      <c r="G1612" s="136">
        <v>43353</v>
      </c>
      <c r="H1612" t="s">
        <v>27</v>
      </c>
      <c r="I1612" t="s">
        <v>226</v>
      </c>
      <c r="J1612" t="s">
        <v>347</v>
      </c>
      <c r="K1612" s="138">
        <v>44.34</v>
      </c>
      <c r="L1612" s="137">
        <v>0</v>
      </c>
    </row>
    <row r="1613" spans="7:12" x14ac:dyDescent="0.25">
      <c r="G1613" s="136">
        <v>43353</v>
      </c>
      <c r="H1613" t="s">
        <v>27</v>
      </c>
      <c r="I1613" t="s">
        <v>226</v>
      </c>
      <c r="J1613" t="s">
        <v>347</v>
      </c>
      <c r="K1613" s="138">
        <v>31.05</v>
      </c>
      <c r="L1613" s="137">
        <v>0</v>
      </c>
    </row>
    <row r="1614" spans="7:12" x14ac:dyDescent="0.25">
      <c r="G1614" s="136">
        <v>43353</v>
      </c>
      <c r="H1614" t="s">
        <v>27</v>
      </c>
      <c r="I1614" t="s">
        <v>226</v>
      </c>
      <c r="J1614" t="s">
        <v>347</v>
      </c>
      <c r="K1614" s="138">
        <v>30.17</v>
      </c>
      <c r="L1614" s="137">
        <v>0</v>
      </c>
    </row>
    <row r="1615" spans="7:12" x14ac:dyDescent="0.25">
      <c r="G1615" s="136">
        <v>43353</v>
      </c>
      <c r="H1615" t="s">
        <v>27</v>
      </c>
      <c r="I1615" t="s">
        <v>226</v>
      </c>
      <c r="J1615" t="s">
        <v>347</v>
      </c>
      <c r="K1615" s="138">
        <v>29.04</v>
      </c>
      <c r="L1615" s="137">
        <v>0</v>
      </c>
    </row>
    <row r="1616" spans="7:12" x14ac:dyDescent="0.25">
      <c r="G1616" s="136">
        <v>43353</v>
      </c>
      <c r="H1616" t="s">
        <v>27</v>
      </c>
      <c r="I1616" t="s">
        <v>226</v>
      </c>
      <c r="J1616" t="s">
        <v>347</v>
      </c>
      <c r="K1616" s="138">
        <v>27.07</v>
      </c>
      <c r="L1616" s="137">
        <v>0</v>
      </c>
    </row>
    <row r="1617" spans="7:12" x14ac:dyDescent="0.25">
      <c r="G1617" s="136">
        <v>43353</v>
      </c>
      <c r="H1617" t="s">
        <v>27</v>
      </c>
      <c r="I1617" t="s">
        <v>226</v>
      </c>
      <c r="J1617" t="s">
        <v>347</v>
      </c>
      <c r="K1617" s="138">
        <v>26.26</v>
      </c>
      <c r="L1617" s="137">
        <v>0</v>
      </c>
    </row>
    <row r="1618" spans="7:12" x14ac:dyDescent="0.25">
      <c r="G1618" s="136">
        <v>43353</v>
      </c>
      <c r="H1618" t="s">
        <v>27</v>
      </c>
      <c r="I1618" t="s">
        <v>226</v>
      </c>
      <c r="J1618" t="s">
        <v>347</v>
      </c>
      <c r="K1618" s="138">
        <v>23.46</v>
      </c>
      <c r="L1618" s="137">
        <v>0</v>
      </c>
    </row>
    <row r="1619" spans="7:12" x14ac:dyDescent="0.25">
      <c r="G1619" s="136">
        <v>43353</v>
      </c>
      <c r="H1619" t="s">
        <v>27</v>
      </c>
      <c r="I1619" t="s">
        <v>226</v>
      </c>
      <c r="J1619" t="s">
        <v>347</v>
      </c>
      <c r="K1619" s="138">
        <v>23.27</v>
      </c>
      <c r="L1619" s="137">
        <v>0</v>
      </c>
    </row>
    <row r="1620" spans="7:12" x14ac:dyDescent="0.25">
      <c r="G1620" s="136">
        <v>43353</v>
      </c>
      <c r="H1620" t="s">
        <v>27</v>
      </c>
      <c r="I1620" t="s">
        <v>226</v>
      </c>
      <c r="J1620" t="s">
        <v>347</v>
      </c>
      <c r="K1620" s="138">
        <v>19.079999999999998</v>
      </c>
      <c r="L1620" s="137">
        <v>0</v>
      </c>
    </row>
    <row r="1621" spans="7:12" x14ac:dyDescent="0.25">
      <c r="G1621" s="136">
        <v>43353</v>
      </c>
      <c r="H1621" t="s">
        <v>27</v>
      </c>
      <c r="I1621" t="s">
        <v>226</v>
      </c>
      <c r="J1621" t="s">
        <v>347</v>
      </c>
      <c r="K1621" s="138">
        <v>14.23</v>
      </c>
      <c r="L1621" s="137">
        <v>0</v>
      </c>
    </row>
    <row r="1622" spans="7:12" x14ac:dyDescent="0.25">
      <c r="G1622" s="136">
        <v>43353</v>
      </c>
      <c r="H1622" t="s">
        <v>185</v>
      </c>
      <c r="I1622" t="s">
        <v>226</v>
      </c>
      <c r="J1622" t="s">
        <v>347</v>
      </c>
      <c r="K1622" s="138">
        <v>74.11</v>
      </c>
      <c r="L1622" s="137">
        <v>0</v>
      </c>
    </row>
    <row r="1623" spans="7:12" x14ac:dyDescent="0.25">
      <c r="G1623" s="136">
        <v>43353</v>
      </c>
      <c r="H1623" t="s">
        <v>195</v>
      </c>
      <c r="I1623" t="s">
        <v>226</v>
      </c>
      <c r="J1623" t="s">
        <v>347</v>
      </c>
      <c r="K1623" s="138">
        <v>257.27999999999997</v>
      </c>
      <c r="L1623" s="137">
        <v>0</v>
      </c>
    </row>
    <row r="1624" spans="7:12" x14ac:dyDescent="0.25">
      <c r="G1624" s="136">
        <v>43353</v>
      </c>
      <c r="H1624" t="s">
        <v>183</v>
      </c>
      <c r="I1624" t="s">
        <v>226</v>
      </c>
      <c r="J1624" t="s">
        <v>347</v>
      </c>
      <c r="K1624" s="138">
        <v>8498.83</v>
      </c>
      <c r="L1624" s="137">
        <v>0</v>
      </c>
    </row>
    <row r="1625" spans="7:12" x14ac:dyDescent="0.25">
      <c r="G1625" s="136">
        <v>43353</v>
      </c>
      <c r="H1625" t="s">
        <v>189</v>
      </c>
      <c r="I1625" t="s">
        <v>226</v>
      </c>
      <c r="J1625" t="s">
        <v>347</v>
      </c>
      <c r="K1625" s="138">
        <v>610.65</v>
      </c>
      <c r="L1625" s="137">
        <v>0</v>
      </c>
    </row>
    <row r="1626" spans="7:12" x14ac:dyDescent="0.25">
      <c r="G1626" s="136">
        <v>43353</v>
      </c>
      <c r="H1626" t="s">
        <v>191</v>
      </c>
      <c r="I1626" t="s">
        <v>226</v>
      </c>
      <c r="J1626" t="s">
        <v>347</v>
      </c>
      <c r="K1626" s="138">
        <v>535.44000000000005</v>
      </c>
      <c r="L1626" s="137">
        <v>0</v>
      </c>
    </row>
    <row r="1627" spans="7:12" x14ac:dyDescent="0.25">
      <c r="G1627" s="136">
        <v>43353</v>
      </c>
      <c r="H1627" t="s">
        <v>193</v>
      </c>
      <c r="I1627" t="s">
        <v>226</v>
      </c>
      <c r="J1627" t="s">
        <v>347</v>
      </c>
      <c r="K1627" s="138">
        <v>31.19</v>
      </c>
      <c r="L1627" s="137">
        <v>0</v>
      </c>
    </row>
    <row r="1628" spans="7:12" x14ac:dyDescent="0.25">
      <c r="G1628" s="136">
        <v>43353</v>
      </c>
      <c r="H1628" t="s">
        <v>188</v>
      </c>
      <c r="I1628" t="s">
        <v>226</v>
      </c>
      <c r="J1628" t="s">
        <v>347</v>
      </c>
      <c r="K1628" s="138">
        <v>278.75</v>
      </c>
      <c r="L1628" s="137">
        <v>0</v>
      </c>
    </row>
    <row r="1629" spans="7:12" x14ac:dyDescent="0.25">
      <c r="G1629" s="136">
        <v>43353</v>
      </c>
      <c r="H1629" t="s">
        <v>25</v>
      </c>
      <c r="I1629" t="s">
        <v>63</v>
      </c>
      <c r="J1629" t="s">
        <v>348</v>
      </c>
      <c r="K1629" s="138">
        <v>32</v>
      </c>
      <c r="L1629" s="137">
        <v>0</v>
      </c>
    </row>
    <row r="1630" spans="7:12" x14ac:dyDescent="0.25">
      <c r="G1630" s="136">
        <v>43353</v>
      </c>
      <c r="H1630" t="s">
        <v>25</v>
      </c>
      <c r="I1630" t="s">
        <v>63</v>
      </c>
      <c r="J1630" t="s">
        <v>348</v>
      </c>
      <c r="K1630" s="138">
        <v>8</v>
      </c>
      <c r="L1630" s="137">
        <v>0</v>
      </c>
    </row>
    <row r="1631" spans="7:12" x14ac:dyDescent="0.25">
      <c r="G1631" s="136">
        <v>43353</v>
      </c>
      <c r="H1631" t="s">
        <v>25</v>
      </c>
      <c r="I1631" t="s">
        <v>226</v>
      </c>
      <c r="J1631" t="s">
        <v>347</v>
      </c>
      <c r="K1631" s="138">
        <v>1534.32</v>
      </c>
      <c r="L1631" s="137">
        <v>0</v>
      </c>
    </row>
    <row r="1632" spans="7:12" x14ac:dyDescent="0.25">
      <c r="G1632" s="136">
        <v>43353</v>
      </c>
      <c r="H1632" t="s">
        <v>25</v>
      </c>
      <c r="I1632" t="s">
        <v>226</v>
      </c>
      <c r="J1632" t="s">
        <v>347</v>
      </c>
      <c r="K1632" s="138">
        <v>952.83</v>
      </c>
      <c r="L1632" s="137">
        <v>0</v>
      </c>
    </row>
    <row r="1633" spans="7:12" x14ac:dyDescent="0.25">
      <c r="G1633" s="136">
        <v>43353</v>
      </c>
      <c r="H1633" t="s">
        <v>25</v>
      </c>
      <c r="I1633" t="s">
        <v>226</v>
      </c>
      <c r="J1633" t="s">
        <v>347</v>
      </c>
      <c r="K1633" s="138">
        <v>882.86</v>
      </c>
      <c r="L1633" s="137">
        <v>0</v>
      </c>
    </row>
    <row r="1634" spans="7:12" x14ac:dyDescent="0.25">
      <c r="G1634" s="136">
        <v>43353</v>
      </c>
      <c r="H1634" t="s">
        <v>25</v>
      </c>
      <c r="I1634" t="s">
        <v>226</v>
      </c>
      <c r="J1634" t="s">
        <v>347</v>
      </c>
      <c r="K1634" s="138">
        <v>821.4</v>
      </c>
      <c r="L1634" s="137">
        <v>0</v>
      </c>
    </row>
    <row r="1635" spans="7:12" x14ac:dyDescent="0.25">
      <c r="G1635" s="136">
        <v>43353</v>
      </c>
      <c r="H1635" t="s">
        <v>25</v>
      </c>
      <c r="I1635" t="s">
        <v>226</v>
      </c>
      <c r="J1635" t="s">
        <v>347</v>
      </c>
      <c r="K1635" s="138">
        <v>751.63</v>
      </c>
      <c r="L1635" s="137">
        <v>0</v>
      </c>
    </row>
    <row r="1636" spans="7:12" x14ac:dyDescent="0.25">
      <c r="G1636" s="136">
        <v>43353</v>
      </c>
      <c r="H1636" t="s">
        <v>25</v>
      </c>
      <c r="I1636" t="s">
        <v>226</v>
      </c>
      <c r="J1636" t="s">
        <v>347</v>
      </c>
      <c r="K1636" s="138">
        <v>620.96</v>
      </c>
      <c r="L1636" s="137">
        <v>0</v>
      </c>
    </row>
    <row r="1637" spans="7:12" x14ac:dyDescent="0.25">
      <c r="G1637" s="136">
        <v>43353</v>
      </c>
      <c r="H1637" t="s">
        <v>25</v>
      </c>
      <c r="I1637" t="s">
        <v>226</v>
      </c>
      <c r="J1637" t="s">
        <v>347</v>
      </c>
      <c r="K1637" s="138">
        <v>602.92999999999995</v>
      </c>
      <c r="L1637" s="137">
        <v>0</v>
      </c>
    </row>
    <row r="1638" spans="7:12" x14ac:dyDescent="0.25">
      <c r="G1638" s="136">
        <v>43353</v>
      </c>
      <c r="H1638" t="s">
        <v>25</v>
      </c>
      <c r="I1638" t="s">
        <v>226</v>
      </c>
      <c r="J1638" t="s">
        <v>347</v>
      </c>
      <c r="K1638" s="138">
        <v>540.01</v>
      </c>
      <c r="L1638" s="137">
        <v>0</v>
      </c>
    </row>
    <row r="1639" spans="7:12" x14ac:dyDescent="0.25">
      <c r="G1639" s="136">
        <v>43353</v>
      </c>
      <c r="H1639" t="s">
        <v>25</v>
      </c>
      <c r="I1639" t="s">
        <v>226</v>
      </c>
      <c r="J1639" t="s">
        <v>347</v>
      </c>
      <c r="K1639" s="138">
        <v>516.44000000000005</v>
      </c>
      <c r="L1639" s="137">
        <v>0</v>
      </c>
    </row>
    <row r="1640" spans="7:12" x14ac:dyDescent="0.25">
      <c r="G1640" s="136">
        <v>43353</v>
      </c>
      <c r="H1640" t="s">
        <v>25</v>
      </c>
      <c r="I1640" t="s">
        <v>226</v>
      </c>
      <c r="J1640" t="s">
        <v>347</v>
      </c>
      <c r="K1640" s="138">
        <v>492.88</v>
      </c>
      <c r="L1640" s="137">
        <v>0</v>
      </c>
    </row>
    <row r="1641" spans="7:12" x14ac:dyDescent="0.25">
      <c r="G1641" s="136">
        <v>43353</v>
      </c>
      <c r="H1641" t="s">
        <v>25</v>
      </c>
      <c r="I1641" t="s">
        <v>226</v>
      </c>
      <c r="J1641" t="s">
        <v>347</v>
      </c>
      <c r="K1641" s="138">
        <v>446.09</v>
      </c>
      <c r="L1641" s="137">
        <v>0</v>
      </c>
    </row>
    <row r="1642" spans="7:12" x14ac:dyDescent="0.25">
      <c r="G1642" s="136">
        <v>43353</v>
      </c>
      <c r="H1642" t="s">
        <v>25</v>
      </c>
      <c r="I1642" t="s">
        <v>226</v>
      </c>
      <c r="J1642" t="s">
        <v>347</v>
      </c>
      <c r="K1642" s="138">
        <v>389.07</v>
      </c>
      <c r="L1642" s="137">
        <v>0</v>
      </c>
    </row>
    <row r="1643" spans="7:12" x14ac:dyDescent="0.25">
      <c r="G1643" s="136">
        <v>43353</v>
      </c>
      <c r="H1643" t="s">
        <v>25</v>
      </c>
      <c r="I1643" t="s">
        <v>226</v>
      </c>
      <c r="J1643" t="s">
        <v>347</v>
      </c>
      <c r="K1643" s="138">
        <v>337.57</v>
      </c>
      <c r="L1643" s="137">
        <v>0</v>
      </c>
    </row>
    <row r="1644" spans="7:12" x14ac:dyDescent="0.25">
      <c r="G1644" s="136">
        <v>43353</v>
      </c>
      <c r="H1644" t="s">
        <v>25</v>
      </c>
      <c r="I1644" t="s">
        <v>226</v>
      </c>
      <c r="J1644" t="s">
        <v>347</v>
      </c>
      <c r="K1644" s="138">
        <v>262.12</v>
      </c>
      <c r="L1644" s="137">
        <v>0</v>
      </c>
    </row>
    <row r="1645" spans="7:12" x14ac:dyDescent="0.25">
      <c r="G1645" s="136">
        <v>43353</v>
      </c>
      <c r="H1645" t="s">
        <v>25</v>
      </c>
      <c r="I1645" t="s">
        <v>226</v>
      </c>
      <c r="J1645" t="s">
        <v>347</v>
      </c>
      <c r="K1645" s="138">
        <v>224.35</v>
      </c>
      <c r="L1645" s="137">
        <v>0</v>
      </c>
    </row>
    <row r="1646" spans="7:12" x14ac:dyDescent="0.25">
      <c r="G1646" s="136">
        <v>43353</v>
      </c>
      <c r="H1646" t="s">
        <v>25</v>
      </c>
      <c r="I1646" t="s">
        <v>226</v>
      </c>
      <c r="J1646" t="s">
        <v>347</v>
      </c>
      <c r="K1646" s="138">
        <v>188.36</v>
      </c>
      <c r="L1646" s="137">
        <v>0</v>
      </c>
    </row>
    <row r="1647" spans="7:12" x14ac:dyDescent="0.25">
      <c r="G1647" s="136">
        <v>43353</v>
      </c>
      <c r="H1647" t="s">
        <v>25</v>
      </c>
      <c r="I1647" t="s">
        <v>226</v>
      </c>
      <c r="J1647" t="s">
        <v>347</v>
      </c>
      <c r="K1647" s="138">
        <v>158.68</v>
      </c>
      <c r="L1647" s="137">
        <v>0</v>
      </c>
    </row>
    <row r="1648" spans="7:12" x14ac:dyDescent="0.25">
      <c r="G1648" s="136">
        <v>43353</v>
      </c>
      <c r="H1648" t="s">
        <v>25</v>
      </c>
      <c r="I1648" t="s">
        <v>226</v>
      </c>
      <c r="J1648" t="s">
        <v>347</v>
      </c>
      <c r="K1648" s="138">
        <v>128.56</v>
      </c>
      <c r="L1648" s="137">
        <v>0</v>
      </c>
    </row>
    <row r="1649" spans="7:12" x14ac:dyDescent="0.25">
      <c r="G1649" s="136">
        <v>43353</v>
      </c>
      <c r="H1649" t="s">
        <v>25</v>
      </c>
      <c r="I1649" t="s">
        <v>226</v>
      </c>
      <c r="J1649" t="s">
        <v>347</v>
      </c>
      <c r="K1649" s="138">
        <v>110.13</v>
      </c>
      <c r="L1649" s="137">
        <v>0</v>
      </c>
    </row>
    <row r="1650" spans="7:12" x14ac:dyDescent="0.25">
      <c r="G1650" s="136">
        <v>43353</v>
      </c>
      <c r="H1650" t="s">
        <v>25</v>
      </c>
      <c r="I1650" t="s">
        <v>226</v>
      </c>
      <c r="J1650" t="s">
        <v>347</v>
      </c>
      <c r="K1650" s="138">
        <v>100.66</v>
      </c>
      <c r="L1650" s="137">
        <v>0</v>
      </c>
    </row>
    <row r="1651" spans="7:12" x14ac:dyDescent="0.25">
      <c r="G1651" s="136">
        <v>43353</v>
      </c>
      <c r="H1651" t="s">
        <v>25</v>
      </c>
      <c r="I1651" t="s">
        <v>226</v>
      </c>
      <c r="J1651" t="s">
        <v>347</v>
      </c>
      <c r="K1651" s="138">
        <v>69.489999999999995</v>
      </c>
      <c r="L1651" s="137">
        <v>0</v>
      </c>
    </row>
    <row r="1652" spans="7:12" x14ac:dyDescent="0.25">
      <c r="G1652" s="136">
        <v>43353</v>
      </c>
      <c r="H1652" t="s">
        <v>25</v>
      </c>
      <c r="I1652" t="s">
        <v>226</v>
      </c>
      <c r="J1652" t="s">
        <v>347</v>
      </c>
      <c r="K1652" s="138">
        <v>55.5</v>
      </c>
      <c r="L1652" s="137">
        <v>0</v>
      </c>
    </row>
    <row r="1653" spans="7:12" x14ac:dyDescent="0.25">
      <c r="G1653" s="136">
        <v>43353</v>
      </c>
      <c r="H1653" t="s">
        <v>25</v>
      </c>
      <c r="I1653" t="s">
        <v>226</v>
      </c>
      <c r="J1653" t="s">
        <v>347</v>
      </c>
      <c r="K1653" s="138">
        <v>53.14</v>
      </c>
      <c r="L1653" s="137">
        <v>0</v>
      </c>
    </row>
    <row r="1654" spans="7:12" x14ac:dyDescent="0.25">
      <c r="G1654" s="136">
        <v>43353</v>
      </c>
      <c r="H1654" t="s">
        <v>25</v>
      </c>
      <c r="I1654" t="s">
        <v>226</v>
      </c>
      <c r="J1654" t="s">
        <v>347</v>
      </c>
      <c r="K1654" s="138">
        <v>35.549999999999997</v>
      </c>
      <c r="L1654" s="137">
        <v>0</v>
      </c>
    </row>
    <row r="1655" spans="7:12" x14ac:dyDescent="0.25">
      <c r="G1655" s="136">
        <v>43353</v>
      </c>
      <c r="H1655" t="s">
        <v>25</v>
      </c>
      <c r="I1655" t="s">
        <v>226</v>
      </c>
      <c r="J1655" t="s">
        <v>347</v>
      </c>
      <c r="K1655" s="138">
        <v>33.85</v>
      </c>
      <c r="L1655" s="137">
        <v>0</v>
      </c>
    </row>
    <row r="1656" spans="7:12" x14ac:dyDescent="0.25">
      <c r="G1656" s="136">
        <v>43353</v>
      </c>
      <c r="H1656" t="s">
        <v>25</v>
      </c>
      <c r="I1656" t="s">
        <v>226</v>
      </c>
      <c r="J1656" t="s">
        <v>347</v>
      </c>
      <c r="K1656" s="138">
        <v>26.47</v>
      </c>
      <c r="L1656" s="137">
        <v>0</v>
      </c>
    </row>
    <row r="1657" spans="7:12" x14ac:dyDescent="0.25">
      <c r="G1657" s="136">
        <v>43353</v>
      </c>
      <c r="H1657" t="s">
        <v>25</v>
      </c>
      <c r="I1657" t="s">
        <v>226</v>
      </c>
      <c r="J1657" t="s">
        <v>347</v>
      </c>
      <c r="K1657" s="138">
        <v>19.489999999999998</v>
      </c>
      <c r="L1657" s="137">
        <v>0</v>
      </c>
    </row>
    <row r="1658" spans="7:12" x14ac:dyDescent="0.25">
      <c r="G1658" s="136">
        <v>43353</v>
      </c>
      <c r="H1658" t="s">
        <v>180</v>
      </c>
      <c r="I1658" t="s">
        <v>226</v>
      </c>
      <c r="J1658" t="s">
        <v>347</v>
      </c>
      <c r="K1658" s="138">
        <v>86.85</v>
      </c>
      <c r="L1658" s="137">
        <v>0</v>
      </c>
    </row>
    <row r="1659" spans="7:12" x14ac:dyDescent="0.25">
      <c r="G1659" s="136">
        <v>43353</v>
      </c>
      <c r="H1659" t="s">
        <v>179</v>
      </c>
      <c r="I1659" t="s">
        <v>226</v>
      </c>
      <c r="J1659" t="s">
        <v>347</v>
      </c>
      <c r="K1659" s="138">
        <v>344.36</v>
      </c>
      <c r="L1659" s="137">
        <v>0</v>
      </c>
    </row>
    <row r="1660" spans="7:12" x14ac:dyDescent="0.25">
      <c r="G1660" s="136">
        <v>43353</v>
      </c>
      <c r="H1660" t="s">
        <v>28</v>
      </c>
      <c r="I1660" t="s">
        <v>66</v>
      </c>
      <c r="J1660" t="s">
        <v>111</v>
      </c>
      <c r="K1660" s="138">
        <v>2.25</v>
      </c>
      <c r="L1660" s="137">
        <v>0</v>
      </c>
    </row>
    <row r="1661" spans="7:12" x14ac:dyDescent="0.25">
      <c r="G1661" s="136">
        <v>43353</v>
      </c>
      <c r="H1661" t="s">
        <v>28</v>
      </c>
      <c r="I1661" t="s">
        <v>226</v>
      </c>
      <c r="J1661" t="s">
        <v>347</v>
      </c>
      <c r="K1661" s="138">
        <v>268.72000000000003</v>
      </c>
      <c r="L1661" s="137">
        <v>0</v>
      </c>
    </row>
    <row r="1662" spans="7:12" x14ac:dyDescent="0.25">
      <c r="G1662" s="136">
        <v>43353</v>
      </c>
      <c r="H1662" t="s">
        <v>28</v>
      </c>
      <c r="I1662" t="s">
        <v>226</v>
      </c>
      <c r="J1662" t="s">
        <v>347</v>
      </c>
      <c r="K1662" s="138">
        <v>37.04</v>
      </c>
      <c r="L1662" s="137">
        <v>0</v>
      </c>
    </row>
    <row r="1663" spans="7:12" x14ac:dyDescent="0.25">
      <c r="G1663" s="136">
        <v>43353</v>
      </c>
      <c r="H1663" t="s">
        <v>28</v>
      </c>
      <c r="I1663" t="s">
        <v>226</v>
      </c>
      <c r="J1663" t="s">
        <v>347</v>
      </c>
      <c r="K1663" s="138">
        <v>34.28</v>
      </c>
      <c r="L1663" s="137">
        <v>0</v>
      </c>
    </row>
    <row r="1664" spans="7:12" x14ac:dyDescent="0.25">
      <c r="G1664" s="136">
        <v>43353</v>
      </c>
      <c r="H1664" t="s">
        <v>28</v>
      </c>
      <c r="I1664" t="s">
        <v>226</v>
      </c>
      <c r="J1664" t="s">
        <v>347</v>
      </c>
      <c r="K1664" s="138">
        <v>26.81</v>
      </c>
      <c r="L1664" s="137">
        <v>0</v>
      </c>
    </row>
    <row r="1665" spans="7:12" x14ac:dyDescent="0.25">
      <c r="G1665" s="136">
        <v>43353</v>
      </c>
      <c r="H1665" t="s">
        <v>28</v>
      </c>
      <c r="I1665" t="s">
        <v>226</v>
      </c>
      <c r="J1665" t="s">
        <v>347</v>
      </c>
      <c r="K1665" s="138">
        <v>21.04</v>
      </c>
      <c r="L1665" s="137">
        <v>0</v>
      </c>
    </row>
    <row r="1666" spans="7:12" x14ac:dyDescent="0.25">
      <c r="G1666" s="136">
        <v>43353</v>
      </c>
      <c r="H1666" t="s">
        <v>28</v>
      </c>
      <c r="I1666" t="s">
        <v>226</v>
      </c>
      <c r="J1666" t="s">
        <v>347</v>
      </c>
      <c r="K1666" s="138">
        <v>17.34</v>
      </c>
      <c r="L1666" s="137">
        <v>0</v>
      </c>
    </row>
    <row r="1667" spans="7:12" x14ac:dyDescent="0.25">
      <c r="G1667" s="136">
        <v>43354</v>
      </c>
      <c r="H1667" t="s">
        <v>192</v>
      </c>
      <c r="I1667" t="s">
        <v>112</v>
      </c>
      <c r="J1667" t="s">
        <v>349</v>
      </c>
      <c r="K1667" s="138">
        <v>17.2</v>
      </c>
      <c r="L1667" s="137">
        <v>0</v>
      </c>
    </row>
    <row r="1668" spans="7:12" x14ac:dyDescent="0.25">
      <c r="G1668" s="136">
        <v>43354</v>
      </c>
      <c r="H1668" t="s">
        <v>184</v>
      </c>
      <c r="I1668" t="s">
        <v>42</v>
      </c>
      <c r="J1668" t="s">
        <v>349</v>
      </c>
      <c r="K1668" s="138">
        <v>43.2</v>
      </c>
      <c r="L1668" s="137">
        <v>0</v>
      </c>
    </row>
    <row r="1669" spans="7:12" x14ac:dyDescent="0.25">
      <c r="G1669" s="136">
        <v>43354</v>
      </c>
      <c r="H1669" t="s">
        <v>183</v>
      </c>
      <c r="I1669" t="s">
        <v>63</v>
      </c>
      <c r="J1669" t="s">
        <v>349</v>
      </c>
      <c r="K1669" s="138">
        <v>24</v>
      </c>
      <c r="L1669" s="137">
        <v>0</v>
      </c>
    </row>
    <row r="1670" spans="7:12" x14ac:dyDescent="0.25">
      <c r="G1670" s="136">
        <v>43354</v>
      </c>
      <c r="H1670" t="s">
        <v>183</v>
      </c>
      <c r="I1670" t="s">
        <v>178</v>
      </c>
      <c r="J1670" t="s">
        <v>349</v>
      </c>
      <c r="K1670" s="138">
        <v>50</v>
      </c>
      <c r="L1670" s="137">
        <v>0</v>
      </c>
    </row>
    <row r="1671" spans="7:12" x14ac:dyDescent="0.25">
      <c r="G1671" s="136">
        <v>43354</v>
      </c>
      <c r="H1671" t="s">
        <v>183</v>
      </c>
      <c r="I1671" t="s">
        <v>42</v>
      </c>
      <c r="J1671" t="s">
        <v>349</v>
      </c>
      <c r="K1671" s="138">
        <v>4.2</v>
      </c>
      <c r="L1671" s="137">
        <v>0</v>
      </c>
    </row>
    <row r="1672" spans="7:12" x14ac:dyDescent="0.25">
      <c r="G1672" s="136">
        <v>43354</v>
      </c>
      <c r="H1672" t="s">
        <v>191</v>
      </c>
      <c r="I1672" t="s">
        <v>163</v>
      </c>
      <c r="J1672" t="s">
        <v>349</v>
      </c>
      <c r="K1672" s="138">
        <v>35</v>
      </c>
      <c r="L1672" s="137">
        <v>0</v>
      </c>
    </row>
    <row r="1673" spans="7:12" x14ac:dyDescent="0.25">
      <c r="G1673" s="136">
        <v>43354</v>
      </c>
      <c r="H1673" t="s">
        <v>193</v>
      </c>
      <c r="I1673" t="s">
        <v>178</v>
      </c>
      <c r="J1673" t="s">
        <v>349</v>
      </c>
      <c r="K1673" s="138">
        <v>254.35</v>
      </c>
      <c r="L1673" s="137">
        <v>0</v>
      </c>
    </row>
    <row r="1674" spans="7:12" x14ac:dyDescent="0.25">
      <c r="G1674" s="136">
        <v>43354</v>
      </c>
      <c r="H1674" t="s">
        <v>193</v>
      </c>
      <c r="I1674" t="s">
        <v>112</v>
      </c>
      <c r="J1674" t="s">
        <v>349</v>
      </c>
      <c r="K1674" s="138">
        <v>23.99</v>
      </c>
      <c r="L1674" s="137">
        <v>0</v>
      </c>
    </row>
    <row r="1675" spans="7:12" x14ac:dyDescent="0.25">
      <c r="G1675" s="136">
        <v>43354</v>
      </c>
      <c r="H1675" t="s">
        <v>193</v>
      </c>
      <c r="I1675" t="s">
        <v>42</v>
      </c>
      <c r="J1675" t="s">
        <v>349</v>
      </c>
      <c r="K1675" s="138">
        <v>48.3</v>
      </c>
      <c r="L1675" s="137">
        <v>0</v>
      </c>
    </row>
    <row r="1676" spans="7:12" x14ac:dyDescent="0.25">
      <c r="G1676" s="136">
        <v>43354</v>
      </c>
      <c r="H1676" t="s">
        <v>188</v>
      </c>
      <c r="I1676" t="s">
        <v>42</v>
      </c>
      <c r="J1676" t="s">
        <v>349</v>
      </c>
      <c r="K1676" s="138">
        <v>10</v>
      </c>
      <c r="L1676" s="137">
        <v>0</v>
      </c>
    </row>
    <row r="1677" spans="7:12" x14ac:dyDescent="0.25">
      <c r="G1677" s="136">
        <v>43354</v>
      </c>
      <c r="H1677" t="s">
        <v>200</v>
      </c>
      <c r="I1677" t="s">
        <v>171</v>
      </c>
      <c r="J1677" t="s">
        <v>349</v>
      </c>
      <c r="K1677" s="138">
        <v>200.5</v>
      </c>
      <c r="L1677" s="137">
        <v>0</v>
      </c>
    </row>
    <row r="1678" spans="7:12" x14ac:dyDescent="0.25">
      <c r="G1678" s="136">
        <v>43354</v>
      </c>
      <c r="H1678" t="s">
        <v>25</v>
      </c>
      <c r="I1678" t="s">
        <v>63</v>
      </c>
      <c r="J1678" t="s">
        <v>349</v>
      </c>
      <c r="K1678" s="138">
        <v>24</v>
      </c>
      <c r="L1678" s="137">
        <v>0</v>
      </c>
    </row>
    <row r="1679" spans="7:12" x14ac:dyDescent="0.25">
      <c r="G1679" s="136">
        <v>43354</v>
      </c>
      <c r="H1679" t="s">
        <v>25</v>
      </c>
      <c r="I1679" t="s">
        <v>63</v>
      </c>
      <c r="J1679" t="s">
        <v>349</v>
      </c>
      <c r="K1679" s="138">
        <v>16</v>
      </c>
      <c r="L1679" s="137">
        <v>0</v>
      </c>
    </row>
    <row r="1680" spans="7:12" x14ac:dyDescent="0.25">
      <c r="G1680" s="136">
        <v>43354</v>
      </c>
      <c r="H1680" t="s">
        <v>25</v>
      </c>
      <c r="I1680" t="s">
        <v>42</v>
      </c>
      <c r="J1680" t="s">
        <v>349</v>
      </c>
      <c r="K1680" s="138">
        <v>130</v>
      </c>
      <c r="L1680" s="137">
        <v>0</v>
      </c>
    </row>
    <row r="1681" spans="7:12" x14ac:dyDescent="0.25">
      <c r="G1681" s="136">
        <v>43354</v>
      </c>
      <c r="H1681" t="s">
        <v>197</v>
      </c>
      <c r="I1681" t="s">
        <v>63</v>
      </c>
      <c r="J1681" t="s">
        <v>349</v>
      </c>
      <c r="K1681" s="138">
        <v>10.46</v>
      </c>
      <c r="L1681" s="137">
        <v>0</v>
      </c>
    </row>
    <row r="1682" spans="7:12" x14ac:dyDescent="0.25">
      <c r="G1682" s="136">
        <v>43354</v>
      </c>
      <c r="H1682" t="s">
        <v>197</v>
      </c>
      <c r="I1682" t="s">
        <v>112</v>
      </c>
      <c r="J1682" t="s">
        <v>349</v>
      </c>
      <c r="K1682" s="138">
        <v>195.56</v>
      </c>
      <c r="L1682" s="137">
        <v>0</v>
      </c>
    </row>
    <row r="1683" spans="7:12" x14ac:dyDescent="0.25">
      <c r="G1683" s="136">
        <v>43354</v>
      </c>
      <c r="H1683" t="s">
        <v>197</v>
      </c>
      <c r="I1683" t="s">
        <v>176</v>
      </c>
      <c r="J1683" t="s">
        <v>349</v>
      </c>
      <c r="K1683" s="138">
        <v>211.95</v>
      </c>
      <c r="L1683" s="137">
        <v>0</v>
      </c>
    </row>
    <row r="1684" spans="7:12" x14ac:dyDescent="0.25">
      <c r="G1684" s="136">
        <v>43354</v>
      </c>
      <c r="H1684" t="s">
        <v>196</v>
      </c>
      <c r="I1684" t="s">
        <v>112</v>
      </c>
      <c r="J1684" t="s">
        <v>349</v>
      </c>
      <c r="K1684" s="138">
        <v>112</v>
      </c>
      <c r="L1684" s="137">
        <v>0</v>
      </c>
    </row>
    <row r="1685" spans="7:12" x14ac:dyDescent="0.25">
      <c r="G1685" s="136">
        <v>43354</v>
      </c>
      <c r="H1685" t="s">
        <v>196</v>
      </c>
      <c r="I1685" t="s">
        <v>171</v>
      </c>
      <c r="J1685" t="s">
        <v>349</v>
      </c>
      <c r="K1685" s="138">
        <v>321.10000000000002</v>
      </c>
      <c r="L1685" s="137">
        <v>0</v>
      </c>
    </row>
    <row r="1686" spans="7:12" x14ac:dyDescent="0.25">
      <c r="G1686" s="136">
        <v>43354</v>
      </c>
      <c r="H1686" t="s">
        <v>180</v>
      </c>
      <c r="I1686" t="s">
        <v>42</v>
      </c>
      <c r="J1686" t="s">
        <v>349</v>
      </c>
      <c r="K1686" s="138">
        <v>12.45</v>
      </c>
      <c r="L1686" s="137">
        <v>0</v>
      </c>
    </row>
    <row r="1687" spans="7:12" x14ac:dyDescent="0.25">
      <c r="G1687" s="136">
        <v>43354</v>
      </c>
      <c r="H1687" t="s">
        <v>28</v>
      </c>
      <c r="I1687" t="s">
        <v>178</v>
      </c>
      <c r="J1687" t="s">
        <v>349</v>
      </c>
      <c r="K1687" s="138">
        <v>49.98</v>
      </c>
      <c r="L1687" s="137">
        <v>0</v>
      </c>
    </row>
    <row r="1688" spans="7:12" x14ac:dyDescent="0.25">
      <c r="G1688" s="136">
        <v>43354</v>
      </c>
      <c r="H1688" t="s">
        <v>28</v>
      </c>
      <c r="I1688" t="s">
        <v>112</v>
      </c>
      <c r="J1688" t="s">
        <v>349</v>
      </c>
      <c r="K1688" s="138">
        <v>161.53</v>
      </c>
      <c r="L1688" s="137">
        <v>0</v>
      </c>
    </row>
    <row r="1689" spans="7:12" x14ac:dyDescent="0.25">
      <c r="G1689" s="136">
        <v>43354</v>
      </c>
      <c r="H1689" t="s">
        <v>28</v>
      </c>
      <c r="I1689" t="s">
        <v>112</v>
      </c>
      <c r="J1689" t="s">
        <v>349</v>
      </c>
      <c r="K1689" s="138">
        <v>25.39</v>
      </c>
      <c r="L1689" s="137">
        <v>0</v>
      </c>
    </row>
    <row r="1690" spans="7:12" x14ac:dyDescent="0.25">
      <c r="G1690" s="136">
        <v>43354</v>
      </c>
      <c r="H1690" t="s">
        <v>28</v>
      </c>
      <c r="I1690" t="s">
        <v>112</v>
      </c>
      <c r="J1690" t="s">
        <v>349</v>
      </c>
      <c r="K1690" s="138">
        <v>17.98</v>
      </c>
      <c r="L1690" s="137">
        <v>0</v>
      </c>
    </row>
    <row r="1691" spans="7:12" x14ac:dyDescent="0.25">
      <c r="G1691" s="136">
        <v>43354</v>
      </c>
      <c r="H1691" t="s">
        <v>28</v>
      </c>
      <c r="I1691" t="s">
        <v>155</v>
      </c>
      <c r="J1691" t="s">
        <v>349</v>
      </c>
      <c r="K1691" s="138">
        <v>197.14</v>
      </c>
      <c r="L1691" s="137">
        <v>0</v>
      </c>
    </row>
    <row r="1692" spans="7:12" x14ac:dyDescent="0.25">
      <c r="G1692" s="136">
        <v>43354</v>
      </c>
      <c r="H1692" t="s">
        <v>28</v>
      </c>
      <c r="I1692" t="s">
        <v>155</v>
      </c>
      <c r="J1692" t="s">
        <v>349</v>
      </c>
      <c r="K1692" s="138">
        <v>176.12</v>
      </c>
      <c r="L1692" s="137">
        <v>0</v>
      </c>
    </row>
    <row r="1693" spans="7:12" x14ac:dyDescent="0.25">
      <c r="G1693" s="136">
        <v>43354</v>
      </c>
      <c r="H1693" t="s">
        <v>28</v>
      </c>
      <c r="I1693" t="s">
        <v>155</v>
      </c>
      <c r="J1693" t="s">
        <v>349</v>
      </c>
      <c r="K1693" s="138">
        <v>155.51</v>
      </c>
      <c r="L1693" s="137">
        <v>0</v>
      </c>
    </row>
    <row r="1694" spans="7:12" x14ac:dyDescent="0.25">
      <c r="G1694" s="136">
        <v>43354</v>
      </c>
      <c r="H1694" t="s">
        <v>28</v>
      </c>
      <c r="I1694" t="s">
        <v>155</v>
      </c>
      <c r="J1694" t="s">
        <v>349</v>
      </c>
      <c r="K1694" s="138">
        <v>144.53</v>
      </c>
      <c r="L1694" s="137">
        <v>0</v>
      </c>
    </row>
    <row r="1695" spans="7:12" x14ac:dyDescent="0.25">
      <c r="G1695" s="136">
        <v>43354</v>
      </c>
      <c r="H1695" t="s">
        <v>28</v>
      </c>
      <c r="I1695" t="s">
        <v>155</v>
      </c>
      <c r="J1695" t="s">
        <v>349</v>
      </c>
      <c r="K1695" s="138">
        <v>91.71</v>
      </c>
      <c r="L1695" s="137">
        <v>0</v>
      </c>
    </row>
    <row r="1696" spans="7:12" x14ac:dyDescent="0.25">
      <c r="G1696" s="136">
        <v>43354</v>
      </c>
      <c r="H1696" t="s">
        <v>28</v>
      </c>
      <c r="I1696" t="s">
        <v>155</v>
      </c>
      <c r="J1696" t="s">
        <v>349</v>
      </c>
      <c r="K1696" s="138">
        <v>89.33</v>
      </c>
      <c r="L1696" s="137">
        <v>0</v>
      </c>
    </row>
    <row r="1697" spans="7:12" x14ac:dyDescent="0.25">
      <c r="G1697" s="136">
        <v>43354</v>
      </c>
      <c r="H1697" t="s">
        <v>28</v>
      </c>
      <c r="I1697" t="s">
        <v>155</v>
      </c>
      <c r="J1697" t="s">
        <v>349</v>
      </c>
      <c r="K1697" s="138">
        <v>75.599999999999994</v>
      </c>
      <c r="L1697" s="137">
        <v>0</v>
      </c>
    </row>
    <row r="1698" spans="7:12" x14ac:dyDescent="0.25">
      <c r="G1698" s="136">
        <v>43354</v>
      </c>
      <c r="H1698" t="s">
        <v>28</v>
      </c>
      <c r="I1698" t="s">
        <v>155</v>
      </c>
      <c r="J1698" t="s">
        <v>349</v>
      </c>
      <c r="K1698" s="138">
        <v>54.04</v>
      </c>
      <c r="L1698" s="137">
        <v>0</v>
      </c>
    </row>
    <row r="1699" spans="7:12" x14ac:dyDescent="0.25">
      <c r="G1699" s="136">
        <v>43354</v>
      </c>
      <c r="H1699" t="s">
        <v>28</v>
      </c>
      <c r="I1699" t="s">
        <v>155</v>
      </c>
      <c r="J1699" t="s">
        <v>349</v>
      </c>
      <c r="K1699" s="138">
        <v>51.8</v>
      </c>
      <c r="L1699" s="137">
        <v>0</v>
      </c>
    </row>
    <row r="1700" spans="7:12" x14ac:dyDescent="0.25">
      <c r="G1700" s="136">
        <v>43354</v>
      </c>
      <c r="H1700" t="s">
        <v>28</v>
      </c>
      <c r="I1700" t="s">
        <v>155</v>
      </c>
      <c r="J1700" t="s">
        <v>349</v>
      </c>
      <c r="K1700" s="138">
        <v>39</v>
      </c>
      <c r="L1700" s="137">
        <v>0</v>
      </c>
    </row>
    <row r="1701" spans="7:12" x14ac:dyDescent="0.25">
      <c r="G1701" s="136">
        <v>43354</v>
      </c>
      <c r="H1701" t="s">
        <v>28</v>
      </c>
      <c r="I1701" t="s">
        <v>155</v>
      </c>
      <c r="J1701" t="s">
        <v>349</v>
      </c>
      <c r="K1701" s="138">
        <v>29.74</v>
      </c>
      <c r="L1701" s="137">
        <v>0</v>
      </c>
    </row>
    <row r="1702" spans="7:12" x14ac:dyDescent="0.25">
      <c r="G1702" s="136">
        <v>43354</v>
      </c>
      <c r="H1702" t="s">
        <v>28</v>
      </c>
      <c r="I1702" t="s">
        <v>155</v>
      </c>
      <c r="J1702" t="s">
        <v>349</v>
      </c>
      <c r="K1702" s="138">
        <v>22.75</v>
      </c>
      <c r="L1702" s="137">
        <v>0</v>
      </c>
    </row>
    <row r="1703" spans="7:12" x14ac:dyDescent="0.25">
      <c r="G1703" s="136">
        <v>43354</v>
      </c>
      <c r="H1703" t="s">
        <v>28</v>
      </c>
      <c r="I1703" t="s">
        <v>155</v>
      </c>
      <c r="J1703" t="s">
        <v>349</v>
      </c>
      <c r="K1703" s="138">
        <v>20.94</v>
      </c>
      <c r="L1703" s="137">
        <v>0</v>
      </c>
    </row>
    <row r="1704" spans="7:12" x14ac:dyDescent="0.25">
      <c r="G1704" s="136">
        <v>43354</v>
      </c>
      <c r="H1704" t="s">
        <v>28</v>
      </c>
      <c r="I1704" t="s">
        <v>155</v>
      </c>
      <c r="J1704" t="s">
        <v>349</v>
      </c>
      <c r="K1704" s="138">
        <v>5.89</v>
      </c>
      <c r="L1704" s="137">
        <v>0</v>
      </c>
    </row>
    <row r="1705" spans="7:12" x14ac:dyDescent="0.25">
      <c r="G1705" s="136">
        <v>43354</v>
      </c>
      <c r="H1705" t="s">
        <v>28</v>
      </c>
      <c r="I1705" t="s">
        <v>66</v>
      </c>
      <c r="J1705" t="s">
        <v>131</v>
      </c>
      <c r="K1705" s="138">
        <v>1.8</v>
      </c>
      <c r="L1705" s="137">
        <v>0</v>
      </c>
    </row>
    <row r="1706" spans="7:12" x14ac:dyDescent="0.25">
      <c r="G1706" s="136">
        <v>43354</v>
      </c>
      <c r="H1706" t="s">
        <v>28</v>
      </c>
      <c r="I1706" t="s">
        <v>66</v>
      </c>
      <c r="J1706" t="s">
        <v>125</v>
      </c>
      <c r="K1706" s="138">
        <v>7.35</v>
      </c>
      <c r="L1706" s="137">
        <v>0</v>
      </c>
    </row>
    <row r="1707" spans="7:12" x14ac:dyDescent="0.25">
      <c r="G1707" s="136">
        <v>43355</v>
      </c>
      <c r="H1707" t="s">
        <v>27</v>
      </c>
      <c r="I1707" t="s">
        <v>63</v>
      </c>
      <c r="J1707" t="s">
        <v>350</v>
      </c>
      <c r="K1707" s="138">
        <v>8</v>
      </c>
      <c r="L1707" s="137">
        <v>0</v>
      </c>
    </row>
    <row r="1708" spans="7:12" x14ac:dyDescent="0.25">
      <c r="G1708" s="136">
        <v>43355</v>
      </c>
      <c r="H1708" t="s">
        <v>25</v>
      </c>
      <c r="I1708" t="s">
        <v>63</v>
      </c>
      <c r="J1708" t="s">
        <v>350</v>
      </c>
      <c r="K1708" s="138">
        <v>40</v>
      </c>
      <c r="L1708" s="137">
        <v>0</v>
      </c>
    </row>
    <row r="1709" spans="7:12" x14ac:dyDescent="0.25">
      <c r="G1709" s="136">
        <v>43355</v>
      </c>
      <c r="H1709" t="s">
        <v>25</v>
      </c>
      <c r="I1709" t="s">
        <v>63</v>
      </c>
      <c r="J1709" t="s">
        <v>350</v>
      </c>
      <c r="K1709" s="138">
        <v>8</v>
      </c>
      <c r="L1709" s="137">
        <v>0</v>
      </c>
    </row>
    <row r="1710" spans="7:12" x14ac:dyDescent="0.25">
      <c r="G1710" s="136">
        <v>43355</v>
      </c>
      <c r="H1710" t="s">
        <v>180</v>
      </c>
      <c r="I1710" t="s">
        <v>63</v>
      </c>
      <c r="J1710" t="s">
        <v>350</v>
      </c>
      <c r="K1710" s="138">
        <v>59.97</v>
      </c>
      <c r="L1710" s="137">
        <v>0</v>
      </c>
    </row>
    <row r="1711" spans="7:12" x14ac:dyDescent="0.25">
      <c r="G1711" s="136">
        <v>43355</v>
      </c>
      <c r="H1711" t="s">
        <v>180</v>
      </c>
      <c r="I1711" t="s">
        <v>163</v>
      </c>
      <c r="J1711" t="s">
        <v>350</v>
      </c>
      <c r="K1711" s="138">
        <v>25.95</v>
      </c>
      <c r="L1711" s="137">
        <v>0</v>
      </c>
    </row>
    <row r="1712" spans="7:12" x14ac:dyDescent="0.25">
      <c r="G1712" s="136">
        <v>43355</v>
      </c>
      <c r="H1712" t="s">
        <v>28</v>
      </c>
      <c r="I1712" t="s">
        <v>66</v>
      </c>
      <c r="J1712" t="s">
        <v>136</v>
      </c>
      <c r="K1712" s="138">
        <v>3.7</v>
      </c>
      <c r="L1712" s="137">
        <v>0</v>
      </c>
    </row>
    <row r="1713" spans="7:12" x14ac:dyDescent="0.25">
      <c r="G1713" s="136">
        <v>43355</v>
      </c>
      <c r="H1713" t="s">
        <v>28</v>
      </c>
      <c r="I1713" t="s">
        <v>66</v>
      </c>
      <c r="J1713" t="s">
        <v>105</v>
      </c>
      <c r="K1713" s="138">
        <v>25</v>
      </c>
      <c r="L1713" s="137">
        <v>0</v>
      </c>
    </row>
    <row r="1714" spans="7:12" x14ac:dyDescent="0.25">
      <c r="G1714" s="136">
        <v>43355</v>
      </c>
      <c r="H1714" t="s">
        <v>28</v>
      </c>
      <c r="I1714" t="s">
        <v>66</v>
      </c>
      <c r="J1714" t="s">
        <v>107</v>
      </c>
      <c r="K1714" s="138">
        <v>6</v>
      </c>
      <c r="L1714" s="137">
        <v>0</v>
      </c>
    </row>
    <row r="1715" spans="7:12" x14ac:dyDescent="0.25">
      <c r="G1715" s="136">
        <v>43356</v>
      </c>
      <c r="H1715" t="s">
        <v>203</v>
      </c>
      <c r="I1715" t="s">
        <v>163</v>
      </c>
      <c r="J1715" t="s">
        <v>351</v>
      </c>
      <c r="K1715" s="138">
        <v>99.47</v>
      </c>
      <c r="L1715" s="137">
        <v>0</v>
      </c>
    </row>
    <row r="1716" spans="7:12" x14ac:dyDescent="0.25">
      <c r="G1716" s="136">
        <v>43356</v>
      </c>
      <c r="H1716" t="s">
        <v>27</v>
      </c>
      <c r="I1716" t="s">
        <v>42</v>
      </c>
      <c r="J1716" t="s">
        <v>351</v>
      </c>
      <c r="K1716" s="138">
        <v>168</v>
      </c>
      <c r="L1716" s="137">
        <v>0</v>
      </c>
    </row>
    <row r="1717" spans="7:12" x14ac:dyDescent="0.25">
      <c r="G1717" s="136">
        <v>43356</v>
      </c>
      <c r="H1717" t="s">
        <v>27</v>
      </c>
      <c r="I1717" t="s">
        <v>42</v>
      </c>
      <c r="J1717" t="s">
        <v>351</v>
      </c>
      <c r="K1717" s="138">
        <v>163.19999999999999</v>
      </c>
      <c r="L1717" s="137">
        <v>0</v>
      </c>
    </row>
    <row r="1718" spans="7:12" x14ac:dyDescent="0.25">
      <c r="G1718" s="136">
        <v>43356</v>
      </c>
      <c r="H1718" t="s">
        <v>25</v>
      </c>
      <c r="I1718" t="s">
        <v>42</v>
      </c>
      <c r="J1718" t="s">
        <v>351</v>
      </c>
      <c r="K1718" s="138">
        <v>216</v>
      </c>
      <c r="L1718" s="137">
        <v>0</v>
      </c>
    </row>
    <row r="1719" spans="7:12" x14ac:dyDescent="0.25">
      <c r="G1719" s="136">
        <v>43356</v>
      </c>
      <c r="H1719" t="s">
        <v>25</v>
      </c>
      <c r="I1719" t="s">
        <v>42</v>
      </c>
      <c r="J1719" t="s">
        <v>351</v>
      </c>
      <c r="K1719" s="138">
        <v>130</v>
      </c>
      <c r="L1719" s="137">
        <v>0</v>
      </c>
    </row>
    <row r="1720" spans="7:12" x14ac:dyDescent="0.25">
      <c r="G1720" s="136">
        <v>43356</v>
      </c>
      <c r="H1720" t="s">
        <v>28</v>
      </c>
      <c r="I1720" t="s">
        <v>66</v>
      </c>
      <c r="J1720" t="s">
        <v>136</v>
      </c>
      <c r="K1720" s="138">
        <v>3.7</v>
      </c>
      <c r="L1720" s="137">
        <v>0</v>
      </c>
    </row>
    <row r="1721" spans="7:12" x14ac:dyDescent="0.25">
      <c r="G1721" s="136">
        <v>43357</v>
      </c>
      <c r="H1721" t="s">
        <v>27</v>
      </c>
      <c r="I1721" t="s">
        <v>63</v>
      </c>
      <c r="J1721" t="s">
        <v>352</v>
      </c>
      <c r="K1721" s="138">
        <v>16</v>
      </c>
      <c r="L1721" s="137">
        <v>0</v>
      </c>
    </row>
    <row r="1722" spans="7:12" x14ac:dyDescent="0.25">
      <c r="G1722" s="136">
        <v>43357</v>
      </c>
      <c r="H1722" t="s">
        <v>27</v>
      </c>
      <c r="I1722" t="s">
        <v>63</v>
      </c>
      <c r="J1722" t="s">
        <v>352</v>
      </c>
      <c r="K1722" s="138">
        <v>8</v>
      </c>
      <c r="L1722" s="137">
        <v>0</v>
      </c>
    </row>
    <row r="1723" spans="7:12" x14ac:dyDescent="0.25">
      <c r="G1723" s="136">
        <v>43357</v>
      </c>
      <c r="H1723" t="s">
        <v>185</v>
      </c>
      <c r="I1723" t="s">
        <v>42</v>
      </c>
      <c r="J1723" t="s">
        <v>352</v>
      </c>
      <c r="K1723" s="138">
        <v>10</v>
      </c>
      <c r="L1723" s="137">
        <v>0</v>
      </c>
    </row>
    <row r="1724" spans="7:12" x14ac:dyDescent="0.25">
      <c r="G1724" s="136">
        <v>43357</v>
      </c>
      <c r="H1724" t="s">
        <v>184</v>
      </c>
      <c r="I1724" t="s">
        <v>176</v>
      </c>
      <c r="J1724" t="s">
        <v>352</v>
      </c>
      <c r="K1724" s="138">
        <v>0</v>
      </c>
      <c r="L1724" s="137">
        <v>32</v>
      </c>
    </row>
    <row r="1725" spans="7:12" x14ac:dyDescent="0.25">
      <c r="G1725" s="136">
        <v>43357</v>
      </c>
      <c r="H1725" t="s">
        <v>184</v>
      </c>
      <c r="I1725" t="s">
        <v>171</v>
      </c>
      <c r="J1725" t="s">
        <v>352</v>
      </c>
      <c r="K1725" s="138">
        <v>101.6</v>
      </c>
      <c r="L1725" s="137">
        <v>0</v>
      </c>
    </row>
    <row r="1726" spans="7:12" x14ac:dyDescent="0.25">
      <c r="G1726" s="136">
        <v>43357</v>
      </c>
      <c r="H1726" t="s">
        <v>195</v>
      </c>
      <c r="I1726" t="s">
        <v>178</v>
      </c>
      <c r="J1726" t="s">
        <v>352</v>
      </c>
      <c r="K1726" s="138">
        <v>41.71</v>
      </c>
      <c r="L1726" s="137">
        <v>0</v>
      </c>
    </row>
    <row r="1727" spans="7:12" x14ac:dyDescent="0.25">
      <c r="G1727" s="136">
        <v>43357</v>
      </c>
      <c r="H1727" t="s">
        <v>183</v>
      </c>
      <c r="I1727" t="s">
        <v>178</v>
      </c>
      <c r="J1727" t="s">
        <v>352</v>
      </c>
      <c r="K1727" s="138">
        <v>100</v>
      </c>
      <c r="L1727" s="137">
        <v>0</v>
      </c>
    </row>
    <row r="1728" spans="7:12" x14ac:dyDescent="0.25">
      <c r="G1728" s="136">
        <v>43357</v>
      </c>
      <c r="H1728" t="s">
        <v>183</v>
      </c>
      <c r="I1728" t="s">
        <v>42</v>
      </c>
      <c r="J1728" t="s">
        <v>352</v>
      </c>
      <c r="K1728" s="138">
        <v>10.85</v>
      </c>
      <c r="L1728" s="137">
        <v>0</v>
      </c>
    </row>
    <row r="1729" spans="7:12" x14ac:dyDescent="0.25">
      <c r="G1729" s="136">
        <v>43357</v>
      </c>
      <c r="H1729" t="s">
        <v>193</v>
      </c>
      <c r="I1729" t="s">
        <v>42</v>
      </c>
      <c r="J1729" t="s">
        <v>352</v>
      </c>
      <c r="K1729" s="138">
        <v>29.6</v>
      </c>
      <c r="L1729" s="137">
        <v>0</v>
      </c>
    </row>
    <row r="1730" spans="7:12" x14ac:dyDescent="0.25">
      <c r="G1730" s="136">
        <v>43357</v>
      </c>
      <c r="H1730" t="s">
        <v>188</v>
      </c>
      <c r="I1730" t="s">
        <v>175</v>
      </c>
      <c r="J1730" t="s">
        <v>352</v>
      </c>
      <c r="K1730" s="138">
        <v>75.94</v>
      </c>
      <c r="L1730" s="137">
        <v>0</v>
      </c>
    </row>
    <row r="1731" spans="7:12" x14ac:dyDescent="0.25">
      <c r="G1731" s="136">
        <v>43357</v>
      </c>
      <c r="H1731" t="s">
        <v>25</v>
      </c>
      <c r="I1731" t="s">
        <v>63</v>
      </c>
      <c r="J1731" t="s">
        <v>352</v>
      </c>
      <c r="K1731" s="138">
        <v>32</v>
      </c>
      <c r="L1731" s="137">
        <v>0</v>
      </c>
    </row>
    <row r="1732" spans="7:12" x14ac:dyDescent="0.25">
      <c r="G1732" s="136">
        <v>43357</v>
      </c>
      <c r="H1732" t="s">
        <v>25</v>
      </c>
      <c r="I1732" t="s">
        <v>63</v>
      </c>
      <c r="J1732" t="s">
        <v>352</v>
      </c>
      <c r="K1732" s="138">
        <v>8</v>
      </c>
      <c r="L1732" s="137">
        <v>0</v>
      </c>
    </row>
    <row r="1733" spans="7:12" x14ac:dyDescent="0.25">
      <c r="G1733" s="136">
        <v>43357</v>
      </c>
      <c r="H1733" t="s">
        <v>182</v>
      </c>
      <c r="I1733" t="s">
        <v>112</v>
      </c>
      <c r="J1733" t="s">
        <v>352</v>
      </c>
      <c r="K1733" s="138">
        <v>226.21</v>
      </c>
      <c r="L1733" s="137">
        <v>0</v>
      </c>
    </row>
    <row r="1734" spans="7:12" x14ac:dyDescent="0.25">
      <c r="G1734" s="136">
        <v>43357</v>
      </c>
      <c r="H1734" t="s">
        <v>182</v>
      </c>
      <c r="I1734" t="s">
        <v>155</v>
      </c>
      <c r="J1734" t="s">
        <v>352</v>
      </c>
      <c r="K1734" s="138">
        <v>129</v>
      </c>
      <c r="L1734" s="137">
        <v>0</v>
      </c>
    </row>
    <row r="1735" spans="7:12" x14ac:dyDescent="0.25">
      <c r="G1735" s="136">
        <v>43357</v>
      </c>
      <c r="H1735" t="s">
        <v>197</v>
      </c>
      <c r="I1735" t="s">
        <v>112</v>
      </c>
      <c r="J1735" t="s">
        <v>352</v>
      </c>
      <c r="K1735" s="138">
        <v>154.13</v>
      </c>
      <c r="L1735" s="137">
        <v>0</v>
      </c>
    </row>
    <row r="1736" spans="7:12" x14ac:dyDescent="0.25">
      <c r="G1736" s="136">
        <v>43357</v>
      </c>
      <c r="H1736" t="s">
        <v>197</v>
      </c>
      <c r="I1736" t="s">
        <v>176</v>
      </c>
      <c r="J1736" t="s">
        <v>352</v>
      </c>
      <c r="K1736" s="138">
        <v>40</v>
      </c>
      <c r="L1736" s="137">
        <v>0</v>
      </c>
    </row>
    <row r="1737" spans="7:12" x14ac:dyDescent="0.25">
      <c r="G1737" s="136">
        <v>43357</v>
      </c>
      <c r="H1737" t="s">
        <v>196</v>
      </c>
      <c r="I1737" t="s">
        <v>42</v>
      </c>
      <c r="J1737" t="s">
        <v>352</v>
      </c>
      <c r="K1737" s="138">
        <v>45.59</v>
      </c>
      <c r="L1737" s="137">
        <v>0</v>
      </c>
    </row>
    <row r="1738" spans="7:12" x14ac:dyDescent="0.25">
      <c r="G1738" s="136">
        <v>43357</v>
      </c>
      <c r="H1738" t="s">
        <v>28</v>
      </c>
      <c r="I1738" t="s">
        <v>155</v>
      </c>
      <c r="J1738" t="s">
        <v>352</v>
      </c>
      <c r="K1738" s="138">
        <v>48.01</v>
      </c>
      <c r="L1738" s="137">
        <v>0</v>
      </c>
    </row>
    <row r="1739" spans="7:12" x14ac:dyDescent="0.25">
      <c r="G1739" s="136">
        <v>43357</v>
      </c>
      <c r="H1739" t="s">
        <v>28</v>
      </c>
      <c r="I1739" t="s">
        <v>155</v>
      </c>
      <c r="J1739" t="s">
        <v>352</v>
      </c>
      <c r="K1739" s="138">
        <v>16.149999999999999</v>
      </c>
      <c r="L1739" s="137">
        <v>0</v>
      </c>
    </row>
    <row r="1740" spans="7:12" x14ac:dyDescent="0.25">
      <c r="G1740" s="136">
        <v>43357</v>
      </c>
      <c r="H1740" t="s">
        <v>28</v>
      </c>
      <c r="I1740" t="s">
        <v>66</v>
      </c>
      <c r="J1740" t="s">
        <v>104</v>
      </c>
      <c r="K1740" s="138">
        <v>2.4</v>
      </c>
      <c r="L1740" s="137">
        <v>0</v>
      </c>
    </row>
    <row r="1741" spans="7:12" x14ac:dyDescent="0.25">
      <c r="G1741" s="136">
        <v>43357</v>
      </c>
      <c r="H1741" t="s">
        <v>28</v>
      </c>
      <c r="I1741" t="s">
        <v>66</v>
      </c>
      <c r="J1741" t="s">
        <v>276</v>
      </c>
      <c r="K1741" s="138">
        <v>2.25</v>
      </c>
      <c r="L1741" s="137">
        <v>0</v>
      </c>
    </row>
    <row r="1742" spans="7:12" x14ac:dyDescent="0.25">
      <c r="G1742" s="136">
        <v>43357</v>
      </c>
      <c r="H1742" t="s">
        <v>28</v>
      </c>
      <c r="I1742" t="s">
        <v>66</v>
      </c>
      <c r="J1742" t="s">
        <v>123</v>
      </c>
      <c r="K1742" s="138">
        <v>9.75</v>
      </c>
      <c r="L1742" s="137">
        <v>0</v>
      </c>
    </row>
    <row r="1743" spans="7:12" x14ac:dyDescent="0.25">
      <c r="G1743" s="136">
        <v>43360</v>
      </c>
      <c r="H1743" t="s">
        <v>27</v>
      </c>
      <c r="I1743" t="s">
        <v>63</v>
      </c>
      <c r="J1743" t="s">
        <v>353</v>
      </c>
      <c r="K1743" s="138">
        <v>8</v>
      </c>
      <c r="L1743" s="137">
        <v>0</v>
      </c>
    </row>
    <row r="1744" spans="7:12" x14ac:dyDescent="0.25">
      <c r="G1744" s="136">
        <v>43360</v>
      </c>
      <c r="H1744" t="s">
        <v>183</v>
      </c>
      <c r="I1744" t="s">
        <v>42</v>
      </c>
      <c r="J1744" t="s">
        <v>353</v>
      </c>
      <c r="K1744" s="138">
        <v>29.83</v>
      </c>
      <c r="L1744" s="137">
        <v>0</v>
      </c>
    </row>
    <row r="1745" spans="7:12" x14ac:dyDescent="0.25">
      <c r="G1745" s="136">
        <v>43360</v>
      </c>
      <c r="H1745" t="s">
        <v>190</v>
      </c>
      <c r="I1745" t="s">
        <v>63</v>
      </c>
      <c r="J1745" t="s">
        <v>353</v>
      </c>
      <c r="K1745" s="138">
        <v>12</v>
      </c>
      <c r="L1745" s="137">
        <v>0</v>
      </c>
    </row>
    <row r="1746" spans="7:12" x14ac:dyDescent="0.25">
      <c r="G1746" s="136">
        <v>43360</v>
      </c>
      <c r="H1746" t="s">
        <v>190</v>
      </c>
      <c r="I1746" t="s">
        <v>42</v>
      </c>
      <c r="J1746" t="s">
        <v>353</v>
      </c>
      <c r="K1746" s="138">
        <v>10</v>
      </c>
      <c r="L1746" s="137">
        <v>0</v>
      </c>
    </row>
    <row r="1747" spans="7:12" x14ac:dyDescent="0.25">
      <c r="G1747" s="136">
        <v>43360</v>
      </c>
      <c r="H1747" t="s">
        <v>188</v>
      </c>
      <c r="I1747" t="s">
        <v>63</v>
      </c>
      <c r="J1747" t="s">
        <v>353</v>
      </c>
      <c r="K1747" s="138">
        <v>40.340000000000003</v>
      </c>
      <c r="L1747" s="137">
        <v>0</v>
      </c>
    </row>
    <row r="1748" spans="7:12" x14ac:dyDescent="0.25">
      <c r="G1748" s="136">
        <v>43360</v>
      </c>
      <c r="H1748" t="s">
        <v>25</v>
      </c>
      <c r="I1748" t="s">
        <v>63</v>
      </c>
      <c r="J1748" t="s">
        <v>353</v>
      </c>
      <c r="K1748" s="138">
        <v>56</v>
      </c>
      <c r="L1748" s="137">
        <v>0</v>
      </c>
    </row>
    <row r="1749" spans="7:12" x14ac:dyDescent="0.25">
      <c r="G1749" s="136">
        <v>43360</v>
      </c>
      <c r="H1749" t="s">
        <v>25</v>
      </c>
      <c r="I1749" t="s">
        <v>63</v>
      </c>
      <c r="J1749" t="s">
        <v>353</v>
      </c>
      <c r="K1749" s="138">
        <v>32</v>
      </c>
      <c r="L1749" s="137">
        <v>0</v>
      </c>
    </row>
    <row r="1750" spans="7:12" x14ac:dyDescent="0.25">
      <c r="G1750" s="136">
        <v>43360</v>
      </c>
      <c r="H1750" t="s">
        <v>25</v>
      </c>
      <c r="I1750" t="s">
        <v>63</v>
      </c>
      <c r="J1750" t="s">
        <v>353</v>
      </c>
      <c r="K1750" s="138">
        <v>24</v>
      </c>
      <c r="L1750" s="137">
        <v>0</v>
      </c>
    </row>
    <row r="1751" spans="7:12" x14ac:dyDescent="0.25">
      <c r="G1751" s="136">
        <v>43360</v>
      </c>
      <c r="H1751" t="s">
        <v>25</v>
      </c>
      <c r="I1751" t="s">
        <v>63</v>
      </c>
      <c r="J1751" t="s">
        <v>353</v>
      </c>
      <c r="K1751" s="138">
        <v>8</v>
      </c>
      <c r="L1751" s="137">
        <v>0</v>
      </c>
    </row>
    <row r="1752" spans="7:12" x14ac:dyDescent="0.25">
      <c r="G1752" s="136">
        <v>43360</v>
      </c>
      <c r="H1752" t="s">
        <v>187</v>
      </c>
      <c r="I1752" t="s">
        <v>42</v>
      </c>
      <c r="J1752" t="s">
        <v>353</v>
      </c>
      <c r="K1752" s="138">
        <v>82.01</v>
      </c>
      <c r="L1752" s="137">
        <v>0</v>
      </c>
    </row>
    <row r="1753" spans="7:12" x14ac:dyDescent="0.25">
      <c r="G1753" s="136">
        <v>43360</v>
      </c>
      <c r="H1753" t="s">
        <v>196</v>
      </c>
      <c r="I1753" t="s">
        <v>42</v>
      </c>
      <c r="J1753" t="s">
        <v>353</v>
      </c>
      <c r="K1753" s="138">
        <v>102.36</v>
      </c>
      <c r="L1753" s="137">
        <v>0</v>
      </c>
    </row>
    <row r="1754" spans="7:12" x14ac:dyDescent="0.25">
      <c r="G1754" s="136">
        <v>43360</v>
      </c>
      <c r="H1754" t="s">
        <v>180</v>
      </c>
      <c r="I1754" t="s">
        <v>42</v>
      </c>
      <c r="J1754" t="s">
        <v>353</v>
      </c>
      <c r="K1754" s="138">
        <v>106</v>
      </c>
      <c r="L1754" s="137">
        <v>0</v>
      </c>
    </row>
    <row r="1755" spans="7:12" x14ac:dyDescent="0.25">
      <c r="G1755" s="136">
        <v>43360</v>
      </c>
      <c r="H1755" t="s">
        <v>28</v>
      </c>
      <c r="I1755" t="s">
        <v>163</v>
      </c>
      <c r="J1755" t="s">
        <v>353</v>
      </c>
      <c r="K1755" s="138">
        <v>88.43</v>
      </c>
      <c r="L1755" s="137">
        <v>0</v>
      </c>
    </row>
    <row r="1756" spans="7:12" x14ac:dyDescent="0.25">
      <c r="G1756" s="136">
        <v>43360</v>
      </c>
      <c r="H1756" t="s">
        <v>28</v>
      </c>
      <c r="I1756" t="s">
        <v>112</v>
      </c>
      <c r="J1756" t="s">
        <v>353</v>
      </c>
      <c r="K1756" s="138">
        <v>96</v>
      </c>
      <c r="L1756" s="137">
        <v>0</v>
      </c>
    </row>
    <row r="1757" spans="7:12" x14ac:dyDescent="0.25">
      <c r="G1757" s="136">
        <v>43360</v>
      </c>
      <c r="H1757" t="s">
        <v>28</v>
      </c>
      <c r="I1757" t="s">
        <v>66</v>
      </c>
      <c r="J1757" t="s">
        <v>111</v>
      </c>
      <c r="K1757" s="138">
        <v>5.4</v>
      </c>
      <c r="L1757" s="137">
        <v>0</v>
      </c>
    </row>
    <row r="1758" spans="7:12" x14ac:dyDescent="0.25">
      <c r="G1758" s="136">
        <v>43360</v>
      </c>
      <c r="H1758" t="s">
        <v>28</v>
      </c>
      <c r="I1758" t="s">
        <v>66</v>
      </c>
      <c r="J1758" t="s">
        <v>118</v>
      </c>
      <c r="K1758" s="138">
        <v>5.55</v>
      </c>
      <c r="L1758" s="137">
        <v>0</v>
      </c>
    </row>
    <row r="1759" spans="7:12" x14ac:dyDescent="0.25">
      <c r="G1759" s="136">
        <v>43360</v>
      </c>
      <c r="H1759" t="s">
        <v>28</v>
      </c>
      <c r="I1759" t="s">
        <v>66</v>
      </c>
      <c r="J1759" t="s">
        <v>290</v>
      </c>
      <c r="K1759" s="138">
        <v>8.4</v>
      </c>
      <c r="L1759" s="137">
        <v>0</v>
      </c>
    </row>
    <row r="1760" spans="7:12" x14ac:dyDescent="0.25">
      <c r="G1760" s="136">
        <v>43360</v>
      </c>
      <c r="H1760" t="s">
        <v>28</v>
      </c>
      <c r="I1760" t="s">
        <v>66</v>
      </c>
      <c r="J1760" t="s">
        <v>107</v>
      </c>
      <c r="K1760" s="138">
        <v>4</v>
      </c>
      <c r="L1760" s="137">
        <v>0</v>
      </c>
    </row>
    <row r="1761" spans="7:12" x14ac:dyDescent="0.25">
      <c r="G1761" s="136">
        <v>43361</v>
      </c>
      <c r="H1761" t="s">
        <v>204</v>
      </c>
      <c r="I1761" t="s">
        <v>176</v>
      </c>
      <c r="J1761" t="s">
        <v>354</v>
      </c>
      <c r="K1761" s="138">
        <v>139.44999999999999</v>
      </c>
      <c r="L1761" s="137">
        <v>0</v>
      </c>
    </row>
    <row r="1762" spans="7:12" x14ac:dyDescent="0.25">
      <c r="G1762" s="136">
        <v>43361</v>
      </c>
      <c r="H1762" t="s">
        <v>203</v>
      </c>
      <c r="I1762" t="s">
        <v>176</v>
      </c>
      <c r="J1762" t="s">
        <v>354</v>
      </c>
      <c r="K1762" s="138">
        <v>639.4</v>
      </c>
      <c r="L1762" s="137">
        <v>0</v>
      </c>
    </row>
    <row r="1763" spans="7:12" x14ac:dyDescent="0.25">
      <c r="G1763" s="136">
        <v>43361</v>
      </c>
      <c r="H1763" t="s">
        <v>192</v>
      </c>
      <c r="I1763" t="s">
        <v>63</v>
      </c>
      <c r="J1763" t="s">
        <v>354</v>
      </c>
      <c r="K1763" s="138">
        <v>41.74</v>
      </c>
      <c r="L1763" s="137">
        <v>0</v>
      </c>
    </row>
    <row r="1764" spans="7:12" x14ac:dyDescent="0.25">
      <c r="G1764" s="136">
        <v>43361</v>
      </c>
      <c r="H1764" t="s">
        <v>192</v>
      </c>
      <c r="I1764" t="s">
        <v>163</v>
      </c>
      <c r="J1764" t="s">
        <v>354</v>
      </c>
      <c r="K1764" s="138">
        <v>36.35</v>
      </c>
      <c r="L1764" s="137">
        <v>0</v>
      </c>
    </row>
    <row r="1765" spans="7:12" x14ac:dyDescent="0.25">
      <c r="G1765" s="136">
        <v>43361</v>
      </c>
      <c r="H1765" t="s">
        <v>192</v>
      </c>
      <c r="I1765" t="s">
        <v>176</v>
      </c>
      <c r="J1765" t="s">
        <v>354</v>
      </c>
      <c r="K1765" s="138">
        <v>607.75</v>
      </c>
      <c r="L1765" s="137">
        <v>0</v>
      </c>
    </row>
    <row r="1766" spans="7:12" x14ac:dyDescent="0.25">
      <c r="G1766" s="136">
        <v>43361</v>
      </c>
      <c r="H1766" t="s">
        <v>25</v>
      </c>
      <c r="I1766" t="s">
        <v>63</v>
      </c>
      <c r="J1766" t="s">
        <v>354</v>
      </c>
      <c r="K1766" s="138">
        <v>48</v>
      </c>
      <c r="L1766" s="137">
        <v>0</v>
      </c>
    </row>
    <row r="1767" spans="7:12" x14ac:dyDescent="0.25">
      <c r="G1767" s="136">
        <v>43361</v>
      </c>
      <c r="H1767" t="s">
        <v>25</v>
      </c>
      <c r="I1767" t="s">
        <v>63</v>
      </c>
      <c r="J1767" t="s">
        <v>354</v>
      </c>
      <c r="K1767" s="138">
        <v>32</v>
      </c>
      <c r="L1767" s="137">
        <v>0</v>
      </c>
    </row>
    <row r="1768" spans="7:12" x14ac:dyDescent="0.25">
      <c r="G1768" s="136">
        <v>43361</v>
      </c>
      <c r="H1768" t="s">
        <v>25</v>
      </c>
      <c r="I1768" t="s">
        <v>63</v>
      </c>
      <c r="J1768" t="s">
        <v>354</v>
      </c>
      <c r="K1768" s="138">
        <v>16</v>
      </c>
      <c r="L1768" s="137">
        <v>0</v>
      </c>
    </row>
    <row r="1769" spans="7:12" x14ac:dyDescent="0.25">
      <c r="G1769" s="136">
        <v>43361</v>
      </c>
      <c r="H1769" t="s">
        <v>25</v>
      </c>
      <c r="I1769" t="s">
        <v>63</v>
      </c>
      <c r="J1769" t="s">
        <v>354</v>
      </c>
      <c r="K1769" s="138">
        <v>8</v>
      </c>
      <c r="L1769" s="137">
        <v>0</v>
      </c>
    </row>
    <row r="1770" spans="7:12" x14ac:dyDescent="0.25">
      <c r="G1770" s="136">
        <v>43361</v>
      </c>
      <c r="H1770" t="s">
        <v>201</v>
      </c>
      <c r="I1770" t="s">
        <v>63</v>
      </c>
      <c r="J1770" t="s">
        <v>354</v>
      </c>
      <c r="K1770" s="138">
        <v>166.14</v>
      </c>
      <c r="L1770" s="137">
        <v>0</v>
      </c>
    </row>
    <row r="1771" spans="7:12" x14ac:dyDescent="0.25">
      <c r="G1771" s="136">
        <v>43361</v>
      </c>
      <c r="H1771" t="s">
        <v>201</v>
      </c>
      <c r="I1771" t="s">
        <v>176</v>
      </c>
      <c r="J1771" t="s">
        <v>354</v>
      </c>
      <c r="K1771" s="138">
        <v>99.55</v>
      </c>
      <c r="L1771" s="137">
        <v>0</v>
      </c>
    </row>
    <row r="1772" spans="7:12" x14ac:dyDescent="0.25">
      <c r="G1772" s="136">
        <v>43361</v>
      </c>
      <c r="H1772" t="s">
        <v>207</v>
      </c>
      <c r="I1772" t="s">
        <v>176</v>
      </c>
      <c r="J1772" t="s">
        <v>354</v>
      </c>
      <c r="K1772" s="138">
        <v>23</v>
      </c>
      <c r="L1772" s="137">
        <v>0</v>
      </c>
    </row>
    <row r="1773" spans="7:12" x14ac:dyDescent="0.25">
      <c r="G1773" s="136">
        <v>43361</v>
      </c>
      <c r="H1773" t="s">
        <v>180</v>
      </c>
      <c r="I1773" t="s">
        <v>176</v>
      </c>
      <c r="J1773" t="s">
        <v>354</v>
      </c>
      <c r="K1773" s="138">
        <v>232.5</v>
      </c>
      <c r="L1773" s="137">
        <v>0</v>
      </c>
    </row>
    <row r="1774" spans="7:12" x14ac:dyDescent="0.25">
      <c r="G1774" s="136">
        <v>43361</v>
      </c>
      <c r="H1774" t="s">
        <v>179</v>
      </c>
      <c r="I1774" t="s">
        <v>176</v>
      </c>
      <c r="J1774" t="s">
        <v>354</v>
      </c>
      <c r="K1774" s="138">
        <v>884.55</v>
      </c>
      <c r="L1774" s="137">
        <v>0</v>
      </c>
    </row>
    <row r="1775" spans="7:12" x14ac:dyDescent="0.25">
      <c r="G1775" s="136">
        <v>43361</v>
      </c>
      <c r="H1775" t="s">
        <v>28</v>
      </c>
      <c r="I1775" t="s">
        <v>155</v>
      </c>
      <c r="J1775" t="s">
        <v>354</v>
      </c>
      <c r="K1775" s="138">
        <v>88.74</v>
      </c>
      <c r="L1775" s="137">
        <v>0</v>
      </c>
    </row>
    <row r="1776" spans="7:12" x14ac:dyDescent="0.25">
      <c r="G1776" s="136">
        <v>43361</v>
      </c>
      <c r="H1776" t="s">
        <v>28</v>
      </c>
      <c r="I1776" t="s">
        <v>155</v>
      </c>
      <c r="J1776" t="s">
        <v>354</v>
      </c>
      <c r="K1776" s="138">
        <v>83.55</v>
      </c>
      <c r="L1776" s="137">
        <v>0</v>
      </c>
    </row>
    <row r="1777" spans="7:12" x14ac:dyDescent="0.25">
      <c r="G1777" s="136">
        <v>43361</v>
      </c>
      <c r="H1777" t="s">
        <v>28</v>
      </c>
      <c r="I1777" t="s">
        <v>155</v>
      </c>
      <c r="J1777" t="s">
        <v>354</v>
      </c>
      <c r="K1777" s="138">
        <v>35.08</v>
      </c>
      <c r="L1777" s="137">
        <v>0</v>
      </c>
    </row>
    <row r="1778" spans="7:12" x14ac:dyDescent="0.25">
      <c r="G1778" s="136">
        <v>43361</v>
      </c>
      <c r="H1778" t="s">
        <v>28</v>
      </c>
      <c r="I1778" t="s">
        <v>155</v>
      </c>
      <c r="J1778" t="s">
        <v>354</v>
      </c>
      <c r="K1778" s="138">
        <v>31.15</v>
      </c>
      <c r="L1778" s="137">
        <v>0</v>
      </c>
    </row>
    <row r="1779" spans="7:12" x14ac:dyDescent="0.25">
      <c r="G1779" s="136">
        <v>43361</v>
      </c>
      <c r="H1779" t="s">
        <v>28</v>
      </c>
      <c r="I1779" t="s">
        <v>155</v>
      </c>
      <c r="J1779" t="s">
        <v>354</v>
      </c>
      <c r="K1779" s="138">
        <v>30</v>
      </c>
      <c r="L1779" s="137">
        <v>0</v>
      </c>
    </row>
    <row r="1780" spans="7:12" x14ac:dyDescent="0.25">
      <c r="G1780" s="136">
        <v>43361</v>
      </c>
      <c r="H1780" t="s">
        <v>28</v>
      </c>
      <c r="I1780" t="s">
        <v>155</v>
      </c>
      <c r="J1780" t="s">
        <v>354</v>
      </c>
      <c r="K1780" s="138">
        <v>18.95</v>
      </c>
      <c r="L1780" s="137">
        <v>0</v>
      </c>
    </row>
    <row r="1781" spans="7:12" x14ac:dyDescent="0.25">
      <c r="G1781" s="136">
        <v>43362</v>
      </c>
      <c r="H1781" t="s">
        <v>27</v>
      </c>
      <c r="I1781" t="s">
        <v>63</v>
      </c>
      <c r="J1781" t="s">
        <v>355</v>
      </c>
      <c r="K1781" s="138">
        <v>32</v>
      </c>
      <c r="L1781" s="137">
        <v>0</v>
      </c>
    </row>
    <row r="1782" spans="7:12" x14ac:dyDescent="0.25">
      <c r="G1782" s="136">
        <v>43362</v>
      </c>
      <c r="H1782" t="s">
        <v>200</v>
      </c>
      <c r="I1782" t="s">
        <v>163</v>
      </c>
      <c r="J1782" t="s">
        <v>355</v>
      </c>
      <c r="K1782" s="138">
        <v>592.47</v>
      </c>
      <c r="L1782" s="137">
        <v>0</v>
      </c>
    </row>
    <row r="1783" spans="7:12" x14ac:dyDescent="0.25">
      <c r="G1783" s="136">
        <v>43362</v>
      </c>
      <c r="H1783" t="s">
        <v>25</v>
      </c>
      <c r="I1783" t="s">
        <v>63</v>
      </c>
      <c r="J1783" t="s">
        <v>355</v>
      </c>
      <c r="K1783" s="138">
        <v>56</v>
      </c>
      <c r="L1783" s="137">
        <v>0</v>
      </c>
    </row>
    <row r="1784" spans="7:12" x14ac:dyDescent="0.25">
      <c r="G1784" s="136">
        <v>43362</v>
      </c>
      <c r="H1784" t="s">
        <v>25</v>
      </c>
      <c r="I1784" t="s">
        <v>63</v>
      </c>
      <c r="J1784" t="s">
        <v>355</v>
      </c>
      <c r="K1784" s="138">
        <v>48</v>
      </c>
      <c r="L1784" s="137">
        <v>0</v>
      </c>
    </row>
    <row r="1785" spans="7:12" x14ac:dyDescent="0.25">
      <c r="G1785" s="136">
        <v>43362</v>
      </c>
      <c r="H1785" t="s">
        <v>25</v>
      </c>
      <c r="I1785" t="s">
        <v>63</v>
      </c>
      <c r="J1785" t="s">
        <v>355</v>
      </c>
      <c r="K1785" s="138">
        <v>32</v>
      </c>
      <c r="L1785" s="137">
        <v>0</v>
      </c>
    </row>
    <row r="1786" spans="7:12" x14ac:dyDescent="0.25">
      <c r="G1786" s="136">
        <v>43362</v>
      </c>
      <c r="H1786" t="s">
        <v>25</v>
      </c>
      <c r="I1786" t="s">
        <v>63</v>
      </c>
      <c r="J1786" t="s">
        <v>355</v>
      </c>
      <c r="K1786" s="138">
        <v>24</v>
      </c>
      <c r="L1786" s="137">
        <v>0</v>
      </c>
    </row>
    <row r="1787" spans="7:12" x14ac:dyDescent="0.25">
      <c r="G1787" s="136">
        <v>43362</v>
      </c>
      <c r="H1787" t="s">
        <v>180</v>
      </c>
      <c r="I1787" t="s">
        <v>42</v>
      </c>
      <c r="J1787" t="s">
        <v>355</v>
      </c>
      <c r="K1787" s="138">
        <v>24.6</v>
      </c>
      <c r="L1787" s="137">
        <v>0</v>
      </c>
    </row>
    <row r="1788" spans="7:12" x14ac:dyDescent="0.25">
      <c r="G1788" s="136">
        <v>43363</v>
      </c>
      <c r="H1788" t="s">
        <v>192</v>
      </c>
      <c r="I1788" t="s">
        <v>175</v>
      </c>
      <c r="J1788" t="s">
        <v>356</v>
      </c>
      <c r="K1788" s="138">
        <v>43.2</v>
      </c>
      <c r="L1788" s="137">
        <v>0</v>
      </c>
    </row>
    <row r="1789" spans="7:12" x14ac:dyDescent="0.25">
      <c r="G1789" s="136">
        <v>43363</v>
      </c>
      <c r="H1789" t="s">
        <v>27</v>
      </c>
      <c r="I1789" t="s">
        <v>63</v>
      </c>
      <c r="J1789" t="s">
        <v>356</v>
      </c>
      <c r="K1789" s="138">
        <v>8</v>
      </c>
      <c r="L1789" s="137">
        <v>0</v>
      </c>
    </row>
    <row r="1790" spans="7:12" x14ac:dyDescent="0.25">
      <c r="G1790" s="136">
        <v>43363</v>
      </c>
      <c r="H1790" t="s">
        <v>212</v>
      </c>
      <c r="I1790" t="s">
        <v>42</v>
      </c>
      <c r="J1790" t="s">
        <v>356</v>
      </c>
      <c r="K1790" s="138">
        <v>54.34</v>
      </c>
      <c r="L1790" s="137">
        <v>0</v>
      </c>
    </row>
    <row r="1791" spans="7:12" x14ac:dyDescent="0.25">
      <c r="G1791" s="136">
        <v>43363</v>
      </c>
      <c r="H1791" t="s">
        <v>183</v>
      </c>
      <c r="I1791" t="s">
        <v>178</v>
      </c>
      <c r="J1791" t="s">
        <v>356</v>
      </c>
      <c r="K1791" s="138">
        <v>75</v>
      </c>
      <c r="L1791" s="137">
        <v>0</v>
      </c>
    </row>
    <row r="1792" spans="7:12" x14ac:dyDescent="0.25">
      <c r="G1792" s="136">
        <v>43363</v>
      </c>
      <c r="H1792" t="s">
        <v>191</v>
      </c>
      <c r="I1792" t="s">
        <v>175</v>
      </c>
      <c r="J1792" t="s">
        <v>356</v>
      </c>
      <c r="K1792" s="138">
        <v>80.06</v>
      </c>
      <c r="L1792" s="137">
        <v>0</v>
      </c>
    </row>
    <row r="1793" spans="7:12" x14ac:dyDescent="0.25">
      <c r="G1793" s="136">
        <v>43363</v>
      </c>
      <c r="H1793" t="s">
        <v>188</v>
      </c>
      <c r="I1793" t="s">
        <v>42</v>
      </c>
      <c r="J1793" t="s">
        <v>356</v>
      </c>
      <c r="K1793" s="138">
        <v>76</v>
      </c>
      <c r="L1793" s="137">
        <v>0</v>
      </c>
    </row>
    <row r="1794" spans="7:12" x14ac:dyDescent="0.25">
      <c r="G1794" s="136">
        <v>43363</v>
      </c>
      <c r="H1794" t="s">
        <v>25</v>
      </c>
      <c r="I1794" t="s">
        <v>63</v>
      </c>
      <c r="J1794" t="s">
        <v>356</v>
      </c>
      <c r="K1794" s="138">
        <v>24</v>
      </c>
      <c r="L1794" s="137">
        <v>0</v>
      </c>
    </row>
    <row r="1795" spans="7:12" x14ac:dyDescent="0.25">
      <c r="G1795" s="136">
        <v>43363</v>
      </c>
      <c r="H1795" t="s">
        <v>25</v>
      </c>
      <c r="I1795" t="s">
        <v>63</v>
      </c>
      <c r="J1795" t="s">
        <v>356</v>
      </c>
      <c r="K1795" s="138">
        <v>16</v>
      </c>
      <c r="L1795" s="137">
        <v>0</v>
      </c>
    </row>
    <row r="1796" spans="7:12" x14ac:dyDescent="0.25">
      <c r="G1796" s="136">
        <v>43363</v>
      </c>
      <c r="H1796" t="s">
        <v>25</v>
      </c>
      <c r="I1796" t="s">
        <v>63</v>
      </c>
      <c r="J1796" t="s">
        <v>356</v>
      </c>
      <c r="K1796" s="138">
        <v>8</v>
      </c>
      <c r="L1796" s="137">
        <v>0</v>
      </c>
    </row>
    <row r="1797" spans="7:12" x14ac:dyDescent="0.25">
      <c r="G1797" s="136">
        <v>43363</v>
      </c>
      <c r="H1797" t="s">
        <v>201</v>
      </c>
      <c r="I1797" t="s">
        <v>42</v>
      </c>
      <c r="J1797" t="s">
        <v>356</v>
      </c>
      <c r="K1797" s="138">
        <v>20</v>
      </c>
      <c r="L1797" s="137">
        <v>0</v>
      </c>
    </row>
    <row r="1798" spans="7:12" x14ac:dyDescent="0.25">
      <c r="G1798" s="136">
        <v>43363</v>
      </c>
      <c r="H1798" t="s">
        <v>207</v>
      </c>
      <c r="I1798" t="s">
        <v>63</v>
      </c>
      <c r="J1798" t="s">
        <v>356</v>
      </c>
      <c r="K1798" s="138">
        <v>20.329999999999998</v>
      </c>
      <c r="L1798" s="137">
        <v>0</v>
      </c>
    </row>
    <row r="1799" spans="7:12" x14ac:dyDescent="0.25">
      <c r="G1799" s="136">
        <v>43363</v>
      </c>
      <c r="H1799" t="s">
        <v>28</v>
      </c>
      <c r="I1799" t="s">
        <v>155</v>
      </c>
      <c r="J1799" t="s">
        <v>356</v>
      </c>
      <c r="K1799" s="138">
        <v>37.75</v>
      </c>
      <c r="L1799" s="137">
        <v>0</v>
      </c>
    </row>
    <row r="1800" spans="7:12" x14ac:dyDescent="0.25">
      <c r="G1800" s="136">
        <v>43363</v>
      </c>
      <c r="H1800" t="s">
        <v>28</v>
      </c>
      <c r="I1800" t="s">
        <v>155</v>
      </c>
      <c r="J1800" t="s">
        <v>356</v>
      </c>
      <c r="K1800" s="138">
        <v>25</v>
      </c>
      <c r="L1800" s="137">
        <v>0</v>
      </c>
    </row>
    <row r="1801" spans="7:12" x14ac:dyDescent="0.25">
      <c r="G1801" s="136">
        <v>43363</v>
      </c>
      <c r="H1801" t="s">
        <v>28</v>
      </c>
      <c r="I1801" t="s">
        <v>155</v>
      </c>
      <c r="J1801" t="s">
        <v>356</v>
      </c>
      <c r="K1801" s="138">
        <v>23.54</v>
      </c>
      <c r="L1801" s="137">
        <v>0</v>
      </c>
    </row>
    <row r="1802" spans="7:12" x14ac:dyDescent="0.25">
      <c r="G1802" s="136">
        <v>43363</v>
      </c>
      <c r="H1802" t="s">
        <v>28</v>
      </c>
      <c r="I1802" t="s">
        <v>155</v>
      </c>
      <c r="J1802" t="s">
        <v>356</v>
      </c>
      <c r="K1802" s="138">
        <v>14.3</v>
      </c>
      <c r="L1802" s="137">
        <v>0</v>
      </c>
    </row>
    <row r="1803" spans="7:12" x14ac:dyDescent="0.25">
      <c r="G1803" s="136">
        <v>43363</v>
      </c>
      <c r="H1803" t="s">
        <v>28</v>
      </c>
      <c r="I1803" t="s">
        <v>66</v>
      </c>
      <c r="J1803" t="s">
        <v>120</v>
      </c>
      <c r="K1803" s="138">
        <v>3</v>
      </c>
      <c r="L1803" s="137">
        <v>0</v>
      </c>
    </row>
    <row r="1804" spans="7:12" x14ac:dyDescent="0.25">
      <c r="G1804" s="136">
        <v>43364</v>
      </c>
      <c r="H1804" t="s">
        <v>184</v>
      </c>
      <c r="I1804" t="s">
        <v>171</v>
      </c>
      <c r="J1804" t="s">
        <v>357</v>
      </c>
      <c r="K1804" s="138">
        <v>35</v>
      </c>
      <c r="L1804" s="137">
        <v>0</v>
      </c>
    </row>
    <row r="1805" spans="7:12" x14ac:dyDescent="0.25">
      <c r="G1805" s="136">
        <v>43364</v>
      </c>
      <c r="H1805" t="s">
        <v>183</v>
      </c>
      <c r="I1805" t="s">
        <v>63</v>
      </c>
      <c r="J1805" t="s">
        <v>357</v>
      </c>
      <c r="K1805" s="138">
        <v>25</v>
      </c>
      <c r="L1805" s="137">
        <v>0</v>
      </c>
    </row>
    <row r="1806" spans="7:12" x14ac:dyDescent="0.25">
      <c r="G1806" s="136">
        <v>43364</v>
      </c>
      <c r="H1806" t="s">
        <v>200</v>
      </c>
      <c r="I1806" t="s">
        <v>42</v>
      </c>
      <c r="J1806" t="s">
        <v>357</v>
      </c>
      <c r="K1806" s="138">
        <v>371</v>
      </c>
      <c r="L1806" s="137">
        <v>0</v>
      </c>
    </row>
    <row r="1807" spans="7:12" x14ac:dyDescent="0.25">
      <c r="G1807" s="136">
        <v>43364</v>
      </c>
      <c r="H1807" t="s">
        <v>25</v>
      </c>
      <c r="I1807" t="s">
        <v>63</v>
      </c>
      <c r="J1807" t="s">
        <v>357</v>
      </c>
      <c r="K1807" s="138">
        <v>32</v>
      </c>
      <c r="L1807" s="137">
        <v>0</v>
      </c>
    </row>
    <row r="1808" spans="7:12" x14ac:dyDescent="0.25">
      <c r="G1808" s="136">
        <v>43364</v>
      </c>
      <c r="H1808" t="s">
        <v>25</v>
      </c>
      <c r="I1808" t="s">
        <v>63</v>
      </c>
      <c r="J1808" t="s">
        <v>357</v>
      </c>
      <c r="K1808" s="138">
        <v>16</v>
      </c>
      <c r="L1808" s="137">
        <v>0</v>
      </c>
    </row>
    <row r="1809" spans="7:12" x14ac:dyDescent="0.25">
      <c r="G1809" s="136">
        <v>43364</v>
      </c>
      <c r="H1809" t="s">
        <v>25</v>
      </c>
      <c r="I1809" t="s">
        <v>63</v>
      </c>
      <c r="J1809" t="s">
        <v>357</v>
      </c>
      <c r="K1809" s="138">
        <v>8</v>
      </c>
      <c r="L1809" s="137">
        <v>0</v>
      </c>
    </row>
    <row r="1810" spans="7:12" x14ac:dyDescent="0.25">
      <c r="G1810" s="136">
        <v>43364</v>
      </c>
      <c r="H1810" t="s">
        <v>28</v>
      </c>
      <c r="I1810" t="s">
        <v>66</v>
      </c>
      <c r="J1810" t="s">
        <v>320</v>
      </c>
      <c r="K1810" s="138">
        <v>3</v>
      </c>
      <c r="L1810" s="137">
        <v>0</v>
      </c>
    </row>
    <row r="1811" spans="7:12" x14ac:dyDescent="0.25">
      <c r="G1811" s="136">
        <v>43364</v>
      </c>
      <c r="H1811" t="s">
        <v>28</v>
      </c>
      <c r="I1811" t="s">
        <v>66</v>
      </c>
      <c r="J1811" t="s">
        <v>75</v>
      </c>
      <c r="K1811" s="138">
        <v>17.399999999999999</v>
      </c>
      <c r="L1811" s="137">
        <v>0</v>
      </c>
    </row>
    <row r="1812" spans="7:12" x14ac:dyDescent="0.25">
      <c r="G1812" s="136">
        <v>43364</v>
      </c>
      <c r="H1812" t="s">
        <v>28</v>
      </c>
      <c r="I1812" t="s">
        <v>66</v>
      </c>
      <c r="J1812" t="s">
        <v>137</v>
      </c>
      <c r="K1812" s="138">
        <v>3</v>
      </c>
      <c r="L1812" s="137">
        <v>0</v>
      </c>
    </row>
    <row r="1813" spans="7:12" x14ac:dyDescent="0.25">
      <c r="G1813" s="136">
        <v>43364</v>
      </c>
      <c r="H1813" t="s">
        <v>28</v>
      </c>
      <c r="I1813" t="s">
        <v>66</v>
      </c>
      <c r="J1813" t="s">
        <v>301</v>
      </c>
      <c r="K1813" s="138">
        <v>4.2</v>
      </c>
      <c r="L1813" s="137">
        <v>0</v>
      </c>
    </row>
    <row r="1814" spans="7:12" x14ac:dyDescent="0.25">
      <c r="G1814" s="136">
        <v>43364</v>
      </c>
      <c r="H1814" t="s">
        <v>28</v>
      </c>
      <c r="I1814" t="s">
        <v>42</v>
      </c>
      <c r="J1814" t="s">
        <v>357</v>
      </c>
      <c r="K1814" s="138">
        <v>132</v>
      </c>
      <c r="L1814" s="137">
        <v>0</v>
      </c>
    </row>
    <row r="1815" spans="7:12" x14ac:dyDescent="0.25">
      <c r="G1815" s="136">
        <v>43365</v>
      </c>
      <c r="H1815" t="s">
        <v>27</v>
      </c>
      <c r="I1815" t="s">
        <v>42</v>
      </c>
      <c r="J1815" t="s">
        <v>358</v>
      </c>
      <c r="K1815" s="138">
        <v>130</v>
      </c>
      <c r="L1815" s="137">
        <v>0</v>
      </c>
    </row>
    <row r="1816" spans="7:12" x14ac:dyDescent="0.25">
      <c r="G1816" s="136">
        <v>43365</v>
      </c>
      <c r="H1816" t="s">
        <v>183</v>
      </c>
      <c r="I1816" t="s">
        <v>163</v>
      </c>
      <c r="J1816" t="s">
        <v>358</v>
      </c>
      <c r="K1816" s="138">
        <v>44.62</v>
      </c>
      <c r="L1816" s="137">
        <v>0</v>
      </c>
    </row>
    <row r="1817" spans="7:12" x14ac:dyDescent="0.25">
      <c r="G1817" s="136">
        <v>43365</v>
      </c>
      <c r="H1817" t="s">
        <v>183</v>
      </c>
      <c r="I1817" t="s">
        <v>42</v>
      </c>
      <c r="J1817" t="s">
        <v>358</v>
      </c>
      <c r="K1817" s="138">
        <v>10.67</v>
      </c>
      <c r="L1817" s="137">
        <v>0</v>
      </c>
    </row>
    <row r="1818" spans="7:12" x14ac:dyDescent="0.25">
      <c r="G1818" s="136">
        <v>43365</v>
      </c>
      <c r="H1818" t="s">
        <v>181</v>
      </c>
      <c r="I1818" t="s">
        <v>42</v>
      </c>
      <c r="J1818" t="s">
        <v>358</v>
      </c>
      <c r="K1818" s="138">
        <v>52.3</v>
      </c>
      <c r="L1818" s="137">
        <v>0</v>
      </c>
    </row>
    <row r="1819" spans="7:12" x14ac:dyDescent="0.25">
      <c r="G1819" s="136">
        <v>43365</v>
      </c>
      <c r="H1819" t="s">
        <v>28</v>
      </c>
      <c r="I1819" t="s">
        <v>66</v>
      </c>
      <c r="J1819" t="s">
        <v>133</v>
      </c>
      <c r="K1819" s="138">
        <v>6</v>
      </c>
      <c r="L1819" s="137">
        <v>0</v>
      </c>
    </row>
    <row r="1820" spans="7:12" x14ac:dyDescent="0.25">
      <c r="G1820" s="136">
        <v>43367</v>
      </c>
      <c r="H1820" t="s">
        <v>192</v>
      </c>
      <c r="I1820" t="s">
        <v>155</v>
      </c>
      <c r="J1820" t="s">
        <v>359</v>
      </c>
      <c r="K1820" s="138">
        <v>178.7</v>
      </c>
      <c r="L1820" s="137">
        <v>0</v>
      </c>
    </row>
    <row r="1821" spans="7:12" x14ac:dyDescent="0.25">
      <c r="G1821" s="136">
        <v>43367</v>
      </c>
      <c r="H1821" t="s">
        <v>27</v>
      </c>
      <c r="I1821" t="s">
        <v>63</v>
      </c>
      <c r="J1821" t="s">
        <v>359</v>
      </c>
      <c r="K1821" s="138">
        <v>8</v>
      </c>
      <c r="L1821" s="137">
        <v>0</v>
      </c>
    </row>
    <row r="1822" spans="7:12" x14ac:dyDescent="0.25">
      <c r="G1822" s="136">
        <v>43367</v>
      </c>
      <c r="H1822" t="s">
        <v>183</v>
      </c>
      <c r="I1822" t="s">
        <v>42</v>
      </c>
      <c r="J1822" t="s">
        <v>359</v>
      </c>
      <c r="K1822" s="138">
        <v>9.98</v>
      </c>
      <c r="L1822" s="137">
        <v>0</v>
      </c>
    </row>
    <row r="1823" spans="7:12" x14ac:dyDescent="0.25">
      <c r="G1823" s="136">
        <v>43367</v>
      </c>
      <c r="H1823" t="s">
        <v>188</v>
      </c>
      <c r="I1823" t="s">
        <v>63</v>
      </c>
      <c r="J1823" t="s">
        <v>359</v>
      </c>
      <c r="K1823" s="138">
        <v>21.45</v>
      </c>
      <c r="L1823" s="137">
        <v>0</v>
      </c>
    </row>
    <row r="1824" spans="7:12" x14ac:dyDescent="0.25">
      <c r="G1824" s="136">
        <v>43367</v>
      </c>
      <c r="H1824" t="s">
        <v>188</v>
      </c>
      <c r="I1824" t="s">
        <v>112</v>
      </c>
      <c r="J1824" t="s">
        <v>359</v>
      </c>
      <c r="K1824" s="138">
        <v>15.1</v>
      </c>
      <c r="L1824" s="137">
        <v>0</v>
      </c>
    </row>
    <row r="1825" spans="7:12" x14ac:dyDescent="0.25">
      <c r="G1825" s="136">
        <v>43367</v>
      </c>
      <c r="H1825" t="s">
        <v>25</v>
      </c>
      <c r="I1825" t="s">
        <v>63</v>
      </c>
      <c r="J1825" t="s">
        <v>359</v>
      </c>
      <c r="K1825" s="138">
        <v>24</v>
      </c>
      <c r="L1825" s="137">
        <v>0</v>
      </c>
    </row>
    <row r="1826" spans="7:12" x14ac:dyDescent="0.25">
      <c r="G1826" s="136">
        <v>43367</v>
      </c>
      <c r="H1826" t="s">
        <v>25</v>
      </c>
      <c r="I1826" t="s">
        <v>63</v>
      </c>
      <c r="J1826" t="s">
        <v>359</v>
      </c>
      <c r="K1826" s="138">
        <v>16</v>
      </c>
      <c r="L1826" s="137">
        <v>0</v>
      </c>
    </row>
    <row r="1827" spans="7:12" x14ac:dyDescent="0.25">
      <c r="G1827" s="136">
        <v>43367</v>
      </c>
      <c r="H1827" t="s">
        <v>25</v>
      </c>
      <c r="I1827" t="s">
        <v>63</v>
      </c>
      <c r="J1827" t="s">
        <v>359</v>
      </c>
      <c r="K1827" s="138">
        <v>8</v>
      </c>
      <c r="L1827" s="137">
        <v>0</v>
      </c>
    </row>
    <row r="1828" spans="7:12" x14ac:dyDescent="0.25">
      <c r="G1828" s="136">
        <v>43367</v>
      </c>
      <c r="H1828" t="s">
        <v>207</v>
      </c>
      <c r="I1828" t="s">
        <v>176</v>
      </c>
      <c r="J1828" t="s">
        <v>359</v>
      </c>
      <c r="K1828" s="138">
        <v>11.5</v>
      </c>
      <c r="L1828" s="137">
        <v>0</v>
      </c>
    </row>
    <row r="1829" spans="7:12" x14ac:dyDescent="0.25">
      <c r="G1829" s="136">
        <v>43367</v>
      </c>
      <c r="H1829" t="s">
        <v>28</v>
      </c>
      <c r="I1829" t="s">
        <v>63</v>
      </c>
      <c r="J1829" t="s">
        <v>359</v>
      </c>
      <c r="K1829" s="138">
        <v>8</v>
      </c>
      <c r="L1829" s="137">
        <v>0</v>
      </c>
    </row>
    <row r="1830" spans="7:12" x14ac:dyDescent="0.25">
      <c r="G1830" s="136">
        <v>43367</v>
      </c>
      <c r="H1830" t="s">
        <v>28</v>
      </c>
      <c r="I1830" t="s">
        <v>112</v>
      </c>
      <c r="J1830" t="s">
        <v>359</v>
      </c>
      <c r="K1830" s="138">
        <v>14.19</v>
      </c>
      <c r="L1830" s="137">
        <v>0</v>
      </c>
    </row>
    <row r="1831" spans="7:12" x14ac:dyDescent="0.25">
      <c r="G1831" s="136">
        <v>43367</v>
      </c>
      <c r="H1831" t="s">
        <v>28</v>
      </c>
      <c r="I1831" t="s">
        <v>155</v>
      </c>
      <c r="J1831" t="s">
        <v>359</v>
      </c>
      <c r="K1831" s="138">
        <v>148.26</v>
      </c>
      <c r="L1831" s="137">
        <v>0</v>
      </c>
    </row>
    <row r="1832" spans="7:12" x14ac:dyDescent="0.25">
      <c r="G1832" s="136">
        <v>43367</v>
      </c>
      <c r="H1832" t="s">
        <v>28</v>
      </c>
      <c r="I1832" t="s">
        <v>155</v>
      </c>
      <c r="J1832" t="s">
        <v>359</v>
      </c>
      <c r="K1832" s="138">
        <v>22.54</v>
      </c>
      <c r="L1832" s="137">
        <v>0</v>
      </c>
    </row>
    <row r="1833" spans="7:12" x14ac:dyDescent="0.25">
      <c r="G1833" s="136">
        <v>43367</v>
      </c>
      <c r="H1833" t="s">
        <v>28</v>
      </c>
      <c r="I1833" t="s">
        <v>176</v>
      </c>
      <c r="J1833" t="s">
        <v>359</v>
      </c>
      <c r="K1833" s="138">
        <v>0</v>
      </c>
      <c r="L1833" s="137">
        <v>23</v>
      </c>
    </row>
    <row r="1834" spans="7:12" x14ac:dyDescent="0.25">
      <c r="G1834" s="136">
        <v>43367</v>
      </c>
      <c r="H1834" t="s">
        <v>28</v>
      </c>
      <c r="I1834" t="s">
        <v>66</v>
      </c>
      <c r="J1834" t="s">
        <v>320</v>
      </c>
      <c r="K1834" s="138">
        <v>3</v>
      </c>
      <c r="L1834" s="137">
        <v>0</v>
      </c>
    </row>
    <row r="1835" spans="7:12" x14ac:dyDescent="0.25">
      <c r="G1835" s="136">
        <v>43367</v>
      </c>
      <c r="H1835" t="s">
        <v>28</v>
      </c>
      <c r="I1835" t="s">
        <v>66</v>
      </c>
      <c r="J1835" t="s">
        <v>133</v>
      </c>
      <c r="K1835" s="138">
        <v>3.5</v>
      </c>
      <c r="L1835" s="137">
        <v>0</v>
      </c>
    </row>
    <row r="1836" spans="7:12" x14ac:dyDescent="0.25">
      <c r="G1836" s="136">
        <v>43367</v>
      </c>
      <c r="H1836" t="s">
        <v>28</v>
      </c>
      <c r="I1836" t="s">
        <v>66</v>
      </c>
      <c r="J1836" t="s">
        <v>137</v>
      </c>
      <c r="K1836" s="138">
        <v>3</v>
      </c>
      <c r="L1836" s="137">
        <v>0</v>
      </c>
    </row>
    <row r="1837" spans="7:12" x14ac:dyDescent="0.25">
      <c r="G1837" s="136">
        <v>43367</v>
      </c>
      <c r="H1837" t="s">
        <v>28</v>
      </c>
      <c r="I1837" t="s">
        <v>66</v>
      </c>
      <c r="J1837" t="s">
        <v>145</v>
      </c>
      <c r="K1837" s="138">
        <v>10.5</v>
      </c>
      <c r="L1837" s="137">
        <v>0</v>
      </c>
    </row>
    <row r="1838" spans="7:12" x14ac:dyDescent="0.25">
      <c r="G1838" s="136">
        <v>43367</v>
      </c>
      <c r="H1838" t="s">
        <v>28</v>
      </c>
      <c r="I1838" t="s">
        <v>66</v>
      </c>
      <c r="J1838" t="s">
        <v>115</v>
      </c>
      <c r="K1838" s="138">
        <v>2.25</v>
      </c>
      <c r="L1838" s="137">
        <v>0</v>
      </c>
    </row>
    <row r="1839" spans="7:12" x14ac:dyDescent="0.25">
      <c r="G1839" s="136">
        <v>43367</v>
      </c>
      <c r="H1839" t="s">
        <v>28</v>
      </c>
      <c r="I1839" t="s">
        <v>66</v>
      </c>
      <c r="J1839" t="s">
        <v>107</v>
      </c>
      <c r="K1839" s="138">
        <v>2.4</v>
      </c>
      <c r="L1839" s="137">
        <v>0</v>
      </c>
    </row>
    <row r="1840" spans="7:12" x14ac:dyDescent="0.25">
      <c r="G1840" s="136">
        <v>43367</v>
      </c>
      <c r="H1840" t="s">
        <v>28</v>
      </c>
      <c r="I1840" t="s">
        <v>42</v>
      </c>
      <c r="J1840" t="s">
        <v>359</v>
      </c>
      <c r="K1840" s="138">
        <v>34</v>
      </c>
      <c r="L1840" s="137">
        <v>0</v>
      </c>
    </row>
    <row r="1841" spans="7:12" x14ac:dyDescent="0.25">
      <c r="G1841" s="136">
        <v>43368</v>
      </c>
      <c r="H1841" t="s">
        <v>192</v>
      </c>
      <c r="I1841" t="s">
        <v>227</v>
      </c>
      <c r="J1841" t="s">
        <v>360</v>
      </c>
      <c r="K1841" s="138">
        <v>59.34</v>
      </c>
      <c r="L1841" s="137">
        <v>0</v>
      </c>
    </row>
    <row r="1842" spans="7:12" x14ac:dyDescent="0.25">
      <c r="G1842" s="136">
        <v>43368</v>
      </c>
      <c r="H1842" t="s">
        <v>192</v>
      </c>
      <c r="I1842" t="s">
        <v>42</v>
      </c>
      <c r="J1842" t="s">
        <v>361</v>
      </c>
      <c r="K1842" s="138">
        <v>10.029999999999999</v>
      </c>
      <c r="L1842" s="137">
        <v>0</v>
      </c>
    </row>
    <row r="1843" spans="7:12" x14ac:dyDescent="0.25">
      <c r="G1843" s="136">
        <v>43368</v>
      </c>
      <c r="H1843" t="s">
        <v>27</v>
      </c>
      <c r="I1843" t="s">
        <v>63</v>
      </c>
      <c r="J1843" t="s">
        <v>361</v>
      </c>
      <c r="K1843" s="138">
        <v>8</v>
      </c>
      <c r="L1843" s="137">
        <v>0</v>
      </c>
    </row>
    <row r="1844" spans="7:12" x14ac:dyDescent="0.25">
      <c r="G1844" s="136">
        <v>43368</v>
      </c>
      <c r="H1844" t="s">
        <v>27</v>
      </c>
      <c r="I1844" t="s">
        <v>227</v>
      </c>
      <c r="J1844" t="s">
        <v>360</v>
      </c>
      <c r="K1844" s="138">
        <v>94.73</v>
      </c>
      <c r="L1844" s="137">
        <v>0</v>
      </c>
    </row>
    <row r="1845" spans="7:12" x14ac:dyDescent="0.25">
      <c r="G1845" s="136">
        <v>43368</v>
      </c>
      <c r="H1845" t="s">
        <v>27</v>
      </c>
      <c r="I1845" t="s">
        <v>227</v>
      </c>
      <c r="J1845" t="s">
        <v>360</v>
      </c>
      <c r="K1845" s="138">
        <v>50.06</v>
      </c>
      <c r="L1845" s="137">
        <v>0</v>
      </c>
    </row>
    <row r="1846" spans="7:12" x14ac:dyDescent="0.25">
      <c r="G1846" s="136">
        <v>43368</v>
      </c>
      <c r="H1846" t="s">
        <v>27</v>
      </c>
      <c r="I1846" t="s">
        <v>227</v>
      </c>
      <c r="J1846" t="s">
        <v>360</v>
      </c>
      <c r="K1846" s="138">
        <v>44.56</v>
      </c>
      <c r="L1846" s="137">
        <v>0</v>
      </c>
    </row>
    <row r="1847" spans="7:12" x14ac:dyDescent="0.25">
      <c r="G1847" s="136">
        <v>43368</v>
      </c>
      <c r="H1847" t="s">
        <v>27</v>
      </c>
      <c r="I1847" t="s">
        <v>227</v>
      </c>
      <c r="J1847" t="s">
        <v>360</v>
      </c>
      <c r="K1847" s="138">
        <v>33.92</v>
      </c>
      <c r="L1847" s="137">
        <v>0</v>
      </c>
    </row>
    <row r="1848" spans="7:12" x14ac:dyDescent="0.25">
      <c r="G1848" s="136">
        <v>43368</v>
      </c>
      <c r="H1848" t="s">
        <v>27</v>
      </c>
      <c r="I1848" t="s">
        <v>227</v>
      </c>
      <c r="J1848" t="s">
        <v>360</v>
      </c>
      <c r="K1848" s="138">
        <v>32.17</v>
      </c>
      <c r="L1848" s="137">
        <v>0</v>
      </c>
    </row>
    <row r="1849" spans="7:12" x14ac:dyDescent="0.25">
      <c r="G1849" s="136">
        <v>43368</v>
      </c>
      <c r="H1849" t="s">
        <v>27</v>
      </c>
      <c r="I1849" t="s">
        <v>227</v>
      </c>
      <c r="J1849" t="s">
        <v>360</v>
      </c>
      <c r="K1849" s="138">
        <v>28.78</v>
      </c>
      <c r="L1849" s="137">
        <v>0</v>
      </c>
    </row>
    <row r="1850" spans="7:12" x14ac:dyDescent="0.25">
      <c r="G1850" s="136">
        <v>43368</v>
      </c>
      <c r="H1850" t="s">
        <v>27</v>
      </c>
      <c r="I1850" t="s">
        <v>227</v>
      </c>
      <c r="J1850" t="s">
        <v>360</v>
      </c>
      <c r="K1850" s="138">
        <v>28.7</v>
      </c>
      <c r="L1850" s="137">
        <v>0</v>
      </c>
    </row>
    <row r="1851" spans="7:12" x14ac:dyDescent="0.25">
      <c r="G1851" s="136">
        <v>43368</v>
      </c>
      <c r="H1851" t="s">
        <v>27</v>
      </c>
      <c r="I1851" t="s">
        <v>227</v>
      </c>
      <c r="J1851" t="s">
        <v>360</v>
      </c>
      <c r="K1851" s="138">
        <v>27.45</v>
      </c>
      <c r="L1851" s="137">
        <v>0</v>
      </c>
    </row>
    <row r="1852" spans="7:12" x14ac:dyDescent="0.25">
      <c r="G1852" s="136">
        <v>43368</v>
      </c>
      <c r="H1852" t="s">
        <v>27</v>
      </c>
      <c r="I1852" t="s">
        <v>227</v>
      </c>
      <c r="J1852" t="s">
        <v>360</v>
      </c>
      <c r="K1852" s="138">
        <v>26.86</v>
      </c>
      <c r="L1852" s="137">
        <v>0</v>
      </c>
    </row>
    <row r="1853" spans="7:12" x14ac:dyDescent="0.25">
      <c r="G1853" s="136">
        <v>43368</v>
      </c>
      <c r="H1853" t="s">
        <v>27</v>
      </c>
      <c r="I1853" t="s">
        <v>227</v>
      </c>
      <c r="J1853" t="s">
        <v>360</v>
      </c>
      <c r="K1853" s="138">
        <v>26.82</v>
      </c>
      <c r="L1853" s="137">
        <v>0</v>
      </c>
    </row>
    <row r="1854" spans="7:12" x14ac:dyDescent="0.25">
      <c r="G1854" s="136">
        <v>43368</v>
      </c>
      <c r="H1854" t="s">
        <v>27</v>
      </c>
      <c r="I1854" t="s">
        <v>227</v>
      </c>
      <c r="J1854" t="s">
        <v>360</v>
      </c>
      <c r="K1854" s="138">
        <v>25.91</v>
      </c>
      <c r="L1854" s="137">
        <v>0</v>
      </c>
    </row>
    <row r="1855" spans="7:12" x14ac:dyDescent="0.25">
      <c r="G1855" s="136">
        <v>43368</v>
      </c>
      <c r="H1855" t="s">
        <v>27</v>
      </c>
      <c r="I1855" t="s">
        <v>227</v>
      </c>
      <c r="J1855" t="s">
        <v>360</v>
      </c>
      <c r="K1855" s="138">
        <v>23.08</v>
      </c>
      <c r="L1855" s="137">
        <v>0</v>
      </c>
    </row>
    <row r="1856" spans="7:12" x14ac:dyDescent="0.25">
      <c r="G1856" s="136">
        <v>43368</v>
      </c>
      <c r="H1856" t="s">
        <v>27</v>
      </c>
      <c r="I1856" t="s">
        <v>227</v>
      </c>
      <c r="J1856" t="s">
        <v>360</v>
      </c>
      <c r="K1856" s="138">
        <v>13.38</v>
      </c>
      <c r="L1856" s="137">
        <v>0</v>
      </c>
    </row>
    <row r="1857" spans="7:12" x14ac:dyDescent="0.25">
      <c r="G1857" s="136">
        <v>43368</v>
      </c>
      <c r="H1857" t="s">
        <v>27</v>
      </c>
      <c r="I1857" t="s">
        <v>227</v>
      </c>
      <c r="J1857" t="s">
        <v>360</v>
      </c>
      <c r="K1857" s="138">
        <v>12.87</v>
      </c>
      <c r="L1857" s="137">
        <v>0</v>
      </c>
    </row>
    <row r="1858" spans="7:12" x14ac:dyDescent="0.25">
      <c r="G1858" s="136">
        <v>43368</v>
      </c>
      <c r="H1858" t="s">
        <v>27</v>
      </c>
      <c r="I1858" t="s">
        <v>227</v>
      </c>
      <c r="J1858" t="s">
        <v>360</v>
      </c>
      <c r="K1858" s="138">
        <v>5.63</v>
      </c>
      <c r="L1858" s="137">
        <v>0</v>
      </c>
    </row>
    <row r="1859" spans="7:12" x14ac:dyDescent="0.25">
      <c r="G1859" s="136">
        <v>43368</v>
      </c>
      <c r="H1859" t="s">
        <v>184</v>
      </c>
      <c r="I1859" t="s">
        <v>63</v>
      </c>
      <c r="J1859" t="s">
        <v>361</v>
      </c>
      <c r="K1859" s="138">
        <v>15</v>
      </c>
      <c r="L1859" s="137">
        <v>0</v>
      </c>
    </row>
    <row r="1860" spans="7:12" x14ac:dyDescent="0.25">
      <c r="G1860" s="136">
        <v>43368</v>
      </c>
      <c r="H1860" t="s">
        <v>195</v>
      </c>
      <c r="I1860" t="s">
        <v>227</v>
      </c>
      <c r="J1860" t="s">
        <v>360</v>
      </c>
      <c r="K1860" s="138">
        <v>437.8</v>
      </c>
      <c r="L1860" s="137">
        <v>0</v>
      </c>
    </row>
    <row r="1861" spans="7:12" x14ac:dyDescent="0.25">
      <c r="G1861" s="136">
        <v>43368</v>
      </c>
      <c r="H1861" t="s">
        <v>183</v>
      </c>
      <c r="I1861" t="s">
        <v>227</v>
      </c>
      <c r="J1861" t="s">
        <v>360</v>
      </c>
      <c r="K1861" s="138">
        <v>3781.53</v>
      </c>
      <c r="L1861" s="137">
        <v>0</v>
      </c>
    </row>
    <row r="1862" spans="7:12" x14ac:dyDescent="0.25">
      <c r="G1862" s="136">
        <v>43368</v>
      </c>
      <c r="H1862" t="s">
        <v>189</v>
      </c>
      <c r="I1862" t="s">
        <v>227</v>
      </c>
      <c r="J1862" t="s">
        <v>360</v>
      </c>
      <c r="K1862" s="138">
        <v>1650.01</v>
      </c>
      <c r="L1862" s="137">
        <v>0</v>
      </c>
    </row>
    <row r="1863" spans="7:12" x14ac:dyDescent="0.25">
      <c r="G1863" s="136">
        <v>43368</v>
      </c>
      <c r="H1863" t="s">
        <v>191</v>
      </c>
      <c r="I1863" t="s">
        <v>63</v>
      </c>
      <c r="J1863" t="s">
        <v>361</v>
      </c>
      <c r="K1863" s="138">
        <v>376.16</v>
      </c>
      <c r="L1863" s="137">
        <v>0</v>
      </c>
    </row>
    <row r="1864" spans="7:12" x14ac:dyDescent="0.25">
      <c r="G1864" s="136">
        <v>43368</v>
      </c>
      <c r="H1864" t="s">
        <v>191</v>
      </c>
      <c r="I1864" t="s">
        <v>163</v>
      </c>
      <c r="J1864" t="s">
        <v>361</v>
      </c>
      <c r="K1864" s="138">
        <v>26</v>
      </c>
      <c r="L1864" s="137">
        <v>0</v>
      </c>
    </row>
    <row r="1865" spans="7:12" x14ac:dyDescent="0.25">
      <c r="G1865" s="136">
        <v>43368</v>
      </c>
      <c r="H1865" t="s">
        <v>191</v>
      </c>
      <c r="I1865" t="s">
        <v>227</v>
      </c>
      <c r="J1865" t="s">
        <v>360</v>
      </c>
      <c r="K1865" s="138">
        <v>283.48</v>
      </c>
      <c r="L1865" s="137">
        <v>0</v>
      </c>
    </row>
    <row r="1866" spans="7:12" x14ac:dyDescent="0.25">
      <c r="G1866" s="136">
        <v>43368</v>
      </c>
      <c r="H1866" t="s">
        <v>191</v>
      </c>
      <c r="I1866" t="s">
        <v>175</v>
      </c>
      <c r="J1866" t="s">
        <v>361</v>
      </c>
      <c r="K1866" s="138">
        <v>201.99</v>
      </c>
      <c r="L1866" s="137">
        <v>0</v>
      </c>
    </row>
    <row r="1867" spans="7:12" x14ac:dyDescent="0.25">
      <c r="G1867" s="136">
        <v>43368</v>
      </c>
      <c r="H1867" t="s">
        <v>193</v>
      </c>
      <c r="I1867" t="s">
        <v>227</v>
      </c>
      <c r="J1867" t="s">
        <v>360</v>
      </c>
      <c r="K1867" s="138">
        <v>64.95</v>
      </c>
      <c r="L1867" s="137">
        <v>0</v>
      </c>
    </row>
    <row r="1868" spans="7:12" x14ac:dyDescent="0.25">
      <c r="G1868" s="136">
        <v>43368</v>
      </c>
      <c r="H1868" t="s">
        <v>188</v>
      </c>
      <c r="I1868" t="s">
        <v>227</v>
      </c>
      <c r="J1868" t="s">
        <v>360</v>
      </c>
      <c r="K1868" s="138">
        <v>571.72</v>
      </c>
      <c r="L1868" s="137">
        <v>0</v>
      </c>
    </row>
    <row r="1869" spans="7:12" x14ac:dyDescent="0.25">
      <c r="G1869" s="136">
        <v>43368</v>
      </c>
      <c r="H1869" t="s">
        <v>200</v>
      </c>
      <c r="I1869" t="s">
        <v>175</v>
      </c>
      <c r="J1869" t="s">
        <v>361</v>
      </c>
      <c r="K1869" s="138">
        <v>101.44</v>
      </c>
      <c r="L1869" s="137">
        <v>0</v>
      </c>
    </row>
    <row r="1870" spans="7:12" x14ac:dyDescent="0.25">
      <c r="G1870" s="136">
        <v>43368</v>
      </c>
      <c r="H1870" t="s">
        <v>25</v>
      </c>
      <c r="I1870" t="s">
        <v>63</v>
      </c>
      <c r="J1870" t="s">
        <v>361</v>
      </c>
      <c r="K1870" s="138">
        <v>8</v>
      </c>
      <c r="L1870" s="137">
        <v>0</v>
      </c>
    </row>
    <row r="1871" spans="7:12" x14ac:dyDescent="0.25">
      <c r="G1871" s="136">
        <v>43368</v>
      </c>
      <c r="H1871" t="s">
        <v>25</v>
      </c>
      <c r="I1871" t="s">
        <v>227</v>
      </c>
      <c r="J1871" t="s">
        <v>360</v>
      </c>
      <c r="K1871" s="138">
        <v>1220.46</v>
      </c>
      <c r="L1871" s="137">
        <v>0</v>
      </c>
    </row>
    <row r="1872" spans="7:12" x14ac:dyDescent="0.25">
      <c r="G1872" s="136">
        <v>43368</v>
      </c>
      <c r="H1872" t="s">
        <v>25</v>
      </c>
      <c r="I1872" t="s">
        <v>227</v>
      </c>
      <c r="J1872" t="s">
        <v>360</v>
      </c>
      <c r="K1872" s="138">
        <v>1197.99</v>
      </c>
      <c r="L1872" s="137">
        <v>0</v>
      </c>
    </row>
    <row r="1873" spans="7:12" x14ac:dyDescent="0.25">
      <c r="G1873" s="136">
        <v>43368</v>
      </c>
      <c r="H1873" t="s">
        <v>25</v>
      </c>
      <c r="I1873" t="s">
        <v>227</v>
      </c>
      <c r="J1873" t="s">
        <v>360</v>
      </c>
      <c r="K1873" s="138">
        <v>1092.69</v>
      </c>
      <c r="L1873" s="137">
        <v>0</v>
      </c>
    </row>
    <row r="1874" spans="7:12" x14ac:dyDescent="0.25">
      <c r="G1874" s="136">
        <v>43368</v>
      </c>
      <c r="H1874" t="s">
        <v>25</v>
      </c>
      <c r="I1874" t="s">
        <v>227</v>
      </c>
      <c r="J1874" t="s">
        <v>360</v>
      </c>
      <c r="K1874" s="138">
        <v>1086.4000000000001</v>
      </c>
      <c r="L1874" s="137">
        <v>0</v>
      </c>
    </row>
    <row r="1875" spans="7:12" x14ac:dyDescent="0.25">
      <c r="G1875" s="136">
        <v>43368</v>
      </c>
      <c r="H1875" t="s">
        <v>25</v>
      </c>
      <c r="I1875" t="s">
        <v>227</v>
      </c>
      <c r="J1875" t="s">
        <v>360</v>
      </c>
      <c r="K1875" s="138">
        <v>852.46</v>
      </c>
      <c r="L1875" s="137">
        <v>0</v>
      </c>
    </row>
    <row r="1876" spans="7:12" x14ac:dyDescent="0.25">
      <c r="G1876" s="136">
        <v>43368</v>
      </c>
      <c r="H1876" t="s">
        <v>25</v>
      </c>
      <c r="I1876" t="s">
        <v>227</v>
      </c>
      <c r="J1876" t="s">
        <v>360</v>
      </c>
      <c r="K1876" s="138">
        <v>653.11</v>
      </c>
      <c r="L1876" s="137">
        <v>0</v>
      </c>
    </row>
    <row r="1877" spans="7:12" x14ac:dyDescent="0.25">
      <c r="G1877" s="136">
        <v>43368</v>
      </c>
      <c r="H1877" t="s">
        <v>25</v>
      </c>
      <c r="I1877" t="s">
        <v>227</v>
      </c>
      <c r="J1877" t="s">
        <v>360</v>
      </c>
      <c r="K1877" s="138">
        <v>607.30999999999995</v>
      </c>
      <c r="L1877" s="137">
        <v>0</v>
      </c>
    </row>
    <row r="1878" spans="7:12" x14ac:dyDescent="0.25">
      <c r="G1878" s="136">
        <v>43368</v>
      </c>
      <c r="H1878" t="s">
        <v>25</v>
      </c>
      <c r="I1878" t="s">
        <v>227</v>
      </c>
      <c r="J1878" t="s">
        <v>360</v>
      </c>
      <c r="K1878" s="138">
        <v>591.12</v>
      </c>
      <c r="L1878" s="137">
        <v>0</v>
      </c>
    </row>
    <row r="1879" spans="7:12" x14ac:dyDescent="0.25">
      <c r="G1879" s="136">
        <v>43368</v>
      </c>
      <c r="H1879" t="s">
        <v>25</v>
      </c>
      <c r="I1879" t="s">
        <v>227</v>
      </c>
      <c r="J1879" t="s">
        <v>360</v>
      </c>
      <c r="K1879" s="138">
        <v>566.08000000000004</v>
      </c>
      <c r="L1879" s="137">
        <v>0</v>
      </c>
    </row>
    <row r="1880" spans="7:12" x14ac:dyDescent="0.25">
      <c r="G1880" s="136">
        <v>43368</v>
      </c>
      <c r="H1880" t="s">
        <v>25</v>
      </c>
      <c r="I1880" t="s">
        <v>227</v>
      </c>
      <c r="J1880" t="s">
        <v>360</v>
      </c>
      <c r="K1880" s="138">
        <v>465.99</v>
      </c>
      <c r="L1880" s="137">
        <v>0</v>
      </c>
    </row>
    <row r="1881" spans="7:12" x14ac:dyDescent="0.25">
      <c r="G1881" s="136">
        <v>43368</v>
      </c>
      <c r="H1881" t="s">
        <v>25</v>
      </c>
      <c r="I1881" t="s">
        <v>227</v>
      </c>
      <c r="J1881" t="s">
        <v>360</v>
      </c>
      <c r="K1881" s="138">
        <v>396.15</v>
      </c>
      <c r="L1881" s="137">
        <v>0</v>
      </c>
    </row>
    <row r="1882" spans="7:12" x14ac:dyDescent="0.25">
      <c r="G1882" s="136">
        <v>43368</v>
      </c>
      <c r="H1882" t="s">
        <v>25</v>
      </c>
      <c r="I1882" t="s">
        <v>227</v>
      </c>
      <c r="J1882" t="s">
        <v>360</v>
      </c>
      <c r="K1882" s="138">
        <v>298.35000000000002</v>
      </c>
      <c r="L1882" s="137">
        <v>0</v>
      </c>
    </row>
    <row r="1883" spans="7:12" x14ac:dyDescent="0.25">
      <c r="G1883" s="136">
        <v>43368</v>
      </c>
      <c r="H1883" t="s">
        <v>25</v>
      </c>
      <c r="I1883" t="s">
        <v>227</v>
      </c>
      <c r="J1883" t="s">
        <v>360</v>
      </c>
      <c r="K1883" s="138">
        <v>297.5</v>
      </c>
      <c r="L1883" s="137">
        <v>0</v>
      </c>
    </row>
    <row r="1884" spans="7:12" x14ac:dyDescent="0.25">
      <c r="G1884" s="136">
        <v>43368</v>
      </c>
      <c r="H1884" t="s">
        <v>25</v>
      </c>
      <c r="I1884" t="s">
        <v>227</v>
      </c>
      <c r="J1884" t="s">
        <v>360</v>
      </c>
      <c r="K1884" s="138">
        <v>295.95</v>
      </c>
      <c r="L1884" s="137">
        <v>0</v>
      </c>
    </row>
    <row r="1885" spans="7:12" x14ac:dyDescent="0.25">
      <c r="G1885" s="136">
        <v>43368</v>
      </c>
      <c r="H1885" t="s">
        <v>25</v>
      </c>
      <c r="I1885" t="s">
        <v>227</v>
      </c>
      <c r="J1885" t="s">
        <v>360</v>
      </c>
      <c r="K1885" s="138">
        <v>278.27</v>
      </c>
      <c r="L1885" s="137">
        <v>0</v>
      </c>
    </row>
    <row r="1886" spans="7:12" x14ac:dyDescent="0.25">
      <c r="G1886" s="136">
        <v>43368</v>
      </c>
      <c r="H1886" t="s">
        <v>25</v>
      </c>
      <c r="I1886" t="s">
        <v>227</v>
      </c>
      <c r="J1886" t="s">
        <v>360</v>
      </c>
      <c r="K1886" s="138">
        <v>190.22</v>
      </c>
      <c r="L1886" s="137">
        <v>0</v>
      </c>
    </row>
    <row r="1887" spans="7:12" x14ac:dyDescent="0.25">
      <c r="G1887" s="136">
        <v>43368</v>
      </c>
      <c r="H1887" t="s">
        <v>25</v>
      </c>
      <c r="I1887" t="s">
        <v>227</v>
      </c>
      <c r="J1887" t="s">
        <v>360</v>
      </c>
      <c r="K1887" s="138">
        <v>138.18</v>
      </c>
      <c r="L1887" s="137">
        <v>0</v>
      </c>
    </row>
    <row r="1888" spans="7:12" x14ac:dyDescent="0.25">
      <c r="G1888" s="136">
        <v>43368</v>
      </c>
      <c r="H1888" t="s">
        <v>25</v>
      </c>
      <c r="I1888" t="s">
        <v>227</v>
      </c>
      <c r="J1888" t="s">
        <v>360</v>
      </c>
      <c r="K1888" s="138">
        <v>120.64</v>
      </c>
      <c r="L1888" s="137">
        <v>0</v>
      </c>
    </row>
    <row r="1889" spans="7:12" x14ac:dyDescent="0.25">
      <c r="G1889" s="136">
        <v>43368</v>
      </c>
      <c r="H1889" t="s">
        <v>25</v>
      </c>
      <c r="I1889" t="s">
        <v>227</v>
      </c>
      <c r="J1889" t="s">
        <v>360</v>
      </c>
      <c r="K1889" s="138">
        <v>111.56</v>
      </c>
      <c r="L1889" s="137">
        <v>0</v>
      </c>
    </row>
    <row r="1890" spans="7:12" x14ac:dyDescent="0.25">
      <c r="G1890" s="136">
        <v>43368</v>
      </c>
      <c r="H1890" t="s">
        <v>25</v>
      </c>
      <c r="I1890" t="s">
        <v>227</v>
      </c>
      <c r="J1890" t="s">
        <v>360</v>
      </c>
      <c r="K1890" s="138">
        <v>83.09</v>
      </c>
      <c r="L1890" s="137">
        <v>0</v>
      </c>
    </row>
    <row r="1891" spans="7:12" x14ac:dyDescent="0.25">
      <c r="G1891" s="136">
        <v>43368</v>
      </c>
      <c r="H1891" t="s">
        <v>25</v>
      </c>
      <c r="I1891" t="s">
        <v>227</v>
      </c>
      <c r="J1891" t="s">
        <v>360</v>
      </c>
      <c r="K1891" s="138">
        <v>64.41</v>
      </c>
      <c r="L1891" s="137">
        <v>0</v>
      </c>
    </row>
    <row r="1892" spans="7:12" x14ac:dyDescent="0.25">
      <c r="G1892" s="136">
        <v>43368</v>
      </c>
      <c r="H1892" t="s">
        <v>25</v>
      </c>
      <c r="I1892" t="s">
        <v>227</v>
      </c>
      <c r="J1892" t="s">
        <v>360</v>
      </c>
      <c r="K1892" s="138">
        <v>50.21</v>
      </c>
      <c r="L1892" s="137">
        <v>0</v>
      </c>
    </row>
    <row r="1893" spans="7:12" x14ac:dyDescent="0.25">
      <c r="G1893" s="136">
        <v>43368</v>
      </c>
      <c r="H1893" t="s">
        <v>25</v>
      </c>
      <c r="I1893" t="s">
        <v>227</v>
      </c>
      <c r="J1893" t="s">
        <v>360</v>
      </c>
      <c r="K1893" s="138">
        <v>42.03</v>
      </c>
      <c r="L1893" s="137">
        <v>0</v>
      </c>
    </row>
    <row r="1894" spans="7:12" x14ac:dyDescent="0.25">
      <c r="G1894" s="136">
        <v>43368</v>
      </c>
      <c r="H1894" t="s">
        <v>25</v>
      </c>
      <c r="I1894" t="s">
        <v>227</v>
      </c>
      <c r="J1894" t="s">
        <v>360</v>
      </c>
      <c r="K1894" s="138">
        <v>39.68</v>
      </c>
      <c r="L1894" s="137">
        <v>0</v>
      </c>
    </row>
    <row r="1895" spans="7:12" x14ac:dyDescent="0.25">
      <c r="G1895" s="136">
        <v>43368</v>
      </c>
      <c r="H1895" t="s">
        <v>25</v>
      </c>
      <c r="I1895" t="s">
        <v>227</v>
      </c>
      <c r="J1895" t="s">
        <v>360</v>
      </c>
      <c r="K1895" s="138">
        <v>36.590000000000003</v>
      </c>
      <c r="L1895" s="137">
        <v>0</v>
      </c>
    </row>
    <row r="1896" spans="7:12" x14ac:dyDescent="0.25">
      <c r="G1896" s="136">
        <v>43368</v>
      </c>
      <c r="H1896" t="s">
        <v>25</v>
      </c>
      <c r="I1896" t="s">
        <v>227</v>
      </c>
      <c r="J1896" t="s">
        <v>360</v>
      </c>
      <c r="K1896" s="138">
        <v>35.75</v>
      </c>
      <c r="L1896" s="137">
        <v>0</v>
      </c>
    </row>
    <row r="1897" spans="7:12" x14ac:dyDescent="0.25">
      <c r="G1897" s="136">
        <v>43368</v>
      </c>
      <c r="H1897" t="s">
        <v>25</v>
      </c>
      <c r="I1897" t="s">
        <v>227</v>
      </c>
      <c r="J1897" t="s">
        <v>360</v>
      </c>
      <c r="K1897" s="138">
        <v>31.39</v>
      </c>
      <c r="L1897" s="137">
        <v>0</v>
      </c>
    </row>
    <row r="1898" spans="7:12" x14ac:dyDescent="0.25">
      <c r="G1898" s="136">
        <v>43368</v>
      </c>
      <c r="H1898" t="s">
        <v>25</v>
      </c>
      <c r="I1898" t="s">
        <v>227</v>
      </c>
      <c r="J1898" t="s">
        <v>360</v>
      </c>
      <c r="K1898" s="138">
        <v>28.09</v>
      </c>
      <c r="L1898" s="137">
        <v>0</v>
      </c>
    </row>
    <row r="1899" spans="7:12" x14ac:dyDescent="0.25">
      <c r="G1899" s="136">
        <v>43368</v>
      </c>
      <c r="H1899" t="s">
        <v>25</v>
      </c>
      <c r="I1899" t="s">
        <v>227</v>
      </c>
      <c r="J1899" t="s">
        <v>360</v>
      </c>
      <c r="K1899" s="138">
        <v>24.25</v>
      </c>
      <c r="L1899" s="137">
        <v>0</v>
      </c>
    </row>
    <row r="1900" spans="7:12" x14ac:dyDescent="0.25">
      <c r="G1900" s="136">
        <v>43368</v>
      </c>
      <c r="H1900" t="s">
        <v>25</v>
      </c>
      <c r="I1900" t="s">
        <v>227</v>
      </c>
      <c r="J1900" t="s">
        <v>360</v>
      </c>
      <c r="K1900" s="138">
        <v>23.96</v>
      </c>
      <c r="L1900" s="137">
        <v>0</v>
      </c>
    </row>
    <row r="1901" spans="7:12" x14ac:dyDescent="0.25">
      <c r="G1901" s="136">
        <v>43368</v>
      </c>
      <c r="H1901" t="s">
        <v>25</v>
      </c>
      <c r="I1901" t="s">
        <v>227</v>
      </c>
      <c r="J1901" t="s">
        <v>360</v>
      </c>
      <c r="K1901" s="138">
        <v>17</v>
      </c>
      <c r="L1901" s="137">
        <v>0</v>
      </c>
    </row>
    <row r="1902" spans="7:12" x14ac:dyDescent="0.25">
      <c r="G1902" s="136">
        <v>43368</v>
      </c>
      <c r="H1902" t="s">
        <v>25</v>
      </c>
      <c r="I1902" t="s">
        <v>227</v>
      </c>
      <c r="J1902" t="s">
        <v>360</v>
      </c>
      <c r="K1902" s="138">
        <v>16.46</v>
      </c>
      <c r="L1902" s="137">
        <v>0</v>
      </c>
    </row>
    <row r="1903" spans="7:12" x14ac:dyDescent="0.25">
      <c r="G1903" s="136">
        <v>43368</v>
      </c>
      <c r="H1903" t="s">
        <v>25</v>
      </c>
      <c r="I1903" t="s">
        <v>227</v>
      </c>
      <c r="J1903" t="s">
        <v>360</v>
      </c>
      <c r="K1903" s="138">
        <v>14.52</v>
      </c>
      <c r="L1903" s="137">
        <v>0</v>
      </c>
    </row>
    <row r="1904" spans="7:12" x14ac:dyDescent="0.25">
      <c r="G1904" s="136">
        <v>43368</v>
      </c>
      <c r="H1904" t="s">
        <v>180</v>
      </c>
      <c r="I1904" t="s">
        <v>227</v>
      </c>
      <c r="J1904" t="s">
        <v>360</v>
      </c>
      <c r="K1904" s="138">
        <v>66.36</v>
      </c>
      <c r="L1904" s="137">
        <v>0</v>
      </c>
    </row>
    <row r="1905" spans="7:12" x14ac:dyDescent="0.25">
      <c r="G1905" s="136">
        <v>43368</v>
      </c>
      <c r="H1905" t="s">
        <v>179</v>
      </c>
      <c r="I1905" t="s">
        <v>227</v>
      </c>
      <c r="J1905" t="s">
        <v>360</v>
      </c>
      <c r="K1905" s="138">
        <v>513.04999999999995</v>
      </c>
      <c r="L1905" s="137">
        <v>0</v>
      </c>
    </row>
    <row r="1906" spans="7:12" x14ac:dyDescent="0.25">
      <c r="G1906" s="136">
        <v>43368</v>
      </c>
      <c r="H1906" t="s">
        <v>28</v>
      </c>
      <c r="I1906" t="s">
        <v>66</v>
      </c>
      <c r="J1906" t="s">
        <v>108</v>
      </c>
      <c r="K1906" s="138">
        <v>1.8</v>
      </c>
      <c r="L1906" s="137">
        <v>0</v>
      </c>
    </row>
    <row r="1907" spans="7:12" x14ac:dyDescent="0.25">
      <c r="G1907" s="136">
        <v>43368</v>
      </c>
      <c r="H1907" t="s">
        <v>28</v>
      </c>
      <c r="I1907" t="s">
        <v>66</v>
      </c>
      <c r="J1907" t="s">
        <v>120</v>
      </c>
      <c r="K1907" s="138">
        <v>2.25</v>
      </c>
      <c r="L1907" s="137">
        <v>0</v>
      </c>
    </row>
    <row r="1908" spans="7:12" x14ac:dyDescent="0.25">
      <c r="G1908" s="136">
        <v>43368</v>
      </c>
      <c r="H1908" t="s">
        <v>28</v>
      </c>
      <c r="I1908" t="s">
        <v>66</v>
      </c>
      <c r="J1908" t="s">
        <v>276</v>
      </c>
      <c r="K1908" s="138">
        <v>2.25</v>
      </c>
      <c r="L1908" s="137">
        <v>0</v>
      </c>
    </row>
    <row r="1909" spans="7:12" x14ac:dyDescent="0.25">
      <c r="G1909" s="136">
        <v>43368</v>
      </c>
      <c r="H1909" t="s">
        <v>28</v>
      </c>
      <c r="I1909" t="s">
        <v>66</v>
      </c>
      <c r="J1909" t="s">
        <v>114</v>
      </c>
      <c r="K1909" s="138">
        <v>10.7</v>
      </c>
      <c r="L1909" s="137">
        <v>0</v>
      </c>
    </row>
    <row r="1910" spans="7:12" x14ac:dyDescent="0.25">
      <c r="G1910" s="136">
        <v>43368</v>
      </c>
      <c r="H1910" t="s">
        <v>28</v>
      </c>
      <c r="I1910" t="s">
        <v>227</v>
      </c>
      <c r="J1910" t="s">
        <v>360</v>
      </c>
      <c r="K1910" s="138">
        <v>153.78</v>
      </c>
      <c r="L1910" s="137">
        <v>0</v>
      </c>
    </row>
    <row r="1911" spans="7:12" x14ac:dyDescent="0.25">
      <c r="G1911" s="136">
        <v>43368</v>
      </c>
      <c r="H1911" t="s">
        <v>28</v>
      </c>
      <c r="I1911" t="s">
        <v>227</v>
      </c>
      <c r="J1911" t="s">
        <v>360</v>
      </c>
      <c r="K1911" s="138">
        <v>33.21</v>
      </c>
      <c r="L1911" s="137">
        <v>0</v>
      </c>
    </row>
    <row r="1912" spans="7:12" x14ac:dyDescent="0.25">
      <c r="G1912" s="136">
        <v>43368</v>
      </c>
      <c r="H1912" t="s">
        <v>28</v>
      </c>
      <c r="I1912" t="s">
        <v>227</v>
      </c>
      <c r="J1912" t="s">
        <v>360</v>
      </c>
      <c r="K1912" s="138">
        <v>4.6399999999999997</v>
      </c>
      <c r="L1912" s="137">
        <v>0</v>
      </c>
    </row>
    <row r="1913" spans="7:12" x14ac:dyDescent="0.25">
      <c r="G1913" s="136">
        <v>43369</v>
      </c>
      <c r="H1913" t="s">
        <v>199</v>
      </c>
      <c r="I1913" t="s">
        <v>178</v>
      </c>
      <c r="J1913" t="s">
        <v>363</v>
      </c>
      <c r="K1913" s="138">
        <v>0</v>
      </c>
      <c r="L1913" s="137">
        <v>420</v>
      </c>
    </row>
    <row r="1914" spans="7:12" x14ac:dyDescent="0.25">
      <c r="G1914" s="136">
        <v>43369</v>
      </c>
      <c r="H1914" t="s">
        <v>202</v>
      </c>
      <c r="I1914" t="s">
        <v>163</v>
      </c>
      <c r="J1914" t="s">
        <v>363</v>
      </c>
      <c r="K1914" s="138">
        <v>625</v>
      </c>
      <c r="L1914" s="137">
        <v>0</v>
      </c>
    </row>
    <row r="1915" spans="7:12" x14ac:dyDescent="0.25">
      <c r="G1915" s="136">
        <v>43369</v>
      </c>
      <c r="H1915" t="s">
        <v>183</v>
      </c>
      <c r="I1915" t="s">
        <v>163</v>
      </c>
      <c r="J1915" t="s">
        <v>363</v>
      </c>
      <c r="K1915" s="138">
        <v>99.89</v>
      </c>
      <c r="L1915" s="137">
        <v>0</v>
      </c>
    </row>
    <row r="1916" spans="7:12" x14ac:dyDescent="0.25">
      <c r="G1916" s="136">
        <v>43369</v>
      </c>
      <c r="H1916" t="s">
        <v>183</v>
      </c>
      <c r="I1916" t="s">
        <v>42</v>
      </c>
      <c r="J1916" t="s">
        <v>363</v>
      </c>
      <c r="K1916" s="138">
        <v>10</v>
      </c>
      <c r="L1916" s="137">
        <v>0</v>
      </c>
    </row>
    <row r="1917" spans="7:12" x14ac:dyDescent="0.25">
      <c r="G1917" s="136">
        <v>43369</v>
      </c>
      <c r="H1917" t="s">
        <v>190</v>
      </c>
      <c r="I1917" t="s">
        <v>42</v>
      </c>
      <c r="J1917" t="s">
        <v>363</v>
      </c>
      <c r="K1917" s="138">
        <v>1.3</v>
      </c>
      <c r="L1917" s="137">
        <v>0</v>
      </c>
    </row>
    <row r="1918" spans="7:12" x14ac:dyDescent="0.25">
      <c r="G1918" s="136">
        <v>43369</v>
      </c>
      <c r="H1918" t="s">
        <v>25</v>
      </c>
      <c r="I1918" t="s">
        <v>63</v>
      </c>
      <c r="J1918" t="s">
        <v>363</v>
      </c>
      <c r="K1918" s="138">
        <v>24</v>
      </c>
      <c r="L1918" s="137">
        <v>0</v>
      </c>
    </row>
    <row r="1919" spans="7:12" x14ac:dyDescent="0.25">
      <c r="G1919" s="136">
        <v>43369</v>
      </c>
      <c r="H1919" t="s">
        <v>25</v>
      </c>
      <c r="I1919" t="s">
        <v>63</v>
      </c>
      <c r="J1919" t="s">
        <v>363</v>
      </c>
      <c r="K1919" s="138">
        <v>8</v>
      </c>
      <c r="L1919" s="137">
        <v>0</v>
      </c>
    </row>
    <row r="1920" spans="7:12" x14ac:dyDescent="0.25">
      <c r="G1920" s="136">
        <v>43369</v>
      </c>
      <c r="H1920" t="s">
        <v>181</v>
      </c>
      <c r="I1920" t="s">
        <v>42</v>
      </c>
      <c r="J1920" t="s">
        <v>363</v>
      </c>
      <c r="K1920" s="138">
        <v>622.37</v>
      </c>
      <c r="L1920" s="137">
        <v>0</v>
      </c>
    </row>
    <row r="1921" spans="7:12" x14ac:dyDescent="0.25">
      <c r="G1921" s="136">
        <v>43369</v>
      </c>
      <c r="H1921" t="s">
        <v>28</v>
      </c>
      <c r="I1921" t="s">
        <v>66</v>
      </c>
      <c r="J1921" t="s">
        <v>124</v>
      </c>
      <c r="K1921" s="138">
        <v>3.15</v>
      </c>
      <c r="L1921" s="137">
        <v>0</v>
      </c>
    </row>
    <row r="1922" spans="7:12" x14ac:dyDescent="0.25">
      <c r="G1922" s="136">
        <v>43369</v>
      </c>
      <c r="H1922" t="s">
        <v>28</v>
      </c>
      <c r="I1922" t="s">
        <v>66</v>
      </c>
      <c r="J1922" t="s">
        <v>116</v>
      </c>
      <c r="K1922" s="138">
        <v>3.6</v>
      </c>
      <c r="L1922" s="137">
        <v>0</v>
      </c>
    </row>
    <row r="1923" spans="7:12" x14ac:dyDescent="0.25">
      <c r="G1923" s="136">
        <v>43369</v>
      </c>
      <c r="H1923" t="s">
        <v>28</v>
      </c>
      <c r="I1923" t="s">
        <v>66</v>
      </c>
      <c r="J1923" t="s">
        <v>362</v>
      </c>
      <c r="K1923" s="138">
        <v>2.4</v>
      </c>
      <c r="L1923" s="137">
        <v>0</v>
      </c>
    </row>
    <row r="1924" spans="7:12" x14ac:dyDescent="0.25">
      <c r="G1924" s="136">
        <v>43369</v>
      </c>
      <c r="H1924" t="s">
        <v>28</v>
      </c>
      <c r="I1924" t="s">
        <v>42</v>
      </c>
      <c r="J1924" t="s">
        <v>363</v>
      </c>
      <c r="K1924" s="138">
        <v>30</v>
      </c>
      <c r="L1924" s="137">
        <v>0</v>
      </c>
    </row>
    <row r="1925" spans="7:12" x14ac:dyDescent="0.25">
      <c r="G1925" s="136">
        <v>43370</v>
      </c>
      <c r="H1925" t="s">
        <v>27</v>
      </c>
      <c r="I1925" t="s">
        <v>63</v>
      </c>
      <c r="J1925" t="s">
        <v>364</v>
      </c>
      <c r="K1925" s="138">
        <v>8</v>
      </c>
      <c r="L1925" s="137">
        <v>0</v>
      </c>
    </row>
    <row r="1926" spans="7:12" x14ac:dyDescent="0.25">
      <c r="G1926" s="136">
        <v>43370</v>
      </c>
      <c r="H1926" t="s">
        <v>199</v>
      </c>
      <c r="I1926" t="s">
        <v>42</v>
      </c>
      <c r="J1926" t="s">
        <v>364</v>
      </c>
      <c r="K1926" s="138">
        <v>99.54</v>
      </c>
      <c r="L1926" s="137">
        <v>0</v>
      </c>
    </row>
    <row r="1927" spans="7:12" x14ac:dyDescent="0.25">
      <c r="G1927" s="136">
        <v>43370</v>
      </c>
      <c r="H1927" t="s">
        <v>185</v>
      </c>
      <c r="I1927" t="s">
        <v>42</v>
      </c>
      <c r="J1927" t="s">
        <v>364</v>
      </c>
      <c r="K1927" s="138">
        <v>15</v>
      </c>
      <c r="L1927" s="137">
        <v>0</v>
      </c>
    </row>
    <row r="1928" spans="7:12" x14ac:dyDescent="0.25">
      <c r="G1928" s="136">
        <v>43370</v>
      </c>
      <c r="H1928" t="s">
        <v>184</v>
      </c>
      <c r="I1928" t="s">
        <v>171</v>
      </c>
      <c r="J1928" t="s">
        <v>364</v>
      </c>
      <c r="K1928" s="138">
        <v>65</v>
      </c>
      <c r="L1928" s="137">
        <v>0</v>
      </c>
    </row>
    <row r="1929" spans="7:12" x14ac:dyDescent="0.25">
      <c r="G1929" s="136">
        <v>43370</v>
      </c>
      <c r="H1929" t="s">
        <v>195</v>
      </c>
      <c r="I1929" t="s">
        <v>42</v>
      </c>
      <c r="J1929" t="s">
        <v>364</v>
      </c>
      <c r="K1929" s="138">
        <v>50.47</v>
      </c>
      <c r="L1929" s="137">
        <v>0</v>
      </c>
    </row>
    <row r="1930" spans="7:12" x14ac:dyDescent="0.25">
      <c r="G1930" s="136">
        <v>43370</v>
      </c>
      <c r="H1930" t="s">
        <v>183</v>
      </c>
      <c r="I1930" t="s">
        <v>163</v>
      </c>
      <c r="J1930" t="s">
        <v>364</v>
      </c>
      <c r="K1930" s="138">
        <v>17.28</v>
      </c>
      <c r="L1930" s="137">
        <v>0</v>
      </c>
    </row>
    <row r="1931" spans="7:12" x14ac:dyDescent="0.25">
      <c r="G1931" s="136">
        <v>43370</v>
      </c>
      <c r="H1931" t="s">
        <v>183</v>
      </c>
      <c r="I1931" t="s">
        <v>42</v>
      </c>
      <c r="J1931" t="s">
        <v>364</v>
      </c>
      <c r="K1931" s="138">
        <v>19.71</v>
      </c>
      <c r="L1931" s="137">
        <v>0</v>
      </c>
    </row>
    <row r="1932" spans="7:12" x14ac:dyDescent="0.25">
      <c r="G1932" s="136">
        <v>43370</v>
      </c>
      <c r="H1932" t="s">
        <v>188</v>
      </c>
      <c r="I1932" t="s">
        <v>63</v>
      </c>
      <c r="J1932" t="s">
        <v>364</v>
      </c>
      <c r="K1932" s="138">
        <v>120.18</v>
      </c>
      <c r="L1932" s="137">
        <v>0</v>
      </c>
    </row>
    <row r="1933" spans="7:12" x14ac:dyDescent="0.25">
      <c r="G1933" s="136">
        <v>43370</v>
      </c>
      <c r="H1933" t="s">
        <v>200</v>
      </c>
      <c r="I1933" t="s">
        <v>42</v>
      </c>
      <c r="J1933" t="s">
        <v>364</v>
      </c>
      <c r="K1933" s="138">
        <v>96</v>
      </c>
      <c r="L1933" s="137">
        <v>0</v>
      </c>
    </row>
    <row r="1934" spans="7:12" x14ac:dyDescent="0.25">
      <c r="G1934" s="136">
        <v>43370</v>
      </c>
      <c r="H1934" t="s">
        <v>25</v>
      </c>
      <c r="I1934" t="s">
        <v>63</v>
      </c>
      <c r="J1934" t="s">
        <v>364</v>
      </c>
      <c r="K1934" s="138">
        <v>24</v>
      </c>
      <c r="L1934" s="137">
        <v>0</v>
      </c>
    </row>
    <row r="1935" spans="7:12" x14ac:dyDescent="0.25">
      <c r="G1935" s="136">
        <v>43370</v>
      </c>
      <c r="H1935" t="s">
        <v>28</v>
      </c>
      <c r="I1935" t="s">
        <v>163</v>
      </c>
      <c r="J1935" t="s">
        <v>364</v>
      </c>
      <c r="K1935" s="138">
        <v>24.98</v>
      </c>
      <c r="L1935" s="137">
        <v>0</v>
      </c>
    </row>
    <row r="1936" spans="7:12" x14ac:dyDescent="0.25">
      <c r="G1936" s="136">
        <v>43370</v>
      </c>
      <c r="H1936" t="s">
        <v>28</v>
      </c>
      <c r="I1936" t="s">
        <v>66</v>
      </c>
      <c r="J1936" t="s">
        <v>108</v>
      </c>
      <c r="K1936" s="138">
        <v>1.8</v>
      </c>
      <c r="L1936" s="137">
        <v>0</v>
      </c>
    </row>
    <row r="1937" spans="7:12" x14ac:dyDescent="0.25">
      <c r="G1937" s="136">
        <v>43370</v>
      </c>
      <c r="H1937" t="s">
        <v>28</v>
      </c>
      <c r="I1937" t="s">
        <v>66</v>
      </c>
      <c r="J1937" t="s">
        <v>131</v>
      </c>
      <c r="K1937" s="138">
        <v>3.6</v>
      </c>
      <c r="L1937" s="137">
        <v>0</v>
      </c>
    </row>
    <row r="1938" spans="7:12" x14ac:dyDescent="0.25">
      <c r="G1938" s="136">
        <v>43370</v>
      </c>
      <c r="H1938" t="s">
        <v>28</v>
      </c>
      <c r="I1938" t="s">
        <v>66</v>
      </c>
      <c r="J1938" t="s">
        <v>143</v>
      </c>
      <c r="K1938" s="138">
        <v>7</v>
      </c>
      <c r="L1938" s="137">
        <v>0</v>
      </c>
    </row>
    <row r="1939" spans="7:12" x14ac:dyDescent="0.25">
      <c r="G1939" s="136">
        <v>43370</v>
      </c>
      <c r="H1939" t="s">
        <v>28</v>
      </c>
      <c r="I1939" t="s">
        <v>66</v>
      </c>
      <c r="J1939" t="s">
        <v>114</v>
      </c>
      <c r="K1939" s="138">
        <v>6.85</v>
      </c>
      <c r="L1939" s="137">
        <v>0</v>
      </c>
    </row>
    <row r="1940" spans="7:12" x14ac:dyDescent="0.25">
      <c r="G1940" s="136">
        <v>43370</v>
      </c>
      <c r="H1940" t="s">
        <v>28</v>
      </c>
      <c r="I1940" t="s">
        <v>42</v>
      </c>
      <c r="J1940" t="s">
        <v>364</v>
      </c>
      <c r="K1940" s="138">
        <v>130</v>
      </c>
      <c r="L1940" s="137">
        <v>0</v>
      </c>
    </row>
    <row r="1941" spans="7:12" x14ac:dyDescent="0.25">
      <c r="G1941" s="136">
        <v>43371</v>
      </c>
      <c r="H1941" t="s">
        <v>199</v>
      </c>
      <c r="I1941" t="s">
        <v>176</v>
      </c>
      <c r="J1941" t="s">
        <v>365</v>
      </c>
      <c r="K1941" s="138">
        <v>152.5</v>
      </c>
      <c r="L1941" s="137">
        <v>0</v>
      </c>
    </row>
    <row r="1942" spans="7:12" x14ac:dyDescent="0.25">
      <c r="G1942" s="136">
        <v>43371</v>
      </c>
      <c r="H1942" t="s">
        <v>191</v>
      </c>
      <c r="I1942" t="s">
        <v>176</v>
      </c>
      <c r="J1942" t="s">
        <v>365</v>
      </c>
      <c r="K1942" s="138">
        <v>0</v>
      </c>
      <c r="L1942" s="137">
        <v>152.5</v>
      </c>
    </row>
    <row r="1943" spans="7:12" x14ac:dyDescent="0.25">
      <c r="G1943" s="136">
        <v>43371</v>
      </c>
      <c r="H1943" t="s">
        <v>193</v>
      </c>
      <c r="I1943" t="s">
        <v>178</v>
      </c>
      <c r="J1943" t="s">
        <v>365</v>
      </c>
      <c r="K1943" s="138">
        <v>0.01</v>
      </c>
      <c r="L1943" s="137">
        <v>0</v>
      </c>
    </row>
    <row r="1944" spans="7:12" x14ac:dyDescent="0.25">
      <c r="G1944" s="136">
        <v>43371</v>
      </c>
      <c r="H1944" t="s">
        <v>193</v>
      </c>
      <c r="I1944" t="s">
        <v>178</v>
      </c>
      <c r="J1944" t="s">
        <v>365</v>
      </c>
      <c r="K1944" s="138">
        <v>0</v>
      </c>
      <c r="L1944" s="137">
        <v>0.01</v>
      </c>
    </row>
    <row r="1945" spans="7:12" x14ac:dyDescent="0.25">
      <c r="G1945" s="136">
        <v>43371</v>
      </c>
      <c r="H1945" t="s">
        <v>211</v>
      </c>
      <c r="I1945" t="s">
        <v>178</v>
      </c>
      <c r="J1945" t="s">
        <v>365</v>
      </c>
      <c r="K1945" s="138">
        <v>73.790000000000006</v>
      </c>
      <c r="L1945" s="137">
        <v>0</v>
      </c>
    </row>
    <row r="1946" spans="7:12" x14ac:dyDescent="0.25">
      <c r="G1946" s="136">
        <v>43371</v>
      </c>
      <c r="H1946" t="s">
        <v>28</v>
      </c>
      <c r="I1946" t="s">
        <v>178</v>
      </c>
      <c r="J1946" t="s">
        <v>365</v>
      </c>
      <c r="K1946" s="138">
        <v>0</v>
      </c>
      <c r="L1946" s="137">
        <v>73.790000000000006</v>
      </c>
    </row>
    <row r="1947" spans="7:12" x14ac:dyDescent="0.25">
      <c r="G1947" s="136">
        <v>43371</v>
      </c>
      <c r="H1947" t="s">
        <v>28</v>
      </c>
      <c r="I1947" t="s">
        <v>66</v>
      </c>
      <c r="J1947" t="s">
        <v>144</v>
      </c>
      <c r="K1947" s="138">
        <v>2.65</v>
      </c>
      <c r="L1947" s="137">
        <v>0</v>
      </c>
    </row>
    <row r="1948" spans="7:12" x14ac:dyDescent="0.25">
      <c r="G1948" s="136">
        <v>43371</v>
      </c>
      <c r="H1948" t="s">
        <v>28</v>
      </c>
      <c r="I1948" t="s">
        <v>66</v>
      </c>
      <c r="J1948" t="s">
        <v>139</v>
      </c>
      <c r="K1948" s="138">
        <v>4</v>
      </c>
      <c r="L1948" s="137">
        <v>0</v>
      </c>
    </row>
    <row r="1949" spans="7:12" x14ac:dyDescent="0.25">
      <c r="G1949" s="136">
        <v>43371</v>
      </c>
      <c r="H1949" t="s">
        <v>28</v>
      </c>
      <c r="I1949" t="s">
        <v>66</v>
      </c>
      <c r="J1949" t="s">
        <v>137</v>
      </c>
      <c r="K1949" s="138">
        <v>2.4</v>
      </c>
      <c r="L1949" s="137">
        <v>0</v>
      </c>
    </row>
    <row r="1950" spans="7:12" x14ac:dyDescent="0.25">
      <c r="G1950" s="136">
        <v>43374</v>
      </c>
      <c r="H1950" t="s">
        <v>192</v>
      </c>
      <c r="I1950" t="s">
        <v>63</v>
      </c>
      <c r="J1950" t="s">
        <v>366</v>
      </c>
      <c r="K1950" s="138">
        <v>29.42</v>
      </c>
      <c r="L1950" s="137">
        <v>0</v>
      </c>
    </row>
    <row r="1951" spans="7:12" x14ac:dyDescent="0.25">
      <c r="G1951" s="136">
        <v>43374</v>
      </c>
      <c r="H1951" t="s">
        <v>27</v>
      </c>
      <c r="I1951" t="s">
        <v>63</v>
      </c>
      <c r="J1951" t="s">
        <v>366</v>
      </c>
      <c r="K1951" s="138">
        <v>8</v>
      </c>
      <c r="L1951" s="137">
        <v>0</v>
      </c>
    </row>
    <row r="1952" spans="7:12" x14ac:dyDescent="0.25">
      <c r="G1952" s="136">
        <v>43374</v>
      </c>
      <c r="H1952" t="s">
        <v>27</v>
      </c>
      <c r="I1952" t="s">
        <v>42</v>
      </c>
      <c r="J1952" t="s">
        <v>366</v>
      </c>
      <c r="K1952" s="138">
        <v>88.6</v>
      </c>
      <c r="L1952" s="137">
        <v>0</v>
      </c>
    </row>
    <row r="1953" spans="7:12" x14ac:dyDescent="0.25">
      <c r="G1953" s="136">
        <v>43374</v>
      </c>
      <c r="H1953" t="s">
        <v>198</v>
      </c>
      <c r="I1953" t="s">
        <v>178</v>
      </c>
      <c r="J1953" t="s">
        <v>366</v>
      </c>
      <c r="K1953" s="138">
        <v>0</v>
      </c>
      <c r="L1953" s="137">
        <v>358.92</v>
      </c>
    </row>
    <row r="1954" spans="7:12" x14ac:dyDescent="0.25">
      <c r="G1954" s="136">
        <v>43374</v>
      </c>
      <c r="H1954" t="s">
        <v>199</v>
      </c>
      <c r="I1954" t="s">
        <v>42</v>
      </c>
      <c r="J1954" t="s">
        <v>366</v>
      </c>
      <c r="K1954" s="138">
        <v>22.6</v>
      </c>
      <c r="L1954" s="137">
        <v>0</v>
      </c>
    </row>
    <row r="1955" spans="7:12" x14ac:dyDescent="0.25">
      <c r="G1955" s="136">
        <v>43374</v>
      </c>
      <c r="H1955" t="s">
        <v>185</v>
      </c>
      <c r="I1955" t="s">
        <v>42</v>
      </c>
      <c r="J1955" t="s">
        <v>366</v>
      </c>
      <c r="K1955" s="138">
        <v>8.31</v>
      </c>
      <c r="L1955" s="137">
        <v>0</v>
      </c>
    </row>
    <row r="1956" spans="7:12" x14ac:dyDescent="0.25">
      <c r="G1956" s="136">
        <v>43374</v>
      </c>
      <c r="H1956" t="s">
        <v>183</v>
      </c>
      <c r="I1956" t="s">
        <v>63</v>
      </c>
      <c r="J1956" t="s">
        <v>366</v>
      </c>
      <c r="K1956" s="138">
        <v>5</v>
      </c>
      <c r="L1956" s="137">
        <v>0</v>
      </c>
    </row>
    <row r="1957" spans="7:12" x14ac:dyDescent="0.25">
      <c r="G1957" s="136">
        <v>43374</v>
      </c>
      <c r="H1957" t="s">
        <v>183</v>
      </c>
      <c r="I1957" t="s">
        <v>163</v>
      </c>
      <c r="J1957" t="s">
        <v>366</v>
      </c>
      <c r="K1957" s="138">
        <v>24.5</v>
      </c>
      <c r="L1957" s="137">
        <v>0</v>
      </c>
    </row>
    <row r="1958" spans="7:12" x14ac:dyDescent="0.25">
      <c r="G1958" s="136">
        <v>43374</v>
      </c>
      <c r="H1958" t="s">
        <v>183</v>
      </c>
      <c r="I1958" t="s">
        <v>42</v>
      </c>
      <c r="J1958" t="s">
        <v>366</v>
      </c>
      <c r="K1958" s="138">
        <v>37.01</v>
      </c>
      <c r="L1958" s="137">
        <v>0</v>
      </c>
    </row>
    <row r="1959" spans="7:12" x14ac:dyDescent="0.25">
      <c r="G1959" s="136">
        <v>43374</v>
      </c>
      <c r="H1959" t="s">
        <v>188</v>
      </c>
      <c r="I1959" t="s">
        <v>63</v>
      </c>
      <c r="J1959" t="s">
        <v>366</v>
      </c>
      <c r="K1959" s="138">
        <v>24</v>
      </c>
      <c r="L1959" s="137">
        <v>0</v>
      </c>
    </row>
    <row r="1960" spans="7:12" x14ac:dyDescent="0.25">
      <c r="G1960" s="136">
        <v>43374</v>
      </c>
      <c r="H1960" t="s">
        <v>188</v>
      </c>
      <c r="I1960" t="s">
        <v>42</v>
      </c>
      <c r="J1960" t="s">
        <v>366</v>
      </c>
      <c r="K1960" s="138">
        <v>58.75</v>
      </c>
      <c r="L1960" s="137">
        <v>0</v>
      </c>
    </row>
    <row r="1961" spans="7:12" x14ac:dyDescent="0.25">
      <c r="G1961" s="136">
        <v>43374</v>
      </c>
      <c r="H1961" t="s">
        <v>25</v>
      </c>
      <c r="I1961" t="s">
        <v>63</v>
      </c>
      <c r="J1961" t="s">
        <v>366</v>
      </c>
      <c r="K1961" s="138">
        <v>16</v>
      </c>
      <c r="L1961" s="137">
        <v>0</v>
      </c>
    </row>
    <row r="1962" spans="7:12" x14ac:dyDescent="0.25">
      <c r="G1962" s="136">
        <v>43374</v>
      </c>
      <c r="H1962" t="s">
        <v>25</v>
      </c>
      <c r="I1962" t="s">
        <v>63</v>
      </c>
      <c r="J1962" t="s">
        <v>366</v>
      </c>
      <c r="K1962" s="138">
        <v>8</v>
      </c>
      <c r="L1962" s="137">
        <v>0</v>
      </c>
    </row>
    <row r="1963" spans="7:12" x14ac:dyDescent="0.25">
      <c r="G1963" s="136">
        <v>43374</v>
      </c>
      <c r="H1963" t="s">
        <v>25</v>
      </c>
      <c r="I1963" t="s">
        <v>42</v>
      </c>
      <c r="J1963" t="s">
        <v>366</v>
      </c>
      <c r="K1963" s="138">
        <v>67.599999999999994</v>
      </c>
      <c r="L1963" s="137">
        <v>0</v>
      </c>
    </row>
    <row r="1964" spans="7:12" x14ac:dyDescent="0.25">
      <c r="G1964" s="136">
        <v>43374</v>
      </c>
      <c r="H1964" t="s">
        <v>181</v>
      </c>
      <c r="I1964" t="s">
        <v>42</v>
      </c>
      <c r="J1964" t="s">
        <v>366</v>
      </c>
      <c r="K1964" s="138">
        <v>48.18</v>
      </c>
      <c r="L1964" s="137">
        <v>0</v>
      </c>
    </row>
    <row r="1965" spans="7:12" x14ac:dyDescent="0.25">
      <c r="G1965" s="136">
        <v>43374</v>
      </c>
      <c r="H1965" t="s">
        <v>197</v>
      </c>
      <c r="I1965" t="s">
        <v>42</v>
      </c>
      <c r="J1965" t="s">
        <v>366</v>
      </c>
      <c r="K1965" s="138">
        <v>70.069999999999993</v>
      </c>
      <c r="L1965" s="137">
        <v>0</v>
      </c>
    </row>
    <row r="1966" spans="7:12" x14ac:dyDescent="0.25">
      <c r="G1966" s="136">
        <v>43374</v>
      </c>
      <c r="H1966" t="s">
        <v>180</v>
      </c>
      <c r="I1966" t="s">
        <v>42</v>
      </c>
      <c r="J1966" t="s">
        <v>366</v>
      </c>
      <c r="K1966" s="138">
        <v>44.35</v>
      </c>
      <c r="L1966" s="137">
        <v>0</v>
      </c>
    </row>
    <row r="1967" spans="7:12" x14ac:dyDescent="0.25">
      <c r="G1967" s="136">
        <v>43374</v>
      </c>
      <c r="H1967" t="s">
        <v>28</v>
      </c>
      <c r="I1967" t="s">
        <v>163</v>
      </c>
      <c r="J1967" t="s">
        <v>366</v>
      </c>
      <c r="K1967" s="138">
        <v>50.37</v>
      </c>
      <c r="L1967" s="137">
        <v>0</v>
      </c>
    </row>
    <row r="1968" spans="7:12" x14ac:dyDescent="0.25">
      <c r="G1968" s="136">
        <v>43374</v>
      </c>
      <c r="H1968" t="s">
        <v>28</v>
      </c>
      <c r="I1968" t="s">
        <v>163</v>
      </c>
      <c r="J1968" t="s">
        <v>366</v>
      </c>
      <c r="K1968" s="138">
        <v>39.99</v>
      </c>
      <c r="L1968" s="137">
        <v>0</v>
      </c>
    </row>
    <row r="1969" spans="7:12" x14ac:dyDescent="0.25">
      <c r="G1969" s="136">
        <v>43374</v>
      </c>
      <c r="H1969" t="s">
        <v>28</v>
      </c>
      <c r="I1969" t="s">
        <v>163</v>
      </c>
      <c r="J1969" t="s">
        <v>366</v>
      </c>
      <c r="K1969" s="138">
        <v>23.03</v>
      </c>
      <c r="L1969" s="137">
        <v>0</v>
      </c>
    </row>
    <row r="1970" spans="7:12" x14ac:dyDescent="0.25">
      <c r="G1970" s="136">
        <v>43374</v>
      </c>
      <c r="H1970" t="s">
        <v>28</v>
      </c>
      <c r="I1970" t="s">
        <v>112</v>
      </c>
      <c r="J1970" t="s">
        <v>366</v>
      </c>
      <c r="K1970" s="138">
        <v>104</v>
      </c>
      <c r="L1970" s="137">
        <v>0</v>
      </c>
    </row>
    <row r="1971" spans="7:12" x14ac:dyDescent="0.25">
      <c r="G1971" s="136">
        <v>43374</v>
      </c>
      <c r="H1971" t="s">
        <v>28</v>
      </c>
      <c r="I1971" t="s">
        <v>66</v>
      </c>
      <c r="J1971" t="s">
        <v>367</v>
      </c>
      <c r="K1971" s="138">
        <v>6.83</v>
      </c>
      <c r="L1971" s="137">
        <v>0</v>
      </c>
    </row>
    <row r="1972" spans="7:12" x14ac:dyDescent="0.25">
      <c r="G1972" s="136">
        <v>43374</v>
      </c>
      <c r="H1972" t="s">
        <v>28</v>
      </c>
      <c r="I1972" t="s">
        <v>66</v>
      </c>
      <c r="J1972" t="s">
        <v>276</v>
      </c>
      <c r="K1972" s="138">
        <v>3</v>
      </c>
      <c r="L1972" s="137">
        <v>0</v>
      </c>
    </row>
    <row r="1973" spans="7:12" x14ac:dyDescent="0.25">
      <c r="G1973" s="136">
        <v>43374</v>
      </c>
      <c r="H1973" t="s">
        <v>28</v>
      </c>
      <c r="I1973" t="s">
        <v>66</v>
      </c>
      <c r="J1973" t="s">
        <v>145</v>
      </c>
      <c r="K1973" s="138">
        <v>4.5</v>
      </c>
      <c r="L1973" s="137">
        <v>0</v>
      </c>
    </row>
    <row r="1974" spans="7:12" x14ac:dyDescent="0.25">
      <c r="G1974" s="136">
        <v>43374</v>
      </c>
      <c r="H1974" t="s">
        <v>28</v>
      </c>
      <c r="I1974" t="s">
        <v>42</v>
      </c>
      <c r="J1974" t="s">
        <v>366</v>
      </c>
      <c r="K1974" s="138">
        <v>286</v>
      </c>
      <c r="L1974" s="137">
        <v>0</v>
      </c>
    </row>
    <row r="1975" spans="7:12" x14ac:dyDescent="0.25">
      <c r="G1975" s="136">
        <v>43374</v>
      </c>
      <c r="H1975" t="s">
        <v>28</v>
      </c>
      <c r="I1975" t="s">
        <v>42</v>
      </c>
      <c r="J1975" t="s">
        <v>366</v>
      </c>
      <c r="K1975" s="138">
        <v>264</v>
      </c>
      <c r="L1975" s="137">
        <v>0</v>
      </c>
    </row>
    <row r="1976" spans="7:12" x14ac:dyDescent="0.25">
      <c r="G1976" s="136">
        <v>43374</v>
      </c>
      <c r="H1976" t="s">
        <v>28</v>
      </c>
      <c r="I1976" t="s">
        <v>42</v>
      </c>
      <c r="J1976" t="s">
        <v>366</v>
      </c>
      <c r="K1976" s="138">
        <v>237.9</v>
      </c>
      <c r="L1976" s="137">
        <v>0</v>
      </c>
    </row>
    <row r="1977" spans="7:12" x14ac:dyDescent="0.25">
      <c r="G1977" s="136">
        <v>43375</v>
      </c>
      <c r="H1977" t="s">
        <v>27</v>
      </c>
      <c r="I1977" t="s">
        <v>63</v>
      </c>
      <c r="J1977" t="s">
        <v>368</v>
      </c>
      <c r="K1977" s="138">
        <v>40</v>
      </c>
      <c r="L1977" s="137">
        <v>0</v>
      </c>
    </row>
    <row r="1978" spans="7:12" x14ac:dyDescent="0.25">
      <c r="G1978" s="136">
        <v>43375</v>
      </c>
      <c r="H1978" t="s">
        <v>27</v>
      </c>
      <c r="I1978" t="s">
        <v>63</v>
      </c>
      <c r="J1978" t="s">
        <v>368</v>
      </c>
      <c r="K1978" s="138">
        <v>16</v>
      </c>
      <c r="L1978" s="137">
        <v>0</v>
      </c>
    </row>
    <row r="1979" spans="7:12" x14ac:dyDescent="0.25">
      <c r="G1979" s="136">
        <v>43375</v>
      </c>
      <c r="H1979" t="s">
        <v>198</v>
      </c>
      <c r="I1979" t="s">
        <v>42</v>
      </c>
      <c r="J1979" t="s">
        <v>368</v>
      </c>
      <c r="K1979" s="138">
        <v>37.299999999999997</v>
      </c>
      <c r="L1979" s="137">
        <v>0</v>
      </c>
    </row>
    <row r="1980" spans="7:12" x14ac:dyDescent="0.25">
      <c r="G1980" s="136">
        <v>43375</v>
      </c>
      <c r="H1980" t="s">
        <v>199</v>
      </c>
      <c r="I1980" t="s">
        <v>112</v>
      </c>
      <c r="J1980" t="s">
        <v>368</v>
      </c>
      <c r="K1980" s="138">
        <v>0</v>
      </c>
      <c r="L1980" s="137">
        <v>32.049999999999997</v>
      </c>
    </row>
    <row r="1981" spans="7:12" x14ac:dyDescent="0.25">
      <c r="G1981" s="136">
        <v>43375</v>
      </c>
      <c r="H1981" t="s">
        <v>199</v>
      </c>
      <c r="I1981" t="s">
        <v>155</v>
      </c>
      <c r="J1981" t="s">
        <v>368</v>
      </c>
      <c r="K1981" s="138">
        <v>32.049999999999997</v>
      </c>
      <c r="L1981" s="137">
        <v>0</v>
      </c>
    </row>
    <row r="1982" spans="7:12" x14ac:dyDescent="0.25">
      <c r="G1982" s="136">
        <v>43375</v>
      </c>
      <c r="H1982" t="s">
        <v>183</v>
      </c>
      <c r="I1982" t="s">
        <v>178</v>
      </c>
      <c r="J1982" t="s">
        <v>368</v>
      </c>
      <c r="K1982" s="138">
        <v>100</v>
      </c>
      <c r="L1982" s="137">
        <v>0</v>
      </c>
    </row>
    <row r="1983" spans="7:12" x14ac:dyDescent="0.25">
      <c r="G1983" s="136">
        <v>43375</v>
      </c>
      <c r="H1983" t="s">
        <v>183</v>
      </c>
      <c r="I1983" t="s">
        <v>171</v>
      </c>
      <c r="J1983" t="s">
        <v>368</v>
      </c>
      <c r="K1983" s="138">
        <v>2100</v>
      </c>
      <c r="L1983" s="137">
        <v>0</v>
      </c>
    </row>
    <row r="1984" spans="7:12" x14ac:dyDescent="0.25">
      <c r="G1984" s="136">
        <v>43375</v>
      </c>
      <c r="H1984" t="s">
        <v>189</v>
      </c>
      <c r="I1984" t="s">
        <v>175</v>
      </c>
      <c r="J1984" t="s">
        <v>368</v>
      </c>
      <c r="K1984" s="138">
        <v>75</v>
      </c>
      <c r="L1984" s="137">
        <v>0</v>
      </c>
    </row>
    <row r="1985" spans="7:12" x14ac:dyDescent="0.25">
      <c r="G1985" s="136">
        <v>43375</v>
      </c>
      <c r="H1985" t="s">
        <v>189</v>
      </c>
      <c r="I1985" t="s">
        <v>171</v>
      </c>
      <c r="J1985" t="s">
        <v>368</v>
      </c>
      <c r="K1985" s="138">
        <v>300</v>
      </c>
      <c r="L1985" s="137">
        <v>0</v>
      </c>
    </row>
    <row r="1986" spans="7:12" x14ac:dyDescent="0.25">
      <c r="G1986" s="136">
        <v>43375</v>
      </c>
      <c r="H1986" t="s">
        <v>191</v>
      </c>
      <c r="I1986" t="s">
        <v>63</v>
      </c>
      <c r="J1986" t="s">
        <v>368</v>
      </c>
      <c r="K1986" s="138">
        <v>61.38</v>
      </c>
      <c r="L1986" s="137">
        <v>0</v>
      </c>
    </row>
    <row r="1987" spans="7:12" x14ac:dyDescent="0.25">
      <c r="G1987" s="136">
        <v>43375</v>
      </c>
      <c r="H1987" t="s">
        <v>193</v>
      </c>
      <c r="I1987" t="s">
        <v>112</v>
      </c>
      <c r="J1987" t="s">
        <v>368</v>
      </c>
      <c r="K1987" s="138">
        <v>333.89</v>
      </c>
      <c r="L1987" s="137">
        <v>0</v>
      </c>
    </row>
    <row r="1988" spans="7:12" x14ac:dyDescent="0.25">
      <c r="G1988" s="136">
        <v>43375</v>
      </c>
      <c r="H1988" t="s">
        <v>193</v>
      </c>
      <c r="I1988" t="s">
        <v>155</v>
      </c>
      <c r="J1988" t="s">
        <v>368</v>
      </c>
      <c r="K1988" s="138">
        <v>555.79999999999995</v>
      </c>
      <c r="L1988" s="137">
        <v>0</v>
      </c>
    </row>
    <row r="1989" spans="7:12" x14ac:dyDescent="0.25">
      <c r="G1989" s="136">
        <v>43375</v>
      </c>
      <c r="H1989" t="s">
        <v>193</v>
      </c>
      <c r="I1989" t="s">
        <v>176</v>
      </c>
      <c r="J1989" t="s">
        <v>368</v>
      </c>
      <c r="K1989" s="138">
        <v>237.9</v>
      </c>
      <c r="L1989" s="137">
        <v>0</v>
      </c>
    </row>
    <row r="1990" spans="7:12" x14ac:dyDescent="0.25">
      <c r="G1990" s="136">
        <v>43375</v>
      </c>
      <c r="H1990" t="s">
        <v>188</v>
      </c>
      <c r="I1990" t="s">
        <v>112</v>
      </c>
      <c r="J1990" t="s">
        <v>368</v>
      </c>
      <c r="K1990" s="138">
        <v>60</v>
      </c>
      <c r="L1990" s="137">
        <v>0</v>
      </c>
    </row>
    <row r="1991" spans="7:12" x14ac:dyDescent="0.25">
      <c r="G1991" s="136">
        <v>43375</v>
      </c>
      <c r="H1991" t="s">
        <v>188</v>
      </c>
      <c r="I1991" t="s">
        <v>112</v>
      </c>
      <c r="J1991" t="s">
        <v>368</v>
      </c>
      <c r="K1991" s="138">
        <v>0</v>
      </c>
      <c r="L1991" s="137">
        <v>297.57</v>
      </c>
    </row>
    <row r="1992" spans="7:12" x14ac:dyDescent="0.25">
      <c r="G1992" s="136">
        <v>43375</v>
      </c>
      <c r="H1992" t="s">
        <v>188</v>
      </c>
      <c r="I1992" t="s">
        <v>155</v>
      </c>
      <c r="J1992" t="s">
        <v>368</v>
      </c>
      <c r="K1992" s="138">
        <v>25.95</v>
      </c>
      <c r="L1992" s="137">
        <v>0</v>
      </c>
    </row>
    <row r="1993" spans="7:12" x14ac:dyDescent="0.25">
      <c r="G1993" s="136">
        <v>43375</v>
      </c>
      <c r="H1993" t="s">
        <v>188</v>
      </c>
      <c r="I1993" t="s">
        <v>171</v>
      </c>
      <c r="J1993" t="s">
        <v>368</v>
      </c>
      <c r="K1993" s="138">
        <v>150</v>
      </c>
      <c r="L1993" s="137">
        <v>0</v>
      </c>
    </row>
    <row r="1994" spans="7:12" x14ac:dyDescent="0.25">
      <c r="G1994" s="136">
        <v>43375</v>
      </c>
      <c r="H1994" t="s">
        <v>25</v>
      </c>
      <c r="I1994" t="s">
        <v>63</v>
      </c>
      <c r="J1994" t="s">
        <v>368</v>
      </c>
      <c r="K1994" s="138">
        <v>32</v>
      </c>
      <c r="L1994" s="137">
        <v>0</v>
      </c>
    </row>
    <row r="1995" spans="7:12" x14ac:dyDescent="0.25">
      <c r="G1995" s="136">
        <v>43375</v>
      </c>
      <c r="H1995" t="s">
        <v>25</v>
      </c>
      <c r="I1995" t="s">
        <v>63</v>
      </c>
      <c r="J1995" t="s">
        <v>368</v>
      </c>
      <c r="K1995" s="138">
        <v>24</v>
      </c>
      <c r="L1995" s="137">
        <v>0</v>
      </c>
    </row>
    <row r="1996" spans="7:12" x14ac:dyDescent="0.25">
      <c r="G1996" s="136">
        <v>43375</v>
      </c>
      <c r="H1996" t="s">
        <v>25</v>
      </c>
      <c r="I1996" t="s">
        <v>63</v>
      </c>
      <c r="J1996" t="s">
        <v>368</v>
      </c>
      <c r="K1996" s="138">
        <v>16</v>
      </c>
      <c r="L1996" s="137">
        <v>0</v>
      </c>
    </row>
    <row r="1997" spans="7:12" x14ac:dyDescent="0.25">
      <c r="G1997" s="136">
        <v>43375</v>
      </c>
      <c r="H1997" t="s">
        <v>25</v>
      </c>
      <c r="I1997" t="s">
        <v>63</v>
      </c>
      <c r="J1997" t="s">
        <v>368</v>
      </c>
      <c r="K1997" s="138">
        <v>8</v>
      </c>
      <c r="L1997" s="137">
        <v>0</v>
      </c>
    </row>
    <row r="1998" spans="7:12" x14ac:dyDescent="0.25">
      <c r="G1998" s="136">
        <v>43375</v>
      </c>
      <c r="H1998" t="s">
        <v>181</v>
      </c>
      <c r="I1998" t="s">
        <v>42</v>
      </c>
      <c r="J1998" t="s">
        <v>368</v>
      </c>
      <c r="K1998" s="138">
        <v>99.01</v>
      </c>
      <c r="L1998" s="137">
        <v>0</v>
      </c>
    </row>
    <row r="1999" spans="7:12" x14ac:dyDescent="0.25">
      <c r="G1999" s="136">
        <v>43375</v>
      </c>
      <c r="H1999" t="s">
        <v>197</v>
      </c>
      <c r="I1999" t="s">
        <v>176</v>
      </c>
      <c r="J1999" t="s">
        <v>368</v>
      </c>
      <c r="K1999" s="138">
        <v>152.05000000000001</v>
      </c>
      <c r="L1999" s="137">
        <v>0</v>
      </c>
    </row>
    <row r="2000" spans="7:12" x14ac:dyDescent="0.25">
      <c r="G2000" s="136">
        <v>43375</v>
      </c>
      <c r="H2000" t="s">
        <v>197</v>
      </c>
      <c r="I2000" t="s">
        <v>42</v>
      </c>
      <c r="J2000" t="s">
        <v>368</v>
      </c>
      <c r="K2000" s="138">
        <v>23</v>
      </c>
      <c r="L2000" s="137">
        <v>0</v>
      </c>
    </row>
    <row r="2001" spans="7:12" x14ac:dyDescent="0.25">
      <c r="G2001" s="136">
        <v>43375</v>
      </c>
      <c r="H2001" t="s">
        <v>196</v>
      </c>
      <c r="I2001" t="s">
        <v>171</v>
      </c>
      <c r="J2001" t="s">
        <v>368</v>
      </c>
      <c r="K2001" s="138">
        <v>106.09</v>
      </c>
      <c r="L2001" s="137">
        <v>0</v>
      </c>
    </row>
    <row r="2002" spans="7:12" x14ac:dyDescent="0.25">
      <c r="G2002" s="136">
        <v>43375</v>
      </c>
      <c r="H2002" t="s">
        <v>180</v>
      </c>
      <c r="I2002" t="s">
        <v>42</v>
      </c>
      <c r="J2002" t="s">
        <v>368</v>
      </c>
      <c r="K2002" s="138">
        <v>24.6</v>
      </c>
      <c r="L2002" s="137">
        <v>0</v>
      </c>
    </row>
    <row r="2003" spans="7:12" x14ac:dyDescent="0.25">
      <c r="G2003" s="136">
        <v>43375</v>
      </c>
      <c r="H2003" t="s">
        <v>28</v>
      </c>
      <c r="I2003" t="s">
        <v>63</v>
      </c>
      <c r="J2003" t="s">
        <v>368</v>
      </c>
      <c r="K2003" s="138">
        <v>8</v>
      </c>
      <c r="L2003" s="137">
        <v>0</v>
      </c>
    </row>
    <row r="2004" spans="7:12" x14ac:dyDescent="0.25">
      <c r="G2004" s="136">
        <v>43375</v>
      </c>
      <c r="H2004" t="s">
        <v>28</v>
      </c>
      <c r="I2004" t="s">
        <v>112</v>
      </c>
      <c r="J2004" t="s">
        <v>368</v>
      </c>
      <c r="K2004" s="138">
        <v>34.76</v>
      </c>
      <c r="L2004" s="137">
        <v>0</v>
      </c>
    </row>
    <row r="2005" spans="7:12" x14ac:dyDescent="0.25">
      <c r="G2005" s="136">
        <v>43375</v>
      </c>
      <c r="H2005" t="s">
        <v>28</v>
      </c>
      <c r="I2005" t="s">
        <v>112</v>
      </c>
      <c r="J2005" t="s">
        <v>368</v>
      </c>
      <c r="K2005" s="138">
        <v>26.16</v>
      </c>
      <c r="L2005" s="137">
        <v>0</v>
      </c>
    </row>
    <row r="2006" spans="7:12" x14ac:dyDescent="0.25">
      <c r="G2006" s="136">
        <v>43375</v>
      </c>
      <c r="H2006" t="s">
        <v>28</v>
      </c>
      <c r="I2006" t="s">
        <v>112</v>
      </c>
      <c r="J2006" t="s">
        <v>368</v>
      </c>
      <c r="K2006" s="138">
        <v>16.3</v>
      </c>
      <c r="L2006" s="137">
        <v>0</v>
      </c>
    </row>
    <row r="2007" spans="7:12" x14ac:dyDescent="0.25">
      <c r="G2007" s="136">
        <v>43375</v>
      </c>
      <c r="H2007" t="s">
        <v>28</v>
      </c>
      <c r="I2007" t="s">
        <v>155</v>
      </c>
      <c r="J2007" t="s">
        <v>368</v>
      </c>
      <c r="K2007" s="138">
        <v>103.39</v>
      </c>
      <c r="L2007" s="137">
        <v>0</v>
      </c>
    </row>
    <row r="2008" spans="7:12" x14ac:dyDescent="0.25">
      <c r="G2008" s="136">
        <v>43375</v>
      </c>
      <c r="H2008" t="s">
        <v>28</v>
      </c>
      <c r="I2008" t="s">
        <v>155</v>
      </c>
      <c r="J2008" t="s">
        <v>368</v>
      </c>
      <c r="K2008" s="138">
        <v>85.2</v>
      </c>
      <c r="L2008" s="137">
        <v>0</v>
      </c>
    </row>
    <row r="2009" spans="7:12" x14ac:dyDescent="0.25">
      <c r="G2009" s="136">
        <v>43375</v>
      </c>
      <c r="H2009" t="s">
        <v>28</v>
      </c>
      <c r="I2009" t="s">
        <v>155</v>
      </c>
      <c r="J2009" t="s">
        <v>368</v>
      </c>
      <c r="K2009" s="138">
        <v>70</v>
      </c>
      <c r="L2009" s="137">
        <v>0</v>
      </c>
    </row>
    <row r="2010" spans="7:12" x14ac:dyDescent="0.25">
      <c r="G2010" s="136">
        <v>43375</v>
      </c>
      <c r="H2010" t="s">
        <v>28</v>
      </c>
      <c r="I2010" t="s">
        <v>155</v>
      </c>
      <c r="J2010" t="s">
        <v>368</v>
      </c>
      <c r="K2010" s="138">
        <v>49.32</v>
      </c>
      <c r="L2010" s="137">
        <v>0</v>
      </c>
    </row>
    <row r="2011" spans="7:12" x14ac:dyDescent="0.25">
      <c r="G2011" s="136">
        <v>43375</v>
      </c>
      <c r="H2011" t="s">
        <v>28</v>
      </c>
      <c r="I2011" t="s">
        <v>155</v>
      </c>
      <c r="J2011" t="s">
        <v>368</v>
      </c>
      <c r="K2011" s="138">
        <v>37.799999999999997</v>
      </c>
      <c r="L2011" s="137">
        <v>0</v>
      </c>
    </row>
    <row r="2012" spans="7:12" x14ac:dyDescent="0.25">
      <c r="G2012" s="136">
        <v>43375</v>
      </c>
      <c r="H2012" t="s">
        <v>28</v>
      </c>
      <c r="I2012" t="s">
        <v>155</v>
      </c>
      <c r="J2012" t="s">
        <v>368</v>
      </c>
      <c r="K2012" s="138">
        <v>30.65</v>
      </c>
      <c r="L2012" s="137">
        <v>0</v>
      </c>
    </row>
    <row r="2013" spans="7:12" x14ac:dyDescent="0.25">
      <c r="G2013" s="136">
        <v>43375</v>
      </c>
      <c r="H2013" t="s">
        <v>28</v>
      </c>
      <c r="I2013" t="s">
        <v>155</v>
      </c>
      <c r="J2013" t="s">
        <v>368</v>
      </c>
      <c r="K2013" s="138">
        <v>22.95</v>
      </c>
      <c r="L2013" s="137">
        <v>0</v>
      </c>
    </row>
    <row r="2014" spans="7:12" x14ac:dyDescent="0.25">
      <c r="G2014" s="136">
        <v>43375</v>
      </c>
      <c r="H2014" t="s">
        <v>28</v>
      </c>
      <c r="I2014" t="s">
        <v>66</v>
      </c>
      <c r="J2014" t="s">
        <v>320</v>
      </c>
      <c r="K2014" s="138">
        <v>2.4</v>
      </c>
      <c r="L2014" s="137">
        <v>0</v>
      </c>
    </row>
    <row r="2015" spans="7:12" x14ac:dyDescent="0.25">
      <c r="G2015" s="136">
        <v>43376</v>
      </c>
      <c r="H2015" t="s">
        <v>27</v>
      </c>
      <c r="I2015" t="s">
        <v>63</v>
      </c>
      <c r="J2015" t="s">
        <v>369</v>
      </c>
      <c r="K2015" s="138">
        <v>8</v>
      </c>
      <c r="L2015" s="137">
        <v>0</v>
      </c>
    </row>
    <row r="2016" spans="7:12" x14ac:dyDescent="0.25">
      <c r="G2016" s="136">
        <v>43376</v>
      </c>
      <c r="H2016" t="s">
        <v>185</v>
      </c>
      <c r="I2016" t="s">
        <v>163</v>
      </c>
      <c r="J2016" t="s">
        <v>369</v>
      </c>
      <c r="K2016" s="138">
        <v>347.88</v>
      </c>
      <c r="L2016" s="137">
        <v>0</v>
      </c>
    </row>
    <row r="2017" spans="7:12" x14ac:dyDescent="0.25">
      <c r="G2017" s="136">
        <v>43376</v>
      </c>
      <c r="H2017" t="s">
        <v>184</v>
      </c>
      <c r="I2017" t="s">
        <v>42</v>
      </c>
      <c r="J2017" t="s">
        <v>369</v>
      </c>
      <c r="K2017" s="138">
        <v>24</v>
      </c>
      <c r="L2017" s="137">
        <v>0</v>
      </c>
    </row>
    <row r="2018" spans="7:12" x14ac:dyDescent="0.25">
      <c r="G2018" s="136">
        <v>43376</v>
      </c>
      <c r="H2018" t="s">
        <v>189</v>
      </c>
      <c r="I2018" t="s">
        <v>42</v>
      </c>
      <c r="J2018" t="s">
        <v>369</v>
      </c>
      <c r="K2018" s="138">
        <v>82</v>
      </c>
      <c r="L2018" s="137">
        <v>0</v>
      </c>
    </row>
    <row r="2019" spans="7:12" x14ac:dyDescent="0.25">
      <c r="G2019" s="136">
        <v>43376</v>
      </c>
      <c r="H2019" t="s">
        <v>188</v>
      </c>
      <c r="I2019" t="s">
        <v>42</v>
      </c>
      <c r="J2019" t="s">
        <v>369</v>
      </c>
      <c r="K2019" s="138">
        <v>301</v>
      </c>
      <c r="L2019" s="137">
        <v>0</v>
      </c>
    </row>
    <row r="2020" spans="7:12" x14ac:dyDescent="0.25">
      <c r="G2020" s="136">
        <v>43376</v>
      </c>
      <c r="H2020" t="s">
        <v>25</v>
      </c>
      <c r="I2020" t="s">
        <v>63</v>
      </c>
      <c r="J2020" t="s">
        <v>369</v>
      </c>
      <c r="K2020" s="138">
        <v>80</v>
      </c>
      <c r="L2020" s="137">
        <v>0</v>
      </c>
    </row>
    <row r="2021" spans="7:12" x14ac:dyDescent="0.25">
      <c r="G2021" s="136">
        <v>43376</v>
      </c>
      <c r="H2021" t="s">
        <v>25</v>
      </c>
      <c r="I2021" t="s">
        <v>63</v>
      </c>
      <c r="J2021" t="s">
        <v>369</v>
      </c>
      <c r="K2021" s="138">
        <v>24</v>
      </c>
      <c r="L2021" s="137">
        <v>0</v>
      </c>
    </row>
    <row r="2022" spans="7:12" x14ac:dyDescent="0.25">
      <c r="G2022" s="136">
        <v>43376</v>
      </c>
      <c r="H2022" t="s">
        <v>25</v>
      </c>
      <c r="I2022" t="s">
        <v>63</v>
      </c>
      <c r="J2022" t="s">
        <v>369</v>
      </c>
      <c r="K2022" s="138">
        <v>16</v>
      </c>
      <c r="L2022" s="137">
        <v>0</v>
      </c>
    </row>
    <row r="2023" spans="7:12" x14ac:dyDescent="0.25">
      <c r="G2023" s="136">
        <v>43376</v>
      </c>
      <c r="H2023" t="s">
        <v>25</v>
      </c>
      <c r="I2023" t="s">
        <v>63</v>
      </c>
      <c r="J2023" t="s">
        <v>369</v>
      </c>
      <c r="K2023" s="138">
        <v>8</v>
      </c>
      <c r="L2023" s="137">
        <v>0</v>
      </c>
    </row>
    <row r="2024" spans="7:12" x14ac:dyDescent="0.25">
      <c r="G2024" s="136">
        <v>43376</v>
      </c>
      <c r="H2024" t="s">
        <v>211</v>
      </c>
      <c r="I2024" t="s">
        <v>163</v>
      </c>
      <c r="J2024" t="s">
        <v>369</v>
      </c>
      <c r="K2024" s="138">
        <v>252.9</v>
      </c>
      <c r="L2024" s="137">
        <v>0</v>
      </c>
    </row>
    <row r="2025" spans="7:12" x14ac:dyDescent="0.25">
      <c r="G2025" s="136">
        <v>43376</v>
      </c>
      <c r="H2025" t="s">
        <v>180</v>
      </c>
      <c r="I2025" t="s">
        <v>42</v>
      </c>
      <c r="J2025" t="s">
        <v>369</v>
      </c>
      <c r="K2025" s="138">
        <v>10</v>
      </c>
      <c r="L2025" s="137">
        <v>0</v>
      </c>
    </row>
    <row r="2026" spans="7:12" x14ac:dyDescent="0.25">
      <c r="G2026" s="136">
        <v>43376</v>
      </c>
      <c r="H2026" t="s">
        <v>28</v>
      </c>
      <c r="I2026" t="s">
        <v>63</v>
      </c>
      <c r="J2026" t="s">
        <v>369</v>
      </c>
      <c r="K2026" s="138">
        <v>8</v>
      </c>
      <c r="L2026" s="137">
        <v>0</v>
      </c>
    </row>
    <row r="2027" spans="7:12" x14ac:dyDescent="0.25">
      <c r="G2027" s="136">
        <v>43376</v>
      </c>
      <c r="H2027" t="s">
        <v>28</v>
      </c>
      <c r="I2027" t="s">
        <v>42</v>
      </c>
      <c r="J2027" t="s">
        <v>369</v>
      </c>
      <c r="K2027" s="138">
        <v>45</v>
      </c>
      <c r="L2027" s="137">
        <v>0</v>
      </c>
    </row>
    <row r="2028" spans="7:12" x14ac:dyDescent="0.25">
      <c r="G2028" s="136">
        <v>43377</v>
      </c>
      <c r="H2028" t="s">
        <v>192</v>
      </c>
      <c r="I2028" t="s">
        <v>42</v>
      </c>
      <c r="J2028" t="s">
        <v>370</v>
      </c>
      <c r="K2028" s="138">
        <v>6.5</v>
      </c>
      <c r="L2028" s="137">
        <v>0</v>
      </c>
    </row>
    <row r="2029" spans="7:12" x14ac:dyDescent="0.25">
      <c r="G2029" s="136">
        <v>43377</v>
      </c>
      <c r="H2029" t="s">
        <v>27</v>
      </c>
      <c r="I2029" t="s">
        <v>63</v>
      </c>
      <c r="J2029" t="s">
        <v>370</v>
      </c>
      <c r="K2029" s="138">
        <v>8</v>
      </c>
      <c r="L2029" s="137">
        <v>0</v>
      </c>
    </row>
    <row r="2030" spans="7:12" x14ac:dyDescent="0.25">
      <c r="G2030" s="136">
        <v>43377</v>
      </c>
      <c r="H2030" t="s">
        <v>198</v>
      </c>
      <c r="I2030" t="s">
        <v>155</v>
      </c>
      <c r="J2030" t="s">
        <v>370</v>
      </c>
      <c r="K2030" s="138">
        <v>52.5</v>
      </c>
      <c r="L2030" s="137">
        <v>0</v>
      </c>
    </row>
    <row r="2031" spans="7:12" x14ac:dyDescent="0.25">
      <c r="G2031" s="136">
        <v>43377</v>
      </c>
      <c r="H2031" t="s">
        <v>184</v>
      </c>
      <c r="I2031" t="s">
        <v>171</v>
      </c>
      <c r="J2031" t="s">
        <v>370</v>
      </c>
      <c r="K2031" s="138">
        <v>40</v>
      </c>
      <c r="L2031" s="137">
        <v>0</v>
      </c>
    </row>
    <row r="2032" spans="7:12" x14ac:dyDescent="0.25">
      <c r="G2032" s="136">
        <v>43377</v>
      </c>
      <c r="H2032" t="s">
        <v>183</v>
      </c>
      <c r="I2032" t="s">
        <v>163</v>
      </c>
      <c r="J2032" t="s">
        <v>370</v>
      </c>
      <c r="K2032" s="138">
        <v>15.75</v>
      </c>
      <c r="L2032" s="137">
        <v>0</v>
      </c>
    </row>
    <row r="2033" spans="7:12" x14ac:dyDescent="0.25">
      <c r="G2033" s="136">
        <v>43377</v>
      </c>
      <c r="H2033" t="s">
        <v>188</v>
      </c>
      <c r="I2033" t="s">
        <v>171</v>
      </c>
      <c r="J2033" t="s">
        <v>370</v>
      </c>
      <c r="K2033" s="138">
        <v>1166.69</v>
      </c>
      <c r="L2033" s="137">
        <v>0</v>
      </c>
    </row>
    <row r="2034" spans="7:12" x14ac:dyDescent="0.25">
      <c r="G2034" s="136">
        <v>43377</v>
      </c>
      <c r="H2034" t="s">
        <v>200</v>
      </c>
      <c r="I2034" t="s">
        <v>42</v>
      </c>
      <c r="J2034" t="s">
        <v>370</v>
      </c>
      <c r="K2034" s="138">
        <v>134</v>
      </c>
      <c r="L2034" s="137">
        <v>0</v>
      </c>
    </row>
    <row r="2035" spans="7:12" x14ac:dyDescent="0.25">
      <c r="G2035" s="136">
        <v>43377</v>
      </c>
      <c r="H2035" t="s">
        <v>25</v>
      </c>
      <c r="I2035" t="s">
        <v>63</v>
      </c>
      <c r="J2035" t="s">
        <v>370</v>
      </c>
      <c r="K2035" s="138">
        <v>56</v>
      </c>
      <c r="L2035" s="137">
        <v>0</v>
      </c>
    </row>
    <row r="2036" spans="7:12" x14ac:dyDescent="0.25">
      <c r="G2036" s="136">
        <v>43377</v>
      </c>
      <c r="H2036" t="s">
        <v>25</v>
      </c>
      <c r="I2036" t="s">
        <v>63</v>
      </c>
      <c r="J2036" t="s">
        <v>370</v>
      </c>
      <c r="K2036" s="138">
        <v>48</v>
      </c>
      <c r="L2036" s="137">
        <v>0</v>
      </c>
    </row>
    <row r="2037" spans="7:12" x14ac:dyDescent="0.25">
      <c r="G2037" s="136">
        <v>43377</v>
      </c>
      <c r="H2037" t="s">
        <v>25</v>
      </c>
      <c r="I2037" t="s">
        <v>63</v>
      </c>
      <c r="J2037" t="s">
        <v>370</v>
      </c>
      <c r="K2037" s="138">
        <v>24</v>
      </c>
      <c r="L2037" s="137">
        <v>0</v>
      </c>
    </row>
    <row r="2038" spans="7:12" x14ac:dyDescent="0.25">
      <c r="G2038" s="136">
        <v>43377</v>
      </c>
      <c r="H2038" t="s">
        <v>25</v>
      </c>
      <c r="I2038" t="s">
        <v>63</v>
      </c>
      <c r="J2038" t="s">
        <v>370</v>
      </c>
      <c r="K2038" s="138">
        <v>16</v>
      </c>
      <c r="L2038" s="137">
        <v>0</v>
      </c>
    </row>
    <row r="2039" spans="7:12" x14ac:dyDescent="0.25">
      <c r="G2039" s="136">
        <v>43377</v>
      </c>
      <c r="H2039" t="s">
        <v>25</v>
      </c>
      <c r="I2039" t="s">
        <v>63</v>
      </c>
      <c r="J2039" t="s">
        <v>370</v>
      </c>
      <c r="K2039" s="138">
        <v>8</v>
      </c>
      <c r="L2039" s="137">
        <v>0</v>
      </c>
    </row>
    <row r="2040" spans="7:12" x14ac:dyDescent="0.25">
      <c r="G2040" s="136">
        <v>43377</v>
      </c>
      <c r="H2040" t="s">
        <v>25</v>
      </c>
      <c r="I2040" t="s">
        <v>42</v>
      </c>
      <c r="J2040" t="s">
        <v>370</v>
      </c>
      <c r="K2040" s="138">
        <v>95.7</v>
      </c>
      <c r="L2040" s="137">
        <v>0</v>
      </c>
    </row>
    <row r="2041" spans="7:12" x14ac:dyDescent="0.25">
      <c r="G2041" s="136">
        <v>43377</v>
      </c>
      <c r="H2041" t="s">
        <v>25</v>
      </c>
      <c r="I2041" t="s">
        <v>42</v>
      </c>
      <c r="J2041" t="s">
        <v>370</v>
      </c>
      <c r="K2041" s="138">
        <v>91</v>
      </c>
      <c r="L2041" s="137">
        <v>0</v>
      </c>
    </row>
    <row r="2042" spans="7:12" x14ac:dyDescent="0.25">
      <c r="G2042" s="136">
        <v>43377</v>
      </c>
      <c r="H2042" t="s">
        <v>196</v>
      </c>
      <c r="I2042" t="s">
        <v>42</v>
      </c>
      <c r="J2042" t="s">
        <v>370</v>
      </c>
      <c r="K2042" s="138">
        <v>48</v>
      </c>
      <c r="L2042" s="137">
        <v>0</v>
      </c>
    </row>
    <row r="2043" spans="7:12" x14ac:dyDescent="0.25">
      <c r="G2043" s="136">
        <v>43377</v>
      </c>
      <c r="H2043" t="s">
        <v>196</v>
      </c>
      <c r="I2043" t="s">
        <v>171</v>
      </c>
      <c r="J2043" t="s">
        <v>370</v>
      </c>
      <c r="K2043" s="138">
        <v>599.70000000000005</v>
      </c>
      <c r="L2043" s="137">
        <v>0</v>
      </c>
    </row>
    <row r="2044" spans="7:12" x14ac:dyDescent="0.25">
      <c r="G2044" s="136">
        <v>43377</v>
      </c>
      <c r="H2044" t="s">
        <v>28</v>
      </c>
      <c r="I2044" t="s">
        <v>155</v>
      </c>
      <c r="J2044" t="s">
        <v>370</v>
      </c>
      <c r="K2044" s="138">
        <v>270</v>
      </c>
      <c r="L2044" s="137">
        <v>0</v>
      </c>
    </row>
    <row r="2045" spans="7:12" x14ac:dyDescent="0.25">
      <c r="G2045" s="136">
        <v>43377</v>
      </c>
      <c r="H2045" t="s">
        <v>28</v>
      </c>
      <c r="I2045" t="s">
        <v>155</v>
      </c>
      <c r="J2045" t="s">
        <v>370</v>
      </c>
      <c r="K2045" s="138">
        <v>41.19</v>
      </c>
      <c r="L2045" s="137">
        <v>0</v>
      </c>
    </row>
    <row r="2046" spans="7:12" x14ac:dyDescent="0.25">
      <c r="G2046" s="136">
        <v>43377</v>
      </c>
      <c r="H2046" t="s">
        <v>28</v>
      </c>
      <c r="I2046" t="s">
        <v>155</v>
      </c>
      <c r="J2046" t="s">
        <v>370</v>
      </c>
      <c r="K2046" s="138">
        <v>39.119999999999997</v>
      </c>
      <c r="L2046" s="137">
        <v>0</v>
      </c>
    </row>
    <row r="2047" spans="7:12" x14ac:dyDescent="0.25">
      <c r="G2047" s="136">
        <v>43377</v>
      </c>
      <c r="H2047" t="s">
        <v>28</v>
      </c>
      <c r="I2047" t="s">
        <v>155</v>
      </c>
      <c r="J2047" t="s">
        <v>370</v>
      </c>
      <c r="K2047" s="138">
        <v>35</v>
      </c>
      <c r="L2047" s="137">
        <v>0</v>
      </c>
    </row>
    <row r="2048" spans="7:12" x14ac:dyDescent="0.25">
      <c r="G2048" s="136">
        <v>43377</v>
      </c>
      <c r="H2048" t="s">
        <v>28</v>
      </c>
      <c r="I2048" t="s">
        <v>66</v>
      </c>
      <c r="J2048" t="s">
        <v>111</v>
      </c>
      <c r="K2048" s="138">
        <v>2.7</v>
      </c>
      <c r="L2048" s="137">
        <v>0</v>
      </c>
    </row>
    <row r="2049" spans="7:12" x14ac:dyDescent="0.25">
      <c r="G2049" s="136">
        <v>43377</v>
      </c>
      <c r="H2049" t="s">
        <v>28</v>
      </c>
      <c r="I2049" t="s">
        <v>66</v>
      </c>
      <c r="J2049" t="s">
        <v>145</v>
      </c>
      <c r="K2049" s="138">
        <v>4.5</v>
      </c>
      <c r="L2049" s="137">
        <v>0</v>
      </c>
    </row>
    <row r="2050" spans="7:12" x14ac:dyDescent="0.25">
      <c r="G2050" s="136">
        <v>43377</v>
      </c>
      <c r="H2050" t="s">
        <v>28</v>
      </c>
      <c r="I2050" t="s">
        <v>42</v>
      </c>
      <c r="J2050" t="s">
        <v>370</v>
      </c>
      <c r="K2050" s="138">
        <v>38</v>
      </c>
      <c r="L2050" s="137">
        <v>0</v>
      </c>
    </row>
    <row r="2051" spans="7:12" x14ac:dyDescent="0.25">
      <c r="G2051" s="136">
        <v>43377</v>
      </c>
      <c r="H2051" t="s">
        <v>28</v>
      </c>
      <c r="I2051" t="s">
        <v>42</v>
      </c>
      <c r="J2051" t="s">
        <v>370</v>
      </c>
      <c r="K2051" s="138">
        <v>19</v>
      </c>
      <c r="L2051" s="137">
        <v>0</v>
      </c>
    </row>
    <row r="2052" spans="7:12" x14ac:dyDescent="0.25">
      <c r="G2052" s="136">
        <v>43378</v>
      </c>
      <c r="H2052" t="s">
        <v>192</v>
      </c>
      <c r="I2052" t="s">
        <v>63</v>
      </c>
      <c r="J2052" t="s">
        <v>371</v>
      </c>
      <c r="K2052" s="138">
        <v>70.75</v>
      </c>
      <c r="L2052" s="137">
        <v>0</v>
      </c>
    </row>
    <row r="2053" spans="7:12" x14ac:dyDescent="0.25">
      <c r="G2053" s="136">
        <v>43378</v>
      </c>
      <c r="H2053" t="s">
        <v>27</v>
      </c>
      <c r="I2053" t="s">
        <v>63</v>
      </c>
      <c r="J2053" t="s">
        <v>371</v>
      </c>
      <c r="K2053" s="138">
        <v>8</v>
      </c>
      <c r="L2053" s="137">
        <v>0</v>
      </c>
    </row>
    <row r="2054" spans="7:12" x14ac:dyDescent="0.25">
      <c r="G2054" s="136">
        <v>43378</v>
      </c>
      <c r="H2054" t="s">
        <v>199</v>
      </c>
      <c r="I2054" t="s">
        <v>42</v>
      </c>
      <c r="J2054" t="s">
        <v>371</v>
      </c>
      <c r="K2054" s="138">
        <v>21.37</v>
      </c>
      <c r="L2054" s="137">
        <v>0</v>
      </c>
    </row>
    <row r="2055" spans="7:12" x14ac:dyDescent="0.25">
      <c r="G2055" s="136">
        <v>43378</v>
      </c>
      <c r="H2055" t="s">
        <v>184</v>
      </c>
      <c r="I2055" t="s">
        <v>42</v>
      </c>
      <c r="J2055" t="s">
        <v>371</v>
      </c>
      <c r="K2055" s="138">
        <v>137.63999999999999</v>
      </c>
      <c r="L2055" s="137">
        <v>0</v>
      </c>
    </row>
    <row r="2056" spans="7:12" x14ac:dyDescent="0.25">
      <c r="G2056" s="136">
        <v>43378</v>
      </c>
      <c r="H2056" t="s">
        <v>183</v>
      </c>
      <c r="I2056" t="s">
        <v>42</v>
      </c>
      <c r="J2056" t="s">
        <v>371</v>
      </c>
      <c r="K2056" s="138">
        <v>21.98</v>
      </c>
      <c r="L2056" s="137">
        <v>0</v>
      </c>
    </row>
    <row r="2057" spans="7:12" x14ac:dyDescent="0.25">
      <c r="G2057" s="136">
        <v>43378</v>
      </c>
      <c r="H2057" t="s">
        <v>191</v>
      </c>
      <c r="I2057" t="s">
        <v>163</v>
      </c>
      <c r="J2057" t="s">
        <v>371</v>
      </c>
      <c r="K2057" s="138">
        <v>22.7</v>
      </c>
      <c r="L2057" s="137">
        <v>0</v>
      </c>
    </row>
    <row r="2058" spans="7:12" x14ac:dyDescent="0.25">
      <c r="G2058" s="136">
        <v>43378</v>
      </c>
      <c r="H2058" t="s">
        <v>188</v>
      </c>
      <c r="I2058" t="s">
        <v>42</v>
      </c>
      <c r="J2058" t="s">
        <v>371</v>
      </c>
      <c r="K2058" s="138">
        <v>236</v>
      </c>
      <c r="L2058" s="137">
        <v>0</v>
      </c>
    </row>
    <row r="2059" spans="7:12" x14ac:dyDescent="0.25">
      <c r="G2059" s="136">
        <v>43378</v>
      </c>
      <c r="H2059" t="s">
        <v>188</v>
      </c>
      <c r="I2059" t="s">
        <v>171</v>
      </c>
      <c r="J2059" t="s">
        <v>371</v>
      </c>
      <c r="K2059" s="138">
        <v>131.68</v>
      </c>
      <c r="L2059" s="137">
        <v>0</v>
      </c>
    </row>
    <row r="2060" spans="7:12" x14ac:dyDescent="0.25">
      <c r="G2060" s="136">
        <v>43378</v>
      </c>
      <c r="H2060" t="s">
        <v>200</v>
      </c>
      <c r="I2060" t="s">
        <v>42</v>
      </c>
      <c r="J2060" t="s">
        <v>371</v>
      </c>
      <c r="K2060" s="138">
        <v>166</v>
      </c>
      <c r="L2060" s="137">
        <v>0</v>
      </c>
    </row>
    <row r="2061" spans="7:12" x14ac:dyDescent="0.25">
      <c r="G2061" s="136">
        <v>43378</v>
      </c>
      <c r="H2061" t="s">
        <v>25</v>
      </c>
      <c r="I2061" t="s">
        <v>63</v>
      </c>
      <c r="J2061" t="s">
        <v>371</v>
      </c>
      <c r="K2061" s="138">
        <v>16</v>
      </c>
      <c r="L2061" s="137">
        <v>0</v>
      </c>
    </row>
    <row r="2062" spans="7:12" x14ac:dyDescent="0.25">
      <c r="G2062" s="136">
        <v>43378</v>
      </c>
      <c r="H2062" t="s">
        <v>25</v>
      </c>
      <c r="I2062" t="s">
        <v>63</v>
      </c>
      <c r="J2062" t="s">
        <v>371</v>
      </c>
      <c r="K2062" s="138">
        <v>8</v>
      </c>
      <c r="L2062" s="137">
        <v>0</v>
      </c>
    </row>
    <row r="2063" spans="7:12" x14ac:dyDescent="0.25">
      <c r="G2063" s="136">
        <v>43378</v>
      </c>
      <c r="H2063" t="s">
        <v>182</v>
      </c>
      <c r="I2063" t="s">
        <v>63</v>
      </c>
      <c r="J2063" t="s">
        <v>371</v>
      </c>
      <c r="K2063" s="138">
        <v>172</v>
      </c>
      <c r="L2063" s="137">
        <v>0</v>
      </c>
    </row>
    <row r="2064" spans="7:12" x14ac:dyDescent="0.25">
      <c r="G2064" s="136">
        <v>43378</v>
      </c>
      <c r="H2064" t="s">
        <v>187</v>
      </c>
      <c r="I2064" t="s">
        <v>42</v>
      </c>
      <c r="J2064" t="s">
        <v>371</v>
      </c>
      <c r="K2064" s="138">
        <v>138</v>
      </c>
      <c r="L2064" s="137">
        <v>0</v>
      </c>
    </row>
    <row r="2065" spans="7:12" x14ac:dyDescent="0.25">
      <c r="G2065" s="136">
        <v>43378</v>
      </c>
      <c r="H2065" t="s">
        <v>28</v>
      </c>
      <c r="I2065" t="s">
        <v>63</v>
      </c>
      <c r="J2065" t="s">
        <v>371</v>
      </c>
      <c r="K2065" s="138">
        <v>8</v>
      </c>
      <c r="L2065" s="137">
        <v>0</v>
      </c>
    </row>
    <row r="2066" spans="7:12" x14ac:dyDescent="0.25">
      <c r="G2066" s="136">
        <v>43378</v>
      </c>
      <c r="H2066" t="s">
        <v>28</v>
      </c>
      <c r="I2066" t="s">
        <v>163</v>
      </c>
      <c r="J2066" t="s">
        <v>371</v>
      </c>
      <c r="K2066" s="138">
        <v>28</v>
      </c>
      <c r="L2066" s="137">
        <v>0</v>
      </c>
    </row>
    <row r="2067" spans="7:12" x14ac:dyDescent="0.25">
      <c r="G2067" s="136">
        <v>43378</v>
      </c>
      <c r="H2067" t="s">
        <v>28</v>
      </c>
      <c r="I2067" t="s">
        <v>66</v>
      </c>
      <c r="J2067" t="s">
        <v>131</v>
      </c>
      <c r="K2067" s="138">
        <v>18.399999999999999</v>
      </c>
      <c r="L2067" s="137">
        <v>0</v>
      </c>
    </row>
    <row r="2068" spans="7:12" x14ac:dyDescent="0.25">
      <c r="G2068" s="136">
        <v>43378</v>
      </c>
      <c r="H2068" t="s">
        <v>28</v>
      </c>
      <c r="I2068" t="s">
        <v>66</v>
      </c>
      <c r="J2068" t="s">
        <v>123</v>
      </c>
      <c r="K2068" s="138">
        <v>4.5</v>
      </c>
      <c r="L2068" s="137">
        <v>0</v>
      </c>
    </row>
    <row r="2069" spans="7:12" x14ac:dyDescent="0.25">
      <c r="G2069" s="136">
        <v>43378</v>
      </c>
      <c r="H2069" t="s">
        <v>28</v>
      </c>
      <c r="I2069" t="s">
        <v>171</v>
      </c>
      <c r="J2069" t="s">
        <v>371</v>
      </c>
      <c r="K2069" s="138">
        <v>178</v>
      </c>
      <c r="L2069" s="137">
        <v>0</v>
      </c>
    </row>
    <row r="2070" spans="7:12" x14ac:dyDescent="0.25">
      <c r="G2070" s="136">
        <v>43379</v>
      </c>
      <c r="H2070" t="s">
        <v>28</v>
      </c>
      <c r="I2070" t="s">
        <v>66</v>
      </c>
      <c r="J2070" t="s">
        <v>372</v>
      </c>
      <c r="K2070" s="138">
        <v>11.25</v>
      </c>
      <c r="L2070" s="137">
        <v>0</v>
      </c>
    </row>
    <row r="2071" spans="7:12" x14ac:dyDescent="0.25">
      <c r="G2071" s="136">
        <v>43381</v>
      </c>
      <c r="H2071" t="s">
        <v>204</v>
      </c>
      <c r="I2071" t="s">
        <v>42</v>
      </c>
      <c r="J2071" t="s">
        <v>373</v>
      </c>
      <c r="K2071" s="138">
        <v>82.6</v>
      </c>
      <c r="L2071" s="137">
        <v>0</v>
      </c>
    </row>
    <row r="2072" spans="7:12" x14ac:dyDescent="0.25">
      <c r="G2072" s="136">
        <v>43381</v>
      </c>
      <c r="H2072" t="s">
        <v>27</v>
      </c>
      <c r="I2072" t="s">
        <v>63</v>
      </c>
      <c r="J2072" t="s">
        <v>373</v>
      </c>
      <c r="K2072" s="138">
        <v>24</v>
      </c>
      <c r="L2072" s="137">
        <v>0</v>
      </c>
    </row>
    <row r="2073" spans="7:12" x14ac:dyDescent="0.25">
      <c r="G2073" s="136">
        <v>43381</v>
      </c>
      <c r="H2073" t="s">
        <v>27</v>
      </c>
      <c r="I2073" t="s">
        <v>63</v>
      </c>
      <c r="J2073" t="s">
        <v>373</v>
      </c>
      <c r="K2073" s="138">
        <v>8</v>
      </c>
      <c r="L2073" s="137">
        <v>0</v>
      </c>
    </row>
    <row r="2074" spans="7:12" x14ac:dyDescent="0.25">
      <c r="G2074" s="136">
        <v>43381</v>
      </c>
      <c r="H2074" t="s">
        <v>27</v>
      </c>
      <c r="I2074" t="s">
        <v>42</v>
      </c>
      <c r="J2074" t="s">
        <v>373</v>
      </c>
      <c r="K2074" s="138">
        <v>6.95</v>
      </c>
      <c r="L2074" s="137">
        <v>0</v>
      </c>
    </row>
    <row r="2075" spans="7:12" x14ac:dyDescent="0.25">
      <c r="G2075" s="136">
        <v>43381</v>
      </c>
      <c r="H2075" t="s">
        <v>183</v>
      </c>
      <c r="I2075" t="s">
        <v>42</v>
      </c>
      <c r="J2075" t="s">
        <v>373</v>
      </c>
      <c r="K2075" s="138">
        <v>9.81</v>
      </c>
      <c r="L2075" s="137">
        <v>0</v>
      </c>
    </row>
    <row r="2076" spans="7:12" x14ac:dyDescent="0.25">
      <c r="G2076" s="136">
        <v>43381</v>
      </c>
      <c r="H2076" t="s">
        <v>25</v>
      </c>
      <c r="I2076" t="s">
        <v>63</v>
      </c>
      <c r="J2076" t="s">
        <v>373</v>
      </c>
      <c r="K2076" s="138">
        <v>64</v>
      </c>
      <c r="L2076" s="137">
        <v>0</v>
      </c>
    </row>
    <row r="2077" spans="7:12" x14ac:dyDescent="0.25">
      <c r="G2077" s="136">
        <v>43381</v>
      </c>
      <c r="H2077" t="s">
        <v>25</v>
      </c>
      <c r="I2077" t="s">
        <v>63</v>
      </c>
      <c r="J2077" t="s">
        <v>373</v>
      </c>
      <c r="K2077" s="138">
        <v>48</v>
      </c>
      <c r="L2077" s="137">
        <v>0</v>
      </c>
    </row>
    <row r="2078" spans="7:12" x14ac:dyDescent="0.25">
      <c r="G2078" s="136">
        <v>43381</v>
      </c>
      <c r="H2078" t="s">
        <v>25</v>
      </c>
      <c r="I2078" t="s">
        <v>63</v>
      </c>
      <c r="J2078" t="s">
        <v>373</v>
      </c>
      <c r="K2078" s="138">
        <v>16</v>
      </c>
      <c r="L2078" s="137">
        <v>0</v>
      </c>
    </row>
    <row r="2079" spans="7:12" x14ac:dyDescent="0.25">
      <c r="G2079" s="136">
        <v>43381</v>
      </c>
      <c r="H2079" t="s">
        <v>25</v>
      </c>
      <c r="I2079" t="s">
        <v>63</v>
      </c>
      <c r="J2079" t="s">
        <v>373</v>
      </c>
      <c r="K2079" s="138">
        <v>8</v>
      </c>
      <c r="L2079" s="137">
        <v>0</v>
      </c>
    </row>
    <row r="2080" spans="7:12" x14ac:dyDescent="0.25">
      <c r="G2080" s="136">
        <v>43381</v>
      </c>
      <c r="H2080" t="s">
        <v>25</v>
      </c>
      <c r="I2080" t="s">
        <v>42</v>
      </c>
      <c r="J2080" t="s">
        <v>373</v>
      </c>
      <c r="K2080" s="138">
        <v>43.5</v>
      </c>
      <c r="L2080" s="137">
        <v>0</v>
      </c>
    </row>
    <row r="2081" spans="7:12" x14ac:dyDescent="0.25">
      <c r="G2081" s="136">
        <v>43381</v>
      </c>
      <c r="H2081" t="s">
        <v>187</v>
      </c>
      <c r="I2081" t="s">
        <v>42</v>
      </c>
      <c r="J2081" t="s">
        <v>373</v>
      </c>
      <c r="K2081" s="138">
        <v>110.57</v>
      </c>
      <c r="L2081" s="137">
        <v>0</v>
      </c>
    </row>
    <row r="2082" spans="7:12" x14ac:dyDescent="0.25">
      <c r="G2082" s="136">
        <v>43381</v>
      </c>
      <c r="H2082" t="s">
        <v>180</v>
      </c>
      <c r="I2082" t="s">
        <v>42</v>
      </c>
      <c r="J2082" t="s">
        <v>373</v>
      </c>
      <c r="K2082" s="138">
        <v>10</v>
      </c>
      <c r="L2082" s="137">
        <v>0</v>
      </c>
    </row>
    <row r="2083" spans="7:12" x14ac:dyDescent="0.25">
      <c r="G2083" s="136">
        <v>43381</v>
      </c>
      <c r="H2083" t="s">
        <v>28</v>
      </c>
      <c r="I2083" t="s">
        <v>63</v>
      </c>
      <c r="J2083" t="s">
        <v>373</v>
      </c>
      <c r="K2083" s="138">
        <v>51.45</v>
      </c>
      <c r="L2083" s="137">
        <v>0</v>
      </c>
    </row>
    <row r="2084" spans="7:12" x14ac:dyDescent="0.25">
      <c r="G2084" s="136">
        <v>43381</v>
      </c>
      <c r="H2084" t="s">
        <v>28</v>
      </c>
      <c r="I2084" t="s">
        <v>66</v>
      </c>
      <c r="J2084" t="s">
        <v>282</v>
      </c>
      <c r="K2084" s="138">
        <v>1.8</v>
      </c>
      <c r="L2084" s="137">
        <v>0</v>
      </c>
    </row>
    <row r="2085" spans="7:12" x14ac:dyDescent="0.25">
      <c r="G2085" s="136">
        <v>43381</v>
      </c>
      <c r="H2085" t="s">
        <v>28</v>
      </c>
      <c r="I2085" t="s">
        <v>66</v>
      </c>
      <c r="J2085" t="s">
        <v>134</v>
      </c>
      <c r="K2085" s="138">
        <v>9</v>
      </c>
      <c r="L2085" s="137">
        <v>0</v>
      </c>
    </row>
    <row r="2086" spans="7:12" x14ac:dyDescent="0.25">
      <c r="G2086" s="136">
        <v>43381</v>
      </c>
      <c r="H2086" t="s">
        <v>28</v>
      </c>
      <c r="I2086" t="s">
        <v>66</v>
      </c>
      <c r="J2086" t="s">
        <v>141</v>
      </c>
      <c r="K2086" s="138">
        <v>3.15</v>
      </c>
      <c r="L2086" s="137">
        <v>0</v>
      </c>
    </row>
    <row r="2087" spans="7:12" x14ac:dyDescent="0.25">
      <c r="G2087" s="136">
        <v>43381</v>
      </c>
      <c r="H2087" t="s">
        <v>28</v>
      </c>
      <c r="I2087" t="s">
        <v>66</v>
      </c>
      <c r="J2087" t="s">
        <v>143</v>
      </c>
      <c r="K2087" s="138">
        <v>9</v>
      </c>
      <c r="L2087" s="137">
        <v>0</v>
      </c>
    </row>
    <row r="2088" spans="7:12" x14ac:dyDescent="0.25">
      <c r="G2088" s="136">
        <v>43382</v>
      </c>
      <c r="H2088" t="s">
        <v>27</v>
      </c>
      <c r="I2088" t="s">
        <v>63</v>
      </c>
      <c r="J2088" t="s">
        <v>375</v>
      </c>
      <c r="K2088" s="138">
        <v>8</v>
      </c>
      <c r="L2088" s="137">
        <v>0</v>
      </c>
    </row>
    <row r="2089" spans="7:12" x14ac:dyDescent="0.25">
      <c r="G2089" s="136">
        <v>43382</v>
      </c>
      <c r="H2089" t="s">
        <v>183</v>
      </c>
      <c r="I2089" t="s">
        <v>42</v>
      </c>
      <c r="J2089" t="s">
        <v>375</v>
      </c>
      <c r="K2089" s="138">
        <v>20</v>
      </c>
      <c r="L2089" s="137">
        <v>0</v>
      </c>
    </row>
    <row r="2090" spans="7:12" x14ac:dyDescent="0.25">
      <c r="G2090" s="136">
        <v>43382</v>
      </c>
      <c r="H2090" t="s">
        <v>25</v>
      </c>
      <c r="I2090" t="s">
        <v>63</v>
      </c>
      <c r="J2090" t="s">
        <v>375</v>
      </c>
      <c r="K2090" s="138">
        <v>56</v>
      </c>
      <c r="L2090" s="137">
        <v>0</v>
      </c>
    </row>
    <row r="2091" spans="7:12" x14ac:dyDescent="0.25">
      <c r="G2091" s="136">
        <v>43382</v>
      </c>
      <c r="H2091" t="s">
        <v>25</v>
      </c>
      <c r="I2091" t="s">
        <v>63</v>
      </c>
      <c r="J2091" t="s">
        <v>375</v>
      </c>
      <c r="K2091" s="138">
        <v>8</v>
      </c>
      <c r="L2091" s="137">
        <v>0</v>
      </c>
    </row>
    <row r="2092" spans="7:12" x14ac:dyDescent="0.25">
      <c r="G2092" s="136">
        <v>43382</v>
      </c>
      <c r="H2092" t="s">
        <v>181</v>
      </c>
      <c r="I2092" t="s">
        <v>42</v>
      </c>
      <c r="J2092" t="s">
        <v>375</v>
      </c>
      <c r="K2092" s="138">
        <v>209.84</v>
      </c>
      <c r="L2092" s="137">
        <v>0</v>
      </c>
    </row>
    <row r="2093" spans="7:12" x14ac:dyDescent="0.25">
      <c r="G2093" s="136">
        <v>43382</v>
      </c>
      <c r="H2093" t="s">
        <v>28</v>
      </c>
      <c r="I2093" t="s">
        <v>66</v>
      </c>
      <c r="J2093" t="s">
        <v>374</v>
      </c>
      <c r="K2093" s="138">
        <v>12</v>
      </c>
      <c r="L2093" s="137">
        <v>0</v>
      </c>
    </row>
    <row r="2094" spans="7:12" x14ac:dyDescent="0.25">
      <c r="G2094" s="136">
        <v>43382</v>
      </c>
      <c r="H2094" t="s">
        <v>28</v>
      </c>
      <c r="I2094" t="s">
        <v>66</v>
      </c>
      <c r="J2094" t="s">
        <v>135</v>
      </c>
      <c r="K2094" s="138">
        <v>14.35</v>
      </c>
      <c r="L2094" s="137">
        <v>0</v>
      </c>
    </row>
    <row r="2095" spans="7:12" x14ac:dyDescent="0.25">
      <c r="G2095" s="136">
        <v>43382</v>
      </c>
      <c r="H2095" t="s">
        <v>28</v>
      </c>
      <c r="I2095" t="s">
        <v>66</v>
      </c>
      <c r="J2095" t="s">
        <v>105</v>
      </c>
      <c r="K2095" s="138">
        <v>6</v>
      </c>
      <c r="L2095" s="137">
        <v>0</v>
      </c>
    </row>
    <row r="2096" spans="7:12" x14ac:dyDescent="0.25">
      <c r="G2096" s="136">
        <v>43382</v>
      </c>
      <c r="H2096" t="s">
        <v>28</v>
      </c>
      <c r="I2096" t="s">
        <v>66</v>
      </c>
      <c r="J2096" t="s">
        <v>143</v>
      </c>
      <c r="K2096" s="138">
        <v>9</v>
      </c>
      <c r="L2096" s="137">
        <v>0</v>
      </c>
    </row>
    <row r="2097" spans="7:12" x14ac:dyDescent="0.25">
      <c r="G2097" s="136">
        <v>43382</v>
      </c>
      <c r="H2097" t="s">
        <v>28</v>
      </c>
      <c r="I2097" t="s">
        <v>66</v>
      </c>
      <c r="J2097" t="s">
        <v>140</v>
      </c>
      <c r="K2097" s="138">
        <v>18.75</v>
      </c>
      <c r="L2097" s="137">
        <v>0</v>
      </c>
    </row>
    <row r="2098" spans="7:12" x14ac:dyDescent="0.25">
      <c r="G2098" s="136">
        <v>43382</v>
      </c>
      <c r="H2098" t="s">
        <v>28</v>
      </c>
      <c r="I2098" t="s">
        <v>66</v>
      </c>
      <c r="J2098" t="s">
        <v>123</v>
      </c>
      <c r="K2098" s="138">
        <v>9.75</v>
      </c>
      <c r="L2098" s="137">
        <v>0</v>
      </c>
    </row>
    <row r="2099" spans="7:12" x14ac:dyDescent="0.25">
      <c r="G2099" s="136">
        <v>43383</v>
      </c>
      <c r="H2099" t="s">
        <v>203</v>
      </c>
      <c r="I2099" t="s">
        <v>228</v>
      </c>
      <c r="J2099" t="s">
        <v>377</v>
      </c>
      <c r="K2099" s="138">
        <v>833.5</v>
      </c>
      <c r="L2099" s="137">
        <v>0</v>
      </c>
    </row>
    <row r="2100" spans="7:12" x14ac:dyDescent="0.25">
      <c r="G2100" s="136">
        <v>43383</v>
      </c>
      <c r="H2100" t="s">
        <v>192</v>
      </c>
      <c r="I2100" t="s">
        <v>155</v>
      </c>
      <c r="J2100" t="s">
        <v>376</v>
      </c>
      <c r="K2100" s="138">
        <v>65.86</v>
      </c>
      <c r="L2100" s="137">
        <v>0</v>
      </c>
    </row>
    <row r="2101" spans="7:12" x14ac:dyDescent="0.25">
      <c r="G2101" s="136">
        <v>43383</v>
      </c>
      <c r="H2101" t="s">
        <v>192</v>
      </c>
      <c r="I2101" t="s">
        <v>228</v>
      </c>
      <c r="J2101" t="s">
        <v>377</v>
      </c>
      <c r="K2101" s="138">
        <v>171.88</v>
      </c>
      <c r="L2101" s="137">
        <v>0</v>
      </c>
    </row>
    <row r="2102" spans="7:12" x14ac:dyDescent="0.25">
      <c r="G2102" s="136">
        <v>43383</v>
      </c>
      <c r="H2102" t="s">
        <v>27</v>
      </c>
      <c r="I2102" t="s">
        <v>63</v>
      </c>
      <c r="J2102" t="s">
        <v>376</v>
      </c>
      <c r="K2102" s="138">
        <v>8</v>
      </c>
      <c r="L2102" s="137">
        <v>0</v>
      </c>
    </row>
    <row r="2103" spans="7:12" x14ac:dyDescent="0.25">
      <c r="G2103" s="136">
        <v>43383</v>
      </c>
      <c r="H2103" t="s">
        <v>27</v>
      </c>
      <c r="I2103" t="s">
        <v>228</v>
      </c>
      <c r="J2103" t="s">
        <v>377</v>
      </c>
      <c r="K2103" s="138">
        <v>85.08</v>
      </c>
      <c r="L2103" s="137">
        <v>0</v>
      </c>
    </row>
    <row r="2104" spans="7:12" x14ac:dyDescent="0.25">
      <c r="G2104" s="136">
        <v>43383</v>
      </c>
      <c r="H2104" t="s">
        <v>27</v>
      </c>
      <c r="I2104" t="s">
        <v>228</v>
      </c>
      <c r="J2104" t="s">
        <v>377</v>
      </c>
      <c r="K2104" s="138">
        <v>44.52</v>
      </c>
      <c r="L2104" s="137">
        <v>0</v>
      </c>
    </row>
    <row r="2105" spans="7:12" x14ac:dyDescent="0.25">
      <c r="G2105" s="136">
        <v>43383</v>
      </c>
      <c r="H2105" t="s">
        <v>27</v>
      </c>
      <c r="I2105" t="s">
        <v>228</v>
      </c>
      <c r="J2105" t="s">
        <v>377</v>
      </c>
      <c r="K2105" s="138">
        <v>43.57</v>
      </c>
      <c r="L2105" s="137">
        <v>0</v>
      </c>
    </row>
    <row r="2106" spans="7:12" x14ac:dyDescent="0.25">
      <c r="G2106" s="136">
        <v>43383</v>
      </c>
      <c r="H2106" t="s">
        <v>27</v>
      </c>
      <c r="I2106" t="s">
        <v>228</v>
      </c>
      <c r="J2106" t="s">
        <v>377</v>
      </c>
      <c r="K2106" s="138">
        <v>39.39</v>
      </c>
      <c r="L2106" s="137">
        <v>0</v>
      </c>
    </row>
    <row r="2107" spans="7:12" x14ac:dyDescent="0.25">
      <c r="G2107" s="136">
        <v>43383</v>
      </c>
      <c r="H2107" t="s">
        <v>27</v>
      </c>
      <c r="I2107" t="s">
        <v>228</v>
      </c>
      <c r="J2107" t="s">
        <v>377</v>
      </c>
      <c r="K2107" s="138">
        <v>28.51</v>
      </c>
      <c r="L2107" s="137">
        <v>0</v>
      </c>
    </row>
    <row r="2108" spans="7:12" x14ac:dyDescent="0.25">
      <c r="G2108" s="136">
        <v>43383</v>
      </c>
      <c r="H2108" t="s">
        <v>27</v>
      </c>
      <c r="I2108" t="s">
        <v>228</v>
      </c>
      <c r="J2108" t="s">
        <v>377</v>
      </c>
      <c r="K2108" s="138">
        <v>27.29</v>
      </c>
      <c r="L2108" s="137">
        <v>0</v>
      </c>
    </row>
    <row r="2109" spans="7:12" x14ac:dyDescent="0.25">
      <c r="G2109" s="136">
        <v>43383</v>
      </c>
      <c r="H2109" t="s">
        <v>27</v>
      </c>
      <c r="I2109" t="s">
        <v>228</v>
      </c>
      <c r="J2109" t="s">
        <v>377</v>
      </c>
      <c r="K2109" s="138">
        <v>26.82</v>
      </c>
      <c r="L2109" s="137">
        <v>0</v>
      </c>
    </row>
    <row r="2110" spans="7:12" x14ac:dyDescent="0.25">
      <c r="G2110" s="136">
        <v>43383</v>
      </c>
      <c r="H2110" t="s">
        <v>27</v>
      </c>
      <c r="I2110" t="s">
        <v>228</v>
      </c>
      <c r="J2110" t="s">
        <v>377</v>
      </c>
      <c r="K2110" s="138">
        <v>26.62</v>
      </c>
      <c r="L2110" s="137">
        <v>0</v>
      </c>
    </row>
    <row r="2111" spans="7:12" x14ac:dyDescent="0.25">
      <c r="G2111" s="136">
        <v>43383</v>
      </c>
      <c r="H2111" t="s">
        <v>27</v>
      </c>
      <c r="I2111" t="s">
        <v>228</v>
      </c>
      <c r="J2111" t="s">
        <v>377</v>
      </c>
      <c r="K2111" s="138">
        <v>24.92</v>
      </c>
      <c r="L2111" s="137">
        <v>0</v>
      </c>
    </row>
    <row r="2112" spans="7:12" x14ac:dyDescent="0.25">
      <c r="G2112" s="136">
        <v>43383</v>
      </c>
      <c r="H2112" t="s">
        <v>27</v>
      </c>
      <c r="I2112" t="s">
        <v>228</v>
      </c>
      <c r="J2112" t="s">
        <v>377</v>
      </c>
      <c r="K2112" s="138">
        <v>24.18</v>
      </c>
      <c r="L2112" s="137">
        <v>0</v>
      </c>
    </row>
    <row r="2113" spans="7:12" x14ac:dyDescent="0.25">
      <c r="G2113" s="136">
        <v>43383</v>
      </c>
      <c r="H2113" t="s">
        <v>27</v>
      </c>
      <c r="I2113" t="s">
        <v>228</v>
      </c>
      <c r="J2113" t="s">
        <v>377</v>
      </c>
      <c r="K2113" s="138">
        <v>17.760000000000002</v>
      </c>
      <c r="L2113" s="137">
        <v>0</v>
      </c>
    </row>
    <row r="2114" spans="7:12" x14ac:dyDescent="0.25">
      <c r="G2114" s="136">
        <v>43383</v>
      </c>
      <c r="H2114" t="s">
        <v>27</v>
      </c>
      <c r="I2114" t="s">
        <v>228</v>
      </c>
      <c r="J2114" t="s">
        <v>377</v>
      </c>
      <c r="K2114" s="138">
        <v>14.97</v>
      </c>
      <c r="L2114" s="137">
        <v>0</v>
      </c>
    </row>
    <row r="2115" spans="7:12" x14ac:dyDescent="0.25">
      <c r="G2115" s="136">
        <v>43383</v>
      </c>
      <c r="H2115" t="s">
        <v>27</v>
      </c>
      <c r="I2115" t="s">
        <v>228</v>
      </c>
      <c r="J2115" t="s">
        <v>377</v>
      </c>
      <c r="K2115" s="138">
        <v>10.86</v>
      </c>
      <c r="L2115" s="137">
        <v>0</v>
      </c>
    </row>
    <row r="2116" spans="7:12" x14ac:dyDescent="0.25">
      <c r="G2116" s="136">
        <v>43383</v>
      </c>
      <c r="H2116" t="s">
        <v>27</v>
      </c>
      <c r="I2116" t="s">
        <v>228</v>
      </c>
      <c r="J2116" t="s">
        <v>377</v>
      </c>
      <c r="K2116" s="138">
        <v>7.73</v>
      </c>
      <c r="L2116" s="137">
        <v>0</v>
      </c>
    </row>
    <row r="2117" spans="7:12" x14ac:dyDescent="0.25">
      <c r="G2117" s="136">
        <v>43383</v>
      </c>
      <c r="H2117" t="s">
        <v>27</v>
      </c>
      <c r="I2117" t="s">
        <v>228</v>
      </c>
      <c r="J2117" t="s">
        <v>377</v>
      </c>
      <c r="K2117" s="138">
        <v>6.79</v>
      </c>
      <c r="L2117" s="137">
        <v>0</v>
      </c>
    </row>
    <row r="2118" spans="7:12" x14ac:dyDescent="0.25">
      <c r="G2118" s="136">
        <v>43383</v>
      </c>
      <c r="H2118" t="s">
        <v>195</v>
      </c>
      <c r="I2118" t="s">
        <v>228</v>
      </c>
      <c r="J2118" t="s">
        <v>377</v>
      </c>
      <c r="K2118" s="138">
        <v>2622.92</v>
      </c>
      <c r="L2118" s="137">
        <v>0</v>
      </c>
    </row>
    <row r="2119" spans="7:12" x14ac:dyDescent="0.25">
      <c r="G2119" s="136">
        <v>43383</v>
      </c>
      <c r="H2119" t="s">
        <v>183</v>
      </c>
      <c r="I2119" t="s">
        <v>228</v>
      </c>
      <c r="J2119" t="s">
        <v>377</v>
      </c>
      <c r="K2119" s="138">
        <v>19187.669999999998</v>
      </c>
      <c r="L2119" s="137">
        <v>0</v>
      </c>
    </row>
    <row r="2120" spans="7:12" x14ac:dyDescent="0.25">
      <c r="G2120" s="136">
        <v>43383</v>
      </c>
      <c r="H2120" t="s">
        <v>193</v>
      </c>
      <c r="I2120" t="s">
        <v>228</v>
      </c>
      <c r="J2120" t="s">
        <v>377</v>
      </c>
      <c r="K2120" s="138">
        <v>35.71</v>
      </c>
      <c r="L2120" s="137">
        <v>0</v>
      </c>
    </row>
    <row r="2121" spans="7:12" x14ac:dyDescent="0.25">
      <c r="G2121" s="136">
        <v>43383</v>
      </c>
      <c r="H2121" t="s">
        <v>188</v>
      </c>
      <c r="I2121" t="s">
        <v>163</v>
      </c>
      <c r="J2121" t="s">
        <v>376</v>
      </c>
      <c r="K2121" s="138">
        <v>19.32</v>
      </c>
      <c r="L2121" s="137">
        <v>0</v>
      </c>
    </row>
    <row r="2122" spans="7:12" x14ac:dyDescent="0.25">
      <c r="G2122" s="136">
        <v>43383</v>
      </c>
      <c r="H2122" t="s">
        <v>200</v>
      </c>
      <c r="I2122" t="s">
        <v>163</v>
      </c>
      <c r="J2122" t="s">
        <v>376</v>
      </c>
      <c r="K2122" s="138">
        <v>394.99</v>
      </c>
      <c r="L2122" s="137">
        <v>0</v>
      </c>
    </row>
    <row r="2123" spans="7:12" x14ac:dyDescent="0.25">
      <c r="G2123" s="136">
        <v>43383</v>
      </c>
      <c r="H2123" t="s">
        <v>200</v>
      </c>
      <c r="I2123" t="s">
        <v>42</v>
      </c>
      <c r="J2123" t="s">
        <v>376</v>
      </c>
      <c r="K2123" s="138">
        <v>7.14</v>
      </c>
      <c r="L2123" s="137">
        <v>0</v>
      </c>
    </row>
    <row r="2124" spans="7:12" x14ac:dyDescent="0.25">
      <c r="G2124" s="136">
        <v>43383</v>
      </c>
      <c r="H2124" t="s">
        <v>25</v>
      </c>
      <c r="I2124" t="s">
        <v>63</v>
      </c>
      <c r="J2124" t="s">
        <v>376</v>
      </c>
      <c r="K2124" s="138">
        <v>32</v>
      </c>
      <c r="L2124" s="137">
        <v>0</v>
      </c>
    </row>
    <row r="2125" spans="7:12" x14ac:dyDescent="0.25">
      <c r="G2125" s="136">
        <v>43383</v>
      </c>
      <c r="H2125" t="s">
        <v>25</v>
      </c>
      <c r="I2125" t="s">
        <v>63</v>
      </c>
      <c r="J2125" t="s">
        <v>376</v>
      </c>
      <c r="K2125" s="138">
        <v>16</v>
      </c>
      <c r="L2125" s="137">
        <v>0</v>
      </c>
    </row>
    <row r="2126" spans="7:12" x14ac:dyDescent="0.25">
      <c r="G2126" s="136">
        <v>43383</v>
      </c>
      <c r="H2126" t="s">
        <v>25</v>
      </c>
      <c r="I2126" t="s">
        <v>228</v>
      </c>
      <c r="J2126" t="s">
        <v>377</v>
      </c>
      <c r="K2126" s="138">
        <v>861.99</v>
      </c>
      <c r="L2126" s="137">
        <v>0</v>
      </c>
    </row>
    <row r="2127" spans="7:12" x14ac:dyDescent="0.25">
      <c r="G2127" s="136">
        <v>43383</v>
      </c>
      <c r="H2127" t="s">
        <v>25</v>
      </c>
      <c r="I2127" t="s">
        <v>228</v>
      </c>
      <c r="J2127" t="s">
        <v>377</v>
      </c>
      <c r="K2127" s="138">
        <v>686.59</v>
      </c>
      <c r="L2127" s="137">
        <v>0</v>
      </c>
    </row>
    <row r="2128" spans="7:12" x14ac:dyDescent="0.25">
      <c r="G2128" s="136">
        <v>43383</v>
      </c>
      <c r="H2128" t="s">
        <v>25</v>
      </c>
      <c r="I2128" t="s">
        <v>228</v>
      </c>
      <c r="J2128" t="s">
        <v>377</v>
      </c>
      <c r="K2128" s="138">
        <v>609.58000000000004</v>
      </c>
      <c r="L2128" s="137">
        <v>0</v>
      </c>
    </row>
    <row r="2129" spans="7:12" x14ac:dyDescent="0.25">
      <c r="G2129" s="136">
        <v>43383</v>
      </c>
      <c r="H2129" t="s">
        <v>25</v>
      </c>
      <c r="I2129" t="s">
        <v>228</v>
      </c>
      <c r="J2129" t="s">
        <v>377</v>
      </c>
      <c r="K2129" s="138">
        <v>580.63</v>
      </c>
      <c r="L2129" s="137">
        <v>0</v>
      </c>
    </row>
    <row r="2130" spans="7:12" x14ac:dyDescent="0.25">
      <c r="G2130" s="136">
        <v>43383</v>
      </c>
      <c r="H2130" t="s">
        <v>25</v>
      </c>
      <c r="I2130" t="s">
        <v>228</v>
      </c>
      <c r="J2130" t="s">
        <v>377</v>
      </c>
      <c r="K2130" s="138">
        <v>523.47</v>
      </c>
      <c r="L2130" s="137">
        <v>0</v>
      </c>
    </row>
    <row r="2131" spans="7:12" x14ac:dyDescent="0.25">
      <c r="G2131" s="136">
        <v>43383</v>
      </c>
      <c r="H2131" t="s">
        <v>25</v>
      </c>
      <c r="I2131" t="s">
        <v>228</v>
      </c>
      <c r="J2131" t="s">
        <v>377</v>
      </c>
      <c r="K2131" s="138">
        <v>503.22</v>
      </c>
      <c r="L2131" s="137">
        <v>0</v>
      </c>
    </row>
    <row r="2132" spans="7:12" x14ac:dyDescent="0.25">
      <c r="G2132" s="136">
        <v>43383</v>
      </c>
      <c r="H2132" t="s">
        <v>25</v>
      </c>
      <c r="I2132" t="s">
        <v>228</v>
      </c>
      <c r="J2132" t="s">
        <v>377</v>
      </c>
      <c r="K2132" s="138">
        <v>502.17</v>
      </c>
      <c r="L2132" s="137">
        <v>0</v>
      </c>
    </row>
    <row r="2133" spans="7:12" x14ac:dyDescent="0.25">
      <c r="G2133" s="136">
        <v>43383</v>
      </c>
      <c r="H2133" t="s">
        <v>25</v>
      </c>
      <c r="I2133" t="s">
        <v>228</v>
      </c>
      <c r="J2133" t="s">
        <v>377</v>
      </c>
      <c r="K2133" s="138">
        <v>450.39</v>
      </c>
      <c r="L2133" s="137">
        <v>0</v>
      </c>
    </row>
    <row r="2134" spans="7:12" x14ac:dyDescent="0.25">
      <c r="G2134" s="136">
        <v>43383</v>
      </c>
      <c r="H2134" t="s">
        <v>25</v>
      </c>
      <c r="I2134" t="s">
        <v>228</v>
      </c>
      <c r="J2134" t="s">
        <v>377</v>
      </c>
      <c r="K2134" s="138">
        <v>415.3</v>
      </c>
      <c r="L2134" s="137">
        <v>0</v>
      </c>
    </row>
    <row r="2135" spans="7:12" x14ac:dyDescent="0.25">
      <c r="G2135" s="136">
        <v>43383</v>
      </c>
      <c r="H2135" t="s">
        <v>25</v>
      </c>
      <c r="I2135" t="s">
        <v>228</v>
      </c>
      <c r="J2135" t="s">
        <v>377</v>
      </c>
      <c r="K2135" s="138">
        <v>401.01</v>
      </c>
      <c r="L2135" s="137">
        <v>0</v>
      </c>
    </row>
    <row r="2136" spans="7:12" x14ac:dyDescent="0.25">
      <c r="G2136" s="136">
        <v>43383</v>
      </c>
      <c r="H2136" t="s">
        <v>25</v>
      </c>
      <c r="I2136" t="s">
        <v>228</v>
      </c>
      <c r="J2136" t="s">
        <v>377</v>
      </c>
      <c r="K2136" s="138">
        <v>379.72</v>
      </c>
      <c r="L2136" s="137">
        <v>0</v>
      </c>
    </row>
    <row r="2137" spans="7:12" x14ac:dyDescent="0.25">
      <c r="G2137" s="136">
        <v>43383</v>
      </c>
      <c r="H2137" t="s">
        <v>25</v>
      </c>
      <c r="I2137" t="s">
        <v>228</v>
      </c>
      <c r="J2137" t="s">
        <v>377</v>
      </c>
      <c r="K2137" s="138">
        <v>322.37</v>
      </c>
      <c r="L2137" s="137">
        <v>0</v>
      </c>
    </row>
    <row r="2138" spans="7:12" x14ac:dyDescent="0.25">
      <c r="G2138" s="136">
        <v>43383</v>
      </c>
      <c r="H2138" t="s">
        <v>25</v>
      </c>
      <c r="I2138" t="s">
        <v>228</v>
      </c>
      <c r="J2138" t="s">
        <v>377</v>
      </c>
      <c r="K2138" s="138">
        <v>236.68</v>
      </c>
      <c r="L2138" s="137">
        <v>0</v>
      </c>
    </row>
    <row r="2139" spans="7:12" x14ac:dyDescent="0.25">
      <c r="G2139" s="136">
        <v>43383</v>
      </c>
      <c r="H2139" t="s">
        <v>25</v>
      </c>
      <c r="I2139" t="s">
        <v>228</v>
      </c>
      <c r="J2139" t="s">
        <v>377</v>
      </c>
      <c r="K2139" s="138">
        <v>229.55</v>
      </c>
      <c r="L2139" s="137">
        <v>0</v>
      </c>
    </row>
    <row r="2140" spans="7:12" x14ac:dyDescent="0.25">
      <c r="G2140" s="136">
        <v>43383</v>
      </c>
      <c r="H2140" t="s">
        <v>25</v>
      </c>
      <c r="I2140" t="s">
        <v>228</v>
      </c>
      <c r="J2140" t="s">
        <v>377</v>
      </c>
      <c r="K2140" s="138">
        <v>210.3</v>
      </c>
      <c r="L2140" s="137">
        <v>0</v>
      </c>
    </row>
    <row r="2141" spans="7:12" x14ac:dyDescent="0.25">
      <c r="G2141" s="136">
        <v>43383</v>
      </c>
      <c r="H2141" t="s">
        <v>25</v>
      </c>
      <c r="I2141" t="s">
        <v>228</v>
      </c>
      <c r="J2141" t="s">
        <v>377</v>
      </c>
      <c r="K2141" s="138">
        <v>196.6</v>
      </c>
      <c r="L2141" s="137">
        <v>0</v>
      </c>
    </row>
    <row r="2142" spans="7:12" x14ac:dyDescent="0.25">
      <c r="G2142" s="136">
        <v>43383</v>
      </c>
      <c r="H2142" t="s">
        <v>25</v>
      </c>
      <c r="I2142" t="s">
        <v>228</v>
      </c>
      <c r="J2142" t="s">
        <v>377</v>
      </c>
      <c r="K2142" s="138">
        <v>170.87</v>
      </c>
      <c r="L2142" s="137">
        <v>0</v>
      </c>
    </row>
    <row r="2143" spans="7:12" x14ac:dyDescent="0.25">
      <c r="G2143" s="136">
        <v>43383</v>
      </c>
      <c r="H2143" t="s">
        <v>25</v>
      </c>
      <c r="I2143" t="s">
        <v>228</v>
      </c>
      <c r="J2143" t="s">
        <v>377</v>
      </c>
      <c r="K2143" s="138">
        <v>157.83000000000001</v>
      </c>
      <c r="L2143" s="137">
        <v>0</v>
      </c>
    </row>
    <row r="2144" spans="7:12" x14ac:dyDescent="0.25">
      <c r="G2144" s="136">
        <v>43383</v>
      </c>
      <c r="H2144" t="s">
        <v>25</v>
      </c>
      <c r="I2144" t="s">
        <v>228</v>
      </c>
      <c r="J2144" t="s">
        <v>377</v>
      </c>
      <c r="K2144" s="138">
        <v>124.99</v>
      </c>
      <c r="L2144" s="137">
        <v>0</v>
      </c>
    </row>
    <row r="2145" spans="7:12" x14ac:dyDescent="0.25">
      <c r="G2145" s="136">
        <v>43383</v>
      </c>
      <c r="H2145" t="s">
        <v>25</v>
      </c>
      <c r="I2145" t="s">
        <v>228</v>
      </c>
      <c r="J2145" t="s">
        <v>377</v>
      </c>
      <c r="K2145" s="138">
        <v>110.17</v>
      </c>
      <c r="L2145" s="137">
        <v>0</v>
      </c>
    </row>
    <row r="2146" spans="7:12" x14ac:dyDescent="0.25">
      <c r="G2146" s="136">
        <v>43383</v>
      </c>
      <c r="H2146" t="s">
        <v>25</v>
      </c>
      <c r="I2146" t="s">
        <v>228</v>
      </c>
      <c r="J2146" t="s">
        <v>377</v>
      </c>
      <c r="K2146" s="138">
        <v>108.73</v>
      </c>
      <c r="L2146" s="137">
        <v>0</v>
      </c>
    </row>
    <row r="2147" spans="7:12" x14ac:dyDescent="0.25">
      <c r="G2147" s="136">
        <v>43383</v>
      </c>
      <c r="H2147" t="s">
        <v>25</v>
      </c>
      <c r="I2147" t="s">
        <v>228</v>
      </c>
      <c r="J2147" t="s">
        <v>377</v>
      </c>
      <c r="K2147" s="138">
        <v>96.53</v>
      </c>
      <c r="L2147" s="137">
        <v>0</v>
      </c>
    </row>
    <row r="2148" spans="7:12" x14ac:dyDescent="0.25">
      <c r="G2148" s="136">
        <v>43383</v>
      </c>
      <c r="H2148" t="s">
        <v>25</v>
      </c>
      <c r="I2148" t="s">
        <v>228</v>
      </c>
      <c r="J2148" t="s">
        <v>377</v>
      </c>
      <c r="K2148" s="138">
        <v>60.4</v>
      </c>
      <c r="L2148" s="137">
        <v>0</v>
      </c>
    </row>
    <row r="2149" spans="7:12" x14ac:dyDescent="0.25">
      <c r="G2149" s="136">
        <v>43383</v>
      </c>
      <c r="H2149" t="s">
        <v>25</v>
      </c>
      <c r="I2149" t="s">
        <v>228</v>
      </c>
      <c r="J2149" t="s">
        <v>377</v>
      </c>
      <c r="K2149" s="138">
        <v>49.41</v>
      </c>
      <c r="L2149" s="137">
        <v>0</v>
      </c>
    </row>
    <row r="2150" spans="7:12" x14ac:dyDescent="0.25">
      <c r="G2150" s="136">
        <v>43383</v>
      </c>
      <c r="H2150" t="s">
        <v>25</v>
      </c>
      <c r="I2150" t="s">
        <v>228</v>
      </c>
      <c r="J2150" t="s">
        <v>377</v>
      </c>
      <c r="K2150" s="138">
        <v>48.04</v>
      </c>
      <c r="L2150" s="137">
        <v>0</v>
      </c>
    </row>
    <row r="2151" spans="7:12" x14ac:dyDescent="0.25">
      <c r="G2151" s="136">
        <v>43383</v>
      </c>
      <c r="H2151" t="s">
        <v>25</v>
      </c>
      <c r="I2151" t="s">
        <v>228</v>
      </c>
      <c r="J2151" t="s">
        <v>377</v>
      </c>
      <c r="K2151" s="138">
        <v>41.1</v>
      </c>
      <c r="L2151" s="137">
        <v>0</v>
      </c>
    </row>
    <row r="2152" spans="7:12" x14ac:dyDescent="0.25">
      <c r="G2152" s="136">
        <v>43383</v>
      </c>
      <c r="H2152" t="s">
        <v>25</v>
      </c>
      <c r="I2152" t="s">
        <v>228</v>
      </c>
      <c r="J2152" t="s">
        <v>377</v>
      </c>
      <c r="K2152" s="138">
        <v>31.72</v>
      </c>
      <c r="L2152" s="137">
        <v>0</v>
      </c>
    </row>
    <row r="2153" spans="7:12" x14ac:dyDescent="0.25">
      <c r="G2153" s="136">
        <v>43383</v>
      </c>
      <c r="H2153" t="s">
        <v>25</v>
      </c>
      <c r="I2153" t="s">
        <v>228</v>
      </c>
      <c r="J2153" t="s">
        <v>377</v>
      </c>
      <c r="K2153" s="138">
        <v>25.11</v>
      </c>
      <c r="L2153" s="137">
        <v>0</v>
      </c>
    </row>
    <row r="2154" spans="7:12" x14ac:dyDescent="0.25">
      <c r="G2154" s="136">
        <v>43383</v>
      </c>
      <c r="H2154" t="s">
        <v>25</v>
      </c>
      <c r="I2154" t="s">
        <v>228</v>
      </c>
      <c r="J2154" t="s">
        <v>377</v>
      </c>
      <c r="K2154" s="138">
        <v>24.55</v>
      </c>
      <c r="L2154" s="137">
        <v>0</v>
      </c>
    </row>
    <row r="2155" spans="7:12" x14ac:dyDescent="0.25">
      <c r="G2155" s="136">
        <v>43383</v>
      </c>
      <c r="H2155" t="s">
        <v>25</v>
      </c>
      <c r="I2155" t="s">
        <v>228</v>
      </c>
      <c r="J2155" t="s">
        <v>377</v>
      </c>
      <c r="K2155" s="138">
        <v>24.02</v>
      </c>
      <c r="L2155" s="137">
        <v>0</v>
      </c>
    </row>
    <row r="2156" spans="7:12" x14ac:dyDescent="0.25">
      <c r="G2156" s="136">
        <v>43383</v>
      </c>
      <c r="H2156" t="s">
        <v>25</v>
      </c>
      <c r="I2156" t="s">
        <v>228</v>
      </c>
      <c r="J2156" t="s">
        <v>377</v>
      </c>
      <c r="K2156" s="138">
        <v>23.9</v>
      </c>
      <c r="L2156" s="137">
        <v>0</v>
      </c>
    </row>
    <row r="2157" spans="7:12" x14ac:dyDescent="0.25">
      <c r="G2157" s="136">
        <v>43383</v>
      </c>
      <c r="H2157" t="s">
        <v>25</v>
      </c>
      <c r="I2157" t="s">
        <v>228</v>
      </c>
      <c r="J2157" t="s">
        <v>377</v>
      </c>
      <c r="K2157" s="138">
        <v>15.46</v>
      </c>
      <c r="L2157" s="137">
        <v>0</v>
      </c>
    </row>
    <row r="2158" spans="7:12" x14ac:dyDescent="0.25">
      <c r="G2158" s="136">
        <v>43383</v>
      </c>
      <c r="H2158" t="s">
        <v>25</v>
      </c>
      <c r="I2158" t="s">
        <v>228</v>
      </c>
      <c r="J2158" t="s">
        <v>377</v>
      </c>
      <c r="K2158" s="138">
        <v>15.09</v>
      </c>
      <c r="L2158" s="137">
        <v>0</v>
      </c>
    </row>
    <row r="2159" spans="7:12" x14ac:dyDescent="0.25">
      <c r="G2159" s="136">
        <v>43383</v>
      </c>
      <c r="H2159" t="s">
        <v>25</v>
      </c>
      <c r="I2159" t="s">
        <v>228</v>
      </c>
      <c r="J2159" t="s">
        <v>377</v>
      </c>
      <c r="K2159" s="138">
        <v>8.0500000000000007</v>
      </c>
      <c r="L2159" s="137">
        <v>0</v>
      </c>
    </row>
    <row r="2160" spans="7:12" x14ac:dyDescent="0.25">
      <c r="G2160" s="136">
        <v>43383</v>
      </c>
      <c r="H2160" t="s">
        <v>201</v>
      </c>
      <c r="I2160" t="s">
        <v>42</v>
      </c>
      <c r="J2160" t="s">
        <v>376</v>
      </c>
      <c r="K2160" s="138">
        <v>21</v>
      </c>
      <c r="L2160" s="137">
        <v>0</v>
      </c>
    </row>
    <row r="2161" spans="7:12" x14ac:dyDescent="0.25">
      <c r="G2161" s="136">
        <v>43383</v>
      </c>
      <c r="H2161" t="s">
        <v>197</v>
      </c>
      <c r="I2161" t="s">
        <v>112</v>
      </c>
      <c r="J2161" t="s">
        <v>376</v>
      </c>
      <c r="K2161" s="138">
        <v>112.62</v>
      </c>
      <c r="L2161" s="137">
        <v>0</v>
      </c>
    </row>
    <row r="2162" spans="7:12" x14ac:dyDescent="0.25">
      <c r="G2162" s="136">
        <v>43383</v>
      </c>
      <c r="H2162" t="s">
        <v>197</v>
      </c>
      <c r="I2162" t="s">
        <v>176</v>
      </c>
      <c r="J2162" t="s">
        <v>376</v>
      </c>
      <c r="K2162" s="138">
        <v>264</v>
      </c>
      <c r="L2162" s="137">
        <v>0</v>
      </c>
    </row>
    <row r="2163" spans="7:12" x14ac:dyDescent="0.25">
      <c r="G2163" s="136">
        <v>43383</v>
      </c>
      <c r="H2163" t="s">
        <v>179</v>
      </c>
      <c r="I2163" t="s">
        <v>228</v>
      </c>
      <c r="J2163" t="s">
        <v>377</v>
      </c>
      <c r="K2163" s="138">
        <v>757.98</v>
      </c>
      <c r="L2163" s="137">
        <v>0</v>
      </c>
    </row>
    <row r="2164" spans="7:12" x14ac:dyDescent="0.25">
      <c r="G2164" s="136">
        <v>43383</v>
      </c>
      <c r="H2164" t="s">
        <v>28</v>
      </c>
      <c r="I2164" t="s">
        <v>163</v>
      </c>
      <c r="J2164" t="s">
        <v>376</v>
      </c>
      <c r="K2164" s="138">
        <v>195</v>
      </c>
      <c r="L2164" s="137">
        <v>0</v>
      </c>
    </row>
    <row r="2165" spans="7:12" x14ac:dyDescent="0.25">
      <c r="G2165" s="136">
        <v>43383</v>
      </c>
      <c r="H2165" t="s">
        <v>28</v>
      </c>
      <c r="I2165" t="s">
        <v>112</v>
      </c>
      <c r="J2165" t="s">
        <v>376</v>
      </c>
      <c r="K2165" s="138">
        <v>27.98</v>
      </c>
      <c r="L2165" s="137">
        <v>0</v>
      </c>
    </row>
    <row r="2166" spans="7:12" x14ac:dyDescent="0.25">
      <c r="G2166" s="136">
        <v>43383</v>
      </c>
      <c r="H2166" t="s">
        <v>28</v>
      </c>
      <c r="I2166" t="s">
        <v>112</v>
      </c>
      <c r="J2166" t="s">
        <v>376</v>
      </c>
      <c r="K2166" s="138">
        <v>26.12</v>
      </c>
      <c r="L2166" s="137">
        <v>0</v>
      </c>
    </row>
    <row r="2167" spans="7:12" x14ac:dyDescent="0.25">
      <c r="G2167" s="136">
        <v>43383</v>
      </c>
      <c r="H2167" t="s">
        <v>28</v>
      </c>
      <c r="I2167" t="s">
        <v>155</v>
      </c>
      <c r="J2167" t="s">
        <v>376</v>
      </c>
      <c r="K2167" s="138">
        <v>95</v>
      </c>
      <c r="L2167" s="137">
        <v>0</v>
      </c>
    </row>
    <row r="2168" spans="7:12" x14ac:dyDescent="0.25">
      <c r="G2168" s="136">
        <v>43383</v>
      </c>
      <c r="H2168" t="s">
        <v>28</v>
      </c>
      <c r="I2168" t="s">
        <v>155</v>
      </c>
      <c r="J2168" t="s">
        <v>376</v>
      </c>
      <c r="K2168" s="138">
        <v>89.85</v>
      </c>
      <c r="L2168" s="137">
        <v>0</v>
      </c>
    </row>
    <row r="2169" spans="7:12" x14ac:dyDescent="0.25">
      <c r="G2169" s="136">
        <v>43383</v>
      </c>
      <c r="H2169" t="s">
        <v>28</v>
      </c>
      <c r="I2169" t="s">
        <v>155</v>
      </c>
      <c r="J2169" t="s">
        <v>376</v>
      </c>
      <c r="K2169" s="138">
        <v>66.97</v>
      </c>
      <c r="L2169" s="137">
        <v>0</v>
      </c>
    </row>
    <row r="2170" spans="7:12" x14ac:dyDescent="0.25">
      <c r="G2170" s="136">
        <v>43383</v>
      </c>
      <c r="H2170" t="s">
        <v>28</v>
      </c>
      <c r="I2170" t="s">
        <v>155</v>
      </c>
      <c r="J2170" t="s">
        <v>376</v>
      </c>
      <c r="K2170" s="138">
        <v>60.31</v>
      </c>
      <c r="L2170" s="137">
        <v>0</v>
      </c>
    </row>
    <row r="2171" spans="7:12" x14ac:dyDescent="0.25">
      <c r="G2171" s="136">
        <v>43383</v>
      </c>
      <c r="H2171" t="s">
        <v>28</v>
      </c>
      <c r="I2171" t="s">
        <v>155</v>
      </c>
      <c r="J2171" t="s">
        <v>376</v>
      </c>
      <c r="K2171" s="138">
        <v>49.58</v>
      </c>
      <c r="L2171" s="137">
        <v>0</v>
      </c>
    </row>
    <row r="2172" spans="7:12" x14ac:dyDescent="0.25">
      <c r="G2172" s="136">
        <v>43383</v>
      </c>
      <c r="H2172" t="s">
        <v>28</v>
      </c>
      <c r="I2172" t="s">
        <v>155</v>
      </c>
      <c r="J2172" t="s">
        <v>376</v>
      </c>
      <c r="K2172" s="138">
        <v>28.18</v>
      </c>
      <c r="L2172" s="137">
        <v>0</v>
      </c>
    </row>
    <row r="2173" spans="7:12" x14ac:dyDescent="0.25">
      <c r="G2173" s="136">
        <v>43383</v>
      </c>
      <c r="H2173" t="s">
        <v>28</v>
      </c>
      <c r="I2173" t="s">
        <v>155</v>
      </c>
      <c r="J2173" t="s">
        <v>376</v>
      </c>
      <c r="K2173" s="138">
        <v>22.51</v>
      </c>
      <c r="L2173" s="137">
        <v>0</v>
      </c>
    </row>
    <row r="2174" spans="7:12" x14ac:dyDescent="0.25">
      <c r="G2174" s="136">
        <v>43383</v>
      </c>
      <c r="H2174" t="s">
        <v>28</v>
      </c>
      <c r="I2174" t="s">
        <v>155</v>
      </c>
      <c r="J2174" t="s">
        <v>376</v>
      </c>
      <c r="K2174" s="138">
        <v>22.47</v>
      </c>
      <c r="L2174" s="137">
        <v>0</v>
      </c>
    </row>
    <row r="2175" spans="7:12" x14ac:dyDescent="0.25">
      <c r="G2175" s="136">
        <v>43383</v>
      </c>
      <c r="H2175" t="s">
        <v>28</v>
      </c>
      <c r="I2175" t="s">
        <v>66</v>
      </c>
      <c r="J2175" t="s">
        <v>98</v>
      </c>
      <c r="K2175" s="138">
        <v>2</v>
      </c>
      <c r="L2175" s="137">
        <v>0</v>
      </c>
    </row>
    <row r="2176" spans="7:12" x14ac:dyDescent="0.25">
      <c r="G2176" s="136">
        <v>43383</v>
      </c>
      <c r="H2176" t="s">
        <v>28</v>
      </c>
      <c r="I2176" t="s">
        <v>66</v>
      </c>
      <c r="J2176" t="s">
        <v>276</v>
      </c>
      <c r="K2176" s="138">
        <v>2.4</v>
      </c>
      <c r="L2176" s="137">
        <v>0</v>
      </c>
    </row>
    <row r="2177" spans="7:12" x14ac:dyDescent="0.25">
      <c r="G2177" s="136">
        <v>43383</v>
      </c>
      <c r="H2177" t="s">
        <v>28</v>
      </c>
      <c r="I2177" t="s">
        <v>228</v>
      </c>
      <c r="J2177" t="s">
        <v>377</v>
      </c>
      <c r="K2177" s="138">
        <v>439.17</v>
      </c>
      <c r="L2177" s="137">
        <v>0</v>
      </c>
    </row>
    <row r="2178" spans="7:12" x14ac:dyDescent="0.25">
      <c r="G2178" s="136">
        <v>43383</v>
      </c>
      <c r="H2178" t="s">
        <v>28</v>
      </c>
      <c r="I2178" t="s">
        <v>228</v>
      </c>
      <c r="J2178" t="s">
        <v>377</v>
      </c>
      <c r="K2178" s="138">
        <v>40.35</v>
      </c>
      <c r="L2178" s="137">
        <v>0</v>
      </c>
    </row>
    <row r="2179" spans="7:12" x14ac:dyDescent="0.25">
      <c r="G2179" s="136">
        <v>43383</v>
      </c>
      <c r="H2179" t="s">
        <v>28</v>
      </c>
      <c r="I2179" t="s">
        <v>228</v>
      </c>
      <c r="J2179" t="s">
        <v>377</v>
      </c>
      <c r="K2179" s="138">
        <v>8.85</v>
      </c>
      <c r="L2179" s="137">
        <v>0</v>
      </c>
    </row>
    <row r="2180" spans="7:12" x14ac:dyDescent="0.25">
      <c r="G2180" s="136">
        <v>43384</v>
      </c>
      <c r="H2180" t="s">
        <v>27</v>
      </c>
      <c r="I2180" t="s">
        <v>63</v>
      </c>
      <c r="J2180" t="s">
        <v>379</v>
      </c>
      <c r="K2180" s="138">
        <v>8</v>
      </c>
      <c r="L2180" s="137">
        <v>0</v>
      </c>
    </row>
    <row r="2181" spans="7:12" x14ac:dyDescent="0.25">
      <c r="G2181" s="136">
        <v>43384</v>
      </c>
      <c r="H2181" t="s">
        <v>184</v>
      </c>
      <c r="I2181" t="s">
        <v>42</v>
      </c>
      <c r="J2181" t="s">
        <v>379</v>
      </c>
      <c r="K2181" s="138">
        <v>20.5</v>
      </c>
      <c r="L2181" s="137">
        <v>0</v>
      </c>
    </row>
    <row r="2182" spans="7:12" x14ac:dyDescent="0.25">
      <c r="G2182" s="136">
        <v>43384</v>
      </c>
      <c r="H2182" t="s">
        <v>184</v>
      </c>
      <c r="I2182" t="s">
        <v>171</v>
      </c>
      <c r="J2182" t="s">
        <v>379</v>
      </c>
      <c r="K2182" s="138">
        <v>85</v>
      </c>
      <c r="L2182" s="137">
        <v>0</v>
      </c>
    </row>
    <row r="2183" spans="7:12" x14ac:dyDescent="0.25">
      <c r="G2183" s="136">
        <v>43384</v>
      </c>
      <c r="H2183" t="s">
        <v>191</v>
      </c>
      <c r="I2183" t="s">
        <v>163</v>
      </c>
      <c r="J2183" t="s">
        <v>379</v>
      </c>
      <c r="K2183" s="138">
        <v>136</v>
      </c>
      <c r="L2183" s="137">
        <v>0</v>
      </c>
    </row>
    <row r="2184" spans="7:12" x14ac:dyDescent="0.25">
      <c r="G2184" s="136">
        <v>43384</v>
      </c>
      <c r="H2184" t="s">
        <v>188</v>
      </c>
      <c r="I2184" t="s">
        <v>42</v>
      </c>
      <c r="J2184" t="s">
        <v>379</v>
      </c>
      <c r="K2184" s="138">
        <v>549.85</v>
      </c>
      <c r="L2184" s="137">
        <v>0</v>
      </c>
    </row>
    <row r="2185" spans="7:12" x14ac:dyDescent="0.25">
      <c r="G2185" s="136">
        <v>43384</v>
      </c>
      <c r="H2185" t="s">
        <v>200</v>
      </c>
      <c r="I2185" t="s">
        <v>42</v>
      </c>
      <c r="J2185" t="s">
        <v>379</v>
      </c>
      <c r="K2185" s="138">
        <v>6.6</v>
      </c>
      <c r="L2185" s="137">
        <v>0</v>
      </c>
    </row>
    <row r="2186" spans="7:12" x14ac:dyDescent="0.25">
      <c r="G2186" s="136">
        <v>43384</v>
      </c>
      <c r="H2186" t="s">
        <v>25</v>
      </c>
      <c r="I2186" t="s">
        <v>63</v>
      </c>
      <c r="J2186" t="s">
        <v>379</v>
      </c>
      <c r="K2186" s="138">
        <v>24</v>
      </c>
      <c r="L2186" s="137">
        <v>0</v>
      </c>
    </row>
    <row r="2187" spans="7:12" x14ac:dyDescent="0.25">
      <c r="G2187" s="136">
        <v>43384</v>
      </c>
      <c r="H2187" t="s">
        <v>28</v>
      </c>
      <c r="I2187" t="s">
        <v>66</v>
      </c>
      <c r="J2187" t="s">
        <v>320</v>
      </c>
      <c r="K2187" s="138">
        <v>3.6</v>
      </c>
      <c r="L2187" s="137">
        <v>0</v>
      </c>
    </row>
    <row r="2188" spans="7:12" x14ac:dyDescent="0.25">
      <c r="G2188" s="136">
        <v>43384</v>
      </c>
      <c r="H2188" t="s">
        <v>28</v>
      </c>
      <c r="I2188" t="s">
        <v>66</v>
      </c>
      <c r="J2188" t="s">
        <v>139</v>
      </c>
      <c r="K2188" s="138">
        <v>5</v>
      </c>
      <c r="L2188" s="137">
        <v>0</v>
      </c>
    </row>
    <row r="2189" spans="7:12" x14ac:dyDescent="0.25">
      <c r="G2189" s="136">
        <v>43384</v>
      </c>
      <c r="H2189" t="s">
        <v>28</v>
      </c>
      <c r="I2189" t="s">
        <v>66</v>
      </c>
      <c r="J2189" t="s">
        <v>276</v>
      </c>
      <c r="K2189" s="138">
        <v>3.6</v>
      </c>
      <c r="L2189" s="137">
        <v>0</v>
      </c>
    </row>
    <row r="2190" spans="7:12" x14ac:dyDescent="0.25">
      <c r="G2190" s="136">
        <v>43384</v>
      </c>
      <c r="H2190" t="s">
        <v>28</v>
      </c>
      <c r="I2190" t="s">
        <v>66</v>
      </c>
      <c r="J2190" t="s">
        <v>378</v>
      </c>
      <c r="K2190" s="138">
        <v>14.35</v>
      </c>
      <c r="L2190" s="137">
        <v>0</v>
      </c>
    </row>
    <row r="2191" spans="7:12" x14ac:dyDescent="0.25">
      <c r="G2191" s="136">
        <v>43384</v>
      </c>
      <c r="H2191" t="s">
        <v>28</v>
      </c>
      <c r="I2191" t="s">
        <v>42</v>
      </c>
      <c r="J2191" t="s">
        <v>379</v>
      </c>
      <c r="K2191" s="138">
        <v>237.9</v>
      </c>
      <c r="L2191" s="137">
        <v>0</v>
      </c>
    </row>
    <row r="2192" spans="7:12" x14ac:dyDescent="0.25">
      <c r="G2192" s="136">
        <v>43384</v>
      </c>
      <c r="H2192" t="s">
        <v>28</v>
      </c>
      <c r="I2192" t="s">
        <v>42</v>
      </c>
      <c r="J2192" t="s">
        <v>379</v>
      </c>
      <c r="K2192" s="138">
        <v>132</v>
      </c>
      <c r="L2192" s="137">
        <v>0</v>
      </c>
    </row>
    <row r="2193" spans="7:12" x14ac:dyDescent="0.25">
      <c r="G2193" s="136">
        <v>43385</v>
      </c>
      <c r="H2193" t="s">
        <v>27</v>
      </c>
      <c r="I2193" t="s">
        <v>63</v>
      </c>
      <c r="J2193" t="s">
        <v>380</v>
      </c>
      <c r="K2193" s="138">
        <v>8</v>
      </c>
      <c r="L2193" s="137">
        <v>0</v>
      </c>
    </row>
    <row r="2194" spans="7:12" x14ac:dyDescent="0.25">
      <c r="G2194" s="136">
        <v>43385</v>
      </c>
      <c r="H2194" t="s">
        <v>199</v>
      </c>
      <c r="I2194" t="s">
        <v>163</v>
      </c>
      <c r="J2194" t="s">
        <v>380</v>
      </c>
      <c r="K2194" s="138">
        <v>32.97</v>
      </c>
      <c r="L2194" s="137">
        <v>0</v>
      </c>
    </row>
    <row r="2195" spans="7:12" x14ac:dyDescent="0.25">
      <c r="G2195" s="136">
        <v>43385</v>
      </c>
      <c r="H2195" t="s">
        <v>199</v>
      </c>
      <c r="I2195" t="s">
        <v>42</v>
      </c>
      <c r="J2195" t="s">
        <v>380</v>
      </c>
      <c r="K2195" s="138">
        <v>25.68</v>
      </c>
      <c r="L2195" s="137">
        <v>0</v>
      </c>
    </row>
    <row r="2196" spans="7:12" x14ac:dyDescent="0.25">
      <c r="G2196" s="136">
        <v>43385</v>
      </c>
      <c r="H2196" t="s">
        <v>183</v>
      </c>
      <c r="I2196" t="s">
        <v>63</v>
      </c>
      <c r="J2196" t="s">
        <v>380</v>
      </c>
      <c r="K2196" s="138">
        <v>10</v>
      </c>
      <c r="L2196" s="137">
        <v>0</v>
      </c>
    </row>
    <row r="2197" spans="7:12" x14ac:dyDescent="0.25">
      <c r="G2197" s="136">
        <v>43385</v>
      </c>
      <c r="H2197" t="s">
        <v>200</v>
      </c>
      <c r="I2197" t="s">
        <v>42</v>
      </c>
      <c r="J2197" t="s">
        <v>380</v>
      </c>
      <c r="K2197" s="138">
        <v>166</v>
      </c>
      <c r="L2197" s="137">
        <v>0</v>
      </c>
    </row>
    <row r="2198" spans="7:12" x14ac:dyDescent="0.25">
      <c r="G2198" s="136">
        <v>43385</v>
      </c>
      <c r="H2198" t="s">
        <v>25</v>
      </c>
      <c r="I2198" t="s">
        <v>63</v>
      </c>
      <c r="J2198" t="s">
        <v>380</v>
      </c>
      <c r="K2198" s="138">
        <v>24</v>
      </c>
      <c r="L2198" s="137">
        <v>0</v>
      </c>
    </row>
    <row r="2199" spans="7:12" x14ac:dyDescent="0.25">
      <c r="G2199" s="136">
        <v>43385</v>
      </c>
      <c r="H2199" t="s">
        <v>25</v>
      </c>
      <c r="I2199" t="s">
        <v>63</v>
      </c>
      <c r="J2199" t="s">
        <v>380</v>
      </c>
      <c r="K2199" s="138">
        <v>16</v>
      </c>
      <c r="L2199" s="137">
        <v>0</v>
      </c>
    </row>
    <row r="2200" spans="7:12" x14ac:dyDescent="0.25">
      <c r="G2200" s="136">
        <v>43385</v>
      </c>
      <c r="H2200" t="s">
        <v>25</v>
      </c>
      <c r="I2200" t="s">
        <v>63</v>
      </c>
      <c r="J2200" t="s">
        <v>380</v>
      </c>
      <c r="K2200" s="138">
        <v>8</v>
      </c>
      <c r="L2200" s="137">
        <v>0</v>
      </c>
    </row>
    <row r="2201" spans="7:12" x14ac:dyDescent="0.25">
      <c r="G2201" s="136">
        <v>43385</v>
      </c>
      <c r="H2201" t="s">
        <v>25</v>
      </c>
      <c r="I2201" t="s">
        <v>42</v>
      </c>
      <c r="J2201" t="s">
        <v>380</v>
      </c>
      <c r="K2201" s="138">
        <v>62.4</v>
      </c>
      <c r="L2201" s="137">
        <v>0</v>
      </c>
    </row>
    <row r="2202" spans="7:12" x14ac:dyDescent="0.25">
      <c r="G2202" s="136">
        <v>43385</v>
      </c>
      <c r="H2202" t="s">
        <v>25</v>
      </c>
      <c r="I2202" t="s">
        <v>42</v>
      </c>
      <c r="J2202" t="s">
        <v>380</v>
      </c>
      <c r="K2202" s="138">
        <v>19</v>
      </c>
      <c r="L2202" s="137">
        <v>0</v>
      </c>
    </row>
    <row r="2203" spans="7:12" x14ac:dyDescent="0.25">
      <c r="G2203" s="136">
        <v>43385</v>
      </c>
      <c r="H2203" t="s">
        <v>180</v>
      </c>
      <c r="I2203" t="s">
        <v>42</v>
      </c>
      <c r="J2203" t="s">
        <v>380</v>
      </c>
      <c r="K2203" s="138">
        <v>10</v>
      </c>
      <c r="L2203" s="137">
        <v>0</v>
      </c>
    </row>
    <row r="2204" spans="7:12" x14ac:dyDescent="0.25">
      <c r="G2204" s="136">
        <v>43385</v>
      </c>
      <c r="H2204" t="s">
        <v>28</v>
      </c>
      <c r="I2204" t="s">
        <v>163</v>
      </c>
      <c r="J2204" t="s">
        <v>380</v>
      </c>
      <c r="K2204" s="138">
        <v>85</v>
      </c>
      <c r="L2204" s="137">
        <v>0</v>
      </c>
    </row>
    <row r="2205" spans="7:12" x14ac:dyDescent="0.25">
      <c r="G2205" s="136">
        <v>43385</v>
      </c>
      <c r="H2205" t="s">
        <v>28</v>
      </c>
      <c r="I2205" t="s">
        <v>163</v>
      </c>
      <c r="J2205" t="s">
        <v>380</v>
      </c>
      <c r="K2205" s="138">
        <v>24</v>
      </c>
      <c r="L2205" s="137">
        <v>0</v>
      </c>
    </row>
    <row r="2206" spans="7:12" x14ac:dyDescent="0.25">
      <c r="G2206" s="136">
        <v>43385</v>
      </c>
      <c r="H2206" t="s">
        <v>28</v>
      </c>
      <c r="I2206" t="s">
        <v>66</v>
      </c>
      <c r="J2206" t="s">
        <v>320</v>
      </c>
      <c r="K2206" s="138">
        <v>1.8</v>
      </c>
      <c r="L2206" s="137">
        <v>0</v>
      </c>
    </row>
    <row r="2207" spans="7:12" x14ac:dyDescent="0.25">
      <c r="G2207" s="136">
        <v>43385</v>
      </c>
      <c r="H2207" t="s">
        <v>28</v>
      </c>
      <c r="I2207" t="s">
        <v>66</v>
      </c>
      <c r="J2207" t="s">
        <v>143</v>
      </c>
      <c r="K2207" s="138">
        <v>26</v>
      </c>
      <c r="L2207" s="137">
        <v>0</v>
      </c>
    </row>
    <row r="2208" spans="7:12" x14ac:dyDescent="0.25">
      <c r="G2208" s="136">
        <v>43386</v>
      </c>
      <c r="H2208" t="s">
        <v>188</v>
      </c>
      <c r="I2208" t="s">
        <v>42</v>
      </c>
      <c r="J2208" t="s">
        <v>381</v>
      </c>
      <c r="K2208" s="138">
        <v>38</v>
      </c>
      <c r="L2208" s="137">
        <v>0</v>
      </c>
    </row>
    <row r="2209" spans="7:12" x14ac:dyDescent="0.25">
      <c r="G2209" s="136">
        <v>43386</v>
      </c>
      <c r="H2209" t="s">
        <v>28</v>
      </c>
      <c r="I2209" t="s">
        <v>66</v>
      </c>
      <c r="J2209" t="s">
        <v>106</v>
      </c>
      <c r="K2209" s="138">
        <v>1.8</v>
      </c>
      <c r="L2209" s="137">
        <v>0</v>
      </c>
    </row>
    <row r="2210" spans="7:12" x14ac:dyDescent="0.25">
      <c r="G2210" s="136">
        <v>43386</v>
      </c>
      <c r="H2210" t="s">
        <v>28</v>
      </c>
      <c r="I2210" t="s">
        <v>66</v>
      </c>
      <c r="J2210" t="s">
        <v>115</v>
      </c>
      <c r="K2210" s="138">
        <v>12.75</v>
      </c>
      <c r="L2210" s="137">
        <v>0</v>
      </c>
    </row>
    <row r="2211" spans="7:12" x14ac:dyDescent="0.25">
      <c r="G2211" s="136">
        <v>43388</v>
      </c>
      <c r="H2211" t="s">
        <v>27</v>
      </c>
      <c r="I2211" t="s">
        <v>63</v>
      </c>
      <c r="J2211" t="s">
        <v>382</v>
      </c>
      <c r="K2211" s="138">
        <v>8</v>
      </c>
      <c r="L2211" s="137">
        <v>0</v>
      </c>
    </row>
    <row r="2212" spans="7:12" x14ac:dyDescent="0.25">
      <c r="G2212" s="136">
        <v>43388</v>
      </c>
      <c r="H2212" t="s">
        <v>188</v>
      </c>
      <c r="I2212" t="s">
        <v>42</v>
      </c>
      <c r="J2212" t="s">
        <v>382</v>
      </c>
      <c r="K2212" s="138">
        <v>168.3</v>
      </c>
      <c r="L2212" s="137">
        <v>0</v>
      </c>
    </row>
    <row r="2213" spans="7:12" x14ac:dyDescent="0.25">
      <c r="G2213" s="136">
        <v>43388</v>
      </c>
      <c r="H2213" t="s">
        <v>200</v>
      </c>
      <c r="I2213" t="s">
        <v>63</v>
      </c>
      <c r="J2213" t="s">
        <v>382</v>
      </c>
      <c r="K2213" s="138">
        <v>44.68</v>
      </c>
      <c r="L2213" s="137">
        <v>0</v>
      </c>
    </row>
    <row r="2214" spans="7:12" x14ac:dyDescent="0.25">
      <c r="G2214" s="136">
        <v>43388</v>
      </c>
      <c r="H2214" t="s">
        <v>25</v>
      </c>
      <c r="I2214" t="s">
        <v>63</v>
      </c>
      <c r="J2214" t="s">
        <v>382</v>
      </c>
      <c r="K2214" s="138">
        <v>40</v>
      </c>
      <c r="L2214" s="137">
        <v>0</v>
      </c>
    </row>
    <row r="2215" spans="7:12" x14ac:dyDescent="0.25">
      <c r="G2215" s="136">
        <v>43388</v>
      </c>
      <c r="H2215" t="s">
        <v>25</v>
      </c>
      <c r="I2215" t="s">
        <v>63</v>
      </c>
      <c r="J2215" t="s">
        <v>382</v>
      </c>
      <c r="K2215" s="138">
        <v>32</v>
      </c>
      <c r="L2215" s="137">
        <v>0</v>
      </c>
    </row>
    <row r="2216" spans="7:12" x14ac:dyDescent="0.25">
      <c r="G2216" s="136">
        <v>43388</v>
      </c>
      <c r="H2216" t="s">
        <v>25</v>
      </c>
      <c r="I2216" t="s">
        <v>63</v>
      </c>
      <c r="J2216" t="s">
        <v>382</v>
      </c>
      <c r="K2216" s="138">
        <v>16</v>
      </c>
      <c r="L2216" s="137">
        <v>0</v>
      </c>
    </row>
    <row r="2217" spans="7:12" x14ac:dyDescent="0.25">
      <c r="G2217" s="136">
        <v>43388</v>
      </c>
      <c r="H2217" t="s">
        <v>181</v>
      </c>
      <c r="I2217" t="s">
        <v>42</v>
      </c>
      <c r="J2217" t="s">
        <v>382</v>
      </c>
      <c r="K2217" s="138">
        <v>87.6</v>
      </c>
      <c r="L2217" s="137">
        <v>0</v>
      </c>
    </row>
    <row r="2218" spans="7:12" x14ac:dyDescent="0.25">
      <c r="G2218" s="136">
        <v>43388</v>
      </c>
      <c r="H2218" t="s">
        <v>196</v>
      </c>
      <c r="I2218" t="s">
        <v>42</v>
      </c>
      <c r="J2218" t="s">
        <v>382</v>
      </c>
      <c r="K2218" s="138">
        <v>188.98</v>
      </c>
      <c r="L2218" s="137">
        <v>0</v>
      </c>
    </row>
    <row r="2219" spans="7:12" x14ac:dyDescent="0.25">
      <c r="G2219" s="136">
        <v>43388</v>
      </c>
      <c r="H2219" t="s">
        <v>180</v>
      </c>
      <c r="I2219" t="s">
        <v>42</v>
      </c>
      <c r="J2219" t="s">
        <v>382</v>
      </c>
      <c r="K2219" s="138">
        <v>70.23</v>
      </c>
      <c r="L2219" s="137">
        <v>0</v>
      </c>
    </row>
    <row r="2220" spans="7:12" x14ac:dyDescent="0.25">
      <c r="G2220" s="136">
        <v>43388</v>
      </c>
      <c r="H2220" t="s">
        <v>28</v>
      </c>
      <c r="I2220" t="s">
        <v>63</v>
      </c>
      <c r="J2220" t="s">
        <v>382</v>
      </c>
      <c r="K2220" s="138">
        <v>8</v>
      </c>
      <c r="L2220" s="137">
        <v>0</v>
      </c>
    </row>
    <row r="2221" spans="7:12" x14ac:dyDescent="0.25">
      <c r="G2221" s="136">
        <v>43388</v>
      </c>
      <c r="H2221" t="s">
        <v>28</v>
      </c>
      <c r="I2221" t="s">
        <v>66</v>
      </c>
      <c r="J2221" t="s">
        <v>141</v>
      </c>
      <c r="K2221" s="138">
        <v>3.15</v>
      </c>
      <c r="L2221" s="137">
        <v>0</v>
      </c>
    </row>
    <row r="2222" spans="7:12" x14ac:dyDescent="0.25">
      <c r="G2222" s="136">
        <v>43388</v>
      </c>
      <c r="H2222" t="s">
        <v>28</v>
      </c>
      <c r="I2222" t="s">
        <v>66</v>
      </c>
      <c r="J2222" t="s">
        <v>138</v>
      </c>
      <c r="K2222" s="138">
        <v>3</v>
      </c>
      <c r="L2222" s="137">
        <v>0</v>
      </c>
    </row>
    <row r="2223" spans="7:12" x14ac:dyDescent="0.25">
      <c r="G2223" s="136">
        <v>43388</v>
      </c>
      <c r="H2223" t="s">
        <v>28</v>
      </c>
      <c r="I2223" t="s">
        <v>66</v>
      </c>
      <c r="J2223" t="s">
        <v>104</v>
      </c>
      <c r="K2223" s="138">
        <v>5.55</v>
      </c>
      <c r="L2223" s="137">
        <v>0</v>
      </c>
    </row>
    <row r="2224" spans="7:12" x14ac:dyDescent="0.25">
      <c r="G2224" s="136">
        <v>43388</v>
      </c>
      <c r="H2224" t="s">
        <v>28</v>
      </c>
      <c r="I2224" t="s">
        <v>66</v>
      </c>
      <c r="J2224" t="s">
        <v>145</v>
      </c>
      <c r="K2224" s="138">
        <v>10.5</v>
      </c>
      <c r="L2224" s="137">
        <v>0</v>
      </c>
    </row>
    <row r="2225" spans="7:12" x14ac:dyDescent="0.25">
      <c r="G2225" s="136">
        <v>43388</v>
      </c>
      <c r="H2225" t="s">
        <v>28</v>
      </c>
      <c r="I2225" t="s">
        <v>42</v>
      </c>
      <c r="J2225" t="s">
        <v>382</v>
      </c>
      <c r="K2225" s="138">
        <v>196.71</v>
      </c>
      <c r="L2225" s="137">
        <v>0</v>
      </c>
    </row>
    <row r="2226" spans="7:12" x14ac:dyDescent="0.25">
      <c r="G2226" s="136">
        <v>43388</v>
      </c>
      <c r="H2226" t="s">
        <v>28</v>
      </c>
      <c r="I2226" t="s">
        <v>42</v>
      </c>
      <c r="J2226" t="s">
        <v>382</v>
      </c>
      <c r="K2226" s="138">
        <v>30.4</v>
      </c>
      <c r="L2226" s="137">
        <v>0</v>
      </c>
    </row>
    <row r="2227" spans="7:12" x14ac:dyDescent="0.25">
      <c r="G2227" s="136">
        <v>43389</v>
      </c>
      <c r="H2227" t="s">
        <v>188</v>
      </c>
      <c r="I2227" t="s">
        <v>112</v>
      </c>
      <c r="J2227" t="s">
        <v>383</v>
      </c>
      <c r="K2227" s="138">
        <v>20</v>
      </c>
      <c r="L2227" s="137">
        <v>0</v>
      </c>
    </row>
    <row r="2228" spans="7:12" x14ac:dyDescent="0.25">
      <c r="G2228" s="136">
        <v>43389</v>
      </c>
      <c r="H2228" t="s">
        <v>188</v>
      </c>
      <c r="I2228" t="s">
        <v>155</v>
      </c>
      <c r="J2228" t="s">
        <v>383</v>
      </c>
      <c r="K2228" s="138">
        <v>20</v>
      </c>
      <c r="L2228" s="137">
        <v>0</v>
      </c>
    </row>
    <row r="2229" spans="7:12" x14ac:dyDescent="0.25">
      <c r="G2229" s="136">
        <v>43389</v>
      </c>
      <c r="H2229" t="s">
        <v>188</v>
      </c>
      <c r="I2229" t="s">
        <v>42</v>
      </c>
      <c r="J2229" t="s">
        <v>383</v>
      </c>
      <c r="K2229" s="138">
        <v>42</v>
      </c>
      <c r="L2229" s="137">
        <v>0</v>
      </c>
    </row>
    <row r="2230" spans="7:12" x14ac:dyDescent="0.25">
      <c r="G2230" s="136">
        <v>43389</v>
      </c>
      <c r="H2230" t="s">
        <v>182</v>
      </c>
      <c r="I2230" t="s">
        <v>112</v>
      </c>
      <c r="J2230" t="s">
        <v>383</v>
      </c>
      <c r="K2230" s="138">
        <v>228.5</v>
      </c>
      <c r="L2230" s="137">
        <v>0</v>
      </c>
    </row>
    <row r="2231" spans="7:12" x14ac:dyDescent="0.25">
      <c r="G2231" s="136">
        <v>43389</v>
      </c>
      <c r="H2231" t="s">
        <v>179</v>
      </c>
      <c r="I2231" t="s">
        <v>112</v>
      </c>
      <c r="J2231" t="s">
        <v>383</v>
      </c>
      <c r="K2231" s="138">
        <v>133.57</v>
      </c>
      <c r="L2231" s="137">
        <v>0</v>
      </c>
    </row>
    <row r="2232" spans="7:12" x14ac:dyDescent="0.25">
      <c r="G2232" s="136">
        <v>43389</v>
      </c>
      <c r="H2232" t="s">
        <v>28</v>
      </c>
      <c r="I2232" t="s">
        <v>178</v>
      </c>
      <c r="J2232" t="s">
        <v>383</v>
      </c>
      <c r="K2232" s="138">
        <v>11.9</v>
      </c>
      <c r="L2232" s="137">
        <v>0</v>
      </c>
    </row>
    <row r="2233" spans="7:12" x14ac:dyDescent="0.25">
      <c r="G2233" s="136">
        <v>43389</v>
      </c>
      <c r="H2233" t="s">
        <v>28</v>
      </c>
      <c r="I2233" t="s">
        <v>112</v>
      </c>
      <c r="J2233" t="s">
        <v>383</v>
      </c>
      <c r="K2233" s="138">
        <v>137.53</v>
      </c>
      <c r="L2233" s="137">
        <v>0</v>
      </c>
    </row>
    <row r="2234" spans="7:12" x14ac:dyDescent="0.25">
      <c r="G2234" s="136">
        <v>43389</v>
      </c>
      <c r="H2234" t="s">
        <v>28</v>
      </c>
      <c r="I2234" t="s">
        <v>112</v>
      </c>
      <c r="J2234" t="s">
        <v>383</v>
      </c>
      <c r="K2234" s="138">
        <v>112</v>
      </c>
      <c r="L2234" s="137">
        <v>0</v>
      </c>
    </row>
    <row r="2235" spans="7:12" x14ac:dyDescent="0.25">
      <c r="G2235" s="136">
        <v>43389</v>
      </c>
      <c r="H2235" t="s">
        <v>28</v>
      </c>
      <c r="I2235" t="s">
        <v>112</v>
      </c>
      <c r="J2235" t="s">
        <v>383</v>
      </c>
      <c r="K2235" s="138">
        <v>97.84</v>
      </c>
      <c r="L2235" s="137">
        <v>0</v>
      </c>
    </row>
    <row r="2236" spans="7:12" x14ac:dyDescent="0.25">
      <c r="G2236" s="136">
        <v>43389</v>
      </c>
      <c r="H2236" t="s">
        <v>28</v>
      </c>
      <c r="I2236" t="s">
        <v>112</v>
      </c>
      <c r="J2236" t="s">
        <v>383</v>
      </c>
      <c r="K2236" s="138">
        <v>71.31</v>
      </c>
      <c r="L2236" s="137">
        <v>0</v>
      </c>
    </row>
    <row r="2237" spans="7:12" x14ac:dyDescent="0.25">
      <c r="G2237" s="136">
        <v>43389</v>
      </c>
      <c r="H2237" t="s">
        <v>28</v>
      </c>
      <c r="I2237" t="s">
        <v>112</v>
      </c>
      <c r="J2237" t="s">
        <v>383</v>
      </c>
      <c r="K2237" s="138">
        <v>70.099999999999994</v>
      </c>
      <c r="L2237" s="137">
        <v>0</v>
      </c>
    </row>
    <row r="2238" spans="7:12" x14ac:dyDescent="0.25">
      <c r="G2238" s="136">
        <v>43389</v>
      </c>
      <c r="H2238" t="s">
        <v>28</v>
      </c>
      <c r="I2238" t="s">
        <v>112</v>
      </c>
      <c r="J2238" t="s">
        <v>383</v>
      </c>
      <c r="K2238" s="138">
        <v>61.6</v>
      </c>
      <c r="L2238" s="137">
        <v>0</v>
      </c>
    </row>
    <row r="2239" spans="7:12" x14ac:dyDescent="0.25">
      <c r="G2239" s="136">
        <v>43389</v>
      </c>
      <c r="H2239" t="s">
        <v>28</v>
      </c>
      <c r="I2239" t="s">
        <v>112</v>
      </c>
      <c r="J2239" t="s">
        <v>383</v>
      </c>
      <c r="K2239" s="138">
        <v>55.06</v>
      </c>
      <c r="L2239" s="137">
        <v>0</v>
      </c>
    </row>
    <row r="2240" spans="7:12" x14ac:dyDescent="0.25">
      <c r="G2240" s="136">
        <v>43389</v>
      </c>
      <c r="H2240" t="s">
        <v>28</v>
      </c>
      <c r="I2240" t="s">
        <v>112</v>
      </c>
      <c r="J2240" t="s">
        <v>383</v>
      </c>
      <c r="K2240" s="138">
        <v>47.58</v>
      </c>
      <c r="L2240" s="137">
        <v>0</v>
      </c>
    </row>
    <row r="2241" spans="7:12" x14ac:dyDescent="0.25">
      <c r="G2241" s="136">
        <v>43389</v>
      </c>
      <c r="H2241" t="s">
        <v>28</v>
      </c>
      <c r="I2241" t="s">
        <v>112</v>
      </c>
      <c r="J2241" t="s">
        <v>383</v>
      </c>
      <c r="K2241" s="138">
        <v>39.479999999999997</v>
      </c>
      <c r="L2241" s="137">
        <v>0</v>
      </c>
    </row>
    <row r="2242" spans="7:12" x14ac:dyDescent="0.25">
      <c r="G2242" s="136">
        <v>43389</v>
      </c>
      <c r="H2242" t="s">
        <v>28</v>
      </c>
      <c r="I2242" t="s">
        <v>112</v>
      </c>
      <c r="J2242" t="s">
        <v>383</v>
      </c>
      <c r="K2242" s="138">
        <v>23.99</v>
      </c>
      <c r="L2242" s="137">
        <v>0</v>
      </c>
    </row>
    <row r="2243" spans="7:12" x14ac:dyDescent="0.25">
      <c r="G2243" s="136">
        <v>43389</v>
      </c>
      <c r="H2243" t="s">
        <v>28</v>
      </c>
      <c r="I2243" t="s">
        <v>112</v>
      </c>
      <c r="J2243" t="s">
        <v>383</v>
      </c>
      <c r="K2243" s="138">
        <v>23.9</v>
      </c>
      <c r="L2243" s="137">
        <v>0</v>
      </c>
    </row>
    <row r="2244" spans="7:12" x14ac:dyDescent="0.25">
      <c r="G2244" s="136">
        <v>43389</v>
      </c>
      <c r="H2244" t="s">
        <v>28</v>
      </c>
      <c r="I2244" t="s">
        <v>112</v>
      </c>
      <c r="J2244" t="s">
        <v>383</v>
      </c>
      <c r="K2244" s="138">
        <v>23.53</v>
      </c>
      <c r="L2244" s="137">
        <v>0</v>
      </c>
    </row>
    <row r="2245" spans="7:12" x14ac:dyDescent="0.25">
      <c r="G2245" s="136">
        <v>43389</v>
      </c>
      <c r="H2245" t="s">
        <v>28</v>
      </c>
      <c r="I2245" t="s">
        <v>112</v>
      </c>
      <c r="J2245" t="s">
        <v>383</v>
      </c>
      <c r="K2245" s="138">
        <v>22.99</v>
      </c>
      <c r="L2245" s="137">
        <v>0</v>
      </c>
    </row>
    <row r="2246" spans="7:12" x14ac:dyDescent="0.25">
      <c r="G2246" s="136">
        <v>43389</v>
      </c>
      <c r="H2246" t="s">
        <v>28</v>
      </c>
      <c r="I2246" t="s">
        <v>112</v>
      </c>
      <c r="J2246" t="s">
        <v>383</v>
      </c>
      <c r="K2246" s="138">
        <v>12.65</v>
      </c>
      <c r="L2246" s="137">
        <v>0</v>
      </c>
    </row>
    <row r="2247" spans="7:12" x14ac:dyDescent="0.25">
      <c r="G2247" s="136">
        <v>43389</v>
      </c>
      <c r="H2247" t="s">
        <v>28</v>
      </c>
      <c r="I2247" t="s">
        <v>112</v>
      </c>
      <c r="J2247" t="s">
        <v>383</v>
      </c>
      <c r="K2247" s="138">
        <v>11.21</v>
      </c>
      <c r="L2247" s="137">
        <v>0</v>
      </c>
    </row>
    <row r="2248" spans="7:12" x14ac:dyDescent="0.25">
      <c r="G2248" s="136">
        <v>43389</v>
      </c>
      <c r="H2248" t="s">
        <v>28</v>
      </c>
      <c r="I2248" t="s">
        <v>155</v>
      </c>
      <c r="J2248" t="s">
        <v>383</v>
      </c>
      <c r="K2248" s="138">
        <v>135.12</v>
      </c>
      <c r="L2248" s="137">
        <v>0</v>
      </c>
    </row>
    <row r="2249" spans="7:12" x14ac:dyDescent="0.25">
      <c r="G2249" s="136">
        <v>43389</v>
      </c>
      <c r="H2249" t="s">
        <v>28</v>
      </c>
      <c r="I2249" t="s">
        <v>155</v>
      </c>
      <c r="J2249" t="s">
        <v>383</v>
      </c>
      <c r="K2249" s="138">
        <v>129.9</v>
      </c>
      <c r="L2249" s="137">
        <v>0</v>
      </c>
    </row>
    <row r="2250" spans="7:12" x14ac:dyDescent="0.25">
      <c r="G2250" s="136">
        <v>43389</v>
      </c>
      <c r="H2250" t="s">
        <v>28</v>
      </c>
      <c r="I2250" t="s">
        <v>155</v>
      </c>
      <c r="J2250" t="s">
        <v>383</v>
      </c>
      <c r="K2250" s="138">
        <v>125</v>
      </c>
      <c r="L2250" s="137">
        <v>0</v>
      </c>
    </row>
    <row r="2251" spans="7:12" x14ac:dyDescent="0.25">
      <c r="G2251" s="136">
        <v>43389</v>
      </c>
      <c r="H2251" t="s">
        <v>28</v>
      </c>
      <c r="I2251" t="s">
        <v>155</v>
      </c>
      <c r="J2251" t="s">
        <v>383</v>
      </c>
      <c r="K2251" s="138">
        <v>77.349999999999994</v>
      </c>
      <c r="L2251" s="137">
        <v>0</v>
      </c>
    </row>
    <row r="2252" spans="7:12" x14ac:dyDescent="0.25">
      <c r="G2252" s="136">
        <v>43389</v>
      </c>
      <c r="H2252" t="s">
        <v>28</v>
      </c>
      <c r="I2252" t="s">
        <v>155</v>
      </c>
      <c r="J2252" t="s">
        <v>383</v>
      </c>
      <c r="K2252" s="138">
        <v>65.3</v>
      </c>
      <c r="L2252" s="137">
        <v>0</v>
      </c>
    </row>
    <row r="2253" spans="7:12" x14ac:dyDescent="0.25">
      <c r="G2253" s="136">
        <v>43389</v>
      </c>
      <c r="H2253" t="s">
        <v>28</v>
      </c>
      <c r="I2253" t="s">
        <v>155</v>
      </c>
      <c r="J2253" t="s">
        <v>383</v>
      </c>
      <c r="K2253" s="138">
        <v>61.3</v>
      </c>
      <c r="L2253" s="137">
        <v>0</v>
      </c>
    </row>
    <row r="2254" spans="7:12" x14ac:dyDescent="0.25">
      <c r="G2254" s="136">
        <v>43389</v>
      </c>
      <c r="H2254" t="s">
        <v>28</v>
      </c>
      <c r="I2254" t="s">
        <v>155</v>
      </c>
      <c r="J2254" t="s">
        <v>383</v>
      </c>
      <c r="K2254" s="138">
        <v>54.2</v>
      </c>
      <c r="L2254" s="137">
        <v>0</v>
      </c>
    </row>
    <row r="2255" spans="7:12" x14ac:dyDescent="0.25">
      <c r="G2255" s="136">
        <v>43389</v>
      </c>
      <c r="H2255" t="s">
        <v>28</v>
      </c>
      <c r="I2255" t="s">
        <v>155</v>
      </c>
      <c r="J2255" t="s">
        <v>383</v>
      </c>
      <c r="K2255" s="138">
        <v>50.75</v>
      </c>
      <c r="L2255" s="137">
        <v>0</v>
      </c>
    </row>
    <row r="2256" spans="7:12" x14ac:dyDescent="0.25">
      <c r="G2256" s="136">
        <v>43389</v>
      </c>
      <c r="H2256" t="s">
        <v>28</v>
      </c>
      <c r="I2256" t="s">
        <v>155</v>
      </c>
      <c r="J2256" t="s">
        <v>383</v>
      </c>
      <c r="K2256" s="138">
        <v>50</v>
      </c>
      <c r="L2256" s="137">
        <v>0</v>
      </c>
    </row>
    <row r="2257" spans="7:12" x14ac:dyDescent="0.25">
      <c r="G2257" s="136">
        <v>43389</v>
      </c>
      <c r="H2257" t="s">
        <v>28</v>
      </c>
      <c r="I2257" t="s">
        <v>155</v>
      </c>
      <c r="J2257" t="s">
        <v>383</v>
      </c>
      <c r="K2257" s="138">
        <v>49.33</v>
      </c>
      <c r="L2257" s="137">
        <v>0</v>
      </c>
    </row>
    <row r="2258" spans="7:12" x14ac:dyDescent="0.25">
      <c r="G2258" s="136">
        <v>43389</v>
      </c>
      <c r="H2258" t="s">
        <v>28</v>
      </c>
      <c r="I2258" t="s">
        <v>155</v>
      </c>
      <c r="J2258" t="s">
        <v>383</v>
      </c>
      <c r="K2258" s="138">
        <v>35.119999999999997</v>
      </c>
      <c r="L2258" s="137">
        <v>0</v>
      </c>
    </row>
    <row r="2259" spans="7:12" x14ac:dyDescent="0.25">
      <c r="G2259" s="136">
        <v>43389</v>
      </c>
      <c r="H2259" t="s">
        <v>28</v>
      </c>
      <c r="I2259" t="s">
        <v>155</v>
      </c>
      <c r="J2259" t="s">
        <v>383</v>
      </c>
      <c r="K2259" s="138">
        <v>30.23</v>
      </c>
      <c r="L2259" s="137">
        <v>0</v>
      </c>
    </row>
    <row r="2260" spans="7:12" x14ac:dyDescent="0.25">
      <c r="G2260" s="136">
        <v>43389</v>
      </c>
      <c r="H2260" t="s">
        <v>28</v>
      </c>
      <c r="I2260" t="s">
        <v>155</v>
      </c>
      <c r="J2260" t="s">
        <v>383</v>
      </c>
      <c r="K2260" s="138">
        <v>25.39</v>
      </c>
      <c r="L2260" s="137">
        <v>0</v>
      </c>
    </row>
    <row r="2261" spans="7:12" x14ac:dyDescent="0.25">
      <c r="G2261" s="136">
        <v>43389</v>
      </c>
      <c r="H2261" t="s">
        <v>28</v>
      </c>
      <c r="I2261" t="s">
        <v>155</v>
      </c>
      <c r="J2261" t="s">
        <v>383</v>
      </c>
      <c r="K2261" s="138">
        <v>9.99</v>
      </c>
      <c r="L2261" s="137">
        <v>0</v>
      </c>
    </row>
    <row r="2262" spans="7:12" x14ac:dyDescent="0.25">
      <c r="G2262" s="136">
        <v>43389</v>
      </c>
      <c r="H2262" t="s">
        <v>28</v>
      </c>
      <c r="I2262" t="s">
        <v>176</v>
      </c>
      <c r="J2262" t="s">
        <v>383</v>
      </c>
      <c r="K2262" s="138">
        <v>30.24</v>
      </c>
      <c r="L2262" s="137">
        <v>0</v>
      </c>
    </row>
    <row r="2263" spans="7:12" x14ac:dyDescent="0.25">
      <c r="G2263" s="136">
        <v>43390</v>
      </c>
      <c r="H2263" t="s">
        <v>204</v>
      </c>
      <c r="I2263" t="s">
        <v>176</v>
      </c>
      <c r="J2263" t="s">
        <v>384</v>
      </c>
      <c r="K2263" s="138">
        <v>92.95</v>
      </c>
      <c r="L2263" s="137">
        <v>0</v>
      </c>
    </row>
    <row r="2264" spans="7:12" x14ac:dyDescent="0.25">
      <c r="G2264" s="136">
        <v>43390</v>
      </c>
      <c r="H2264" t="s">
        <v>203</v>
      </c>
      <c r="I2264" t="s">
        <v>176</v>
      </c>
      <c r="J2264" t="s">
        <v>384</v>
      </c>
      <c r="K2264" s="138">
        <v>619.5</v>
      </c>
      <c r="L2264" s="137">
        <v>0</v>
      </c>
    </row>
    <row r="2265" spans="7:12" x14ac:dyDescent="0.25">
      <c r="G2265" s="136">
        <v>43390</v>
      </c>
      <c r="H2265" t="s">
        <v>203</v>
      </c>
      <c r="I2265" t="s">
        <v>42</v>
      </c>
      <c r="J2265" t="s">
        <v>384</v>
      </c>
      <c r="K2265" s="138">
        <v>75</v>
      </c>
      <c r="L2265" s="137">
        <v>0</v>
      </c>
    </row>
    <row r="2266" spans="7:12" x14ac:dyDescent="0.25">
      <c r="G2266" s="136">
        <v>43390</v>
      </c>
      <c r="H2266" t="s">
        <v>192</v>
      </c>
      <c r="I2266" t="s">
        <v>63</v>
      </c>
      <c r="J2266" t="s">
        <v>384</v>
      </c>
      <c r="K2266" s="138">
        <v>33</v>
      </c>
      <c r="L2266" s="137">
        <v>0</v>
      </c>
    </row>
    <row r="2267" spans="7:12" x14ac:dyDescent="0.25">
      <c r="G2267" s="136">
        <v>43390</v>
      </c>
      <c r="H2267" t="s">
        <v>192</v>
      </c>
      <c r="I2267" t="s">
        <v>176</v>
      </c>
      <c r="J2267" t="s">
        <v>384</v>
      </c>
      <c r="K2267" s="138">
        <v>612.1</v>
      </c>
      <c r="L2267" s="137">
        <v>0</v>
      </c>
    </row>
    <row r="2268" spans="7:12" x14ac:dyDescent="0.25">
      <c r="G2268" s="136">
        <v>43390</v>
      </c>
      <c r="H2268" t="s">
        <v>27</v>
      </c>
      <c r="I2268" t="s">
        <v>63</v>
      </c>
      <c r="J2268" t="s">
        <v>384</v>
      </c>
      <c r="K2268" s="138">
        <v>8</v>
      </c>
      <c r="L2268" s="137">
        <v>0</v>
      </c>
    </row>
    <row r="2269" spans="7:12" x14ac:dyDescent="0.25">
      <c r="G2269" s="136">
        <v>43390</v>
      </c>
      <c r="H2269" t="s">
        <v>199</v>
      </c>
      <c r="I2269" t="s">
        <v>163</v>
      </c>
      <c r="J2269" t="s">
        <v>384</v>
      </c>
      <c r="K2269" s="138">
        <v>7.06</v>
      </c>
      <c r="L2269" s="137">
        <v>0</v>
      </c>
    </row>
    <row r="2270" spans="7:12" x14ac:dyDescent="0.25">
      <c r="G2270" s="136">
        <v>43390</v>
      </c>
      <c r="H2270" t="s">
        <v>183</v>
      </c>
      <c r="I2270" t="s">
        <v>42</v>
      </c>
      <c r="J2270" t="s">
        <v>384</v>
      </c>
      <c r="K2270" s="138">
        <v>27.54</v>
      </c>
      <c r="L2270" s="137">
        <v>0</v>
      </c>
    </row>
    <row r="2271" spans="7:12" x14ac:dyDescent="0.25">
      <c r="G2271" s="136">
        <v>43390</v>
      </c>
      <c r="H2271" t="s">
        <v>193</v>
      </c>
      <c r="I2271" t="s">
        <v>163</v>
      </c>
      <c r="J2271" t="s">
        <v>384</v>
      </c>
      <c r="K2271" s="138">
        <v>1233.6400000000001</v>
      </c>
      <c r="L2271" s="137">
        <v>0</v>
      </c>
    </row>
    <row r="2272" spans="7:12" x14ac:dyDescent="0.25">
      <c r="G2272" s="136">
        <v>43390</v>
      </c>
      <c r="H2272" t="s">
        <v>188</v>
      </c>
      <c r="I2272" t="s">
        <v>42</v>
      </c>
      <c r="J2272" t="s">
        <v>384</v>
      </c>
      <c r="K2272" s="138">
        <v>49</v>
      </c>
      <c r="L2272" s="137">
        <v>0</v>
      </c>
    </row>
    <row r="2273" spans="7:12" x14ac:dyDescent="0.25">
      <c r="G2273" s="136">
        <v>43390</v>
      </c>
      <c r="H2273" t="s">
        <v>200</v>
      </c>
      <c r="I2273" t="s">
        <v>42</v>
      </c>
      <c r="J2273" t="s">
        <v>384</v>
      </c>
      <c r="K2273" s="138">
        <v>3.53</v>
      </c>
      <c r="L2273" s="137">
        <v>0</v>
      </c>
    </row>
    <row r="2274" spans="7:12" x14ac:dyDescent="0.25">
      <c r="G2274" s="136">
        <v>43390</v>
      </c>
      <c r="H2274" t="s">
        <v>25</v>
      </c>
      <c r="I2274" t="s">
        <v>63</v>
      </c>
      <c r="J2274" t="s">
        <v>384</v>
      </c>
      <c r="K2274" s="138">
        <v>56</v>
      </c>
      <c r="L2274" s="137">
        <v>0</v>
      </c>
    </row>
    <row r="2275" spans="7:12" x14ac:dyDescent="0.25">
      <c r="G2275" s="136">
        <v>43390</v>
      </c>
      <c r="H2275" t="s">
        <v>25</v>
      </c>
      <c r="I2275" t="s">
        <v>63</v>
      </c>
      <c r="J2275" t="s">
        <v>384</v>
      </c>
      <c r="K2275" s="138">
        <v>40</v>
      </c>
      <c r="L2275" s="137">
        <v>0</v>
      </c>
    </row>
    <row r="2276" spans="7:12" x14ac:dyDescent="0.25">
      <c r="G2276" s="136">
        <v>43390</v>
      </c>
      <c r="H2276" t="s">
        <v>25</v>
      </c>
      <c r="I2276" t="s">
        <v>63</v>
      </c>
      <c r="J2276" t="s">
        <v>384</v>
      </c>
      <c r="K2276" s="138">
        <v>32</v>
      </c>
      <c r="L2276" s="137">
        <v>0</v>
      </c>
    </row>
    <row r="2277" spans="7:12" x14ac:dyDescent="0.25">
      <c r="G2277" s="136">
        <v>43390</v>
      </c>
      <c r="H2277" t="s">
        <v>25</v>
      </c>
      <c r="I2277" t="s">
        <v>63</v>
      </c>
      <c r="J2277" t="s">
        <v>384</v>
      </c>
      <c r="K2277" s="138">
        <v>24</v>
      </c>
      <c r="L2277" s="137">
        <v>0</v>
      </c>
    </row>
    <row r="2278" spans="7:12" x14ac:dyDescent="0.25">
      <c r="G2278" s="136">
        <v>43390</v>
      </c>
      <c r="H2278" t="s">
        <v>25</v>
      </c>
      <c r="I2278" t="s">
        <v>63</v>
      </c>
      <c r="J2278" t="s">
        <v>384</v>
      </c>
      <c r="K2278" s="138">
        <v>16</v>
      </c>
      <c r="L2278" s="137">
        <v>0</v>
      </c>
    </row>
    <row r="2279" spans="7:12" x14ac:dyDescent="0.25">
      <c r="G2279" s="136">
        <v>43390</v>
      </c>
      <c r="H2279" t="s">
        <v>25</v>
      </c>
      <c r="I2279" t="s">
        <v>63</v>
      </c>
      <c r="J2279" t="s">
        <v>384</v>
      </c>
      <c r="K2279" s="138">
        <v>8</v>
      </c>
      <c r="L2279" s="137">
        <v>0</v>
      </c>
    </row>
    <row r="2280" spans="7:12" x14ac:dyDescent="0.25">
      <c r="G2280" s="136">
        <v>43390</v>
      </c>
      <c r="H2280" t="s">
        <v>201</v>
      </c>
      <c r="I2280" t="s">
        <v>163</v>
      </c>
      <c r="J2280" t="s">
        <v>384</v>
      </c>
      <c r="K2280" s="138">
        <v>160.5</v>
      </c>
      <c r="L2280" s="137">
        <v>0</v>
      </c>
    </row>
    <row r="2281" spans="7:12" x14ac:dyDescent="0.25">
      <c r="G2281" s="136">
        <v>43390</v>
      </c>
      <c r="H2281" t="s">
        <v>201</v>
      </c>
      <c r="I2281" t="s">
        <v>176</v>
      </c>
      <c r="J2281" t="s">
        <v>384</v>
      </c>
      <c r="K2281" s="138">
        <v>58.35</v>
      </c>
      <c r="L2281" s="137">
        <v>0</v>
      </c>
    </row>
    <row r="2282" spans="7:12" x14ac:dyDescent="0.25">
      <c r="G2282" s="136">
        <v>43390</v>
      </c>
      <c r="H2282" t="s">
        <v>207</v>
      </c>
      <c r="I2282" t="s">
        <v>176</v>
      </c>
      <c r="J2282" t="s">
        <v>384</v>
      </c>
      <c r="K2282" s="138">
        <v>36.799999999999997</v>
      </c>
      <c r="L2282" s="137">
        <v>0</v>
      </c>
    </row>
    <row r="2283" spans="7:12" x14ac:dyDescent="0.25">
      <c r="G2283" s="136">
        <v>43390</v>
      </c>
      <c r="H2283" t="s">
        <v>197</v>
      </c>
      <c r="I2283" t="s">
        <v>42</v>
      </c>
      <c r="J2283" t="s">
        <v>384</v>
      </c>
      <c r="K2283" s="138">
        <v>154.43</v>
      </c>
      <c r="L2283" s="137">
        <v>0</v>
      </c>
    </row>
    <row r="2284" spans="7:12" x14ac:dyDescent="0.25">
      <c r="G2284" s="136">
        <v>43390</v>
      </c>
      <c r="H2284" t="s">
        <v>180</v>
      </c>
      <c r="I2284" t="s">
        <v>176</v>
      </c>
      <c r="J2284" t="s">
        <v>384</v>
      </c>
      <c r="K2284" s="138">
        <v>222.6</v>
      </c>
      <c r="L2284" s="137">
        <v>0</v>
      </c>
    </row>
    <row r="2285" spans="7:12" x14ac:dyDescent="0.25">
      <c r="G2285" s="136">
        <v>43390</v>
      </c>
      <c r="H2285" t="s">
        <v>179</v>
      </c>
      <c r="I2285" t="s">
        <v>176</v>
      </c>
      <c r="J2285" t="s">
        <v>384</v>
      </c>
      <c r="K2285" s="138">
        <v>713.5</v>
      </c>
      <c r="L2285" s="137">
        <v>0</v>
      </c>
    </row>
    <row r="2286" spans="7:12" x14ac:dyDescent="0.25">
      <c r="G2286" s="136">
        <v>43390</v>
      </c>
      <c r="H2286" t="s">
        <v>179</v>
      </c>
      <c r="I2286" t="s">
        <v>42</v>
      </c>
      <c r="J2286" t="s">
        <v>384</v>
      </c>
      <c r="K2286" s="138">
        <v>214.34</v>
      </c>
      <c r="L2286" s="137">
        <v>0</v>
      </c>
    </row>
    <row r="2287" spans="7:12" x14ac:dyDescent="0.25">
      <c r="G2287" s="136">
        <v>43390</v>
      </c>
      <c r="H2287" t="s">
        <v>28</v>
      </c>
      <c r="I2287" t="s">
        <v>163</v>
      </c>
      <c r="J2287" t="s">
        <v>384</v>
      </c>
      <c r="K2287" s="138">
        <v>36</v>
      </c>
      <c r="L2287" s="137">
        <v>0</v>
      </c>
    </row>
    <row r="2288" spans="7:12" x14ac:dyDescent="0.25">
      <c r="G2288" s="136">
        <v>43390</v>
      </c>
      <c r="H2288" t="s">
        <v>28</v>
      </c>
      <c r="I2288" t="s">
        <v>66</v>
      </c>
      <c r="J2288" t="s">
        <v>131</v>
      </c>
      <c r="K2288" s="138">
        <v>2.4</v>
      </c>
      <c r="L2288" s="137">
        <v>0</v>
      </c>
    </row>
    <row r="2289" spans="7:12" x14ac:dyDescent="0.25">
      <c r="G2289" s="136">
        <v>43391</v>
      </c>
      <c r="H2289" t="s">
        <v>192</v>
      </c>
      <c r="I2289" t="s">
        <v>163</v>
      </c>
      <c r="J2289" t="s">
        <v>385</v>
      </c>
      <c r="K2289" s="138">
        <v>49.5</v>
      </c>
      <c r="L2289" s="137">
        <v>0</v>
      </c>
    </row>
    <row r="2290" spans="7:12" x14ac:dyDescent="0.25">
      <c r="G2290" s="136">
        <v>43391</v>
      </c>
      <c r="H2290" t="s">
        <v>27</v>
      </c>
      <c r="I2290" t="s">
        <v>63</v>
      </c>
      <c r="J2290" t="s">
        <v>385</v>
      </c>
      <c r="K2290" s="138">
        <v>16</v>
      </c>
      <c r="L2290" s="137">
        <v>0</v>
      </c>
    </row>
    <row r="2291" spans="7:12" x14ac:dyDescent="0.25">
      <c r="G2291" s="136">
        <v>43391</v>
      </c>
      <c r="H2291" t="s">
        <v>27</v>
      </c>
      <c r="I2291" t="s">
        <v>63</v>
      </c>
      <c r="J2291" t="s">
        <v>385</v>
      </c>
      <c r="K2291" s="138">
        <v>8</v>
      </c>
      <c r="L2291" s="137">
        <v>0</v>
      </c>
    </row>
    <row r="2292" spans="7:12" x14ac:dyDescent="0.25">
      <c r="G2292" s="136">
        <v>43391</v>
      </c>
      <c r="H2292" t="s">
        <v>199</v>
      </c>
      <c r="I2292" t="s">
        <v>42</v>
      </c>
      <c r="J2292" t="s">
        <v>385</v>
      </c>
      <c r="K2292" s="138">
        <v>148</v>
      </c>
      <c r="L2292" s="137">
        <v>0</v>
      </c>
    </row>
    <row r="2293" spans="7:12" x14ac:dyDescent="0.25">
      <c r="G2293" s="136">
        <v>43391</v>
      </c>
      <c r="H2293" t="s">
        <v>188</v>
      </c>
      <c r="I2293" t="s">
        <v>171</v>
      </c>
      <c r="J2293" t="s">
        <v>385</v>
      </c>
      <c r="K2293" s="138">
        <v>940.61</v>
      </c>
      <c r="L2293" s="137">
        <v>0</v>
      </c>
    </row>
    <row r="2294" spans="7:12" x14ac:dyDescent="0.25">
      <c r="G2294" s="136">
        <v>43391</v>
      </c>
      <c r="H2294" t="s">
        <v>200</v>
      </c>
      <c r="I2294" t="s">
        <v>63</v>
      </c>
      <c r="J2294" t="s">
        <v>385</v>
      </c>
      <c r="K2294" s="138">
        <v>36.479999999999997</v>
      </c>
      <c r="L2294" s="137">
        <v>0</v>
      </c>
    </row>
    <row r="2295" spans="7:12" x14ac:dyDescent="0.25">
      <c r="G2295" s="136">
        <v>43391</v>
      </c>
      <c r="H2295" t="s">
        <v>25</v>
      </c>
      <c r="I2295" t="s">
        <v>63</v>
      </c>
      <c r="J2295" t="s">
        <v>385</v>
      </c>
      <c r="K2295" s="138">
        <v>72</v>
      </c>
      <c r="L2295" s="137">
        <v>0</v>
      </c>
    </row>
    <row r="2296" spans="7:12" x14ac:dyDescent="0.25">
      <c r="G2296" s="136">
        <v>43391</v>
      </c>
      <c r="H2296" t="s">
        <v>25</v>
      </c>
      <c r="I2296" t="s">
        <v>63</v>
      </c>
      <c r="J2296" t="s">
        <v>385</v>
      </c>
      <c r="K2296" s="138">
        <v>64</v>
      </c>
      <c r="L2296" s="137">
        <v>0</v>
      </c>
    </row>
    <row r="2297" spans="7:12" x14ac:dyDescent="0.25">
      <c r="G2297" s="136">
        <v>43391</v>
      </c>
      <c r="H2297" t="s">
        <v>25</v>
      </c>
      <c r="I2297" t="s">
        <v>63</v>
      </c>
      <c r="J2297" t="s">
        <v>385</v>
      </c>
      <c r="K2297" s="138">
        <v>48</v>
      </c>
      <c r="L2297" s="137">
        <v>0</v>
      </c>
    </row>
    <row r="2298" spans="7:12" x14ac:dyDescent="0.25">
      <c r="G2298" s="136">
        <v>43391</v>
      </c>
      <c r="H2298" t="s">
        <v>25</v>
      </c>
      <c r="I2298" t="s">
        <v>63</v>
      </c>
      <c r="J2298" t="s">
        <v>385</v>
      </c>
      <c r="K2298" s="138">
        <v>40</v>
      </c>
      <c r="L2298" s="137">
        <v>0</v>
      </c>
    </row>
    <row r="2299" spans="7:12" x14ac:dyDescent="0.25">
      <c r="G2299" s="136">
        <v>43391</v>
      </c>
      <c r="H2299" t="s">
        <v>25</v>
      </c>
      <c r="I2299" t="s">
        <v>63</v>
      </c>
      <c r="J2299" t="s">
        <v>385</v>
      </c>
      <c r="K2299" s="138">
        <v>32</v>
      </c>
      <c r="L2299" s="137">
        <v>0</v>
      </c>
    </row>
    <row r="2300" spans="7:12" x14ac:dyDescent="0.25">
      <c r="G2300" s="136">
        <v>43391</v>
      </c>
      <c r="H2300" t="s">
        <v>25</v>
      </c>
      <c r="I2300" t="s">
        <v>63</v>
      </c>
      <c r="J2300" t="s">
        <v>385</v>
      </c>
      <c r="K2300" s="138">
        <v>8</v>
      </c>
      <c r="L2300" s="137">
        <v>0</v>
      </c>
    </row>
    <row r="2301" spans="7:12" x14ac:dyDescent="0.25">
      <c r="G2301" s="136">
        <v>43391</v>
      </c>
      <c r="H2301" t="s">
        <v>28</v>
      </c>
      <c r="I2301" t="s">
        <v>163</v>
      </c>
      <c r="J2301" t="s">
        <v>385</v>
      </c>
      <c r="K2301" s="138">
        <v>44.6</v>
      </c>
      <c r="L2301" s="137">
        <v>0</v>
      </c>
    </row>
    <row r="2302" spans="7:12" x14ac:dyDescent="0.25">
      <c r="G2302" s="136">
        <v>43391</v>
      </c>
      <c r="H2302" t="s">
        <v>28</v>
      </c>
      <c r="I2302" t="s">
        <v>66</v>
      </c>
      <c r="J2302" t="s">
        <v>100</v>
      </c>
      <c r="K2302" s="138">
        <v>1.8</v>
      </c>
      <c r="L2302" s="137">
        <v>0</v>
      </c>
    </row>
    <row r="2303" spans="7:12" x14ac:dyDescent="0.25">
      <c r="G2303" s="136">
        <v>43392</v>
      </c>
      <c r="H2303" t="s">
        <v>27</v>
      </c>
      <c r="I2303" t="s">
        <v>63</v>
      </c>
      <c r="J2303" t="s">
        <v>386</v>
      </c>
      <c r="K2303" s="138">
        <v>8</v>
      </c>
      <c r="L2303" s="137">
        <v>0</v>
      </c>
    </row>
    <row r="2304" spans="7:12" x14ac:dyDescent="0.25">
      <c r="G2304" s="136">
        <v>43392</v>
      </c>
      <c r="H2304" t="s">
        <v>199</v>
      </c>
      <c r="I2304" t="s">
        <v>112</v>
      </c>
      <c r="J2304" t="s">
        <v>386</v>
      </c>
      <c r="K2304" s="138">
        <v>27.55</v>
      </c>
      <c r="L2304" s="137">
        <v>0</v>
      </c>
    </row>
    <row r="2305" spans="7:12" x14ac:dyDescent="0.25">
      <c r="G2305" s="136">
        <v>43392</v>
      </c>
      <c r="H2305" t="s">
        <v>184</v>
      </c>
      <c r="I2305" t="s">
        <v>171</v>
      </c>
      <c r="J2305" t="s">
        <v>386</v>
      </c>
      <c r="K2305" s="138">
        <v>70</v>
      </c>
      <c r="L2305" s="137">
        <v>0</v>
      </c>
    </row>
    <row r="2306" spans="7:12" x14ac:dyDescent="0.25">
      <c r="G2306" s="136">
        <v>43392</v>
      </c>
      <c r="H2306" t="s">
        <v>183</v>
      </c>
      <c r="I2306" t="s">
        <v>42</v>
      </c>
      <c r="J2306" t="s">
        <v>386</v>
      </c>
      <c r="K2306" s="138">
        <v>29.46</v>
      </c>
      <c r="L2306" s="137">
        <v>0</v>
      </c>
    </row>
    <row r="2307" spans="7:12" x14ac:dyDescent="0.25">
      <c r="G2307" s="136">
        <v>43392</v>
      </c>
      <c r="H2307" t="s">
        <v>188</v>
      </c>
      <c r="I2307" t="s">
        <v>42</v>
      </c>
      <c r="J2307" t="s">
        <v>386</v>
      </c>
      <c r="K2307" s="138">
        <v>287</v>
      </c>
      <c r="L2307" s="137">
        <v>0</v>
      </c>
    </row>
    <row r="2308" spans="7:12" x14ac:dyDescent="0.25">
      <c r="G2308" s="136">
        <v>43392</v>
      </c>
      <c r="H2308" t="s">
        <v>25</v>
      </c>
      <c r="I2308" t="s">
        <v>63</v>
      </c>
      <c r="J2308" t="s">
        <v>386</v>
      </c>
      <c r="K2308" s="138">
        <v>32</v>
      </c>
      <c r="L2308" s="137">
        <v>0</v>
      </c>
    </row>
    <row r="2309" spans="7:12" x14ac:dyDescent="0.25">
      <c r="G2309" s="136">
        <v>43392</v>
      </c>
      <c r="H2309" t="s">
        <v>25</v>
      </c>
      <c r="I2309" t="s">
        <v>63</v>
      </c>
      <c r="J2309" t="s">
        <v>386</v>
      </c>
      <c r="K2309" s="138">
        <v>16</v>
      </c>
      <c r="L2309" s="137">
        <v>0</v>
      </c>
    </row>
    <row r="2310" spans="7:12" x14ac:dyDescent="0.25">
      <c r="G2310" s="136">
        <v>43392</v>
      </c>
      <c r="H2310" t="s">
        <v>25</v>
      </c>
      <c r="I2310" t="s">
        <v>63</v>
      </c>
      <c r="J2310" t="s">
        <v>386</v>
      </c>
      <c r="K2310" s="138">
        <v>8</v>
      </c>
      <c r="L2310" s="137">
        <v>0</v>
      </c>
    </row>
    <row r="2311" spans="7:12" x14ac:dyDescent="0.25">
      <c r="G2311" s="136">
        <v>43392</v>
      </c>
      <c r="H2311" t="s">
        <v>197</v>
      </c>
      <c r="I2311" t="s">
        <v>112</v>
      </c>
      <c r="J2311" t="s">
        <v>386</v>
      </c>
      <c r="K2311" s="138">
        <v>54.63</v>
      </c>
      <c r="L2311" s="137">
        <v>0</v>
      </c>
    </row>
    <row r="2312" spans="7:12" x14ac:dyDescent="0.25">
      <c r="G2312" s="136">
        <v>43392</v>
      </c>
      <c r="H2312" t="s">
        <v>197</v>
      </c>
      <c r="I2312" t="s">
        <v>176</v>
      </c>
      <c r="J2312" t="s">
        <v>386</v>
      </c>
      <c r="K2312" s="138">
        <v>667.23</v>
      </c>
      <c r="L2312" s="137">
        <v>0</v>
      </c>
    </row>
    <row r="2313" spans="7:12" x14ac:dyDescent="0.25">
      <c r="G2313" s="136">
        <v>43392</v>
      </c>
      <c r="H2313" t="s">
        <v>180</v>
      </c>
      <c r="I2313" t="s">
        <v>42</v>
      </c>
      <c r="J2313" t="s">
        <v>386</v>
      </c>
      <c r="K2313" s="138">
        <v>10</v>
      </c>
      <c r="L2313" s="137">
        <v>0</v>
      </c>
    </row>
    <row r="2314" spans="7:12" x14ac:dyDescent="0.25">
      <c r="G2314" s="136">
        <v>43392</v>
      </c>
      <c r="H2314" t="s">
        <v>28</v>
      </c>
      <c r="I2314" t="s">
        <v>63</v>
      </c>
      <c r="J2314" t="s">
        <v>386</v>
      </c>
      <c r="K2314" s="138">
        <v>8</v>
      </c>
      <c r="L2314" s="137">
        <v>0</v>
      </c>
    </row>
    <row r="2315" spans="7:12" x14ac:dyDescent="0.25">
      <c r="G2315" s="136">
        <v>43392</v>
      </c>
      <c r="H2315" t="s">
        <v>28</v>
      </c>
      <c r="I2315" t="s">
        <v>155</v>
      </c>
      <c r="J2315" t="s">
        <v>386</v>
      </c>
      <c r="K2315" s="138">
        <v>58.3</v>
      </c>
      <c r="L2315" s="137">
        <v>0</v>
      </c>
    </row>
    <row r="2316" spans="7:12" x14ac:dyDescent="0.25">
      <c r="G2316" s="136">
        <v>43392</v>
      </c>
      <c r="H2316" t="s">
        <v>28</v>
      </c>
      <c r="I2316" t="s">
        <v>155</v>
      </c>
      <c r="J2316" t="s">
        <v>386</v>
      </c>
      <c r="K2316" s="138">
        <v>55.52</v>
      </c>
      <c r="L2316" s="137">
        <v>0</v>
      </c>
    </row>
    <row r="2317" spans="7:12" x14ac:dyDescent="0.25">
      <c r="G2317" s="136">
        <v>43392</v>
      </c>
      <c r="H2317" t="s">
        <v>28</v>
      </c>
      <c r="I2317" t="s">
        <v>155</v>
      </c>
      <c r="J2317" t="s">
        <v>386</v>
      </c>
      <c r="K2317" s="138">
        <v>40.18</v>
      </c>
      <c r="L2317" s="137">
        <v>0</v>
      </c>
    </row>
    <row r="2318" spans="7:12" x14ac:dyDescent="0.25">
      <c r="G2318" s="136">
        <v>43392</v>
      </c>
      <c r="H2318" t="s">
        <v>28</v>
      </c>
      <c r="I2318" t="s">
        <v>66</v>
      </c>
      <c r="J2318" t="s">
        <v>320</v>
      </c>
      <c r="K2318" s="138">
        <v>1.8</v>
      </c>
      <c r="L2318" s="137">
        <v>0</v>
      </c>
    </row>
    <row r="2319" spans="7:12" x14ac:dyDescent="0.25">
      <c r="G2319" s="136">
        <v>43392</v>
      </c>
      <c r="H2319" t="s">
        <v>28</v>
      </c>
      <c r="I2319" t="s">
        <v>66</v>
      </c>
      <c r="J2319" t="s">
        <v>100</v>
      </c>
      <c r="K2319" s="138">
        <v>1.8</v>
      </c>
      <c r="L2319" s="137">
        <v>0</v>
      </c>
    </row>
    <row r="2320" spans="7:12" x14ac:dyDescent="0.25">
      <c r="G2320" s="136">
        <v>43392</v>
      </c>
      <c r="H2320" t="s">
        <v>28</v>
      </c>
      <c r="I2320" t="s">
        <v>66</v>
      </c>
      <c r="J2320" t="s">
        <v>145</v>
      </c>
      <c r="K2320" s="138">
        <v>10.5</v>
      </c>
      <c r="L2320" s="137">
        <v>0</v>
      </c>
    </row>
    <row r="2321" spans="7:12" x14ac:dyDescent="0.25">
      <c r="G2321" s="136">
        <v>43395</v>
      </c>
      <c r="H2321" t="s">
        <v>27</v>
      </c>
      <c r="I2321" t="s">
        <v>63</v>
      </c>
      <c r="J2321" t="s">
        <v>387</v>
      </c>
      <c r="K2321" s="138">
        <v>8</v>
      </c>
      <c r="L2321" s="137">
        <v>0</v>
      </c>
    </row>
    <row r="2322" spans="7:12" x14ac:dyDescent="0.25">
      <c r="G2322" s="136">
        <v>43395</v>
      </c>
      <c r="H2322" t="s">
        <v>199</v>
      </c>
      <c r="I2322" t="s">
        <v>63</v>
      </c>
      <c r="J2322" t="s">
        <v>387</v>
      </c>
      <c r="K2322" s="138">
        <v>22.5</v>
      </c>
      <c r="L2322" s="137">
        <v>0</v>
      </c>
    </row>
    <row r="2323" spans="7:12" x14ac:dyDescent="0.25">
      <c r="G2323" s="136">
        <v>43395</v>
      </c>
      <c r="H2323" t="s">
        <v>195</v>
      </c>
      <c r="I2323" t="s">
        <v>176</v>
      </c>
      <c r="J2323" t="s">
        <v>387</v>
      </c>
      <c r="K2323" s="138">
        <v>0</v>
      </c>
      <c r="L2323" s="137">
        <v>50.47</v>
      </c>
    </row>
    <row r="2324" spans="7:12" x14ac:dyDescent="0.25">
      <c r="G2324" s="136">
        <v>43395</v>
      </c>
      <c r="H2324" t="s">
        <v>183</v>
      </c>
      <c r="I2324" t="s">
        <v>63</v>
      </c>
      <c r="J2324" t="s">
        <v>387</v>
      </c>
      <c r="K2324" s="138">
        <v>10</v>
      </c>
      <c r="L2324" s="137">
        <v>0</v>
      </c>
    </row>
    <row r="2325" spans="7:12" x14ac:dyDescent="0.25">
      <c r="G2325" s="136">
        <v>43395</v>
      </c>
      <c r="H2325" t="s">
        <v>183</v>
      </c>
      <c r="I2325" t="s">
        <v>42</v>
      </c>
      <c r="J2325" t="s">
        <v>387</v>
      </c>
      <c r="K2325" s="138">
        <v>41.6</v>
      </c>
      <c r="L2325" s="137">
        <v>0</v>
      </c>
    </row>
    <row r="2326" spans="7:12" x14ac:dyDescent="0.25">
      <c r="G2326" s="136">
        <v>43395</v>
      </c>
      <c r="H2326" t="s">
        <v>191</v>
      </c>
      <c r="I2326" t="s">
        <v>42</v>
      </c>
      <c r="J2326" t="s">
        <v>387</v>
      </c>
      <c r="K2326" s="138">
        <v>35</v>
      </c>
      <c r="L2326" s="137">
        <v>0</v>
      </c>
    </row>
    <row r="2327" spans="7:12" x14ac:dyDescent="0.25">
      <c r="G2327" s="136">
        <v>43395</v>
      </c>
      <c r="H2327" t="s">
        <v>188</v>
      </c>
      <c r="I2327" t="s">
        <v>63</v>
      </c>
      <c r="J2327" t="s">
        <v>387</v>
      </c>
      <c r="K2327" s="138">
        <v>8</v>
      </c>
      <c r="L2327" s="137">
        <v>0</v>
      </c>
    </row>
    <row r="2328" spans="7:12" x14ac:dyDescent="0.25">
      <c r="G2328" s="136">
        <v>43395</v>
      </c>
      <c r="H2328" t="s">
        <v>188</v>
      </c>
      <c r="I2328" t="s">
        <v>175</v>
      </c>
      <c r="J2328" t="s">
        <v>387</v>
      </c>
      <c r="K2328" s="138">
        <v>500</v>
      </c>
      <c r="L2328" s="137">
        <v>0</v>
      </c>
    </row>
    <row r="2329" spans="7:12" x14ac:dyDescent="0.25">
      <c r="G2329" s="136">
        <v>43395</v>
      </c>
      <c r="H2329" t="s">
        <v>200</v>
      </c>
      <c r="I2329" t="s">
        <v>42</v>
      </c>
      <c r="J2329" t="s">
        <v>387</v>
      </c>
      <c r="K2329" s="138">
        <v>16.440000000000001</v>
      </c>
      <c r="L2329" s="137">
        <v>0</v>
      </c>
    </row>
    <row r="2330" spans="7:12" x14ac:dyDescent="0.25">
      <c r="G2330" s="136">
        <v>43395</v>
      </c>
      <c r="H2330" t="s">
        <v>25</v>
      </c>
      <c r="I2330" t="s">
        <v>63</v>
      </c>
      <c r="J2330" t="s">
        <v>387</v>
      </c>
      <c r="K2330" s="138">
        <v>48</v>
      </c>
      <c r="L2330" s="137">
        <v>0</v>
      </c>
    </row>
    <row r="2331" spans="7:12" x14ac:dyDescent="0.25">
      <c r="G2331" s="136">
        <v>43395</v>
      </c>
      <c r="H2331" t="s">
        <v>25</v>
      </c>
      <c r="I2331" t="s">
        <v>63</v>
      </c>
      <c r="J2331" t="s">
        <v>387</v>
      </c>
      <c r="K2331" s="138">
        <v>24</v>
      </c>
      <c r="L2331" s="137">
        <v>0</v>
      </c>
    </row>
    <row r="2332" spans="7:12" x14ac:dyDescent="0.25">
      <c r="G2332" s="136">
        <v>43395</v>
      </c>
      <c r="H2332" t="s">
        <v>25</v>
      </c>
      <c r="I2332" t="s">
        <v>63</v>
      </c>
      <c r="J2332" t="s">
        <v>387</v>
      </c>
      <c r="K2332" s="138">
        <v>16</v>
      </c>
      <c r="L2332" s="137">
        <v>0</v>
      </c>
    </row>
    <row r="2333" spans="7:12" x14ac:dyDescent="0.25">
      <c r="G2333" s="136">
        <v>43395</v>
      </c>
      <c r="H2333" t="s">
        <v>25</v>
      </c>
      <c r="I2333" t="s">
        <v>63</v>
      </c>
      <c r="J2333" t="s">
        <v>387</v>
      </c>
      <c r="K2333" s="138">
        <v>8</v>
      </c>
      <c r="L2333" s="137">
        <v>0</v>
      </c>
    </row>
    <row r="2334" spans="7:12" x14ac:dyDescent="0.25">
      <c r="G2334" s="136">
        <v>43395</v>
      </c>
      <c r="H2334" t="s">
        <v>181</v>
      </c>
      <c r="I2334" t="s">
        <v>42</v>
      </c>
      <c r="J2334" t="s">
        <v>387</v>
      </c>
      <c r="K2334" s="138">
        <v>81.3</v>
      </c>
      <c r="L2334" s="137">
        <v>0</v>
      </c>
    </row>
    <row r="2335" spans="7:12" x14ac:dyDescent="0.25">
      <c r="G2335" s="136">
        <v>43395</v>
      </c>
      <c r="H2335" t="s">
        <v>28</v>
      </c>
      <c r="I2335" t="s">
        <v>163</v>
      </c>
      <c r="J2335" t="s">
        <v>387</v>
      </c>
      <c r="K2335" s="138">
        <v>19.100000000000001</v>
      </c>
      <c r="L2335" s="137">
        <v>0</v>
      </c>
    </row>
    <row r="2336" spans="7:12" x14ac:dyDescent="0.25">
      <c r="G2336" s="136">
        <v>43395</v>
      </c>
      <c r="H2336" t="s">
        <v>28</v>
      </c>
      <c r="I2336" t="s">
        <v>176</v>
      </c>
      <c r="J2336" t="s">
        <v>387</v>
      </c>
      <c r="K2336" s="138">
        <v>0</v>
      </c>
      <c r="L2336" s="137">
        <v>122.62</v>
      </c>
    </row>
    <row r="2337" spans="7:12" x14ac:dyDescent="0.25">
      <c r="G2337" s="136">
        <v>43395</v>
      </c>
      <c r="H2337" t="s">
        <v>28</v>
      </c>
      <c r="I2337" t="s">
        <v>66</v>
      </c>
      <c r="J2337" t="s">
        <v>101</v>
      </c>
      <c r="K2337" s="138">
        <v>9.1999999999999993</v>
      </c>
      <c r="L2337" s="137">
        <v>0</v>
      </c>
    </row>
    <row r="2338" spans="7:12" x14ac:dyDescent="0.25">
      <c r="G2338" s="136">
        <v>43395</v>
      </c>
      <c r="H2338" t="s">
        <v>28</v>
      </c>
      <c r="I2338" t="s">
        <v>66</v>
      </c>
      <c r="J2338" t="s">
        <v>106</v>
      </c>
      <c r="K2338" s="138">
        <v>2.4</v>
      </c>
      <c r="L2338" s="137">
        <v>0</v>
      </c>
    </row>
    <row r="2339" spans="7:12" x14ac:dyDescent="0.25">
      <c r="G2339" s="136">
        <v>43395</v>
      </c>
      <c r="H2339" t="s">
        <v>28</v>
      </c>
      <c r="I2339" t="s">
        <v>66</v>
      </c>
      <c r="J2339" t="s">
        <v>133</v>
      </c>
      <c r="K2339" s="138">
        <v>5</v>
      </c>
      <c r="L2339" s="137">
        <v>0</v>
      </c>
    </row>
    <row r="2340" spans="7:12" x14ac:dyDescent="0.25">
      <c r="G2340" s="136">
        <v>43395</v>
      </c>
      <c r="H2340" t="s">
        <v>28</v>
      </c>
      <c r="I2340" t="s">
        <v>66</v>
      </c>
      <c r="J2340" t="s">
        <v>276</v>
      </c>
      <c r="K2340" s="138">
        <v>2.4</v>
      </c>
      <c r="L2340" s="137">
        <v>0</v>
      </c>
    </row>
    <row r="2341" spans="7:12" x14ac:dyDescent="0.25">
      <c r="G2341" s="136">
        <v>43395</v>
      </c>
      <c r="H2341" t="s">
        <v>28</v>
      </c>
      <c r="I2341" t="s">
        <v>42</v>
      </c>
      <c r="J2341" t="s">
        <v>387</v>
      </c>
      <c r="K2341" s="138">
        <v>245.24</v>
      </c>
      <c r="L2341" s="137">
        <v>0</v>
      </c>
    </row>
    <row r="2342" spans="7:12" x14ac:dyDescent="0.25">
      <c r="G2342" s="136">
        <v>43396</v>
      </c>
      <c r="H2342" t="s">
        <v>27</v>
      </c>
      <c r="I2342" t="s">
        <v>42</v>
      </c>
      <c r="J2342" t="s">
        <v>388</v>
      </c>
      <c r="K2342" s="138">
        <v>32</v>
      </c>
      <c r="L2342" s="137">
        <v>0</v>
      </c>
    </row>
    <row r="2343" spans="7:12" x14ac:dyDescent="0.25">
      <c r="G2343" s="136">
        <v>43396</v>
      </c>
      <c r="H2343" t="s">
        <v>183</v>
      </c>
      <c r="I2343" t="s">
        <v>42</v>
      </c>
      <c r="J2343" t="s">
        <v>388</v>
      </c>
      <c r="K2343" s="138">
        <v>14.03</v>
      </c>
      <c r="L2343" s="137">
        <v>0</v>
      </c>
    </row>
    <row r="2344" spans="7:12" x14ac:dyDescent="0.25">
      <c r="G2344" s="136">
        <v>43396</v>
      </c>
      <c r="H2344" t="s">
        <v>188</v>
      </c>
      <c r="I2344" t="s">
        <v>63</v>
      </c>
      <c r="J2344" t="s">
        <v>388</v>
      </c>
      <c r="K2344" s="138">
        <v>8</v>
      </c>
      <c r="L2344" s="137">
        <v>0</v>
      </c>
    </row>
    <row r="2345" spans="7:12" x14ac:dyDescent="0.25">
      <c r="G2345" s="136">
        <v>43396</v>
      </c>
      <c r="H2345" t="s">
        <v>188</v>
      </c>
      <c r="I2345" t="s">
        <v>42</v>
      </c>
      <c r="J2345" t="s">
        <v>388</v>
      </c>
      <c r="K2345" s="138">
        <v>32</v>
      </c>
      <c r="L2345" s="137">
        <v>0</v>
      </c>
    </row>
    <row r="2346" spans="7:12" x14ac:dyDescent="0.25">
      <c r="G2346" s="136">
        <v>43396</v>
      </c>
      <c r="H2346" t="s">
        <v>25</v>
      </c>
      <c r="I2346" t="s">
        <v>63</v>
      </c>
      <c r="J2346" t="s">
        <v>388</v>
      </c>
      <c r="K2346" s="138">
        <v>16</v>
      </c>
      <c r="L2346" s="137">
        <v>0</v>
      </c>
    </row>
    <row r="2347" spans="7:12" x14ac:dyDescent="0.25">
      <c r="G2347" s="136">
        <v>43396</v>
      </c>
      <c r="H2347" t="s">
        <v>25</v>
      </c>
      <c r="I2347" t="s">
        <v>42</v>
      </c>
      <c r="J2347" t="s">
        <v>388</v>
      </c>
      <c r="K2347" s="138">
        <v>91</v>
      </c>
      <c r="L2347" s="137">
        <v>0</v>
      </c>
    </row>
    <row r="2348" spans="7:12" x14ac:dyDescent="0.25">
      <c r="G2348" s="136">
        <v>43396</v>
      </c>
      <c r="H2348" t="s">
        <v>28</v>
      </c>
      <c r="I2348" t="s">
        <v>112</v>
      </c>
      <c r="J2348" t="s">
        <v>388</v>
      </c>
      <c r="K2348" s="138">
        <v>58.97</v>
      </c>
      <c r="L2348" s="137">
        <v>0</v>
      </c>
    </row>
    <row r="2349" spans="7:12" x14ac:dyDescent="0.25">
      <c r="G2349" s="136">
        <v>43396</v>
      </c>
      <c r="H2349" t="s">
        <v>28</v>
      </c>
      <c r="I2349" t="s">
        <v>112</v>
      </c>
      <c r="J2349" t="s">
        <v>388</v>
      </c>
      <c r="K2349" s="138">
        <v>45.45</v>
      </c>
      <c r="L2349" s="137">
        <v>0</v>
      </c>
    </row>
    <row r="2350" spans="7:12" x14ac:dyDescent="0.25">
      <c r="G2350" s="136">
        <v>43396</v>
      </c>
      <c r="H2350" t="s">
        <v>28</v>
      </c>
      <c r="I2350" t="s">
        <v>112</v>
      </c>
      <c r="J2350" t="s">
        <v>388</v>
      </c>
      <c r="K2350" s="138">
        <v>27.95</v>
      </c>
      <c r="L2350" s="137">
        <v>0</v>
      </c>
    </row>
    <row r="2351" spans="7:12" x14ac:dyDescent="0.25">
      <c r="G2351" s="136">
        <v>43396</v>
      </c>
      <c r="H2351" t="s">
        <v>28</v>
      </c>
      <c r="I2351" t="s">
        <v>155</v>
      </c>
      <c r="J2351" t="s">
        <v>388</v>
      </c>
      <c r="K2351" s="138">
        <v>91.81</v>
      </c>
      <c r="L2351" s="137">
        <v>0</v>
      </c>
    </row>
    <row r="2352" spans="7:12" x14ac:dyDescent="0.25">
      <c r="G2352" s="136">
        <v>43396</v>
      </c>
      <c r="H2352" t="s">
        <v>28</v>
      </c>
      <c r="I2352" t="s">
        <v>155</v>
      </c>
      <c r="J2352" t="s">
        <v>388</v>
      </c>
      <c r="K2352" s="138">
        <v>72.569999999999993</v>
      </c>
      <c r="L2352" s="137">
        <v>0</v>
      </c>
    </row>
    <row r="2353" spans="7:12" x14ac:dyDescent="0.25">
      <c r="G2353" s="136">
        <v>43396</v>
      </c>
      <c r="H2353" t="s">
        <v>28</v>
      </c>
      <c r="I2353" t="s">
        <v>155</v>
      </c>
      <c r="J2353" t="s">
        <v>388</v>
      </c>
      <c r="K2353" s="138">
        <v>35.92</v>
      </c>
      <c r="L2353" s="137">
        <v>0</v>
      </c>
    </row>
    <row r="2354" spans="7:12" x14ac:dyDescent="0.25">
      <c r="G2354" s="136">
        <v>43396</v>
      </c>
      <c r="H2354" t="s">
        <v>28</v>
      </c>
      <c r="I2354" t="s">
        <v>155</v>
      </c>
      <c r="J2354" t="s">
        <v>388</v>
      </c>
      <c r="K2354" s="138">
        <v>30.8</v>
      </c>
      <c r="L2354" s="137">
        <v>0</v>
      </c>
    </row>
    <row r="2355" spans="7:12" x14ac:dyDescent="0.25">
      <c r="G2355" s="136">
        <v>43396</v>
      </c>
      <c r="H2355" t="s">
        <v>28</v>
      </c>
      <c r="I2355" t="s">
        <v>155</v>
      </c>
      <c r="J2355" t="s">
        <v>388</v>
      </c>
      <c r="K2355" s="138">
        <v>28</v>
      </c>
      <c r="L2355" s="137">
        <v>0</v>
      </c>
    </row>
    <row r="2356" spans="7:12" x14ac:dyDescent="0.25">
      <c r="G2356" s="136">
        <v>43396</v>
      </c>
      <c r="H2356" t="s">
        <v>28</v>
      </c>
      <c r="I2356" t="s">
        <v>155</v>
      </c>
      <c r="J2356" t="s">
        <v>388</v>
      </c>
      <c r="K2356" s="138">
        <v>22.49</v>
      </c>
      <c r="L2356" s="137">
        <v>0</v>
      </c>
    </row>
    <row r="2357" spans="7:12" x14ac:dyDescent="0.25">
      <c r="G2357" s="136">
        <v>43396</v>
      </c>
      <c r="H2357" t="s">
        <v>28</v>
      </c>
      <c r="I2357" t="s">
        <v>66</v>
      </c>
      <c r="J2357" t="s">
        <v>390</v>
      </c>
      <c r="K2357" s="138">
        <v>2.7</v>
      </c>
      <c r="L2357" s="137">
        <v>0</v>
      </c>
    </row>
    <row r="2358" spans="7:12" x14ac:dyDescent="0.25">
      <c r="G2358" s="136">
        <v>43396</v>
      </c>
      <c r="H2358" t="s">
        <v>28</v>
      </c>
      <c r="I2358" t="s">
        <v>66</v>
      </c>
      <c r="J2358" t="s">
        <v>139</v>
      </c>
      <c r="K2358" s="138">
        <v>18</v>
      </c>
      <c r="L2358" s="137">
        <v>0</v>
      </c>
    </row>
    <row r="2359" spans="7:12" x14ac:dyDescent="0.25">
      <c r="G2359" s="136">
        <v>43396</v>
      </c>
      <c r="H2359" t="s">
        <v>28</v>
      </c>
      <c r="I2359" t="s">
        <v>66</v>
      </c>
      <c r="J2359" t="s">
        <v>389</v>
      </c>
      <c r="K2359" s="138">
        <v>9.1999999999999993</v>
      </c>
      <c r="L2359" s="137">
        <v>0</v>
      </c>
    </row>
    <row r="2360" spans="7:12" x14ac:dyDescent="0.25">
      <c r="G2360" s="136">
        <v>43397</v>
      </c>
      <c r="H2360" t="s">
        <v>27</v>
      </c>
      <c r="I2360" t="s">
        <v>63</v>
      </c>
      <c r="J2360" t="s">
        <v>391</v>
      </c>
      <c r="K2360" s="138">
        <v>8</v>
      </c>
      <c r="L2360" s="137">
        <v>0</v>
      </c>
    </row>
    <row r="2361" spans="7:12" x14ac:dyDescent="0.25">
      <c r="G2361" s="136">
        <v>43397</v>
      </c>
      <c r="H2361" t="s">
        <v>27</v>
      </c>
      <c r="I2361" t="s">
        <v>42</v>
      </c>
      <c r="J2361" t="s">
        <v>391</v>
      </c>
      <c r="K2361" s="138">
        <v>10.8</v>
      </c>
      <c r="L2361" s="137">
        <v>0</v>
      </c>
    </row>
    <row r="2362" spans="7:12" x14ac:dyDescent="0.25">
      <c r="G2362" s="136">
        <v>43397</v>
      </c>
      <c r="H2362" t="s">
        <v>199</v>
      </c>
      <c r="I2362" t="s">
        <v>178</v>
      </c>
      <c r="J2362" t="s">
        <v>391</v>
      </c>
      <c r="K2362" s="138">
        <v>1254.5</v>
      </c>
      <c r="L2362" s="137">
        <v>0</v>
      </c>
    </row>
    <row r="2363" spans="7:12" x14ac:dyDescent="0.25">
      <c r="G2363" s="136">
        <v>43397</v>
      </c>
      <c r="H2363" t="s">
        <v>183</v>
      </c>
      <c r="I2363" t="s">
        <v>42</v>
      </c>
      <c r="J2363" t="s">
        <v>391</v>
      </c>
      <c r="K2363" s="138">
        <v>49</v>
      </c>
      <c r="L2363" s="137">
        <v>0</v>
      </c>
    </row>
    <row r="2364" spans="7:12" x14ac:dyDescent="0.25">
      <c r="G2364" s="136">
        <v>43397</v>
      </c>
      <c r="H2364" t="s">
        <v>190</v>
      </c>
      <c r="I2364" t="s">
        <v>63</v>
      </c>
      <c r="J2364" t="s">
        <v>391</v>
      </c>
      <c r="K2364" s="138">
        <v>10</v>
      </c>
      <c r="L2364" s="137">
        <v>0</v>
      </c>
    </row>
    <row r="2365" spans="7:12" x14ac:dyDescent="0.25">
      <c r="G2365" s="136">
        <v>43397</v>
      </c>
      <c r="H2365" t="s">
        <v>188</v>
      </c>
      <c r="I2365" t="s">
        <v>63</v>
      </c>
      <c r="J2365" t="s">
        <v>391</v>
      </c>
      <c r="K2365" s="138">
        <v>16</v>
      </c>
      <c r="L2365" s="137">
        <v>0</v>
      </c>
    </row>
    <row r="2366" spans="7:12" x14ac:dyDescent="0.25">
      <c r="G2366" s="136">
        <v>43397</v>
      </c>
      <c r="H2366" t="s">
        <v>205</v>
      </c>
      <c r="I2366" t="s">
        <v>63</v>
      </c>
      <c r="J2366" t="s">
        <v>391</v>
      </c>
      <c r="K2366" s="138">
        <v>25.28</v>
      </c>
      <c r="L2366" s="137">
        <v>0</v>
      </c>
    </row>
    <row r="2367" spans="7:12" x14ac:dyDescent="0.25">
      <c r="G2367" s="136">
        <v>43397</v>
      </c>
      <c r="H2367" t="s">
        <v>25</v>
      </c>
      <c r="I2367" t="s">
        <v>63</v>
      </c>
      <c r="J2367" t="s">
        <v>391</v>
      </c>
      <c r="K2367" s="138">
        <v>32</v>
      </c>
      <c r="L2367" s="137">
        <v>0</v>
      </c>
    </row>
    <row r="2368" spans="7:12" x14ac:dyDescent="0.25">
      <c r="G2368" s="136">
        <v>43397</v>
      </c>
      <c r="H2368" t="s">
        <v>25</v>
      </c>
      <c r="I2368" t="s">
        <v>63</v>
      </c>
      <c r="J2368" t="s">
        <v>391</v>
      </c>
      <c r="K2368" s="138">
        <v>16</v>
      </c>
      <c r="L2368" s="137">
        <v>0</v>
      </c>
    </row>
    <row r="2369" spans="7:12" x14ac:dyDescent="0.25">
      <c r="G2369" s="136">
        <v>43397</v>
      </c>
      <c r="H2369" t="s">
        <v>25</v>
      </c>
      <c r="I2369" t="s">
        <v>63</v>
      </c>
      <c r="J2369" t="s">
        <v>391</v>
      </c>
      <c r="K2369" s="138">
        <v>8</v>
      </c>
      <c r="L2369" s="137">
        <v>0</v>
      </c>
    </row>
    <row r="2370" spans="7:12" x14ac:dyDescent="0.25">
      <c r="G2370" s="136">
        <v>43397</v>
      </c>
      <c r="H2370" t="s">
        <v>180</v>
      </c>
      <c r="I2370" t="s">
        <v>163</v>
      </c>
      <c r="J2370" t="s">
        <v>391</v>
      </c>
      <c r="K2370" s="138">
        <v>25.95</v>
      </c>
      <c r="L2370" s="137">
        <v>0</v>
      </c>
    </row>
    <row r="2371" spans="7:12" x14ac:dyDescent="0.25">
      <c r="G2371" s="136">
        <v>43397</v>
      </c>
      <c r="H2371" t="s">
        <v>180</v>
      </c>
      <c r="I2371" t="s">
        <v>42</v>
      </c>
      <c r="J2371" t="s">
        <v>391</v>
      </c>
      <c r="K2371" s="138">
        <v>17</v>
      </c>
      <c r="L2371" s="137">
        <v>0</v>
      </c>
    </row>
    <row r="2372" spans="7:12" x14ac:dyDescent="0.25">
      <c r="G2372" s="136">
        <v>43397</v>
      </c>
      <c r="H2372" t="s">
        <v>179</v>
      </c>
      <c r="I2372" t="s">
        <v>63</v>
      </c>
      <c r="J2372" t="s">
        <v>391</v>
      </c>
      <c r="K2372" s="138">
        <v>312.82</v>
      </c>
      <c r="L2372" s="137">
        <v>0</v>
      </c>
    </row>
    <row r="2373" spans="7:12" x14ac:dyDescent="0.25">
      <c r="G2373" s="136">
        <v>43397</v>
      </c>
      <c r="H2373" t="s">
        <v>179</v>
      </c>
      <c r="I2373" t="s">
        <v>163</v>
      </c>
      <c r="J2373" t="s">
        <v>391</v>
      </c>
      <c r="K2373" s="138">
        <v>25</v>
      </c>
      <c r="L2373" s="137">
        <v>0</v>
      </c>
    </row>
    <row r="2374" spans="7:12" x14ac:dyDescent="0.25">
      <c r="G2374" s="136">
        <v>43397</v>
      </c>
      <c r="H2374" t="s">
        <v>28</v>
      </c>
      <c r="I2374" t="s">
        <v>112</v>
      </c>
      <c r="J2374" t="s">
        <v>391</v>
      </c>
      <c r="K2374" s="138">
        <v>14.65</v>
      </c>
      <c r="L2374" s="137">
        <v>0</v>
      </c>
    </row>
    <row r="2375" spans="7:12" x14ac:dyDescent="0.25">
      <c r="G2375" s="136">
        <v>43397</v>
      </c>
      <c r="H2375" t="s">
        <v>28</v>
      </c>
      <c r="I2375" t="s">
        <v>155</v>
      </c>
      <c r="J2375" t="s">
        <v>391</v>
      </c>
      <c r="K2375" s="138">
        <v>47.09</v>
      </c>
      <c r="L2375" s="137">
        <v>0</v>
      </c>
    </row>
    <row r="2376" spans="7:12" x14ac:dyDescent="0.25">
      <c r="G2376" s="136">
        <v>43397</v>
      </c>
      <c r="H2376" t="s">
        <v>28</v>
      </c>
      <c r="I2376" t="s">
        <v>66</v>
      </c>
      <c r="J2376" t="s">
        <v>141</v>
      </c>
      <c r="K2376" s="138">
        <v>6.3</v>
      </c>
      <c r="L2376" s="137">
        <v>0</v>
      </c>
    </row>
    <row r="2377" spans="7:12" x14ac:dyDescent="0.25">
      <c r="G2377" s="136">
        <v>43398</v>
      </c>
      <c r="H2377" t="s">
        <v>192</v>
      </c>
      <c r="I2377" t="s">
        <v>229</v>
      </c>
      <c r="J2377" t="s">
        <v>392</v>
      </c>
      <c r="K2377" s="138">
        <v>97</v>
      </c>
      <c r="L2377" s="137">
        <v>0</v>
      </c>
    </row>
    <row r="2378" spans="7:12" x14ac:dyDescent="0.25">
      <c r="G2378" s="136">
        <v>43398</v>
      </c>
      <c r="H2378" t="s">
        <v>27</v>
      </c>
      <c r="I2378" t="s">
        <v>229</v>
      </c>
      <c r="J2378" t="s">
        <v>392</v>
      </c>
      <c r="K2378" s="138">
        <v>131.9</v>
      </c>
      <c r="L2378" s="137">
        <v>0</v>
      </c>
    </row>
    <row r="2379" spans="7:12" x14ac:dyDescent="0.25">
      <c r="G2379" s="136">
        <v>43398</v>
      </c>
      <c r="H2379" t="s">
        <v>27</v>
      </c>
      <c r="I2379" t="s">
        <v>229</v>
      </c>
      <c r="J2379" t="s">
        <v>392</v>
      </c>
      <c r="K2379" s="138">
        <v>83.96</v>
      </c>
      <c r="L2379" s="137">
        <v>0</v>
      </c>
    </row>
    <row r="2380" spans="7:12" x14ac:dyDescent="0.25">
      <c r="G2380" s="136">
        <v>43398</v>
      </c>
      <c r="H2380" t="s">
        <v>27</v>
      </c>
      <c r="I2380" t="s">
        <v>229</v>
      </c>
      <c r="J2380" t="s">
        <v>392</v>
      </c>
      <c r="K2380" s="138">
        <v>53.28</v>
      </c>
      <c r="L2380" s="137">
        <v>0</v>
      </c>
    </row>
    <row r="2381" spans="7:12" x14ac:dyDescent="0.25">
      <c r="G2381" s="136">
        <v>43398</v>
      </c>
      <c r="H2381" t="s">
        <v>27</v>
      </c>
      <c r="I2381" t="s">
        <v>229</v>
      </c>
      <c r="J2381" t="s">
        <v>392</v>
      </c>
      <c r="K2381" s="138">
        <v>50.95</v>
      </c>
      <c r="L2381" s="137">
        <v>0</v>
      </c>
    </row>
    <row r="2382" spans="7:12" x14ac:dyDescent="0.25">
      <c r="G2382" s="136">
        <v>43398</v>
      </c>
      <c r="H2382" t="s">
        <v>27</v>
      </c>
      <c r="I2382" t="s">
        <v>229</v>
      </c>
      <c r="J2382" t="s">
        <v>392</v>
      </c>
      <c r="K2382" s="138">
        <v>41.23</v>
      </c>
      <c r="L2382" s="137">
        <v>0</v>
      </c>
    </row>
    <row r="2383" spans="7:12" x14ac:dyDescent="0.25">
      <c r="G2383" s="136">
        <v>43398</v>
      </c>
      <c r="H2383" t="s">
        <v>27</v>
      </c>
      <c r="I2383" t="s">
        <v>229</v>
      </c>
      <c r="J2383" t="s">
        <v>392</v>
      </c>
      <c r="K2383" s="138">
        <v>36.14</v>
      </c>
      <c r="L2383" s="137">
        <v>0</v>
      </c>
    </row>
    <row r="2384" spans="7:12" x14ac:dyDescent="0.25">
      <c r="G2384" s="136">
        <v>43398</v>
      </c>
      <c r="H2384" t="s">
        <v>27</v>
      </c>
      <c r="I2384" t="s">
        <v>229</v>
      </c>
      <c r="J2384" t="s">
        <v>392</v>
      </c>
      <c r="K2384" s="138">
        <v>33.96</v>
      </c>
      <c r="L2384" s="137">
        <v>0</v>
      </c>
    </row>
    <row r="2385" spans="7:12" x14ac:dyDescent="0.25">
      <c r="G2385" s="136">
        <v>43398</v>
      </c>
      <c r="H2385" t="s">
        <v>27</v>
      </c>
      <c r="I2385" t="s">
        <v>229</v>
      </c>
      <c r="J2385" t="s">
        <v>392</v>
      </c>
      <c r="K2385" s="138">
        <v>30.67</v>
      </c>
      <c r="L2385" s="137">
        <v>0</v>
      </c>
    </row>
    <row r="2386" spans="7:12" x14ac:dyDescent="0.25">
      <c r="G2386" s="136">
        <v>43398</v>
      </c>
      <c r="H2386" t="s">
        <v>27</v>
      </c>
      <c r="I2386" t="s">
        <v>229</v>
      </c>
      <c r="J2386" t="s">
        <v>392</v>
      </c>
      <c r="K2386" s="138">
        <v>25.68</v>
      </c>
      <c r="L2386" s="137">
        <v>0</v>
      </c>
    </row>
    <row r="2387" spans="7:12" x14ac:dyDescent="0.25">
      <c r="G2387" s="136">
        <v>43398</v>
      </c>
      <c r="H2387" t="s">
        <v>27</v>
      </c>
      <c r="I2387" t="s">
        <v>229</v>
      </c>
      <c r="J2387" t="s">
        <v>392</v>
      </c>
      <c r="K2387" s="138">
        <v>21.29</v>
      </c>
      <c r="L2387" s="137">
        <v>0</v>
      </c>
    </row>
    <row r="2388" spans="7:12" x14ac:dyDescent="0.25">
      <c r="G2388" s="136">
        <v>43398</v>
      </c>
      <c r="H2388" t="s">
        <v>27</v>
      </c>
      <c r="I2388" t="s">
        <v>229</v>
      </c>
      <c r="J2388" t="s">
        <v>392</v>
      </c>
      <c r="K2388" s="138">
        <v>14.42</v>
      </c>
      <c r="L2388" s="137">
        <v>0</v>
      </c>
    </row>
    <row r="2389" spans="7:12" x14ac:dyDescent="0.25">
      <c r="G2389" s="136">
        <v>43398</v>
      </c>
      <c r="H2389" t="s">
        <v>27</v>
      </c>
      <c r="I2389" t="s">
        <v>229</v>
      </c>
      <c r="J2389" t="s">
        <v>392</v>
      </c>
      <c r="K2389" s="138">
        <v>7.95</v>
      </c>
      <c r="L2389" s="137">
        <v>0</v>
      </c>
    </row>
    <row r="2390" spans="7:12" x14ac:dyDescent="0.25">
      <c r="G2390" s="136">
        <v>43398</v>
      </c>
      <c r="H2390" t="s">
        <v>27</v>
      </c>
      <c r="I2390" t="s">
        <v>229</v>
      </c>
      <c r="J2390" t="s">
        <v>392</v>
      </c>
      <c r="K2390" s="138">
        <v>4.2</v>
      </c>
      <c r="L2390" s="137">
        <v>0</v>
      </c>
    </row>
    <row r="2391" spans="7:12" x14ac:dyDescent="0.25">
      <c r="G2391" s="136">
        <v>43398</v>
      </c>
      <c r="H2391" t="s">
        <v>195</v>
      </c>
      <c r="I2391" t="s">
        <v>229</v>
      </c>
      <c r="J2391" t="s">
        <v>392</v>
      </c>
      <c r="K2391" s="138">
        <v>144.66999999999999</v>
      </c>
      <c r="L2391" s="137">
        <v>0</v>
      </c>
    </row>
    <row r="2392" spans="7:12" x14ac:dyDescent="0.25">
      <c r="G2392" s="136">
        <v>43398</v>
      </c>
      <c r="H2392" t="s">
        <v>183</v>
      </c>
      <c r="I2392" t="s">
        <v>229</v>
      </c>
      <c r="J2392" t="s">
        <v>392</v>
      </c>
      <c r="K2392" s="138">
        <v>2912.65</v>
      </c>
      <c r="L2392" s="137">
        <v>0</v>
      </c>
    </row>
    <row r="2393" spans="7:12" x14ac:dyDescent="0.25">
      <c r="G2393" s="136">
        <v>43398</v>
      </c>
      <c r="H2393" t="s">
        <v>193</v>
      </c>
      <c r="I2393" t="s">
        <v>229</v>
      </c>
      <c r="J2393" t="s">
        <v>392</v>
      </c>
      <c r="K2393" s="138">
        <v>35.32</v>
      </c>
      <c r="L2393" s="137">
        <v>0</v>
      </c>
    </row>
    <row r="2394" spans="7:12" x14ac:dyDescent="0.25">
      <c r="G2394" s="136">
        <v>43398</v>
      </c>
      <c r="H2394" t="s">
        <v>188</v>
      </c>
      <c r="I2394" t="s">
        <v>229</v>
      </c>
      <c r="J2394" t="s">
        <v>392</v>
      </c>
      <c r="K2394" s="138">
        <v>117.52</v>
      </c>
      <c r="L2394" s="137">
        <v>0</v>
      </c>
    </row>
    <row r="2395" spans="7:12" x14ac:dyDescent="0.25">
      <c r="G2395" s="136">
        <v>43398</v>
      </c>
      <c r="H2395" t="s">
        <v>25</v>
      </c>
      <c r="I2395" t="s">
        <v>229</v>
      </c>
      <c r="J2395" t="s">
        <v>392</v>
      </c>
      <c r="K2395" s="138">
        <v>665.7</v>
      </c>
      <c r="L2395" s="137">
        <v>0</v>
      </c>
    </row>
    <row r="2396" spans="7:12" x14ac:dyDescent="0.25">
      <c r="G2396" s="136">
        <v>43398</v>
      </c>
      <c r="H2396" t="s">
        <v>25</v>
      </c>
      <c r="I2396" t="s">
        <v>229</v>
      </c>
      <c r="J2396" t="s">
        <v>392</v>
      </c>
      <c r="K2396" s="138">
        <v>581.75</v>
      </c>
      <c r="L2396" s="137">
        <v>0</v>
      </c>
    </row>
    <row r="2397" spans="7:12" x14ac:dyDescent="0.25">
      <c r="G2397" s="136">
        <v>43398</v>
      </c>
      <c r="H2397" t="s">
        <v>25</v>
      </c>
      <c r="I2397" t="s">
        <v>229</v>
      </c>
      <c r="J2397" t="s">
        <v>392</v>
      </c>
      <c r="K2397" s="138">
        <v>578.47</v>
      </c>
      <c r="L2397" s="137">
        <v>0</v>
      </c>
    </row>
    <row r="2398" spans="7:12" x14ac:dyDescent="0.25">
      <c r="G2398" s="136">
        <v>43398</v>
      </c>
      <c r="H2398" t="s">
        <v>25</v>
      </c>
      <c r="I2398" t="s">
        <v>229</v>
      </c>
      <c r="J2398" t="s">
        <v>392</v>
      </c>
      <c r="K2398" s="138">
        <v>512.05999999999995</v>
      </c>
      <c r="L2398" s="137">
        <v>0</v>
      </c>
    </row>
    <row r="2399" spans="7:12" x14ac:dyDescent="0.25">
      <c r="G2399" s="136">
        <v>43398</v>
      </c>
      <c r="H2399" t="s">
        <v>25</v>
      </c>
      <c r="I2399" t="s">
        <v>229</v>
      </c>
      <c r="J2399" t="s">
        <v>392</v>
      </c>
      <c r="K2399" s="138">
        <v>466.63</v>
      </c>
      <c r="L2399" s="137">
        <v>0</v>
      </c>
    </row>
    <row r="2400" spans="7:12" x14ac:dyDescent="0.25">
      <c r="G2400" s="136">
        <v>43398</v>
      </c>
      <c r="H2400" t="s">
        <v>25</v>
      </c>
      <c r="I2400" t="s">
        <v>229</v>
      </c>
      <c r="J2400" t="s">
        <v>392</v>
      </c>
      <c r="K2400" s="138">
        <v>434.25</v>
      </c>
      <c r="L2400" s="137">
        <v>0</v>
      </c>
    </row>
    <row r="2401" spans="7:12" x14ac:dyDescent="0.25">
      <c r="G2401" s="136">
        <v>43398</v>
      </c>
      <c r="H2401" t="s">
        <v>25</v>
      </c>
      <c r="I2401" t="s">
        <v>229</v>
      </c>
      <c r="J2401" t="s">
        <v>392</v>
      </c>
      <c r="K2401" s="138">
        <v>422.93</v>
      </c>
      <c r="L2401" s="137">
        <v>0</v>
      </c>
    </row>
    <row r="2402" spans="7:12" x14ac:dyDescent="0.25">
      <c r="G2402" s="136">
        <v>43398</v>
      </c>
      <c r="H2402" t="s">
        <v>25</v>
      </c>
      <c r="I2402" t="s">
        <v>229</v>
      </c>
      <c r="J2402" t="s">
        <v>392</v>
      </c>
      <c r="K2402" s="138">
        <v>421.31</v>
      </c>
      <c r="L2402" s="137">
        <v>0</v>
      </c>
    </row>
    <row r="2403" spans="7:12" x14ac:dyDescent="0.25">
      <c r="G2403" s="136">
        <v>43398</v>
      </c>
      <c r="H2403" t="s">
        <v>25</v>
      </c>
      <c r="I2403" t="s">
        <v>229</v>
      </c>
      <c r="J2403" t="s">
        <v>392</v>
      </c>
      <c r="K2403" s="138">
        <v>389.72</v>
      </c>
      <c r="L2403" s="137">
        <v>0</v>
      </c>
    </row>
    <row r="2404" spans="7:12" x14ac:dyDescent="0.25">
      <c r="G2404" s="136">
        <v>43398</v>
      </c>
      <c r="H2404" t="s">
        <v>25</v>
      </c>
      <c r="I2404" t="s">
        <v>229</v>
      </c>
      <c r="J2404" t="s">
        <v>392</v>
      </c>
      <c r="K2404" s="138">
        <v>359.5</v>
      </c>
      <c r="L2404" s="137">
        <v>0</v>
      </c>
    </row>
    <row r="2405" spans="7:12" x14ac:dyDescent="0.25">
      <c r="G2405" s="136">
        <v>43398</v>
      </c>
      <c r="H2405" t="s">
        <v>25</v>
      </c>
      <c r="I2405" t="s">
        <v>229</v>
      </c>
      <c r="J2405" t="s">
        <v>392</v>
      </c>
      <c r="K2405" s="138">
        <v>332.9</v>
      </c>
      <c r="L2405" s="137">
        <v>0</v>
      </c>
    </row>
    <row r="2406" spans="7:12" x14ac:dyDescent="0.25">
      <c r="G2406" s="136">
        <v>43398</v>
      </c>
      <c r="H2406" t="s">
        <v>25</v>
      </c>
      <c r="I2406" t="s">
        <v>229</v>
      </c>
      <c r="J2406" t="s">
        <v>392</v>
      </c>
      <c r="K2406" s="138">
        <v>277.51</v>
      </c>
      <c r="L2406" s="137">
        <v>0</v>
      </c>
    </row>
    <row r="2407" spans="7:12" x14ac:dyDescent="0.25">
      <c r="G2407" s="136">
        <v>43398</v>
      </c>
      <c r="H2407" t="s">
        <v>25</v>
      </c>
      <c r="I2407" t="s">
        <v>229</v>
      </c>
      <c r="J2407" t="s">
        <v>392</v>
      </c>
      <c r="K2407" s="138">
        <v>261.58999999999997</v>
      </c>
      <c r="L2407" s="137">
        <v>0</v>
      </c>
    </row>
    <row r="2408" spans="7:12" x14ac:dyDescent="0.25">
      <c r="G2408" s="136">
        <v>43398</v>
      </c>
      <c r="H2408" t="s">
        <v>25</v>
      </c>
      <c r="I2408" t="s">
        <v>229</v>
      </c>
      <c r="J2408" t="s">
        <v>392</v>
      </c>
      <c r="K2408" s="138">
        <v>247.59</v>
      </c>
      <c r="L2408" s="137">
        <v>0</v>
      </c>
    </row>
    <row r="2409" spans="7:12" x14ac:dyDescent="0.25">
      <c r="G2409" s="136">
        <v>43398</v>
      </c>
      <c r="H2409" t="s">
        <v>25</v>
      </c>
      <c r="I2409" t="s">
        <v>229</v>
      </c>
      <c r="J2409" t="s">
        <v>392</v>
      </c>
      <c r="K2409" s="138">
        <v>221.42</v>
      </c>
      <c r="L2409" s="137">
        <v>0</v>
      </c>
    </row>
    <row r="2410" spans="7:12" x14ac:dyDescent="0.25">
      <c r="G2410" s="136">
        <v>43398</v>
      </c>
      <c r="H2410" t="s">
        <v>25</v>
      </c>
      <c r="I2410" t="s">
        <v>229</v>
      </c>
      <c r="J2410" t="s">
        <v>392</v>
      </c>
      <c r="K2410" s="138">
        <v>214.05</v>
      </c>
      <c r="L2410" s="137">
        <v>0</v>
      </c>
    </row>
    <row r="2411" spans="7:12" x14ac:dyDescent="0.25">
      <c r="G2411" s="136">
        <v>43398</v>
      </c>
      <c r="H2411" t="s">
        <v>25</v>
      </c>
      <c r="I2411" t="s">
        <v>229</v>
      </c>
      <c r="J2411" t="s">
        <v>392</v>
      </c>
      <c r="K2411" s="138">
        <v>203.3</v>
      </c>
      <c r="L2411" s="137">
        <v>0</v>
      </c>
    </row>
    <row r="2412" spans="7:12" x14ac:dyDescent="0.25">
      <c r="G2412" s="136">
        <v>43398</v>
      </c>
      <c r="H2412" t="s">
        <v>25</v>
      </c>
      <c r="I2412" t="s">
        <v>229</v>
      </c>
      <c r="J2412" t="s">
        <v>392</v>
      </c>
      <c r="K2412" s="138">
        <v>191.55</v>
      </c>
      <c r="L2412" s="137">
        <v>0</v>
      </c>
    </row>
    <row r="2413" spans="7:12" x14ac:dyDescent="0.25">
      <c r="G2413" s="136">
        <v>43398</v>
      </c>
      <c r="H2413" t="s">
        <v>25</v>
      </c>
      <c r="I2413" t="s">
        <v>229</v>
      </c>
      <c r="J2413" t="s">
        <v>392</v>
      </c>
      <c r="K2413" s="138">
        <v>148.88999999999999</v>
      </c>
      <c r="L2413" s="137">
        <v>0</v>
      </c>
    </row>
    <row r="2414" spans="7:12" x14ac:dyDescent="0.25">
      <c r="G2414" s="136">
        <v>43398</v>
      </c>
      <c r="H2414" t="s">
        <v>25</v>
      </c>
      <c r="I2414" t="s">
        <v>229</v>
      </c>
      <c r="J2414" t="s">
        <v>392</v>
      </c>
      <c r="K2414" s="138">
        <v>133.29</v>
      </c>
      <c r="L2414" s="137">
        <v>0</v>
      </c>
    </row>
    <row r="2415" spans="7:12" x14ac:dyDescent="0.25">
      <c r="G2415" s="136">
        <v>43398</v>
      </c>
      <c r="H2415" t="s">
        <v>25</v>
      </c>
      <c r="I2415" t="s">
        <v>229</v>
      </c>
      <c r="J2415" t="s">
        <v>392</v>
      </c>
      <c r="K2415" s="138">
        <v>133.07</v>
      </c>
      <c r="L2415" s="137">
        <v>0</v>
      </c>
    </row>
    <row r="2416" spans="7:12" x14ac:dyDescent="0.25">
      <c r="G2416" s="136">
        <v>43398</v>
      </c>
      <c r="H2416" t="s">
        <v>25</v>
      </c>
      <c r="I2416" t="s">
        <v>229</v>
      </c>
      <c r="J2416" t="s">
        <v>392</v>
      </c>
      <c r="K2416" s="138">
        <v>118.76</v>
      </c>
      <c r="L2416" s="137">
        <v>0</v>
      </c>
    </row>
    <row r="2417" spans="7:12" x14ac:dyDescent="0.25">
      <c r="G2417" s="136">
        <v>43398</v>
      </c>
      <c r="H2417" t="s">
        <v>25</v>
      </c>
      <c r="I2417" t="s">
        <v>229</v>
      </c>
      <c r="J2417" t="s">
        <v>392</v>
      </c>
      <c r="K2417" s="138">
        <v>69.010000000000005</v>
      </c>
      <c r="L2417" s="137">
        <v>0</v>
      </c>
    </row>
    <row r="2418" spans="7:12" x14ac:dyDescent="0.25">
      <c r="G2418" s="136">
        <v>43398</v>
      </c>
      <c r="H2418" t="s">
        <v>25</v>
      </c>
      <c r="I2418" t="s">
        <v>229</v>
      </c>
      <c r="J2418" t="s">
        <v>392</v>
      </c>
      <c r="K2418" s="138">
        <v>52.52</v>
      </c>
      <c r="L2418" s="137">
        <v>0</v>
      </c>
    </row>
    <row r="2419" spans="7:12" x14ac:dyDescent="0.25">
      <c r="G2419" s="136">
        <v>43398</v>
      </c>
      <c r="H2419" t="s">
        <v>25</v>
      </c>
      <c r="I2419" t="s">
        <v>229</v>
      </c>
      <c r="J2419" t="s">
        <v>392</v>
      </c>
      <c r="K2419" s="138">
        <v>52.32</v>
      </c>
      <c r="L2419" s="137">
        <v>0</v>
      </c>
    </row>
    <row r="2420" spans="7:12" x14ac:dyDescent="0.25">
      <c r="G2420" s="136">
        <v>43398</v>
      </c>
      <c r="H2420" t="s">
        <v>25</v>
      </c>
      <c r="I2420" t="s">
        <v>229</v>
      </c>
      <c r="J2420" t="s">
        <v>392</v>
      </c>
      <c r="K2420" s="138">
        <v>41.72</v>
      </c>
      <c r="L2420" s="137">
        <v>0</v>
      </c>
    </row>
    <row r="2421" spans="7:12" x14ac:dyDescent="0.25">
      <c r="G2421" s="136">
        <v>43398</v>
      </c>
      <c r="H2421" t="s">
        <v>25</v>
      </c>
      <c r="I2421" t="s">
        <v>229</v>
      </c>
      <c r="J2421" t="s">
        <v>392</v>
      </c>
      <c r="K2421" s="138">
        <v>39.68</v>
      </c>
      <c r="L2421" s="137">
        <v>0</v>
      </c>
    </row>
    <row r="2422" spans="7:12" x14ac:dyDescent="0.25">
      <c r="G2422" s="136">
        <v>43398</v>
      </c>
      <c r="H2422" t="s">
        <v>25</v>
      </c>
      <c r="I2422" t="s">
        <v>229</v>
      </c>
      <c r="J2422" t="s">
        <v>392</v>
      </c>
      <c r="K2422" s="138">
        <v>39.130000000000003</v>
      </c>
      <c r="L2422" s="137">
        <v>0</v>
      </c>
    </row>
    <row r="2423" spans="7:12" x14ac:dyDescent="0.25">
      <c r="G2423" s="136">
        <v>43398</v>
      </c>
      <c r="H2423" t="s">
        <v>25</v>
      </c>
      <c r="I2423" t="s">
        <v>229</v>
      </c>
      <c r="J2423" t="s">
        <v>392</v>
      </c>
      <c r="K2423" s="138">
        <v>38.090000000000003</v>
      </c>
      <c r="L2423" s="137">
        <v>0</v>
      </c>
    </row>
    <row r="2424" spans="7:12" x14ac:dyDescent="0.25">
      <c r="G2424" s="136">
        <v>43398</v>
      </c>
      <c r="H2424" t="s">
        <v>25</v>
      </c>
      <c r="I2424" t="s">
        <v>229</v>
      </c>
      <c r="J2424" t="s">
        <v>392</v>
      </c>
      <c r="K2424" s="138">
        <v>29.39</v>
      </c>
      <c r="L2424" s="137">
        <v>0</v>
      </c>
    </row>
    <row r="2425" spans="7:12" x14ac:dyDescent="0.25">
      <c r="G2425" s="136">
        <v>43398</v>
      </c>
      <c r="H2425" t="s">
        <v>180</v>
      </c>
      <c r="I2425" t="s">
        <v>229</v>
      </c>
      <c r="J2425" t="s">
        <v>392</v>
      </c>
      <c r="K2425" s="138">
        <v>16.79</v>
      </c>
      <c r="L2425" s="137">
        <v>0</v>
      </c>
    </row>
    <row r="2426" spans="7:12" x14ac:dyDescent="0.25">
      <c r="G2426" s="136">
        <v>43398</v>
      </c>
      <c r="H2426" t="s">
        <v>179</v>
      </c>
      <c r="I2426" t="s">
        <v>229</v>
      </c>
      <c r="J2426" t="s">
        <v>392</v>
      </c>
      <c r="K2426" s="138">
        <v>858.47</v>
      </c>
      <c r="L2426" s="137">
        <v>0</v>
      </c>
    </row>
    <row r="2427" spans="7:12" x14ac:dyDescent="0.25">
      <c r="G2427" s="136">
        <v>43398</v>
      </c>
      <c r="H2427" t="s">
        <v>28</v>
      </c>
      <c r="I2427" t="s">
        <v>66</v>
      </c>
      <c r="J2427" t="s">
        <v>139</v>
      </c>
      <c r="K2427" s="138">
        <v>18</v>
      </c>
      <c r="L2427" s="137">
        <v>0</v>
      </c>
    </row>
    <row r="2428" spans="7:12" x14ac:dyDescent="0.25">
      <c r="G2428" s="136">
        <v>43398</v>
      </c>
      <c r="H2428" t="s">
        <v>28</v>
      </c>
      <c r="I2428" t="s">
        <v>66</v>
      </c>
      <c r="J2428" t="s">
        <v>129</v>
      </c>
      <c r="K2428" s="138">
        <v>5.5</v>
      </c>
      <c r="L2428" s="137">
        <v>0</v>
      </c>
    </row>
    <row r="2429" spans="7:12" x14ac:dyDescent="0.25">
      <c r="G2429" s="136">
        <v>43398</v>
      </c>
      <c r="H2429" t="s">
        <v>28</v>
      </c>
      <c r="I2429" t="s">
        <v>66</v>
      </c>
      <c r="J2429" t="s">
        <v>116</v>
      </c>
      <c r="K2429" s="138">
        <v>7.35</v>
      </c>
      <c r="L2429" s="137">
        <v>0</v>
      </c>
    </row>
    <row r="2430" spans="7:12" x14ac:dyDescent="0.25">
      <c r="G2430" s="136">
        <v>43398</v>
      </c>
      <c r="H2430" t="s">
        <v>28</v>
      </c>
      <c r="I2430" t="s">
        <v>229</v>
      </c>
      <c r="J2430" t="s">
        <v>392</v>
      </c>
      <c r="K2430" s="138">
        <v>71.12</v>
      </c>
      <c r="L2430" s="137">
        <v>0</v>
      </c>
    </row>
    <row r="2431" spans="7:12" x14ac:dyDescent="0.25">
      <c r="G2431" s="136">
        <v>43398</v>
      </c>
      <c r="H2431" t="s">
        <v>28</v>
      </c>
      <c r="I2431" t="s">
        <v>229</v>
      </c>
      <c r="J2431" t="s">
        <v>392</v>
      </c>
      <c r="K2431" s="138">
        <v>67.930000000000007</v>
      </c>
      <c r="L2431" s="137">
        <v>0</v>
      </c>
    </row>
    <row r="2432" spans="7:12" x14ac:dyDescent="0.25">
      <c r="G2432" s="136">
        <v>43398</v>
      </c>
      <c r="H2432" t="s">
        <v>28</v>
      </c>
      <c r="I2432" t="s">
        <v>229</v>
      </c>
      <c r="J2432" t="s">
        <v>392</v>
      </c>
      <c r="K2432" s="138">
        <v>66.27</v>
      </c>
      <c r="L2432" s="137">
        <v>0</v>
      </c>
    </row>
    <row r="2433" spans="7:12" x14ac:dyDescent="0.25">
      <c r="G2433" s="136">
        <v>43398</v>
      </c>
      <c r="H2433" t="s">
        <v>28</v>
      </c>
      <c r="I2433" t="s">
        <v>229</v>
      </c>
      <c r="J2433" t="s">
        <v>392</v>
      </c>
      <c r="K2433" s="138">
        <v>56.68</v>
      </c>
      <c r="L2433" s="137">
        <v>0</v>
      </c>
    </row>
    <row r="2434" spans="7:12" x14ac:dyDescent="0.25">
      <c r="G2434" s="136">
        <v>43398</v>
      </c>
      <c r="H2434" t="s">
        <v>28</v>
      </c>
      <c r="I2434" t="s">
        <v>229</v>
      </c>
      <c r="J2434" t="s">
        <v>392</v>
      </c>
      <c r="K2434" s="138">
        <v>53.39</v>
      </c>
      <c r="L2434" s="137">
        <v>0</v>
      </c>
    </row>
    <row r="2435" spans="7:12" x14ac:dyDescent="0.25">
      <c r="G2435" s="136">
        <v>43398</v>
      </c>
      <c r="H2435" t="s">
        <v>28</v>
      </c>
      <c r="I2435" t="s">
        <v>229</v>
      </c>
      <c r="J2435" t="s">
        <v>392</v>
      </c>
      <c r="K2435" s="138">
        <v>49.33</v>
      </c>
      <c r="L2435" s="137">
        <v>0</v>
      </c>
    </row>
    <row r="2436" spans="7:12" x14ac:dyDescent="0.25">
      <c r="G2436" s="136">
        <v>43398</v>
      </c>
      <c r="H2436" t="s">
        <v>28</v>
      </c>
      <c r="I2436" t="s">
        <v>229</v>
      </c>
      <c r="J2436" t="s">
        <v>392</v>
      </c>
      <c r="K2436" s="138">
        <v>43.44</v>
      </c>
      <c r="L2436" s="137">
        <v>0</v>
      </c>
    </row>
    <row r="2437" spans="7:12" x14ac:dyDescent="0.25">
      <c r="G2437" s="136">
        <v>43398</v>
      </c>
      <c r="H2437" t="s">
        <v>28</v>
      </c>
      <c r="I2437" t="s">
        <v>229</v>
      </c>
      <c r="J2437" t="s">
        <v>392</v>
      </c>
      <c r="K2437" s="138">
        <v>41.65</v>
      </c>
      <c r="L2437" s="137">
        <v>0</v>
      </c>
    </row>
    <row r="2438" spans="7:12" x14ac:dyDescent="0.25">
      <c r="G2438" s="136">
        <v>43398</v>
      </c>
      <c r="H2438" t="s">
        <v>28</v>
      </c>
      <c r="I2438" t="s">
        <v>229</v>
      </c>
      <c r="J2438" t="s">
        <v>392</v>
      </c>
      <c r="K2438" s="138">
        <v>39.19</v>
      </c>
      <c r="L2438" s="137">
        <v>0</v>
      </c>
    </row>
    <row r="2439" spans="7:12" x14ac:dyDescent="0.25">
      <c r="G2439" s="136">
        <v>43398</v>
      </c>
      <c r="H2439" t="s">
        <v>28</v>
      </c>
      <c r="I2439" t="s">
        <v>229</v>
      </c>
      <c r="J2439" t="s">
        <v>392</v>
      </c>
      <c r="K2439" s="138">
        <v>21.44</v>
      </c>
      <c r="L2439" s="137">
        <v>0</v>
      </c>
    </row>
    <row r="2440" spans="7:12" x14ac:dyDescent="0.25">
      <c r="G2440" s="136">
        <v>43398</v>
      </c>
      <c r="H2440" t="s">
        <v>28</v>
      </c>
      <c r="I2440" t="s">
        <v>229</v>
      </c>
      <c r="J2440" t="s">
        <v>392</v>
      </c>
      <c r="K2440" s="138">
        <v>20.13</v>
      </c>
      <c r="L2440" s="137">
        <v>0</v>
      </c>
    </row>
    <row r="2441" spans="7:12" x14ac:dyDescent="0.25">
      <c r="G2441" s="136">
        <v>43399</v>
      </c>
      <c r="H2441" t="s">
        <v>27</v>
      </c>
      <c r="I2441" t="s">
        <v>63</v>
      </c>
      <c r="J2441" t="s">
        <v>393</v>
      </c>
      <c r="K2441" s="138">
        <v>24</v>
      </c>
      <c r="L2441" s="137">
        <v>0</v>
      </c>
    </row>
    <row r="2442" spans="7:12" x14ac:dyDescent="0.25">
      <c r="G2442" s="136">
        <v>43399</v>
      </c>
      <c r="H2442" t="s">
        <v>27</v>
      </c>
      <c r="I2442" t="s">
        <v>63</v>
      </c>
      <c r="J2442" t="s">
        <v>393</v>
      </c>
      <c r="K2442" s="138">
        <v>8</v>
      </c>
      <c r="L2442" s="137">
        <v>0</v>
      </c>
    </row>
    <row r="2443" spans="7:12" x14ac:dyDescent="0.25">
      <c r="G2443" s="136">
        <v>43399</v>
      </c>
      <c r="H2443" t="s">
        <v>184</v>
      </c>
      <c r="I2443" t="s">
        <v>171</v>
      </c>
      <c r="J2443" t="s">
        <v>393</v>
      </c>
      <c r="K2443" s="138">
        <v>70</v>
      </c>
      <c r="L2443" s="137">
        <v>0</v>
      </c>
    </row>
    <row r="2444" spans="7:12" x14ac:dyDescent="0.25">
      <c r="G2444" s="136">
        <v>43399</v>
      </c>
      <c r="H2444" t="s">
        <v>183</v>
      </c>
      <c r="I2444" t="s">
        <v>63</v>
      </c>
      <c r="J2444" t="s">
        <v>393</v>
      </c>
      <c r="K2444" s="138">
        <v>10</v>
      </c>
      <c r="L2444" s="137">
        <v>0</v>
      </c>
    </row>
    <row r="2445" spans="7:12" x14ac:dyDescent="0.25">
      <c r="G2445" s="136">
        <v>43399</v>
      </c>
      <c r="H2445" t="s">
        <v>191</v>
      </c>
      <c r="I2445" t="s">
        <v>176</v>
      </c>
      <c r="J2445" t="s">
        <v>393</v>
      </c>
      <c r="K2445" s="138">
        <v>0</v>
      </c>
      <c r="L2445" s="137">
        <v>700.28</v>
      </c>
    </row>
    <row r="2446" spans="7:12" x14ac:dyDescent="0.25">
      <c r="G2446" s="136">
        <v>43399</v>
      </c>
      <c r="H2446" t="s">
        <v>191</v>
      </c>
      <c r="I2446" t="s">
        <v>42</v>
      </c>
      <c r="J2446" t="s">
        <v>393</v>
      </c>
      <c r="K2446" s="138">
        <v>57.55</v>
      </c>
      <c r="L2446" s="137">
        <v>0</v>
      </c>
    </row>
    <row r="2447" spans="7:12" x14ac:dyDescent="0.25">
      <c r="G2447" s="136">
        <v>43399</v>
      </c>
      <c r="H2447" t="s">
        <v>188</v>
      </c>
      <c r="I2447" t="s">
        <v>63</v>
      </c>
      <c r="J2447" t="s">
        <v>393</v>
      </c>
      <c r="K2447" s="138">
        <v>16</v>
      </c>
      <c r="L2447" s="137">
        <v>0</v>
      </c>
    </row>
    <row r="2448" spans="7:12" x14ac:dyDescent="0.25">
      <c r="G2448" s="136">
        <v>43399</v>
      </c>
      <c r="H2448" t="s">
        <v>200</v>
      </c>
      <c r="I2448" t="s">
        <v>63</v>
      </c>
      <c r="J2448" t="s">
        <v>393</v>
      </c>
      <c r="K2448" s="138">
        <v>13.7</v>
      </c>
      <c r="L2448" s="137">
        <v>0</v>
      </c>
    </row>
    <row r="2449" spans="7:12" x14ac:dyDescent="0.25">
      <c r="G2449" s="136">
        <v>43399</v>
      </c>
      <c r="H2449" t="s">
        <v>25</v>
      </c>
      <c r="I2449" t="s">
        <v>63</v>
      </c>
      <c r="J2449" t="s">
        <v>393</v>
      </c>
      <c r="K2449" s="138">
        <v>24</v>
      </c>
      <c r="L2449" s="137">
        <v>0</v>
      </c>
    </row>
    <row r="2450" spans="7:12" x14ac:dyDescent="0.25">
      <c r="G2450" s="136">
        <v>43399</v>
      </c>
      <c r="H2450" t="s">
        <v>25</v>
      </c>
      <c r="I2450" t="s">
        <v>63</v>
      </c>
      <c r="J2450" t="s">
        <v>393</v>
      </c>
      <c r="K2450" s="138">
        <v>16</v>
      </c>
      <c r="L2450" s="137">
        <v>0</v>
      </c>
    </row>
    <row r="2451" spans="7:12" x14ac:dyDescent="0.25">
      <c r="G2451" s="136">
        <v>43399</v>
      </c>
      <c r="H2451" t="s">
        <v>25</v>
      </c>
      <c r="I2451" t="s">
        <v>63</v>
      </c>
      <c r="J2451" t="s">
        <v>393</v>
      </c>
      <c r="K2451" s="138">
        <v>8</v>
      </c>
      <c r="L2451" s="137">
        <v>0</v>
      </c>
    </row>
    <row r="2452" spans="7:12" x14ac:dyDescent="0.25">
      <c r="G2452" s="136">
        <v>43399</v>
      </c>
      <c r="H2452" t="s">
        <v>181</v>
      </c>
      <c r="I2452" t="s">
        <v>42</v>
      </c>
      <c r="J2452" t="s">
        <v>393</v>
      </c>
      <c r="K2452" s="138">
        <v>110.95</v>
      </c>
      <c r="L2452" s="137">
        <v>0</v>
      </c>
    </row>
    <row r="2453" spans="7:12" x14ac:dyDescent="0.25">
      <c r="G2453" s="136">
        <v>43399</v>
      </c>
      <c r="H2453" t="s">
        <v>187</v>
      </c>
      <c r="I2453" t="s">
        <v>42</v>
      </c>
      <c r="J2453" t="s">
        <v>393</v>
      </c>
      <c r="K2453" s="138">
        <v>43</v>
      </c>
      <c r="L2453" s="137">
        <v>0</v>
      </c>
    </row>
    <row r="2454" spans="7:12" x14ac:dyDescent="0.25">
      <c r="G2454" s="136">
        <v>43399</v>
      </c>
      <c r="H2454" t="s">
        <v>196</v>
      </c>
      <c r="I2454" t="s">
        <v>42</v>
      </c>
      <c r="J2454" t="s">
        <v>393</v>
      </c>
      <c r="K2454" s="138">
        <v>410.32</v>
      </c>
      <c r="L2454" s="137">
        <v>0</v>
      </c>
    </row>
    <row r="2455" spans="7:12" x14ac:dyDescent="0.25">
      <c r="G2455" s="136">
        <v>43399</v>
      </c>
      <c r="H2455" t="s">
        <v>180</v>
      </c>
      <c r="I2455" t="s">
        <v>63</v>
      </c>
      <c r="J2455" t="s">
        <v>393</v>
      </c>
      <c r="K2455" s="138">
        <v>10</v>
      </c>
      <c r="L2455" s="137">
        <v>0</v>
      </c>
    </row>
    <row r="2456" spans="7:12" x14ac:dyDescent="0.25">
      <c r="G2456" s="136">
        <v>43399</v>
      </c>
      <c r="H2456" t="s">
        <v>180</v>
      </c>
      <c r="I2456" t="s">
        <v>42</v>
      </c>
      <c r="J2456" t="s">
        <v>393</v>
      </c>
      <c r="K2456" s="138">
        <v>24.6</v>
      </c>
      <c r="L2456" s="137">
        <v>0</v>
      </c>
    </row>
    <row r="2457" spans="7:12" x14ac:dyDescent="0.25">
      <c r="G2457" s="136">
        <v>43399</v>
      </c>
      <c r="H2457" t="s">
        <v>28</v>
      </c>
      <c r="I2457" t="s">
        <v>42</v>
      </c>
      <c r="J2457" t="s">
        <v>393</v>
      </c>
      <c r="K2457" s="138">
        <v>47</v>
      </c>
      <c r="L2457" s="137">
        <v>0</v>
      </c>
    </row>
    <row r="2458" spans="7:12" x14ac:dyDescent="0.25">
      <c r="G2458" s="136">
        <v>43399</v>
      </c>
      <c r="H2458" t="s">
        <v>28</v>
      </c>
      <c r="I2458" t="s">
        <v>42</v>
      </c>
      <c r="J2458" t="s">
        <v>393</v>
      </c>
      <c r="K2458" s="138">
        <v>27.84</v>
      </c>
      <c r="L2458" s="137">
        <v>0</v>
      </c>
    </row>
    <row r="2459" spans="7:12" x14ac:dyDescent="0.25">
      <c r="G2459" s="136">
        <v>43400</v>
      </c>
      <c r="H2459" t="s">
        <v>27</v>
      </c>
      <c r="I2459" t="s">
        <v>63</v>
      </c>
      <c r="J2459" t="s">
        <v>394</v>
      </c>
      <c r="K2459" s="138">
        <v>8</v>
      </c>
      <c r="L2459" s="137">
        <v>0</v>
      </c>
    </row>
    <row r="2460" spans="7:12" x14ac:dyDescent="0.25">
      <c r="G2460" s="136">
        <v>43400</v>
      </c>
      <c r="H2460" t="s">
        <v>188</v>
      </c>
      <c r="I2460" t="s">
        <v>63</v>
      </c>
      <c r="J2460" t="s">
        <v>394</v>
      </c>
      <c r="K2460" s="138">
        <v>496.11</v>
      </c>
      <c r="L2460" s="137">
        <v>0</v>
      </c>
    </row>
    <row r="2461" spans="7:12" x14ac:dyDescent="0.25">
      <c r="G2461" s="136">
        <v>43400</v>
      </c>
      <c r="H2461" t="s">
        <v>188</v>
      </c>
      <c r="I2461" t="s">
        <v>175</v>
      </c>
      <c r="J2461" t="s">
        <v>394</v>
      </c>
      <c r="K2461" s="138">
        <v>46100</v>
      </c>
      <c r="L2461" s="137">
        <v>0</v>
      </c>
    </row>
    <row r="2462" spans="7:12" x14ac:dyDescent="0.25">
      <c r="G2462" s="136">
        <v>43400</v>
      </c>
      <c r="H2462" t="s">
        <v>188</v>
      </c>
      <c r="I2462" t="s">
        <v>42</v>
      </c>
      <c r="J2462" t="s">
        <v>394</v>
      </c>
      <c r="K2462" s="138">
        <v>141</v>
      </c>
      <c r="L2462" s="137">
        <v>0</v>
      </c>
    </row>
    <row r="2463" spans="7:12" x14ac:dyDescent="0.25">
      <c r="G2463" s="136">
        <v>43400</v>
      </c>
      <c r="H2463" t="s">
        <v>200</v>
      </c>
      <c r="I2463" t="s">
        <v>42</v>
      </c>
      <c r="J2463" t="s">
        <v>394</v>
      </c>
      <c r="K2463" s="138">
        <v>32</v>
      </c>
      <c r="L2463" s="137">
        <v>0</v>
      </c>
    </row>
    <row r="2464" spans="7:12" x14ac:dyDescent="0.25">
      <c r="G2464" s="136">
        <v>43400</v>
      </c>
      <c r="H2464" t="s">
        <v>25</v>
      </c>
      <c r="I2464" t="s">
        <v>63</v>
      </c>
      <c r="J2464" t="s">
        <v>394</v>
      </c>
      <c r="K2464" s="138">
        <v>16</v>
      </c>
      <c r="L2464" s="137">
        <v>0</v>
      </c>
    </row>
    <row r="2465" spans="7:12" x14ac:dyDescent="0.25">
      <c r="G2465" s="136">
        <v>43400</v>
      </c>
      <c r="H2465" t="s">
        <v>25</v>
      </c>
      <c r="I2465" t="s">
        <v>63</v>
      </c>
      <c r="J2465" t="s">
        <v>394</v>
      </c>
      <c r="K2465" s="138">
        <v>8</v>
      </c>
      <c r="L2465" s="137">
        <v>0</v>
      </c>
    </row>
    <row r="2466" spans="7:12" x14ac:dyDescent="0.25">
      <c r="G2466" s="136">
        <v>43400</v>
      </c>
      <c r="H2466" t="s">
        <v>28</v>
      </c>
      <c r="I2466" t="s">
        <v>63</v>
      </c>
      <c r="J2466" t="s">
        <v>394</v>
      </c>
      <c r="K2466" s="138">
        <v>8</v>
      </c>
      <c r="L2466" s="137">
        <v>0</v>
      </c>
    </row>
    <row r="2467" spans="7:12" x14ac:dyDescent="0.25">
      <c r="G2467" s="136">
        <v>43400</v>
      </c>
      <c r="H2467" t="s">
        <v>28</v>
      </c>
      <c r="I2467" t="s">
        <v>66</v>
      </c>
      <c r="J2467" t="s">
        <v>143</v>
      </c>
      <c r="K2467" s="138">
        <v>7</v>
      </c>
      <c r="L2467" s="137">
        <v>0</v>
      </c>
    </row>
    <row r="2468" spans="7:12" x14ac:dyDescent="0.25">
      <c r="G2468" s="136">
        <v>43402</v>
      </c>
      <c r="H2468" t="s">
        <v>27</v>
      </c>
      <c r="I2468" t="s">
        <v>63</v>
      </c>
      <c r="J2468" t="s">
        <v>395</v>
      </c>
      <c r="K2468" s="138">
        <v>8</v>
      </c>
      <c r="L2468" s="137">
        <v>0</v>
      </c>
    </row>
    <row r="2469" spans="7:12" x14ac:dyDescent="0.25">
      <c r="G2469" s="136">
        <v>43402</v>
      </c>
      <c r="H2469" t="s">
        <v>199</v>
      </c>
      <c r="I2469" t="s">
        <v>42</v>
      </c>
      <c r="J2469" t="s">
        <v>395</v>
      </c>
      <c r="K2469" s="138">
        <v>70</v>
      </c>
      <c r="L2469" s="137">
        <v>0</v>
      </c>
    </row>
    <row r="2470" spans="7:12" x14ac:dyDescent="0.25">
      <c r="G2470" s="136">
        <v>43402</v>
      </c>
      <c r="H2470" t="s">
        <v>188</v>
      </c>
      <c r="I2470" t="s">
        <v>63</v>
      </c>
      <c r="J2470" t="s">
        <v>395</v>
      </c>
      <c r="K2470" s="138">
        <v>48</v>
      </c>
      <c r="L2470" s="137">
        <v>0</v>
      </c>
    </row>
    <row r="2471" spans="7:12" x14ac:dyDescent="0.25">
      <c r="G2471" s="136">
        <v>43402</v>
      </c>
      <c r="H2471" t="s">
        <v>25</v>
      </c>
      <c r="I2471" t="s">
        <v>63</v>
      </c>
      <c r="J2471" t="s">
        <v>395</v>
      </c>
      <c r="K2471" s="138">
        <v>24</v>
      </c>
      <c r="L2471" s="137">
        <v>0</v>
      </c>
    </row>
    <row r="2472" spans="7:12" x14ac:dyDescent="0.25">
      <c r="G2472" s="136">
        <v>43402</v>
      </c>
      <c r="H2472" t="s">
        <v>25</v>
      </c>
      <c r="I2472" t="s">
        <v>63</v>
      </c>
      <c r="J2472" t="s">
        <v>395</v>
      </c>
      <c r="K2472" s="138">
        <v>8</v>
      </c>
      <c r="L2472" s="137">
        <v>0</v>
      </c>
    </row>
    <row r="2473" spans="7:12" x14ac:dyDescent="0.25">
      <c r="G2473" s="136">
        <v>43402</v>
      </c>
      <c r="H2473" t="s">
        <v>187</v>
      </c>
      <c r="I2473" t="s">
        <v>42</v>
      </c>
      <c r="J2473" t="s">
        <v>395</v>
      </c>
      <c r="K2473" s="138">
        <v>120</v>
      </c>
      <c r="L2473" s="137">
        <v>0</v>
      </c>
    </row>
    <row r="2474" spans="7:12" x14ac:dyDescent="0.25">
      <c r="G2474" s="136">
        <v>43403</v>
      </c>
      <c r="H2474" t="s">
        <v>28</v>
      </c>
      <c r="I2474" t="s">
        <v>66</v>
      </c>
      <c r="J2474" t="s">
        <v>134</v>
      </c>
      <c r="K2474" s="138">
        <v>10.5</v>
      </c>
      <c r="L2474" s="137">
        <v>0</v>
      </c>
    </row>
    <row r="2475" spans="7:12" x14ac:dyDescent="0.25">
      <c r="G2475" s="136">
        <v>43403</v>
      </c>
      <c r="H2475" t="s">
        <v>28</v>
      </c>
      <c r="I2475" t="s">
        <v>66</v>
      </c>
      <c r="J2475" t="s">
        <v>142</v>
      </c>
      <c r="K2475" s="138">
        <v>22</v>
      </c>
      <c r="L2475" s="137">
        <v>0</v>
      </c>
    </row>
    <row r="2476" spans="7:12" x14ac:dyDescent="0.25">
      <c r="G2476" s="136">
        <v>43403</v>
      </c>
      <c r="H2476" t="s">
        <v>28</v>
      </c>
      <c r="I2476" t="s">
        <v>66</v>
      </c>
      <c r="J2476" t="s">
        <v>276</v>
      </c>
      <c r="K2476" s="138">
        <v>2.4</v>
      </c>
      <c r="L2476" s="137">
        <v>0</v>
      </c>
    </row>
    <row r="2477" spans="7:12" x14ac:dyDescent="0.25">
      <c r="G2477" s="136">
        <v>43403</v>
      </c>
      <c r="H2477" t="s">
        <v>28</v>
      </c>
      <c r="I2477" t="s">
        <v>66</v>
      </c>
      <c r="J2477" t="s">
        <v>145</v>
      </c>
      <c r="K2477" s="138">
        <v>10.5</v>
      </c>
      <c r="L2477" s="137">
        <v>0</v>
      </c>
    </row>
    <row r="2478" spans="7:12" x14ac:dyDescent="0.25">
      <c r="G2478" s="136">
        <v>43404</v>
      </c>
      <c r="H2478" t="s">
        <v>28</v>
      </c>
      <c r="I2478" t="s">
        <v>66</v>
      </c>
      <c r="J2478" t="s">
        <v>276</v>
      </c>
      <c r="K2478" s="138">
        <v>6.75</v>
      </c>
      <c r="L2478" s="137">
        <v>0</v>
      </c>
    </row>
    <row r="2479" spans="7:12" x14ac:dyDescent="0.25">
      <c r="G2479" s="136">
        <v>43405</v>
      </c>
      <c r="H2479" t="s">
        <v>195</v>
      </c>
      <c r="I2479" t="s">
        <v>163</v>
      </c>
      <c r="J2479" t="s">
        <v>396</v>
      </c>
      <c r="K2479" s="138">
        <v>232.73</v>
      </c>
      <c r="L2479" s="137">
        <v>0</v>
      </c>
    </row>
    <row r="2480" spans="7:12" x14ac:dyDescent="0.25">
      <c r="G2480" s="136">
        <v>43405</v>
      </c>
      <c r="H2480" t="s">
        <v>195</v>
      </c>
      <c r="I2480" t="s">
        <v>42</v>
      </c>
      <c r="J2480" t="s">
        <v>396</v>
      </c>
      <c r="K2480" s="138">
        <v>25.3</v>
      </c>
      <c r="L2480" s="137">
        <v>0</v>
      </c>
    </row>
    <row r="2481" spans="7:12" x14ac:dyDescent="0.25">
      <c r="G2481" s="136">
        <v>43405</v>
      </c>
      <c r="H2481" t="s">
        <v>183</v>
      </c>
      <c r="I2481" t="s">
        <v>163</v>
      </c>
      <c r="J2481" t="s">
        <v>396</v>
      </c>
      <c r="K2481" s="138">
        <v>64</v>
      </c>
      <c r="L2481" s="137">
        <v>0</v>
      </c>
    </row>
    <row r="2482" spans="7:12" x14ac:dyDescent="0.25">
      <c r="G2482" s="136">
        <v>43405</v>
      </c>
      <c r="H2482" t="s">
        <v>183</v>
      </c>
      <c r="I2482" t="s">
        <v>42</v>
      </c>
      <c r="J2482" t="s">
        <v>396</v>
      </c>
      <c r="K2482" s="138">
        <v>186.89</v>
      </c>
      <c r="L2482" s="137">
        <v>0</v>
      </c>
    </row>
    <row r="2483" spans="7:12" x14ac:dyDescent="0.25">
      <c r="G2483" s="136">
        <v>43405</v>
      </c>
      <c r="H2483" t="s">
        <v>188</v>
      </c>
      <c r="I2483" t="s">
        <v>42</v>
      </c>
      <c r="J2483" t="s">
        <v>396</v>
      </c>
      <c r="K2483" s="138">
        <v>170.6</v>
      </c>
      <c r="L2483" s="137">
        <v>0</v>
      </c>
    </row>
    <row r="2484" spans="7:12" x14ac:dyDescent="0.25">
      <c r="G2484" s="136">
        <v>43405</v>
      </c>
      <c r="H2484" t="s">
        <v>25</v>
      </c>
      <c r="I2484" t="s">
        <v>63</v>
      </c>
      <c r="J2484" t="s">
        <v>396</v>
      </c>
      <c r="K2484" s="138">
        <v>24</v>
      </c>
      <c r="L2484" s="137">
        <v>0</v>
      </c>
    </row>
    <row r="2485" spans="7:12" x14ac:dyDescent="0.25">
      <c r="G2485" s="136">
        <v>43405</v>
      </c>
      <c r="H2485" t="s">
        <v>25</v>
      </c>
      <c r="I2485" t="s">
        <v>63</v>
      </c>
      <c r="J2485" t="s">
        <v>396</v>
      </c>
      <c r="K2485" s="138">
        <v>8</v>
      </c>
      <c r="L2485" s="137">
        <v>0</v>
      </c>
    </row>
    <row r="2486" spans="7:12" x14ac:dyDescent="0.25">
      <c r="G2486" s="136">
        <v>43405</v>
      </c>
      <c r="H2486" t="s">
        <v>25</v>
      </c>
      <c r="I2486" t="s">
        <v>42</v>
      </c>
      <c r="J2486" t="s">
        <v>396</v>
      </c>
      <c r="K2486" s="138">
        <v>180</v>
      </c>
      <c r="L2486" s="137">
        <v>0</v>
      </c>
    </row>
    <row r="2487" spans="7:12" x14ac:dyDescent="0.25">
      <c r="G2487" s="136">
        <v>43405</v>
      </c>
      <c r="H2487" t="s">
        <v>25</v>
      </c>
      <c r="I2487" t="s">
        <v>42</v>
      </c>
      <c r="J2487" t="s">
        <v>396</v>
      </c>
      <c r="K2487" s="138">
        <v>90</v>
      </c>
      <c r="L2487" s="137">
        <v>0</v>
      </c>
    </row>
    <row r="2488" spans="7:12" x14ac:dyDescent="0.25">
      <c r="G2488" s="136">
        <v>43405</v>
      </c>
      <c r="H2488" t="s">
        <v>201</v>
      </c>
      <c r="I2488" t="s">
        <v>42</v>
      </c>
      <c r="J2488" t="s">
        <v>396</v>
      </c>
      <c r="K2488" s="138">
        <v>20</v>
      </c>
      <c r="L2488" s="137">
        <v>0</v>
      </c>
    </row>
    <row r="2489" spans="7:12" x14ac:dyDescent="0.25">
      <c r="G2489" s="136">
        <v>43405</v>
      </c>
      <c r="H2489" t="s">
        <v>181</v>
      </c>
      <c r="I2489" t="s">
        <v>42</v>
      </c>
      <c r="J2489" t="s">
        <v>396</v>
      </c>
      <c r="K2489" s="138">
        <v>98.86</v>
      </c>
      <c r="L2489" s="137">
        <v>0</v>
      </c>
    </row>
    <row r="2490" spans="7:12" x14ac:dyDescent="0.25">
      <c r="G2490" s="136">
        <v>43405</v>
      </c>
      <c r="H2490" t="s">
        <v>197</v>
      </c>
      <c r="I2490" t="s">
        <v>42</v>
      </c>
      <c r="J2490" t="s">
        <v>396</v>
      </c>
      <c r="K2490" s="138">
        <v>264</v>
      </c>
      <c r="L2490" s="137">
        <v>0</v>
      </c>
    </row>
    <row r="2491" spans="7:12" x14ac:dyDescent="0.25">
      <c r="G2491" s="136">
        <v>43405</v>
      </c>
      <c r="H2491" t="s">
        <v>196</v>
      </c>
      <c r="I2491" t="s">
        <v>42</v>
      </c>
      <c r="J2491" t="s">
        <v>396</v>
      </c>
      <c r="K2491" s="138">
        <v>211.02</v>
      </c>
      <c r="L2491" s="137">
        <v>0</v>
      </c>
    </row>
    <row r="2492" spans="7:12" x14ac:dyDescent="0.25">
      <c r="G2492" s="136">
        <v>43405</v>
      </c>
      <c r="H2492" t="s">
        <v>180</v>
      </c>
      <c r="I2492" t="s">
        <v>63</v>
      </c>
      <c r="J2492" t="s">
        <v>396</v>
      </c>
      <c r="K2492" s="138">
        <v>116.49</v>
      </c>
      <c r="L2492" s="137">
        <v>0</v>
      </c>
    </row>
    <row r="2493" spans="7:12" x14ac:dyDescent="0.25">
      <c r="G2493" s="136">
        <v>43405</v>
      </c>
      <c r="H2493" t="s">
        <v>180</v>
      </c>
      <c r="I2493" t="s">
        <v>42</v>
      </c>
      <c r="J2493" t="s">
        <v>396</v>
      </c>
      <c r="K2493" s="138">
        <v>5.35</v>
      </c>
      <c r="L2493" s="137">
        <v>0</v>
      </c>
    </row>
    <row r="2494" spans="7:12" x14ac:dyDescent="0.25">
      <c r="G2494" s="136">
        <v>43405</v>
      </c>
      <c r="H2494" t="s">
        <v>28</v>
      </c>
      <c r="I2494" t="s">
        <v>112</v>
      </c>
      <c r="J2494" t="s">
        <v>396</v>
      </c>
      <c r="K2494" s="138">
        <v>80</v>
      </c>
      <c r="L2494" s="137">
        <v>0</v>
      </c>
    </row>
    <row r="2495" spans="7:12" x14ac:dyDescent="0.25">
      <c r="G2495" s="136">
        <v>43405</v>
      </c>
      <c r="H2495" t="s">
        <v>28</v>
      </c>
      <c r="I2495" t="s">
        <v>66</v>
      </c>
      <c r="J2495" t="s">
        <v>105</v>
      </c>
      <c r="K2495" s="138">
        <v>25</v>
      </c>
      <c r="L2495" s="137">
        <v>0</v>
      </c>
    </row>
    <row r="2496" spans="7:12" x14ac:dyDescent="0.25">
      <c r="G2496" s="136">
        <v>43405</v>
      </c>
      <c r="H2496" t="s">
        <v>28</v>
      </c>
      <c r="I2496" t="s">
        <v>66</v>
      </c>
      <c r="J2496" t="s">
        <v>143</v>
      </c>
      <c r="K2496" s="138">
        <v>7</v>
      </c>
      <c r="L2496" s="137">
        <v>0</v>
      </c>
    </row>
    <row r="2497" spans="7:12" x14ac:dyDescent="0.25">
      <c r="G2497" s="136">
        <v>43405</v>
      </c>
      <c r="H2497" t="s">
        <v>28</v>
      </c>
      <c r="I2497" t="s">
        <v>66</v>
      </c>
      <c r="J2497" t="s">
        <v>107</v>
      </c>
      <c r="K2497" s="138">
        <v>2.4</v>
      </c>
      <c r="L2497" s="137">
        <v>0</v>
      </c>
    </row>
    <row r="2498" spans="7:12" x14ac:dyDescent="0.25">
      <c r="G2498" s="136">
        <v>43406</v>
      </c>
      <c r="H2498" t="s">
        <v>27</v>
      </c>
      <c r="I2498" t="s">
        <v>63</v>
      </c>
      <c r="J2498" t="s">
        <v>397</v>
      </c>
      <c r="K2498" s="138">
        <v>8</v>
      </c>
      <c r="L2498" s="137">
        <v>0</v>
      </c>
    </row>
    <row r="2499" spans="7:12" x14ac:dyDescent="0.25">
      <c r="G2499" s="136">
        <v>43406</v>
      </c>
      <c r="H2499" t="s">
        <v>185</v>
      </c>
      <c r="I2499" t="s">
        <v>163</v>
      </c>
      <c r="J2499" t="s">
        <v>397</v>
      </c>
      <c r="K2499" s="138">
        <v>331.86</v>
      </c>
      <c r="L2499" s="137">
        <v>0</v>
      </c>
    </row>
    <row r="2500" spans="7:12" x14ac:dyDescent="0.25">
      <c r="G2500" s="136">
        <v>43406</v>
      </c>
      <c r="H2500" t="s">
        <v>183</v>
      </c>
      <c r="I2500" t="s">
        <v>42</v>
      </c>
      <c r="J2500" t="s">
        <v>397</v>
      </c>
      <c r="K2500" s="138">
        <v>5.25</v>
      </c>
      <c r="L2500" s="137">
        <v>0</v>
      </c>
    </row>
    <row r="2501" spans="7:12" x14ac:dyDescent="0.25">
      <c r="G2501" s="136">
        <v>43406</v>
      </c>
      <c r="H2501" t="s">
        <v>183</v>
      </c>
      <c r="I2501" t="s">
        <v>171</v>
      </c>
      <c r="J2501" t="s">
        <v>397</v>
      </c>
      <c r="K2501" s="138">
        <v>2250</v>
      </c>
      <c r="L2501" s="137">
        <v>0</v>
      </c>
    </row>
    <row r="2502" spans="7:12" x14ac:dyDescent="0.25">
      <c r="G2502" s="136">
        <v>43406</v>
      </c>
      <c r="H2502" t="s">
        <v>189</v>
      </c>
      <c r="I2502" t="s">
        <v>171</v>
      </c>
      <c r="J2502" t="s">
        <v>397</v>
      </c>
      <c r="K2502" s="138">
        <v>300</v>
      </c>
      <c r="L2502" s="137">
        <v>0</v>
      </c>
    </row>
    <row r="2503" spans="7:12" x14ac:dyDescent="0.25">
      <c r="G2503" s="136">
        <v>43406</v>
      </c>
      <c r="H2503" t="s">
        <v>193</v>
      </c>
      <c r="I2503" t="s">
        <v>163</v>
      </c>
      <c r="J2503" t="s">
        <v>397</v>
      </c>
      <c r="K2503" s="138">
        <v>603.97</v>
      </c>
      <c r="L2503" s="137">
        <v>0</v>
      </c>
    </row>
    <row r="2504" spans="7:12" x14ac:dyDescent="0.25">
      <c r="G2504" s="136">
        <v>43406</v>
      </c>
      <c r="H2504" t="s">
        <v>188</v>
      </c>
      <c r="I2504" t="s">
        <v>171</v>
      </c>
      <c r="J2504" t="s">
        <v>397</v>
      </c>
      <c r="K2504" s="138">
        <v>150</v>
      </c>
      <c r="L2504" s="137">
        <v>0</v>
      </c>
    </row>
    <row r="2505" spans="7:12" x14ac:dyDescent="0.25">
      <c r="G2505" s="136">
        <v>43406</v>
      </c>
      <c r="H2505" t="s">
        <v>25</v>
      </c>
      <c r="I2505" t="s">
        <v>63</v>
      </c>
      <c r="J2505" t="s">
        <v>397</v>
      </c>
      <c r="K2505" s="138">
        <v>88</v>
      </c>
      <c r="L2505" s="137">
        <v>0</v>
      </c>
    </row>
    <row r="2506" spans="7:12" x14ac:dyDescent="0.25">
      <c r="G2506" s="136">
        <v>43406</v>
      </c>
      <c r="H2506" t="s">
        <v>25</v>
      </c>
      <c r="I2506" t="s">
        <v>63</v>
      </c>
      <c r="J2506" t="s">
        <v>397</v>
      </c>
      <c r="K2506" s="138">
        <v>40</v>
      </c>
      <c r="L2506" s="137">
        <v>0</v>
      </c>
    </row>
    <row r="2507" spans="7:12" x14ac:dyDescent="0.25">
      <c r="G2507" s="136">
        <v>43406</v>
      </c>
      <c r="H2507" t="s">
        <v>25</v>
      </c>
      <c r="I2507" t="s">
        <v>63</v>
      </c>
      <c r="J2507" t="s">
        <v>397</v>
      </c>
      <c r="K2507" s="138">
        <v>32</v>
      </c>
      <c r="L2507" s="137">
        <v>0</v>
      </c>
    </row>
    <row r="2508" spans="7:12" x14ac:dyDescent="0.25">
      <c r="G2508" s="136">
        <v>43406</v>
      </c>
      <c r="H2508" t="s">
        <v>25</v>
      </c>
      <c r="I2508" t="s">
        <v>63</v>
      </c>
      <c r="J2508" t="s">
        <v>397</v>
      </c>
      <c r="K2508" s="138">
        <v>24</v>
      </c>
      <c r="L2508" s="137">
        <v>0</v>
      </c>
    </row>
    <row r="2509" spans="7:12" x14ac:dyDescent="0.25">
      <c r="G2509" s="136">
        <v>43406</v>
      </c>
      <c r="H2509" t="s">
        <v>25</v>
      </c>
      <c r="I2509" t="s">
        <v>63</v>
      </c>
      <c r="J2509" t="s">
        <v>397</v>
      </c>
      <c r="K2509" s="138">
        <v>16</v>
      </c>
      <c r="L2509" s="137">
        <v>0</v>
      </c>
    </row>
    <row r="2510" spans="7:12" x14ac:dyDescent="0.25">
      <c r="G2510" s="136">
        <v>43406</v>
      </c>
      <c r="H2510" t="s">
        <v>25</v>
      </c>
      <c r="I2510" t="s">
        <v>63</v>
      </c>
      <c r="J2510" t="s">
        <v>397</v>
      </c>
      <c r="K2510" s="138">
        <v>8</v>
      </c>
      <c r="L2510" s="137">
        <v>0</v>
      </c>
    </row>
    <row r="2511" spans="7:12" x14ac:dyDescent="0.25">
      <c r="G2511" s="136">
        <v>43406</v>
      </c>
      <c r="H2511" t="s">
        <v>181</v>
      </c>
      <c r="I2511" t="s">
        <v>42</v>
      </c>
      <c r="J2511" t="s">
        <v>397</v>
      </c>
      <c r="K2511" s="138">
        <v>198.85</v>
      </c>
      <c r="L2511" s="137">
        <v>0</v>
      </c>
    </row>
    <row r="2512" spans="7:12" x14ac:dyDescent="0.25">
      <c r="G2512" s="136">
        <v>43406</v>
      </c>
      <c r="H2512" t="s">
        <v>196</v>
      </c>
      <c r="I2512" t="s">
        <v>171</v>
      </c>
      <c r="J2512" t="s">
        <v>397</v>
      </c>
      <c r="K2512" s="138">
        <v>141.15</v>
      </c>
      <c r="L2512" s="137">
        <v>0</v>
      </c>
    </row>
    <row r="2513" spans="7:12" x14ac:dyDescent="0.25">
      <c r="G2513" s="136">
        <v>43406</v>
      </c>
      <c r="H2513" t="s">
        <v>180</v>
      </c>
      <c r="I2513" t="s">
        <v>42</v>
      </c>
      <c r="J2513" t="s">
        <v>397</v>
      </c>
      <c r="K2513" s="138">
        <v>5.79</v>
      </c>
      <c r="L2513" s="137">
        <v>0</v>
      </c>
    </row>
    <row r="2514" spans="7:12" x14ac:dyDescent="0.25">
      <c r="G2514" s="136">
        <v>43406</v>
      </c>
      <c r="H2514" t="s">
        <v>28</v>
      </c>
      <c r="I2514" t="s">
        <v>163</v>
      </c>
      <c r="J2514" t="s">
        <v>397</v>
      </c>
      <c r="K2514" s="138">
        <v>85</v>
      </c>
      <c r="L2514" s="137">
        <v>0</v>
      </c>
    </row>
    <row r="2515" spans="7:12" x14ac:dyDescent="0.25">
      <c r="G2515" s="136">
        <v>43406</v>
      </c>
      <c r="H2515" t="s">
        <v>28</v>
      </c>
      <c r="I2515" t="s">
        <v>163</v>
      </c>
      <c r="J2515" t="s">
        <v>397</v>
      </c>
      <c r="K2515" s="138">
        <v>26.49</v>
      </c>
      <c r="L2515" s="137">
        <v>0</v>
      </c>
    </row>
    <row r="2516" spans="7:12" x14ac:dyDescent="0.25">
      <c r="G2516" s="136">
        <v>43406</v>
      </c>
      <c r="H2516" t="s">
        <v>28</v>
      </c>
      <c r="I2516" t="s">
        <v>66</v>
      </c>
      <c r="J2516" t="s">
        <v>128</v>
      </c>
      <c r="K2516" s="138">
        <v>1.8</v>
      </c>
      <c r="L2516" s="137">
        <v>0</v>
      </c>
    </row>
    <row r="2517" spans="7:12" x14ac:dyDescent="0.25">
      <c r="G2517" s="136">
        <v>43406</v>
      </c>
      <c r="H2517" t="s">
        <v>28</v>
      </c>
      <c r="I2517" t="s">
        <v>66</v>
      </c>
      <c r="J2517" t="s">
        <v>139</v>
      </c>
      <c r="K2517" s="138">
        <v>18</v>
      </c>
      <c r="L2517" s="137">
        <v>0</v>
      </c>
    </row>
    <row r="2518" spans="7:12" x14ac:dyDescent="0.25">
      <c r="G2518" s="136">
        <v>43406</v>
      </c>
      <c r="H2518" t="s">
        <v>28</v>
      </c>
      <c r="I2518" t="s">
        <v>66</v>
      </c>
      <c r="J2518" t="s">
        <v>121</v>
      </c>
      <c r="K2518" s="138">
        <v>2.4</v>
      </c>
      <c r="L2518" s="137">
        <v>0</v>
      </c>
    </row>
    <row r="2519" spans="7:12" x14ac:dyDescent="0.25">
      <c r="G2519" s="136">
        <v>43410</v>
      </c>
      <c r="H2519" t="s">
        <v>192</v>
      </c>
      <c r="I2519" t="s">
        <v>112</v>
      </c>
      <c r="J2519" t="s">
        <v>398</v>
      </c>
      <c r="K2519" s="138">
        <v>243.88</v>
      </c>
      <c r="L2519" s="137">
        <v>0</v>
      </c>
    </row>
    <row r="2520" spans="7:12" x14ac:dyDescent="0.25">
      <c r="G2520" s="136">
        <v>43410</v>
      </c>
      <c r="H2520" t="s">
        <v>27</v>
      </c>
      <c r="I2520" t="s">
        <v>63</v>
      </c>
      <c r="J2520" t="s">
        <v>398</v>
      </c>
      <c r="K2520" s="138">
        <v>8</v>
      </c>
      <c r="L2520" s="137">
        <v>0</v>
      </c>
    </row>
    <row r="2521" spans="7:12" x14ac:dyDescent="0.25">
      <c r="G2521" s="136">
        <v>43410</v>
      </c>
      <c r="H2521" t="s">
        <v>199</v>
      </c>
      <c r="I2521" t="s">
        <v>155</v>
      </c>
      <c r="J2521" t="s">
        <v>398</v>
      </c>
      <c r="K2521" s="138">
        <v>15.95</v>
      </c>
      <c r="L2521" s="137">
        <v>0</v>
      </c>
    </row>
    <row r="2522" spans="7:12" x14ac:dyDescent="0.25">
      <c r="G2522" s="136">
        <v>43410</v>
      </c>
      <c r="H2522" t="s">
        <v>186</v>
      </c>
      <c r="I2522" t="s">
        <v>112</v>
      </c>
      <c r="J2522" t="s">
        <v>398</v>
      </c>
      <c r="K2522" s="138">
        <v>45.7</v>
      </c>
      <c r="L2522" s="137">
        <v>0</v>
      </c>
    </row>
    <row r="2523" spans="7:12" x14ac:dyDescent="0.25">
      <c r="G2523" s="136">
        <v>43410</v>
      </c>
      <c r="H2523" t="s">
        <v>183</v>
      </c>
      <c r="I2523" t="s">
        <v>63</v>
      </c>
      <c r="J2523" t="s">
        <v>398</v>
      </c>
      <c r="K2523" s="138">
        <v>10</v>
      </c>
      <c r="L2523" s="137">
        <v>0</v>
      </c>
    </row>
    <row r="2524" spans="7:12" x14ac:dyDescent="0.25">
      <c r="G2524" s="136">
        <v>43410</v>
      </c>
      <c r="H2524" t="s">
        <v>183</v>
      </c>
      <c r="I2524" t="s">
        <v>42</v>
      </c>
      <c r="J2524" t="s">
        <v>398</v>
      </c>
      <c r="K2524" s="138">
        <v>17.399999999999999</v>
      </c>
      <c r="L2524" s="137">
        <v>0</v>
      </c>
    </row>
    <row r="2525" spans="7:12" x14ac:dyDescent="0.25">
      <c r="G2525" s="136">
        <v>43410</v>
      </c>
      <c r="H2525" t="s">
        <v>189</v>
      </c>
      <c r="I2525" t="s">
        <v>176</v>
      </c>
      <c r="J2525" t="s">
        <v>398</v>
      </c>
      <c r="K2525" s="138">
        <v>0</v>
      </c>
      <c r="L2525" s="137">
        <v>150</v>
      </c>
    </row>
    <row r="2526" spans="7:12" x14ac:dyDescent="0.25">
      <c r="G2526" s="136">
        <v>43410</v>
      </c>
      <c r="H2526" t="s">
        <v>191</v>
      </c>
      <c r="I2526" t="s">
        <v>63</v>
      </c>
      <c r="J2526" t="s">
        <v>398</v>
      </c>
      <c r="K2526" s="138">
        <v>1252.82</v>
      </c>
      <c r="L2526" s="137">
        <v>0</v>
      </c>
    </row>
    <row r="2527" spans="7:12" x14ac:dyDescent="0.25">
      <c r="G2527" s="136">
        <v>43410</v>
      </c>
      <c r="H2527" t="s">
        <v>188</v>
      </c>
      <c r="I2527" t="s">
        <v>112</v>
      </c>
      <c r="J2527" t="s">
        <v>398</v>
      </c>
      <c r="K2527" s="138">
        <v>48.5</v>
      </c>
      <c r="L2527" s="137">
        <v>0</v>
      </c>
    </row>
    <row r="2528" spans="7:12" x14ac:dyDescent="0.25">
      <c r="G2528" s="136">
        <v>43410</v>
      </c>
      <c r="H2528" t="s">
        <v>200</v>
      </c>
      <c r="I2528" t="s">
        <v>63</v>
      </c>
      <c r="J2528" t="s">
        <v>398</v>
      </c>
      <c r="K2528" s="138">
        <v>153.04</v>
      </c>
      <c r="L2528" s="137">
        <v>0</v>
      </c>
    </row>
    <row r="2529" spans="7:12" x14ac:dyDescent="0.25">
      <c r="G2529" s="136">
        <v>43410</v>
      </c>
      <c r="H2529" t="s">
        <v>25</v>
      </c>
      <c r="I2529" t="s">
        <v>63</v>
      </c>
      <c r="J2529" t="s">
        <v>398</v>
      </c>
      <c r="K2529" s="138">
        <v>88</v>
      </c>
      <c r="L2529" s="137">
        <v>0</v>
      </c>
    </row>
    <row r="2530" spans="7:12" x14ac:dyDescent="0.25">
      <c r="G2530" s="136">
        <v>43410</v>
      </c>
      <c r="H2530" t="s">
        <v>25</v>
      </c>
      <c r="I2530" t="s">
        <v>63</v>
      </c>
      <c r="J2530" t="s">
        <v>398</v>
      </c>
      <c r="K2530" s="138">
        <v>40</v>
      </c>
      <c r="L2530" s="137">
        <v>0</v>
      </c>
    </row>
    <row r="2531" spans="7:12" x14ac:dyDescent="0.25">
      <c r="G2531" s="136">
        <v>43410</v>
      </c>
      <c r="H2531" t="s">
        <v>25</v>
      </c>
      <c r="I2531" t="s">
        <v>63</v>
      </c>
      <c r="J2531" t="s">
        <v>398</v>
      </c>
      <c r="K2531" s="138">
        <v>32</v>
      </c>
      <c r="L2531" s="137">
        <v>0</v>
      </c>
    </row>
    <row r="2532" spans="7:12" x14ac:dyDescent="0.25">
      <c r="G2532" s="136">
        <v>43410</v>
      </c>
      <c r="H2532" t="s">
        <v>25</v>
      </c>
      <c r="I2532" t="s">
        <v>63</v>
      </c>
      <c r="J2532" t="s">
        <v>398</v>
      </c>
      <c r="K2532" s="138">
        <v>16</v>
      </c>
      <c r="L2532" s="137">
        <v>0</v>
      </c>
    </row>
    <row r="2533" spans="7:12" x14ac:dyDescent="0.25">
      <c r="G2533" s="136">
        <v>43410</v>
      </c>
      <c r="H2533" t="s">
        <v>25</v>
      </c>
      <c r="I2533" t="s">
        <v>63</v>
      </c>
      <c r="J2533" t="s">
        <v>398</v>
      </c>
      <c r="K2533" s="138">
        <v>8</v>
      </c>
      <c r="L2533" s="137">
        <v>0</v>
      </c>
    </row>
    <row r="2534" spans="7:12" x14ac:dyDescent="0.25">
      <c r="G2534" s="136">
        <v>43410</v>
      </c>
      <c r="H2534" t="s">
        <v>196</v>
      </c>
      <c r="I2534" t="s">
        <v>112</v>
      </c>
      <c r="J2534" t="s">
        <v>398</v>
      </c>
      <c r="K2534" s="138">
        <v>116.25</v>
      </c>
      <c r="L2534" s="137">
        <v>0</v>
      </c>
    </row>
    <row r="2535" spans="7:12" x14ac:dyDescent="0.25">
      <c r="G2535" s="136">
        <v>43410</v>
      </c>
      <c r="H2535" t="s">
        <v>28</v>
      </c>
      <c r="I2535" t="s">
        <v>112</v>
      </c>
      <c r="J2535" t="s">
        <v>398</v>
      </c>
      <c r="K2535" s="138">
        <v>28.5</v>
      </c>
      <c r="L2535" s="137">
        <v>0</v>
      </c>
    </row>
    <row r="2536" spans="7:12" x14ac:dyDescent="0.25">
      <c r="G2536" s="136">
        <v>43410</v>
      </c>
      <c r="H2536" t="s">
        <v>28</v>
      </c>
      <c r="I2536" t="s">
        <v>112</v>
      </c>
      <c r="J2536" t="s">
        <v>398</v>
      </c>
      <c r="K2536" s="138">
        <v>22.48</v>
      </c>
      <c r="L2536" s="137">
        <v>0</v>
      </c>
    </row>
    <row r="2537" spans="7:12" x14ac:dyDescent="0.25">
      <c r="G2537" s="136">
        <v>43410</v>
      </c>
      <c r="H2537" t="s">
        <v>28</v>
      </c>
      <c r="I2537" t="s">
        <v>155</v>
      </c>
      <c r="J2537" t="s">
        <v>398</v>
      </c>
      <c r="K2537" s="138">
        <v>84.26</v>
      </c>
      <c r="L2537" s="137">
        <v>0</v>
      </c>
    </row>
    <row r="2538" spans="7:12" x14ac:dyDescent="0.25">
      <c r="G2538" s="136">
        <v>43410</v>
      </c>
      <c r="H2538" t="s">
        <v>28</v>
      </c>
      <c r="I2538" t="s">
        <v>155</v>
      </c>
      <c r="J2538" t="s">
        <v>398</v>
      </c>
      <c r="K2538" s="138">
        <v>67.23</v>
      </c>
      <c r="L2538" s="137">
        <v>0</v>
      </c>
    </row>
    <row r="2539" spans="7:12" x14ac:dyDescent="0.25">
      <c r="G2539" s="136">
        <v>43410</v>
      </c>
      <c r="H2539" t="s">
        <v>28</v>
      </c>
      <c r="I2539" t="s">
        <v>155</v>
      </c>
      <c r="J2539" t="s">
        <v>398</v>
      </c>
      <c r="K2539" s="138">
        <v>64.069999999999993</v>
      </c>
      <c r="L2539" s="137">
        <v>0</v>
      </c>
    </row>
    <row r="2540" spans="7:12" x14ac:dyDescent="0.25">
      <c r="G2540" s="136">
        <v>43410</v>
      </c>
      <c r="H2540" t="s">
        <v>28</v>
      </c>
      <c r="I2540" t="s">
        <v>155</v>
      </c>
      <c r="J2540" t="s">
        <v>398</v>
      </c>
      <c r="K2540" s="138">
        <v>52.18</v>
      </c>
      <c r="L2540" s="137">
        <v>0</v>
      </c>
    </row>
    <row r="2541" spans="7:12" x14ac:dyDescent="0.25">
      <c r="G2541" s="136">
        <v>43410</v>
      </c>
      <c r="H2541" t="s">
        <v>28</v>
      </c>
      <c r="I2541" t="s">
        <v>155</v>
      </c>
      <c r="J2541" t="s">
        <v>398</v>
      </c>
      <c r="K2541" s="138">
        <v>42.54</v>
      </c>
      <c r="L2541" s="137">
        <v>0</v>
      </c>
    </row>
    <row r="2542" spans="7:12" x14ac:dyDescent="0.25">
      <c r="G2542" s="136">
        <v>43410</v>
      </c>
      <c r="H2542" t="s">
        <v>28</v>
      </c>
      <c r="I2542" t="s">
        <v>155</v>
      </c>
      <c r="J2542" t="s">
        <v>398</v>
      </c>
      <c r="K2542" s="138">
        <v>41.68</v>
      </c>
      <c r="L2542" s="137">
        <v>0</v>
      </c>
    </row>
    <row r="2543" spans="7:12" x14ac:dyDescent="0.25">
      <c r="G2543" s="136">
        <v>43410</v>
      </c>
      <c r="H2543" t="s">
        <v>28</v>
      </c>
      <c r="I2543" t="s">
        <v>155</v>
      </c>
      <c r="J2543" t="s">
        <v>398</v>
      </c>
      <c r="K2543" s="138">
        <v>34.99</v>
      </c>
      <c r="L2543" s="137">
        <v>0</v>
      </c>
    </row>
    <row r="2544" spans="7:12" x14ac:dyDescent="0.25">
      <c r="G2544" s="136">
        <v>43410</v>
      </c>
      <c r="H2544" t="s">
        <v>28</v>
      </c>
      <c r="I2544" t="s">
        <v>155</v>
      </c>
      <c r="J2544" t="s">
        <v>398</v>
      </c>
      <c r="K2544" s="138">
        <v>25.02</v>
      </c>
      <c r="L2544" s="137">
        <v>0</v>
      </c>
    </row>
    <row r="2545" spans="7:12" x14ac:dyDescent="0.25">
      <c r="G2545" s="136">
        <v>43410</v>
      </c>
      <c r="H2545" t="s">
        <v>28</v>
      </c>
      <c r="I2545" t="s">
        <v>155</v>
      </c>
      <c r="J2545" t="s">
        <v>398</v>
      </c>
      <c r="K2545" s="138">
        <v>21.2</v>
      </c>
      <c r="L2545" s="137">
        <v>0</v>
      </c>
    </row>
    <row r="2546" spans="7:12" x14ac:dyDescent="0.25">
      <c r="G2546" s="136">
        <v>43410</v>
      </c>
      <c r="H2546" t="s">
        <v>28</v>
      </c>
      <c r="I2546" t="s">
        <v>155</v>
      </c>
      <c r="J2546" t="s">
        <v>398</v>
      </c>
      <c r="K2546" s="138">
        <v>18.95</v>
      </c>
      <c r="L2546" s="137">
        <v>0</v>
      </c>
    </row>
    <row r="2547" spans="7:12" x14ac:dyDescent="0.25">
      <c r="G2547" s="136">
        <v>43410</v>
      </c>
      <c r="H2547" t="s">
        <v>28</v>
      </c>
      <c r="I2547" t="s">
        <v>66</v>
      </c>
      <c r="J2547" t="s">
        <v>301</v>
      </c>
      <c r="K2547" s="138">
        <v>2.4</v>
      </c>
      <c r="L2547" s="137">
        <v>0</v>
      </c>
    </row>
    <row r="2548" spans="7:12" x14ac:dyDescent="0.25">
      <c r="G2548" s="136">
        <v>43411</v>
      </c>
      <c r="H2548" t="s">
        <v>192</v>
      </c>
      <c r="I2548" t="s">
        <v>63</v>
      </c>
      <c r="J2548" t="s">
        <v>399</v>
      </c>
      <c r="K2548" s="138">
        <v>30.87</v>
      </c>
      <c r="L2548" s="137">
        <v>0</v>
      </c>
    </row>
    <row r="2549" spans="7:12" x14ac:dyDescent="0.25">
      <c r="G2549" s="136">
        <v>43411</v>
      </c>
      <c r="H2549" t="s">
        <v>183</v>
      </c>
      <c r="I2549" t="s">
        <v>42</v>
      </c>
      <c r="J2549" t="s">
        <v>399</v>
      </c>
      <c r="K2549" s="138">
        <v>4.37</v>
      </c>
      <c r="L2549" s="137">
        <v>0</v>
      </c>
    </row>
    <row r="2550" spans="7:12" x14ac:dyDescent="0.25">
      <c r="G2550" s="136">
        <v>43411</v>
      </c>
      <c r="H2550" t="s">
        <v>193</v>
      </c>
      <c r="I2550" t="s">
        <v>163</v>
      </c>
      <c r="J2550" t="s">
        <v>399</v>
      </c>
      <c r="K2550" s="138">
        <v>81.86</v>
      </c>
      <c r="L2550" s="137">
        <v>0</v>
      </c>
    </row>
    <row r="2551" spans="7:12" x14ac:dyDescent="0.25">
      <c r="G2551" s="136">
        <v>43411</v>
      </c>
      <c r="H2551" t="s">
        <v>188</v>
      </c>
      <c r="I2551" t="s">
        <v>63</v>
      </c>
      <c r="J2551" t="s">
        <v>399</v>
      </c>
      <c r="K2551" s="138">
        <v>11.38</v>
      </c>
      <c r="L2551" s="137">
        <v>0</v>
      </c>
    </row>
    <row r="2552" spans="7:12" x14ac:dyDescent="0.25">
      <c r="G2552" s="136">
        <v>43411</v>
      </c>
      <c r="H2552" t="s">
        <v>188</v>
      </c>
      <c r="I2552" t="s">
        <v>42</v>
      </c>
      <c r="J2552" t="s">
        <v>399</v>
      </c>
      <c r="K2552" s="138">
        <v>54.15</v>
      </c>
      <c r="L2552" s="137">
        <v>0</v>
      </c>
    </row>
    <row r="2553" spans="7:12" x14ac:dyDescent="0.25">
      <c r="G2553" s="136">
        <v>43411</v>
      </c>
      <c r="H2553" t="s">
        <v>25</v>
      </c>
      <c r="I2553" t="s">
        <v>63</v>
      </c>
      <c r="J2553" t="s">
        <v>399</v>
      </c>
      <c r="K2553" s="138">
        <v>96</v>
      </c>
      <c r="L2553" s="137">
        <v>0</v>
      </c>
    </row>
    <row r="2554" spans="7:12" x14ac:dyDescent="0.25">
      <c r="G2554" s="136">
        <v>43411</v>
      </c>
      <c r="H2554" t="s">
        <v>25</v>
      </c>
      <c r="I2554" t="s">
        <v>63</v>
      </c>
      <c r="J2554" t="s">
        <v>399</v>
      </c>
      <c r="K2554" s="138">
        <v>64</v>
      </c>
      <c r="L2554" s="137">
        <v>0</v>
      </c>
    </row>
    <row r="2555" spans="7:12" x14ac:dyDescent="0.25">
      <c r="G2555" s="136">
        <v>43411</v>
      </c>
      <c r="H2555" t="s">
        <v>25</v>
      </c>
      <c r="I2555" t="s">
        <v>63</v>
      </c>
      <c r="J2555" t="s">
        <v>399</v>
      </c>
      <c r="K2555" s="138">
        <v>40</v>
      </c>
      <c r="L2555" s="137">
        <v>0</v>
      </c>
    </row>
    <row r="2556" spans="7:12" x14ac:dyDescent="0.25">
      <c r="G2556" s="136">
        <v>43411</v>
      </c>
      <c r="H2556" t="s">
        <v>25</v>
      </c>
      <c r="I2556" t="s">
        <v>63</v>
      </c>
      <c r="J2556" t="s">
        <v>399</v>
      </c>
      <c r="K2556" s="138">
        <v>24</v>
      </c>
      <c r="L2556" s="137">
        <v>0</v>
      </c>
    </row>
    <row r="2557" spans="7:12" x14ac:dyDescent="0.25">
      <c r="G2557" s="136">
        <v>43411</v>
      </c>
      <c r="H2557" t="s">
        <v>25</v>
      </c>
      <c r="I2557" t="s">
        <v>63</v>
      </c>
      <c r="J2557" t="s">
        <v>399</v>
      </c>
      <c r="K2557" s="138">
        <v>16</v>
      </c>
      <c r="L2557" s="137">
        <v>0</v>
      </c>
    </row>
    <row r="2558" spans="7:12" x14ac:dyDescent="0.25">
      <c r="G2558" s="136">
        <v>43411</v>
      </c>
      <c r="H2558" t="s">
        <v>25</v>
      </c>
      <c r="I2558" t="s">
        <v>63</v>
      </c>
      <c r="J2558" t="s">
        <v>399</v>
      </c>
      <c r="K2558" s="138">
        <v>8</v>
      </c>
      <c r="L2558" s="137">
        <v>0</v>
      </c>
    </row>
    <row r="2559" spans="7:12" x14ac:dyDescent="0.25">
      <c r="G2559" s="136">
        <v>43411</v>
      </c>
      <c r="H2559" t="s">
        <v>28</v>
      </c>
      <c r="I2559" t="s">
        <v>163</v>
      </c>
      <c r="J2559" t="s">
        <v>399</v>
      </c>
      <c r="K2559" s="138">
        <v>195.75</v>
      </c>
      <c r="L2559" s="137">
        <v>0</v>
      </c>
    </row>
    <row r="2560" spans="7:12" x14ac:dyDescent="0.25">
      <c r="G2560" s="136">
        <v>43411</v>
      </c>
      <c r="H2560" t="s">
        <v>28</v>
      </c>
      <c r="I2560" t="s">
        <v>66</v>
      </c>
      <c r="J2560" t="s">
        <v>400</v>
      </c>
      <c r="K2560" s="138">
        <v>8.6999999999999993</v>
      </c>
      <c r="L2560" s="137">
        <v>0</v>
      </c>
    </row>
    <row r="2561" spans="7:12" x14ac:dyDescent="0.25">
      <c r="G2561" s="136">
        <v>43411</v>
      </c>
      <c r="H2561" t="s">
        <v>28</v>
      </c>
      <c r="I2561" t="s">
        <v>66</v>
      </c>
      <c r="J2561" t="s">
        <v>143</v>
      </c>
      <c r="K2561" s="138">
        <v>26</v>
      </c>
      <c r="L2561" s="137">
        <v>0</v>
      </c>
    </row>
    <row r="2562" spans="7:12" x14ac:dyDescent="0.25">
      <c r="G2562" s="136">
        <v>43411</v>
      </c>
      <c r="H2562" t="s">
        <v>28</v>
      </c>
      <c r="I2562" t="s">
        <v>66</v>
      </c>
      <c r="J2562" t="s">
        <v>266</v>
      </c>
      <c r="K2562" s="138">
        <v>3.7</v>
      </c>
      <c r="L2562" s="137">
        <v>0</v>
      </c>
    </row>
    <row r="2563" spans="7:12" x14ac:dyDescent="0.25">
      <c r="G2563" s="136">
        <v>43412</v>
      </c>
      <c r="H2563" t="s">
        <v>203</v>
      </c>
      <c r="I2563" t="s">
        <v>175</v>
      </c>
      <c r="J2563" t="s">
        <v>401</v>
      </c>
      <c r="K2563" s="138">
        <v>25</v>
      </c>
      <c r="L2563" s="137">
        <v>0</v>
      </c>
    </row>
    <row r="2564" spans="7:12" x14ac:dyDescent="0.25">
      <c r="G2564" s="136">
        <v>43412</v>
      </c>
      <c r="H2564" t="s">
        <v>192</v>
      </c>
      <c r="I2564" t="s">
        <v>175</v>
      </c>
      <c r="J2564" t="s">
        <v>401</v>
      </c>
      <c r="K2564" s="138">
        <v>56.49</v>
      </c>
      <c r="L2564" s="137">
        <v>0</v>
      </c>
    </row>
    <row r="2565" spans="7:12" x14ac:dyDescent="0.25">
      <c r="G2565" s="136">
        <v>43412</v>
      </c>
      <c r="H2565" t="s">
        <v>183</v>
      </c>
      <c r="I2565" t="s">
        <v>178</v>
      </c>
      <c r="J2565" t="s">
        <v>401</v>
      </c>
      <c r="K2565" s="138">
        <v>25</v>
      </c>
      <c r="L2565" s="137">
        <v>0</v>
      </c>
    </row>
    <row r="2566" spans="7:12" x14ac:dyDescent="0.25">
      <c r="G2566" s="136">
        <v>43412</v>
      </c>
      <c r="H2566" t="s">
        <v>191</v>
      </c>
      <c r="I2566" t="s">
        <v>63</v>
      </c>
      <c r="J2566" t="s">
        <v>401</v>
      </c>
      <c r="K2566" s="138">
        <v>341.81</v>
      </c>
      <c r="L2566" s="137">
        <v>0</v>
      </c>
    </row>
    <row r="2567" spans="7:12" x14ac:dyDescent="0.25">
      <c r="G2567" s="136">
        <v>43412</v>
      </c>
      <c r="H2567" t="s">
        <v>188</v>
      </c>
      <c r="I2567" t="s">
        <v>155</v>
      </c>
      <c r="J2567" t="s">
        <v>401</v>
      </c>
      <c r="K2567" s="138">
        <v>27.5</v>
      </c>
      <c r="L2567" s="137">
        <v>0</v>
      </c>
    </row>
    <row r="2568" spans="7:12" x14ac:dyDescent="0.25">
      <c r="G2568" s="136">
        <v>43412</v>
      </c>
      <c r="H2568" t="s">
        <v>188</v>
      </c>
      <c r="I2568" t="s">
        <v>176</v>
      </c>
      <c r="J2568" t="s">
        <v>401</v>
      </c>
      <c r="K2568" s="138">
        <v>0</v>
      </c>
      <c r="L2568" s="137">
        <v>287</v>
      </c>
    </row>
    <row r="2569" spans="7:12" x14ac:dyDescent="0.25">
      <c r="G2569" s="136">
        <v>43412</v>
      </c>
      <c r="H2569" t="s">
        <v>188</v>
      </c>
      <c r="I2569" t="s">
        <v>171</v>
      </c>
      <c r="J2569" t="s">
        <v>401</v>
      </c>
      <c r="K2569" s="138">
        <v>342.04</v>
      </c>
      <c r="L2569" s="137">
        <v>0</v>
      </c>
    </row>
    <row r="2570" spans="7:12" x14ac:dyDescent="0.25">
      <c r="G2570" s="136">
        <v>43412</v>
      </c>
      <c r="H2570" t="s">
        <v>25</v>
      </c>
      <c r="I2570" t="s">
        <v>63</v>
      </c>
      <c r="J2570" t="s">
        <v>401</v>
      </c>
      <c r="K2570" s="138">
        <v>88</v>
      </c>
      <c r="L2570" s="137">
        <v>0</v>
      </c>
    </row>
    <row r="2571" spans="7:12" x14ac:dyDescent="0.25">
      <c r="G2571" s="136">
        <v>43412</v>
      </c>
      <c r="H2571" t="s">
        <v>25</v>
      </c>
      <c r="I2571" t="s">
        <v>63</v>
      </c>
      <c r="J2571" t="s">
        <v>401</v>
      </c>
      <c r="K2571" s="138">
        <v>32</v>
      </c>
      <c r="L2571" s="137">
        <v>0</v>
      </c>
    </row>
    <row r="2572" spans="7:12" x14ac:dyDescent="0.25">
      <c r="G2572" s="136">
        <v>43412</v>
      </c>
      <c r="H2572" t="s">
        <v>25</v>
      </c>
      <c r="I2572" t="s">
        <v>63</v>
      </c>
      <c r="J2572" t="s">
        <v>401</v>
      </c>
      <c r="K2572" s="138">
        <v>24</v>
      </c>
      <c r="L2572" s="137">
        <v>0</v>
      </c>
    </row>
    <row r="2573" spans="7:12" x14ac:dyDescent="0.25">
      <c r="G2573" s="136">
        <v>43412</v>
      </c>
      <c r="H2573" t="s">
        <v>28</v>
      </c>
      <c r="I2573" t="s">
        <v>112</v>
      </c>
      <c r="J2573" t="s">
        <v>401</v>
      </c>
      <c r="K2573" s="138">
        <v>97.25</v>
      </c>
      <c r="L2573" s="137">
        <v>0</v>
      </c>
    </row>
    <row r="2574" spans="7:12" x14ac:dyDescent="0.25">
      <c r="G2574" s="136">
        <v>43412</v>
      </c>
      <c r="H2574" t="s">
        <v>28</v>
      </c>
      <c r="I2574" t="s">
        <v>112</v>
      </c>
      <c r="J2574" t="s">
        <v>401</v>
      </c>
      <c r="K2574" s="138">
        <v>47.54</v>
      </c>
      <c r="L2574" s="137">
        <v>0</v>
      </c>
    </row>
    <row r="2575" spans="7:12" x14ac:dyDescent="0.25">
      <c r="G2575" s="136">
        <v>43412</v>
      </c>
      <c r="H2575" t="s">
        <v>28</v>
      </c>
      <c r="I2575" t="s">
        <v>112</v>
      </c>
      <c r="J2575" t="s">
        <v>401</v>
      </c>
      <c r="K2575" s="138">
        <v>27.85</v>
      </c>
      <c r="L2575" s="137">
        <v>0</v>
      </c>
    </row>
    <row r="2576" spans="7:12" x14ac:dyDescent="0.25">
      <c r="G2576" s="136">
        <v>43412</v>
      </c>
      <c r="H2576" t="s">
        <v>28</v>
      </c>
      <c r="I2576" t="s">
        <v>112</v>
      </c>
      <c r="J2576" t="s">
        <v>401</v>
      </c>
      <c r="K2576" s="138">
        <v>21.2</v>
      </c>
      <c r="L2576" s="137">
        <v>0</v>
      </c>
    </row>
    <row r="2577" spans="7:12" x14ac:dyDescent="0.25">
      <c r="G2577" s="136">
        <v>43412</v>
      </c>
      <c r="H2577" t="s">
        <v>28</v>
      </c>
      <c r="I2577" t="s">
        <v>155</v>
      </c>
      <c r="J2577" t="s">
        <v>401</v>
      </c>
      <c r="K2577" s="138">
        <v>145.59</v>
      </c>
      <c r="L2577" s="137">
        <v>0</v>
      </c>
    </row>
    <row r="2578" spans="7:12" x14ac:dyDescent="0.25">
      <c r="G2578" s="136">
        <v>43412</v>
      </c>
      <c r="H2578" t="s">
        <v>28</v>
      </c>
      <c r="I2578" t="s">
        <v>155</v>
      </c>
      <c r="J2578" t="s">
        <v>401</v>
      </c>
      <c r="K2578" s="138">
        <v>92.24</v>
      </c>
      <c r="L2578" s="137">
        <v>0</v>
      </c>
    </row>
    <row r="2579" spans="7:12" x14ac:dyDescent="0.25">
      <c r="G2579" s="136">
        <v>43412</v>
      </c>
      <c r="H2579" t="s">
        <v>28</v>
      </c>
      <c r="I2579" t="s">
        <v>155</v>
      </c>
      <c r="J2579" t="s">
        <v>401</v>
      </c>
      <c r="K2579" s="138">
        <v>90</v>
      </c>
      <c r="L2579" s="137">
        <v>0</v>
      </c>
    </row>
    <row r="2580" spans="7:12" x14ac:dyDescent="0.25">
      <c r="G2580" s="136">
        <v>43412</v>
      </c>
      <c r="H2580" t="s">
        <v>28</v>
      </c>
      <c r="I2580" t="s">
        <v>155</v>
      </c>
      <c r="J2580" t="s">
        <v>401</v>
      </c>
      <c r="K2580" s="138">
        <v>88.95</v>
      </c>
      <c r="L2580" s="137">
        <v>0</v>
      </c>
    </row>
    <row r="2581" spans="7:12" x14ac:dyDescent="0.25">
      <c r="G2581" s="136">
        <v>43412</v>
      </c>
      <c r="H2581" t="s">
        <v>28</v>
      </c>
      <c r="I2581" t="s">
        <v>155</v>
      </c>
      <c r="J2581" t="s">
        <v>401</v>
      </c>
      <c r="K2581" s="138">
        <v>83.29</v>
      </c>
      <c r="L2581" s="137">
        <v>0</v>
      </c>
    </row>
    <row r="2582" spans="7:12" x14ac:dyDescent="0.25">
      <c r="G2582" s="136">
        <v>43412</v>
      </c>
      <c r="H2582" t="s">
        <v>28</v>
      </c>
      <c r="I2582" t="s">
        <v>155</v>
      </c>
      <c r="J2582" t="s">
        <v>401</v>
      </c>
      <c r="K2582" s="138">
        <v>47.35</v>
      </c>
      <c r="L2582" s="137">
        <v>0</v>
      </c>
    </row>
    <row r="2583" spans="7:12" x14ac:dyDescent="0.25">
      <c r="G2583" s="136">
        <v>43412</v>
      </c>
      <c r="H2583" t="s">
        <v>28</v>
      </c>
      <c r="I2583" t="s">
        <v>155</v>
      </c>
      <c r="J2583" t="s">
        <v>401</v>
      </c>
      <c r="K2583" s="138">
        <v>38.119999999999997</v>
      </c>
      <c r="L2583" s="137">
        <v>0</v>
      </c>
    </row>
    <row r="2584" spans="7:12" x14ac:dyDescent="0.25">
      <c r="G2584" s="136">
        <v>43412</v>
      </c>
      <c r="H2584" t="s">
        <v>28</v>
      </c>
      <c r="I2584" t="s">
        <v>155</v>
      </c>
      <c r="J2584" t="s">
        <v>401</v>
      </c>
      <c r="K2584" s="138">
        <v>37.700000000000003</v>
      </c>
      <c r="L2584" s="137">
        <v>0</v>
      </c>
    </row>
    <row r="2585" spans="7:12" x14ac:dyDescent="0.25">
      <c r="G2585" s="136">
        <v>43412</v>
      </c>
      <c r="H2585" t="s">
        <v>28</v>
      </c>
      <c r="I2585" t="s">
        <v>155</v>
      </c>
      <c r="J2585" t="s">
        <v>401</v>
      </c>
      <c r="K2585" s="138">
        <v>34.24</v>
      </c>
      <c r="L2585" s="137">
        <v>0</v>
      </c>
    </row>
    <row r="2586" spans="7:12" x14ac:dyDescent="0.25">
      <c r="G2586" s="136">
        <v>43412</v>
      </c>
      <c r="H2586" t="s">
        <v>28</v>
      </c>
      <c r="I2586" t="s">
        <v>176</v>
      </c>
      <c r="J2586" t="s">
        <v>401</v>
      </c>
      <c r="K2586" s="138">
        <v>0</v>
      </c>
      <c r="L2586" s="137">
        <v>96</v>
      </c>
    </row>
    <row r="2587" spans="7:12" x14ac:dyDescent="0.25">
      <c r="G2587" s="136">
        <v>43412</v>
      </c>
      <c r="H2587" t="s">
        <v>28</v>
      </c>
      <c r="I2587" t="s">
        <v>66</v>
      </c>
      <c r="J2587" t="s">
        <v>402</v>
      </c>
      <c r="K2587" s="138">
        <v>1.8</v>
      </c>
      <c r="L2587" s="137">
        <v>0</v>
      </c>
    </row>
    <row r="2588" spans="7:12" x14ac:dyDescent="0.25">
      <c r="G2588" s="136">
        <v>43412</v>
      </c>
      <c r="H2588" t="s">
        <v>28</v>
      </c>
      <c r="I2588" t="s">
        <v>66</v>
      </c>
      <c r="J2588" t="s">
        <v>285</v>
      </c>
      <c r="K2588" s="138">
        <v>8.6999999999999993</v>
      </c>
      <c r="L2588" s="137">
        <v>0</v>
      </c>
    </row>
    <row r="2589" spans="7:12" x14ac:dyDescent="0.25">
      <c r="G2589" s="136">
        <v>43412</v>
      </c>
      <c r="H2589" t="s">
        <v>28</v>
      </c>
      <c r="I2589" t="s">
        <v>66</v>
      </c>
      <c r="J2589" t="s">
        <v>108</v>
      </c>
      <c r="K2589" s="138">
        <v>1.8</v>
      </c>
      <c r="L2589" s="137">
        <v>0</v>
      </c>
    </row>
    <row r="2590" spans="7:12" x14ac:dyDescent="0.25">
      <c r="G2590" s="136">
        <v>43413</v>
      </c>
      <c r="H2590" t="s">
        <v>203</v>
      </c>
      <c r="I2590" t="s">
        <v>42</v>
      </c>
      <c r="J2590" t="s">
        <v>403</v>
      </c>
      <c r="K2590" s="138">
        <v>100.4</v>
      </c>
      <c r="L2590" s="137">
        <v>0</v>
      </c>
    </row>
    <row r="2591" spans="7:12" x14ac:dyDescent="0.25">
      <c r="G2591" s="136">
        <v>43413</v>
      </c>
      <c r="H2591" t="s">
        <v>27</v>
      </c>
      <c r="I2591" t="s">
        <v>63</v>
      </c>
      <c r="J2591" t="s">
        <v>403</v>
      </c>
      <c r="K2591" s="138">
        <v>8</v>
      </c>
      <c r="L2591" s="137">
        <v>0</v>
      </c>
    </row>
    <row r="2592" spans="7:12" x14ac:dyDescent="0.25">
      <c r="G2592" s="136">
        <v>43413</v>
      </c>
      <c r="H2592" t="s">
        <v>27</v>
      </c>
      <c r="I2592" t="s">
        <v>230</v>
      </c>
      <c r="J2592" t="s">
        <v>404</v>
      </c>
      <c r="K2592" s="138">
        <v>185.43</v>
      </c>
      <c r="L2592" s="137">
        <v>0</v>
      </c>
    </row>
    <row r="2593" spans="7:12" x14ac:dyDescent="0.25">
      <c r="G2593" s="136">
        <v>43413</v>
      </c>
      <c r="H2593" t="s">
        <v>27</v>
      </c>
      <c r="I2593" t="s">
        <v>230</v>
      </c>
      <c r="J2593" t="s">
        <v>404</v>
      </c>
      <c r="K2593" s="138">
        <v>99.04</v>
      </c>
      <c r="L2593" s="137">
        <v>0</v>
      </c>
    </row>
    <row r="2594" spans="7:12" x14ac:dyDescent="0.25">
      <c r="G2594" s="136">
        <v>43413</v>
      </c>
      <c r="H2594" t="s">
        <v>27</v>
      </c>
      <c r="I2594" t="s">
        <v>230</v>
      </c>
      <c r="J2594" t="s">
        <v>404</v>
      </c>
      <c r="K2594" s="138">
        <v>64.58</v>
      </c>
      <c r="L2594" s="137">
        <v>0</v>
      </c>
    </row>
    <row r="2595" spans="7:12" x14ac:dyDescent="0.25">
      <c r="G2595" s="136">
        <v>43413</v>
      </c>
      <c r="H2595" t="s">
        <v>27</v>
      </c>
      <c r="I2595" t="s">
        <v>230</v>
      </c>
      <c r="J2595" t="s">
        <v>404</v>
      </c>
      <c r="K2595" s="138">
        <v>59.5</v>
      </c>
      <c r="L2595" s="137">
        <v>0</v>
      </c>
    </row>
    <row r="2596" spans="7:12" x14ac:dyDescent="0.25">
      <c r="G2596" s="136">
        <v>43413</v>
      </c>
      <c r="H2596" t="s">
        <v>27</v>
      </c>
      <c r="I2596" t="s">
        <v>230</v>
      </c>
      <c r="J2596" t="s">
        <v>404</v>
      </c>
      <c r="K2596" s="138">
        <v>46.15</v>
      </c>
      <c r="L2596" s="137">
        <v>0</v>
      </c>
    </row>
    <row r="2597" spans="7:12" x14ac:dyDescent="0.25">
      <c r="G2597" s="136">
        <v>43413</v>
      </c>
      <c r="H2597" t="s">
        <v>27</v>
      </c>
      <c r="I2597" t="s">
        <v>230</v>
      </c>
      <c r="J2597" t="s">
        <v>404</v>
      </c>
      <c r="K2597" s="138">
        <v>39.01</v>
      </c>
      <c r="L2597" s="137">
        <v>0</v>
      </c>
    </row>
    <row r="2598" spans="7:12" x14ac:dyDescent="0.25">
      <c r="G2598" s="136">
        <v>43413</v>
      </c>
      <c r="H2598" t="s">
        <v>27</v>
      </c>
      <c r="I2598" t="s">
        <v>230</v>
      </c>
      <c r="J2598" t="s">
        <v>404</v>
      </c>
      <c r="K2598" s="138">
        <v>36.28</v>
      </c>
      <c r="L2598" s="137">
        <v>0</v>
      </c>
    </row>
    <row r="2599" spans="7:12" x14ac:dyDescent="0.25">
      <c r="G2599" s="136">
        <v>43413</v>
      </c>
      <c r="H2599" t="s">
        <v>27</v>
      </c>
      <c r="I2599" t="s">
        <v>230</v>
      </c>
      <c r="J2599" t="s">
        <v>404</v>
      </c>
      <c r="K2599" s="138">
        <v>29.9</v>
      </c>
      <c r="L2599" s="137">
        <v>0</v>
      </c>
    </row>
    <row r="2600" spans="7:12" x14ac:dyDescent="0.25">
      <c r="G2600" s="136">
        <v>43413</v>
      </c>
      <c r="H2600" t="s">
        <v>27</v>
      </c>
      <c r="I2600" t="s">
        <v>230</v>
      </c>
      <c r="J2600" t="s">
        <v>404</v>
      </c>
      <c r="K2600" s="138">
        <v>29.17</v>
      </c>
      <c r="L2600" s="137">
        <v>0</v>
      </c>
    </row>
    <row r="2601" spans="7:12" x14ac:dyDescent="0.25">
      <c r="G2601" s="136">
        <v>43413</v>
      </c>
      <c r="H2601" t="s">
        <v>27</v>
      </c>
      <c r="I2601" t="s">
        <v>230</v>
      </c>
      <c r="J2601" t="s">
        <v>404</v>
      </c>
      <c r="K2601" s="138">
        <v>27.72</v>
      </c>
      <c r="L2601" s="137">
        <v>0</v>
      </c>
    </row>
    <row r="2602" spans="7:12" x14ac:dyDescent="0.25">
      <c r="G2602" s="136">
        <v>43413</v>
      </c>
      <c r="H2602" t="s">
        <v>27</v>
      </c>
      <c r="I2602" t="s">
        <v>230</v>
      </c>
      <c r="J2602" t="s">
        <v>404</v>
      </c>
      <c r="K2602" s="138">
        <v>25.59</v>
      </c>
      <c r="L2602" s="137">
        <v>0</v>
      </c>
    </row>
    <row r="2603" spans="7:12" x14ac:dyDescent="0.25">
      <c r="G2603" s="136">
        <v>43413</v>
      </c>
      <c r="H2603" t="s">
        <v>27</v>
      </c>
      <c r="I2603" t="s">
        <v>230</v>
      </c>
      <c r="J2603" t="s">
        <v>404</v>
      </c>
      <c r="K2603" s="138">
        <v>24.12</v>
      </c>
      <c r="L2603" s="137">
        <v>0</v>
      </c>
    </row>
    <row r="2604" spans="7:12" x14ac:dyDescent="0.25">
      <c r="G2604" s="136">
        <v>43413</v>
      </c>
      <c r="H2604" t="s">
        <v>27</v>
      </c>
      <c r="I2604" t="s">
        <v>230</v>
      </c>
      <c r="J2604" t="s">
        <v>404</v>
      </c>
      <c r="K2604" s="138">
        <v>18.29</v>
      </c>
      <c r="L2604" s="137">
        <v>0</v>
      </c>
    </row>
    <row r="2605" spans="7:12" x14ac:dyDescent="0.25">
      <c r="G2605" s="136">
        <v>43413</v>
      </c>
      <c r="H2605" t="s">
        <v>27</v>
      </c>
      <c r="I2605" t="s">
        <v>230</v>
      </c>
      <c r="J2605" t="s">
        <v>404</v>
      </c>
      <c r="K2605" s="138">
        <v>15.84</v>
      </c>
      <c r="L2605" s="137">
        <v>0</v>
      </c>
    </row>
    <row r="2606" spans="7:12" x14ac:dyDescent="0.25">
      <c r="G2606" s="136">
        <v>43413</v>
      </c>
      <c r="H2606" t="s">
        <v>27</v>
      </c>
      <c r="I2606" t="s">
        <v>230</v>
      </c>
      <c r="J2606" t="s">
        <v>404</v>
      </c>
      <c r="K2606" s="138">
        <v>13.48</v>
      </c>
      <c r="L2606" s="137">
        <v>0</v>
      </c>
    </row>
    <row r="2607" spans="7:12" x14ac:dyDescent="0.25">
      <c r="G2607" s="136">
        <v>43413</v>
      </c>
      <c r="H2607" t="s">
        <v>27</v>
      </c>
      <c r="I2607" t="s">
        <v>230</v>
      </c>
      <c r="J2607" t="s">
        <v>404</v>
      </c>
      <c r="K2607" s="138">
        <v>12.26</v>
      </c>
      <c r="L2607" s="137">
        <v>0</v>
      </c>
    </row>
    <row r="2608" spans="7:12" x14ac:dyDescent="0.25">
      <c r="G2608" s="136">
        <v>43413</v>
      </c>
      <c r="H2608" t="s">
        <v>27</v>
      </c>
      <c r="I2608" t="s">
        <v>230</v>
      </c>
      <c r="J2608" t="s">
        <v>404</v>
      </c>
      <c r="K2608" s="138">
        <v>11.54</v>
      </c>
      <c r="L2608" s="137">
        <v>0</v>
      </c>
    </row>
    <row r="2609" spans="7:12" x14ac:dyDescent="0.25">
      <c r="G2609" s="136">
        <v>43413</v>
      </c>
      <c r="H2609" t="s">
        <v>27</v>
      </c>
      <c r="I2609" t="s">
        <v>42</v>
      </c>
      <c r="J2609" t="s">
        <v>403</v>
      </c>
      <c r="K2609" s="138">
        <v>6.3</v>
      </c>
      <c r="L2609" s="137">
        <v>0</v>
      </c>
    </row>
    <row r="2610" spans="7:12" x14ac:dyDescent="0.25">
      <c r="G2610" s="136">
        <v>43413</v>
      </c>
      <c r="H2610" t="s">
        <v>195</v>
      </c>
      <c r="I2610" t="s">
        <v>230</v>
      </c>
      <c r="J2610" t="s">
        <v>404</v>
      </c>
      <c r="K2610" s="138">
        <v>145.36000000000001</v>
      </c>
      <c r="L2610" s="137">
        <v>0</v>
      </c>
    </row>
    <row r="2611" spans="7:12" x14ac:dyDescent="0.25">
      <c r="G2611" s="136">
        <v>43413</v>
      </c>
      <c r="H2611" t="s">
        <v>183</v>
      </c>
      <c r="I2611" t="s">
        <v>230</v>
      </c>
      <c r="J2611" t="s">
        <v>404</v>
      </c>
      <c r="K2611" s="138">
        <v>2032.34</v>
      </c>
      <c r="L2611" s="137">
        <v>0</v>
      </c>
    </row>
    <row r="2612" spans="7:12" x14ac:dyDescent="0.25">
      <c r="G2612" s="136">
        <v>43413</v>
      </c>
      <c r="H2612" t="s">
        <v>183</v>
      </c>
      <c r="I2612" t="s">
        <v>42</v>
      </c>
      <c r="J2612" t="s">
        <v>403</v>
      </c>
      <c r="K2612" s="138">
        <v>16.28</v>
      </c>
      <c r="L2612" s="137">
        <v>0</v>
      </c>
    </row>
    <row r="2613" spans="7:12" x14ac:dyDescent="0.25">
      <c r="G2613" s="136">
        <v>43413</v>
      </c>
      <c r="H2613" t="s">
        <v>189</v>
      </c>
      <c r="I2613" t="s">
        <v>163</v>
      </c>
      <c r="J2613" t="s">
        <v>403</v>
      </c>
      <c r="K2613" s="138">
        <v>184.87</v>
      </c>
      <c r="L2613" s="137">
        <v>0</v>
      </c>
    </row>
    <row r="2614" spans="7:12" x14ac:dyDescent="0.25">
      <c r="G2614" s="136">
        <v>43413</v>
      </c>
      <c r="H2614" t="s">
        <v>189</v>
      </c>
      <c r="I2614" t="s">
        <v>230</v>
      </c>
      <c r="J2614" t="s">
        <v>404</v>
      </c>
      <c r="K2614" s="138">
        <v>380.73</v>
      </c>
      <c r="L2614" s="137">
        <v>0</v>
      </c>
    </row>
    <row r="2615" spans="7:12" x14ac:dyDescent="0.25">
      <c r="G2615" s="136">
        <v>43413</v>
      </c>
      <c r="H2615" t="s">
        <v>189</v>
      </c>
      <c r="I2615" t="s">
        <v>171</v>
      </c>
      <c r="J2615" t="s">
        <v>403</v>
      </c>
      <c r="K2615" s="138">
        <v>3198.1</v>
      </c>
      <c r="L2615" s="137">
        <v>0</v>
      </c>
    </row>
    <row r="2616" spans="7:12" x14ac:dyDescent="0.25">
      <c r="G2616" s="136">
        <v>43413</v>
      </c>
      <c r="H2616" t="s">
        <v>191</v>
      </c>
      <c r="I2616" t="s">
        <v>42</v>
      </c>
      <c r="J2616" t="s">
        <v>403</v>
      </c>
      <c r="K2616" s="138">
        <v>10.27</v>
      </c>
      <c r="L2616" s="137">
        <v>0</v>
      </c>
    </row>
    <row r="2617" spans="7:12" x14ac:dyDescent="0.25">
      <c r="G2617" s="136">
        <v>43413</v>
      </c>
      <c r="H2617" t="s">
        <v>193</v>
      </c>
      <c r="I2617" t="s">
        <v>230</v>
      </c>
      <c r="J2617" t="s">
        <v>404</v>
      </c>
      <c r="K2617" s="138">
        <v>49.45</v>
      </c>
      <c r="L2617" s="137">
        <v>0</v>
      </c>
    </row>
    <row r="2618" spans="7:12" x14ac:dyDescent="0.25">
      <c r="G2618" s="136">
        <v>43413</v>
      </c>
      <c r="H2618" t="s">
        <v>188</v>
      </c>
      <c r="I2618" t="s">
        <v>155</v>
      </c>
      <c r="J2618" t="s">
        <v>403</v>
      </c>
      <c r="K2618" s="138">
        <v>34.24</v>
      </c>
      <c r="L2618" s="137">
        <v>0</v>
      </c>
    </row>
    <row r="2619" spans="7:12" x14ac:dyDescent="0.25">
      <c r="G2619" s="136">
        <v>43413</v>
      </c>
      <c r="H2619" t="s">
        <v>188</v>
      </c>
      <c r="I2619" t="s">
        <v>230</v>
      </c>
      <c r="J2619" t="s">
        <v>404</v>
      </c>
      <c r="K2619" s="138">
        <v>231.17</v>
      </c>
      <c r="L2619" s="137">
        <v>0</v>
      </c>
    </row>
    <row r="2620" spans="7:12" x14ac:dyDescent="0.25">
      <c r="G2620" s="136">
        <v>43413</v>
      </c>
      <c r="H2620" t="s">
        <v>25</v>
      </c>
      <c r="I2620" t="s">
        <v>63</v>
      </c>
      <c r="J2620" t="s">
        <v>403</v>
      </c>
      <c r="K2620" s="138">
        <v>72</v>
      </c>
      <c r="L2620" s="137">
        <v>0</v>
      </c>
    </row>
    <row r="2621" spans="7:12" x14ac:dyDescent="0.25">
      <c r="G2621" s="136">
        <v>43413</v>
      </c>
      <c r="H2621" t="s">
        <v>25</v>
      </c>
      <c r="I2621" t="s">
        <v>63</v>
      </c>
      <c r="J2621" t="s">
        <v>403</v>
      </c>
      <c r="K2621" s="138">
        <v>48</v>
      </c>
      <c r="L2621" s="137">
        <v>0</v>
      </c>
    </row>
    <row r="2622" spans="7:12" x14ac:dyDescent="0.25">
      <c r="G2622" s="136">
        <v>43413</v>
      </c>
      <c r="H2622" t="s">
        <v>25</v>
      </c>
      <c r="I2622" t="s">
        <v>63</v>
      </c>
      <c r="J2622" t="s">
        <v>403</v>
      </c>
      <c r="K2622" s="138">
        <v>40</v>
      </c>
      <c r="L2622" s="137">
        <v>0</v>
      </c>
    </row>
    <row r="2623" spans="7:12" x14ac:dyDescent="0.25">
      <c r="G2623" s="136">
        <v>43413</v>
      </c>
      <c r="H2623" t="s">
        <v>25</v>
      </c>
      <c r="I2623" t="s">
        <v>63</v>
      </c>
      <c r="J2623" t="s">
        <v>403</v>
      </c>
      <c r="K2623" s="138">
        <v>16</v>
      </c>
      <c r="L2623" s="137">
        <v>0</v>
      </c>
    </row>
    <row r="2624" spans="7:12" x14ac:dyDescent="0.25">
      <c r="G2624" s="136">
        <v>43413</v>
      </c>
      <c r="H2624" t="s">
        <v>25</v>
      </c>
      <c r="I2624" t="s">
        <v>63</v>
      </c>
      <c r="J2624" t="s">
        <v>403</v>
      </c>
      <c r="K2624" s="138">
        <v>8</v>
      </c>
      <c r="L2624" s="137">
        <v>0</v>
      </c>
    </row>
    <row r="2625" spans="7:12" x14ac:dyDescent="0.25">
      <c r="G2625" s="136">
        <v>43413</v>
      </c>
      <c r="H2625" t="s">
        <v>25</v>
      </c>
      <c r="I2625" t="s">
        <v>230</v>
      </c>
      <c r="J2625" t="s">
        <v>404</v>
      </c>
      <c r="K2625" s="138">
        <v>940.44</v>
      </c>
      <c r="L2625" s="137">
        <v>0</v>
      </c>
    </row>
    <row r="2626" spans="7:12" x14ac:dyDescent="0.25">
      <c r="G2626" s="136">
        <v>43413</v>
      </c>
      <c r="H2626" t="s">
        <v>25</v>
      </c>
      <c r="I2626" t="s">
        <v>230</v>
      </c>
      <c r="J2626" t="s">
        <v>404</v>
      </c>
      <c r="K2626" s="138">
        <v>722.42</v>
      </c>
      <c r="L2626" s="137">
        <v>0</v>
      </c>
    </row>
    <row r="2627" spans="7:12" x14ac:dyDescent="0.25">
      <c r="G2627" s="136">
        <v>43413</v>
      </c>
      <c r="H2627" t="s">
        <v>25</v>
      </c>
      <c r="I2627" t="s">
        <v>230</v>
      </c>
      <c r="J2627" t="s">
        <v>404</v>
      </c>
      <c r="K2627" s="138">
        <v>713.18</v>
      </c>
      <c r="L2627" s="137">
        <v>0</v>
      </c>
    </row>
    <row r="2628" spans="7:12" x14ac:dyDescent="0.25">
      <c r="G2628" s="136">
        <v>43413</v>
      </c>
      <c r="H2628" t="s">
        <v>25</v>
      </c>
      <c r="I2628" t="s">
        <v>230</v>
      </c>
      <c r="J2628" t="s">
        <v>404</v>
      </c>
      <c r="K2628" s="138">
        <v>653.28</v>
      </c>
      <c r="L2628" s="137">
        <v>0</v>
      </c>
    </row>
    <row r="2629" spans="7:12" x14ac:dyDescent="0.25">
      <c r="G2629" s="136">
        <v>43413</v>
      </c>
      <c r="H2629" t="s">
        <v>25</v>
      </c>
      <c r="I2629" t="s">
        <v>230</v>
      </c>
      <c r="J2629" t="s">
        <v>404</v>
      </c>
      <c r="K2629" s="138">
        <v>590.33000000000004</v>
      </c>
      <c r="L2629" s="137">
        <v>0</v>
      </c>
    </row>
    <row r="2630" spans="7:12" x14ac:dyDescent="0.25">
      <c r="G2630" s="136">
        <v>43413</v>
      </c>
      <c r="H2630" t="s">
        <v>25</v>
      </c>
      <c r="I2630" t="s">
        <v>230</v>
      </c>
      <c r="J2630" t="s">
        <v>404</v>
      </c>
      <c r="K2630" s="138">
        <v>563.80999999999995</v>
      </c>
      <c r="L2630" s="137">
        <v>0</v>
      </c>
    </row>
    <row r="2631" spans="7:12" x14ac:dyDescent="0.25">
      <c r="G2631" s="136">
        <v>43413</v>
      </c>
      <c r="H2631" t="s">
        <v>25</v>
      </c>
      <c r="I2631" t="s">
        <v>230</v>
      </c>
      <c r="J2631" t="s">
        <v>404</v>
      </c>
      <c r="K2631" s="138">
        <v>508.37</v>
      </c>
      <c r="L2631" s="137">
        <v>0</v>
      </c>
    </row>
    <row r="2632" spans="7:12" x14ac:dyDescent="0.25">
      <c r="G2632" s="136">
        <v>43413</v>
      </c>
      <c r="H2632" t="s">
        <v>25</v>
      </c>
      <c r="I2632" t="s">
        <v>230</v>
      </c>
      <c r="J2632" t="s">
        <v>404</v>
      </c>
      <c r="K2632" s="138">
        <v>467.29</v>
      </c>
      <c r="L2632" s="137">
        <v>0</v>
      </c>
    </row>
    <row r="2633" spans="7:12" x14ac:dyDescent="0.25">
      <c r="G2633" s="136">
        <v>43413</v>
      </c>
      <c r="H2633" t="s">
        <v>25</v>
      </c>
      <c r="I2633" t="s">
        <v>230</v>
      </c>
      <c r="J2633" t="s">
        <v>404</v>
      </c>
      <c r="K2633" s="138">
        <v>460.64</v>
      </c>
      <c r="L2633" s="137">
        <v>0</v>
      </c>
    </row>
    <row r="2634" spans="7:12" x14ac:dyDescent="0.25">
      <c r="G2634" s="136">
        <v>43413</v>
      </c>
      <c r="H2634" t="s">
        <v>25</v>
      </c>
      <c r="I2634" t="s">
        <v>230</v>
      </c>
      <c r="J2634" t="s">
        <v>404</v>
      </c>
      <c r="K2634" s="138">
        <v>444.88</v>
      </c>
      <c r="L2634" s="137">
        <v>0</v>
      </c>
    </row>
    <row r="2635" spans="7:12" x14ac:dyDescent="0.25">
      <c r="G2635" s="136">
        <v>43413</v>
      </c>
      <c r="H2635" t="s">
        <v>25</v>
      </c>
      <c r="I2635" t="s">
        <v>230</v>
      </c>
      <c r="J2635" t="s">
        <v>404</v>
      </c>
      <c r="K2635" s="138">
        <v>329.37</v>
      </c>
      <c r="L2635" s="137">
        <v>0</v>
      </c>
    </row>
    <row r="2636" spans="7:12" x14ac:dyDescent="0.25">
      <c r="G2636" s="136">
        <v>43413</v>
      </c>
      <c r="H2636" t="s">
        <v>25</v>
      </c>
      <c r="I2636" t="s">
        <v>230</v>
      </c>
      <c r="J2636" t="s">
        <v>404</v>
      </c>
      <c r="K2636" s="138">
        <v>319.35000000000002</v>
      </c>
      <c r="L2636" s="137">
        <v>0</v>
      </c>
    </row>
    <row r="2637" spans="7:12" x14ac:dyDescent="0.25">
      <c r="G2637" s="136">
        <v>43413</v>
      </c>
      <c r="H2637" t="s">
        <v>25</v>
      </c>
      <c r="I2637" t="s">
        <v>230</v>
      </c>
      <c r="J2637" t="s">
        <v>404</v>
      </c>
      <c r="K2637" s="138">
        <v>302.99</v>
      </c>
      <c r="L2637" s="137">
        <v>0</v>
      </c>
    </row>
    <row r="2638" spans="7:12" x14ac:dyDescent="0.25">
      <c r="G2638" s="136">
        <v>43413</v>
      </c>
      <c r="H2638" t="s">
        <v>25</v>
      </c>
      <c r="I2638" t="s">
        <v>230</v>
      </c>
      <c r="J2638" t="s">
        <v>404</v>
      </c>
      <c r="K2638" s="138">
        <v>251.59</v>
      </c>
      <c r="L2638" s="137">
        <v>0</v>
      </c>
    </row>
    <row r="2639" spans="7:12" x14ac:dyDescent="0.25">
      <c r="G2639" s="136">
        <v>43413</v>
      </c>
      <c r="H2639" t="s">
        <v>25</v>
      </c>
      <c r="I2639" t="s">
        <v>230</v>
      </c>
      <c r="J2639" t="s">
        <v>404</v>
      </c>
      <c r="K2639" s="138">
        <v>214.21</v>
      </c>
      <c r="L2639" s="137">
        <v>0</v>
      </c>
    </row>
    <row r="2640" spans="7:12" x14ac:dyDescent="0.25">
      <c r="G2640" s="136">
        <v>43413</v>
      </c>
      <c r="H2640" t="s">
        <v>25</v>
      </c>
      <c r="I2640" t="s">
        <v>230</v>
      </c>
      <c r="J2640" t="s">
        <v>404</v>
      </c>
      <c r="K2640" s="138">
        <v>210.68</v>
      </c>
      <c r="L2640" s="137">
        <v>0</v>
      </c>
    </row>
    <row r="2641" spans="7:12" x14ac:dyDescent="0.25">
      <c r="G2641" s="136">
        <v>43413</v>
      </c>
      <c r="H2641" t="s">
        <v>25</v>
      </c>
      <c r="I2641" t="s">
        <v>230</v>
      </c>
      <c r="J2641" t="s">
        <v>404</v>
      </c>
      <c r="K2641" s="138">
        <v>209.54</v>
      </c>
      <c r="L2641" s="137">
        <v>0</v>
      </c>
    </row>
    <row r="2642" spans="7:12" x14ac:dyDescent="0.25">
      <c r="G2642" s="136">
        <v>43413</v>
      </c>
      <c r="H2642" t="s">
        <v>25</v>
      </c>
      <c r="I2642" t="s">
        <v>230</v>
      </c>
      <c r="J2642" t="s">
        <v>404</v>
      </c>
      <c r="K2642" s="138">
        <v>209.41</v>
      </c>
      <c r="L2642" s="137">
        <v>0</v>
      </c>
    </row>
    <row r="2643" spans="7:12" x14ac:dyDescent="0.25">
      <c r="G2643" s="136">
        <v>43413</v>
      </c>
      <c r="H2643" t="s">
        <v>25</v>
      </c>
      <c r="I2643" t="s">
        <v>230</v>
      </c>
      <c r="J2643" t="s">
        <v>404</v>
      </c>
      <c r="K2643" s="138">
        <v>179.88</v>
      </c>
      <c r="L2643" s="137">
        <v>0</v>
      </c>
    </row>
    <row r="2644" spans="7:12" x14ac:dyDescent="0.25">
      <c r="G2644" s="136">
        <v>43413</v>
      </c>
      <c r="H2644" t="s">
        <v>25</v>
      </c>
      <c r="I2644" t="s">
        <v>230</v>
      </c>
      <c r="J2644" t="s">
        <v>404</v>
      </c>
      <c r="K2644" s="138">
        <v>154.83000000000001</v>
      </c>
      <c r="L2644" s="137">
        <v>0</v>
      </c>
    </row>
    <row r="2645" spans="7:12" x14ac:dyDescent="0.25">
      <c r="G2645" s="136">
        <v>43413</v>
      </c>
      <c r="H2645" t="s">
        <v>25</v>
      </c>
      <c r="I2645" t="s">
        <v>230</v>
      </c>
      <c r="J2645" t="s">
        <v>404</v>
      </c>
      <c r="K2645" s="138">
        <v>152.76</v>
      </c>
      <c r="L2645" s="137">
        <v>0</v>
      </c>
    </row>
    <row r="2646" spans="7:12" x14ac:dyDescent="0.25">
      <c r="G2646" s="136">
        <v>43413</v>
      </c>
      <c r="H2646" t="s">
        <v>25</v>
      </c>
      <c r="I2646" t="s">
        <v>230</v>
      </c>
      <c r="J2646" t="s">
        <v>404</v>
      </c>
      <c r="K2646" s="138">
        <v>93.58</v>
      </c>
      <c r="L2646" s="137">
        <v>0</v>
      </c>
    </row>
    <row r="2647" spans="7:12" x14ac:dyDescent="0.25">
      <c r="G2647" s="136">
        <v>43413</v>
      </c>
      <c r="H2647" t="s">
        <v>25</v>
      </c>
      <c r="I2647" t="s">
        <v>230</v>
      </c>
      <c r="J2647" t="s">
        <v>404</v>
      </c>
      <c r="K2647" s="138">
        <v>78.69</v>
      </c>
      <c r="L2647" s="137">
        <v>0</v>
      </c>
    </row>
    <row r="2648" spans="7:12" x14ac:dyDescent="0.25">
      <c r="G2648" s="136">
        <v>43413</v>
      </c>
      <c r="H2648" t="s">
        <v>25</v>
      </c>
      <c r="I2648" t="s">
        <v>230</v>
      </c>
      <c r="J2648" t="s">
        <v>404</v>
      </c>
      <c r="K2648" s="138">
        <v>34.29</v>
      </c>
      <c r="L2648" s="137">
        <v>0</v>
      </c>
    </row>
    <row r="2649" spans="7:12" x14ac:dyDescent="0.25">
      <c r="G2649" s="136">
        <v>43413</v>
      </c>
      <c r="H2649" t="s">
        <v>25</v>
      </c>
      <c r="I2649" t="s">
        <v>230</v>
      </c>
      <c r="J2649" t="s">
        <v>404</v>
      </c>
      <c r="K2649" s="138">
        <v>28.76</v>
      </c>
      <c r="L2649" s="137">
        <v>0</v>
      </c>
    </row>
    <row r="2650" spans="7:12" x14ac:dyDescent="0.25">
      <c r="G2650" s="136">
        <v>43413</v>
      </c>
      <c r="H2650" t="s">
        <v>25</v>
      </c>
      <c r="I2650" t="s">
        <v>230</v>
      </c>
      <c r="J2650" t="s">
        <v>404</v>
      </c>
      <c r="K2650" s="138">
        <v>8.6199999999999992</v>
      </c>
      <c r="L2650" s="137">
        <v>0</v>
      </c>
    </row>
    <row r="2651" spans="7:12" x14ac:dyDescent="0.25">
      <c r="G2651" s="136">
        <v>43413</v>
      </c>
      <c r="H2651" t="s">
        <v>197</v>
      </c>
      <c r="I2651" t="s">
        <v>112</v>
      </c>
      <c r="J2651" t="s">
        <v>403</v>
      </c>
      <c r="K2651" s="138">
        <v>264.52</v>
      </c>
      <c r="L2651" s="137">
        <v>0</v>
      </c>
    </row>
    <row r="2652" spans="7:12" x14ac:dyDescent="0.25">
      <c r="G2652" s="136">
        <v>43413</v>
      </c>
      <c r="H2652" t="s">
        <v>197</v>
      </c>
      <c r="I2652" t="s">
        <v>155</v>
      </c>
      <c r="J2652" t="s">
        <v>403</v>
      </c>
      <c r="K2652" s="138">
        <v>64.61</v>
      </c>
      <c r="L2652" s="137">
        <v>0</v>
      </c>
    </row>
    <row r="2653" spans="7:12" x14ac:dyDescent="0.25">
      <c r="G2653" s="136">
        <v>43413</v>
      </c>
      <c r="H2653" t="s">
        <v>197</v>
      </c>
      <c r="I2653" t="s">
        <v>176</v>
      </c>
      <c r="J2653" t="s">
        <v>403</v>
      </c>
      <c r="K2653" s="138">
        <v>112.79</v>
      </c>
      <c r="L2653" s="137">
        <v>0</v>
      </c>
    </row>
    <row r="2654" spans="7:12" x14ac:dyDescent="0.25">
      <c r="G2654" s="136">
        <v>43413</v>
      </c>
      <c r="H2654" t="s">
        <v>180</v>
      </c>
      <c r="I2654" t="s">
        <v>230</v>
      </c>
      <c r="J2654" t="s">
        <v>404</v>
      </c>
      <c r="K2654" s="138">
        <v>10.58</v>
      </c>
      <c r="L2654" s="137">
        <v>0</v>
      </c>
    </row>
    <row r="2655" spans="7:12" x14ac:dyDescent="0.25">
      <c r="G2655" s="136">
        <v>43413</v>
      </c>
      <c r="H2655" t="s">
        <v>180</v>
      </c>
      <c r="I2655" t="s">
        <v>42</v>
      </c>
      <c r="J2655" t="s">
        <v>403</v>
      </c>
      <c r="K2655" s="138">
        <v>10</v>
      </c>
      <c r="L2655" s="137">
        <v>0</v>
      </c>
    </row>
    <row r="2656" spans="7:12" x14ac:dyDescent="0.25">
      <c r="G2656" s="136">
        <v>43413</v>
      </c>
      <c r="H2656" t="s">
        <v>179</v>
      </c>
      <c r="I2656" t="s">
        <v>230</v>
      </c>
      <c r="J2656" t="s">
        <v>404</v>
      </c>
      <c r="K2656" s="138">
        <v>986.6</v>
      </c>
      <c r="L2656" s="137">
        <v>0</v>
      </c>
    </row>
    <row r="2657" spans="7:12" x14ac:dyDescent="0.25">
      <c r="G2657" s="136">
        <v>43413</v>
      </c>
      <c r="H2657" t="s">
        <v>28</v>
      </c>
      <c r="I2657" t="s">
        <v>112</v>
      </c>
      <c r="J2657" t="s">
        <v>403</v>
      </c>
      <c r="K2657" s="138">
        <v>117.91</v>
      </c>
      <c r="L2657" s="137">
        <v>0</v>
      </c>
    </row>
    <row r="2658" spans="7:12" x14ac:dyDescent="0.25">
      <c r="G2658" s="136">
        <v>43413</v>
      </c>
      <c r="H2658" t="s">
        <v>28</v>
      </c>
      <c r="I2658" t="s">
        <v>112</v>
      </c>
      <c r="J2658" t="s">
        <v>403</v>
      </c>
      <c r="K2658" s="138">
        <v>42.97</v>
      </c>
      <c r="L2658" s="137">
        <v>0</v>
      </c>
    </row>
    <row r="2659" spans="7:12" x14ac:dyDescent="0.25">
      <c r="G2659" s="136">
        <v>43413</v>
      </c>
      <c r="H2659" t="s">
        <v>28</v>
      </c>
      <c r="I2659" t="s">
        <v>112</v>
      </c>
      <c r="J2659" t="s">
        <v>403</v>
      </c>
      <c r="K2659" s="138">
        <v>26.98</v>
      </c>
      <c r="L2659" s="137">
        <v>0</v>
      </c>
    </row>
    <row r="2660" spans="7:12" x14ac:dyDescent="0.25">
      <c r="G2660" s="136">
        <v>43413</v>
      </c>
      <c r="H2660" t="s">
        <v>28</v>
      </c>
      <c r="I2660" t="s">
        <v>155</v>
      </c>
      <c r="J2660" t="s">
        <v>403</v>
      </c>
      <c r="K2660" s="138">
        <v>175.13</v>
      </c>
      <c r="L2660" s="137">
        <v>0</v>
      </c>
    </row>
    <row r="2661" spans="7:12" x14ac:dyDescent="0.25">
      <c r="G2661" s="136">
        <v>43413</v>
      </c>
      <c r="H2661" t="s">
        <v>28</v>
      </c>
      <c r="I2661" t="s">
        <v>155</v>
      </c>
      <c r="J2661" t="s">
        <v>403</v>
      </c>
      <c r="K2661" s="138">
        <v>170.48</v>
      </c>
      <c r="L2661" s="137">
        <v>0</v>
      </c>
    </row>
    <row r="2662" spans="7:12" x14ac:dyDescent="0.25">
      <c r="G2662" s="136">
        <v>43413</v>
      </c>
      <c r="H2662" t="s">
        <v>28</v>
      </c>
      <c r="I2662" t="s">
        <v>155</v>
      </c>
      <c r="J2662" t="s">
        <v>403</v>
      </c>
      <c r="K2662" s="138">
        <v>99.56</v>
      </c>
      <c r="L2662" s="137">
        <v>0</v>
      </c>
    </row>
    <row r="2663" spans="7:12" x14ac:dyDescent="0.25">
      <c r="G2663" s="136">
        <v>43413</v>
      </c>
      <c r="H2663" t="s">
        <v>28</v>
      </c>
      <c r="I2663" t="s">
        <v>155</v>
      </c>
      <c r="J2663" t="s">
        <v>403</v>
      </c>
      <c r="K2663" s="138">
        <v>88.65</v>
      </c>
      <c r="L2663" s="137">
        <v>0</v>
      </c>
    </row>
    <row r="2664" spans="7:12" x14ac:dyDescent="0.25">
      <c r="G2664" s="136">
        <v>43413</v>
      </c>
      <c r="H2664" t="s">
        <v>28</v>
      </c>
      <c r="I2664" t="s">
        <v>155</v>
      </c>
      <c r="J2664" t="s">
        <v>403</v>
      </c>
      <c r="K2664" s="138">
        <v>52.5</v>
      </c>
      <c r="L2664" s="137">
        <v>0</v>
      </c>
    </row>
    <row r="2665" spans="7:12" x14ac:dyDescent="0.25">
      <c r="G2665" s="136">
        <v>43413</v>
      </c>
      <c r="H2665" t="s">
        <v>28</v>
      </c>
      <c r="I2665" t="s">
        <v>155</v>
      </c>
      <c r="J2665" t="s">
        <v>403</v>
      </c>
      <c r="K2665" s="138">
        <v>41.1</v>
      </c>
      <c r="L2665" s="137">
        <v>0</v>
      </c>
    </row>
    <row r="2666" spans="7:12" x14ac:dyDescent="0.25">
      <c r="G2666" s="136">
        <v>43413</v>
      </c>
      <c r="H2666" t="s">
        <v>28</v>
      </c>
      <c r="I2666" t="s">
        <v>155</v>
      </c>
      <c r="J2666" t="s">
        <v>403</v>
      </c>
      <c r="K2666" s="138">
        <v>39.200000000000003</v>
      </c>
      <c r="L2666" s="137">
        <v>0</v>
      </c>
    </row>
    <row r="2667" spans="7:12" x14ac:dyDescent="0.25">
      <c r="G2667" s="136">
        <v>43413</v>
      </c>
      <c r="H2667" t="s">
        <v>28</v>
      </c>
      <c r="I2667" t="s">
        <v>155</v>
      </c>
      <c r="J2667" t="s">
        <v>403</v>
      </c>
      <c r="K2667" s="138">
        <v>35.94</v>
      </c>
      <c r="L2667" s="137">
        <v>0</v>
      </c>
    </row>
    <row r="2668" spans="7:12" x14ac:dyDescent="0.25">
      <c r="G2668" s="136">
        <v>43413</v>
      </c>
      <c r="H2668" t="s">
        <v>28</v>
      </c>
      <c r="I2668" t="s">
        <v>155</v>
      </c>
      <c r="J2668" t="s">
        <v>403</v>
      </c>
      <c r="K2668" s="138">
        <v>33.770000000000003</v>
      </c>
      <c r="L2668" s="137">
        <v>0</v>
      </c>
    </row>
    <row r="2669" spans="7:12" x14ac:dyDescent="0.25">
      <c r="G2669" s="136">
        <v>43413</v>
      </c>
      <c r="H2669" t="s">
        <v>28</v>
      </c>
      <c r="I2669" t="s">
        <v>155</v>
      </c>
      <c r="J2669" t="s">
        <v>403</v>
      </c>
      <c r="K2669" s="138">
        <v>20.36</v>
      </c>
      <c r="L2669" s="137">
        <v>0</v>
      </c>
    </row>
    <row r="2670" spans="7:12" x14ac:dyDescent="0.25">
      <c r="G2670" s="136">
        <v>43413</v>
      </c>
      <c r="H2670" t="s">
        <v>28</v>
      </c>
      <c r="I2670" t="s">
        <v>155</v>
      </c>
      <c r="J2670" t="s">
        <v>403</v>
      </c>
      <c r="K2670" s="138">
        <v>18.34</v>
      </c>
      <c r="L2670" s="137">
        <v>0</v>
      </c>
    </row>
    <row r="2671" spans="7:12" x14ac:dyDescent="0.25">
      <c r="G2671" s="136">
        <v>43413</v>
      </c>
      <c r="H2671" t="s">
        <v>28</v>
      </c>
      <c r="I2671" t="s">
        <v>155</v>
      </c>
      <c r="J2671" t="s">
        <v>403</v>
      </c>
      <c r="K2671" s="138">
        <v>17.05</v>
      </c>
      <c r="L2671" s="137">
        <v>0</v>
      </c>
    </row>
    <row r="2672" spans="7:12" x14ac:dyDescent="0.25">
      <c r="G2672" s="136">
        <v>43413</v>
      </c>
      <c r="H2672" t="s">
        <v>28</v>
      </c>
      <c r="I2672" t="s">
        <v>66</v>
      </c>
      <c r="J2672" t="s">
        <v>136</v>
      </c>
      <c r="K2672" s="138">
        <v>12.1</v>
      </c>
      <c r="L2672" s="137">
        <v>0</v>
      </c>
    </row>
    <row r="2673" spans="7:12" x14ac:dyDescent="0.25">
      <c r="G2673" s="136">
        <v>43413</v>
      </c>
      <c r="H2673" t="s">
        <v>28</v>
      </c>
      <c r="I2673" t="s">
        <v>66</v>
      </c>
      <c r="J2673" t="s">
        <v>101</v>
      </c>
      <c r="K2673" s="138">
        <v>2.7</v>
      </c>
      <c r="L2673" s="137">
        <v>0</v>
      </c>
    </row>
    <row r="2674" spans="7:12" x14ac:dyDescent="0.25">
      <c r="G2674" s="136">
        <v>43413</v>
      </c>
      <c r="H2674" t="s">
        <v>28</v>
      </c>
      <c r="I2674" t="s">
        <v>66</v>
      </c>
      <c r="J2674" t="s">
        <v>105</v>
      </c>
      <c r="K2674" s="138">
        <v>15</v>
      </c>
      <c r="L2674" s="137">
        <v>0</v>
      </c>
    </row>
    <row r="2675" spans="7:12" x14ac:dyDescent="0.25">
      <c r="G2675" s="136">
        <v>43413</v>
      </c>
      <c r="H2675" t="s">
        <v>28</v>
      </c>
      <c r="I2675" t="s">
        <v>230</v>
      </c>
      <c r="J2675" t="s">
        <v>404</v>
      </c>
      <c r="K2675" s="138">
        <v>113.23</v>
      </c>
      <c r="L2675" s="137">
        <v>0</v>
      </c>
    </row>
    <row r="2676" spans="7:12" x14ac:dyDescent="0.25">
      <c r="G2676" s="136">
        <v>43413</v>
      </c>
      <c r="H2676" t="s">
        <v>28</v>
      </c>
      <c r="I2676" t="s">
        <v>230</v>
      </c>
      <c r="J2676" t="s">
        <v>404</v>
      </c>
      <c r="K2676" s="138">
        <v>38.81</v>
      </c>
      <c r="L2676" s="137">
        <v>0</v>
      </c>
    </row>
    <row r="2677" spans="7:12" x14ac:dyDescent="0.25">
      <c r="G2677" s="136">
        <v>43413</v>
      </c>
      <c r="H2677" t="s">
        <v>28</v>
      </c>
      <c r="I2677" t="s">
        <v>230</v>
      </c>
      <c r="J2677" t="s">
        <v>404</v>
      </c>
      <c r="K2677" s="138">
        <v>32.06</v>
      </c>
      <c r="L2677" s="137">
        <v>0</v>
      </c>
    </row>
    <row r="2678" spans="7:12" x14ac:dyDescent="0.25">
      <c r="G2678" s="136">
        <v>43413</v>
      </c>
      <c r="H2678" t="s">
        <v>28</v>
      </c>
      <c r="I2678" t="s">
        <v>230</v>
      </c>
      <c r="J2678" t="s">
        <v>404</v>
      </c>
      <c r="K2678" s="138">
        <v>28.4</v>
      </c>
      <c r="L2678" s="137">
        <v>0</v>
      </c>
    </row>
    <row r="2679" spans="7:12" x14ac:dyDescent="0.25">
      <c r="G2679" s="136">
        <v>43413</v>
      </c>
      <c r="H2679" t="s">
        <v>28</v>
      </c>
      <c r="I2679" t="s">
        <v>230</v>
      </c>
      <c r="J2679" t="s">
        <v>404</v>
      </c>
      <c r="K2679" s="138">
        <v>24.09</v>
      </c>
      <c r="L2679" s="137">
        <v>0</v>
      </c>
    </row>
    <row r="2680" spans="7:12" x14ac:dyDescent="0.25">
      <c r="G2680" s="136">
        <v>43413</v>
      </c>
      <c r="H2680" t="s">
        <v>28</v>
      </c>
      <c r="I2680" t="s">
        <v>230</v>
      </c>
      <c r="J2680" t="s">
        <v>404</v>
      </c>
      <c r="K2680" s="138">
        <v>17.36</v>
      </c>
      <c r="L2680" s="137">
        <v>0</v>
      </c>
    </row>
    <row r="2681" spans="7:12" x14ac:dyDescent="0.25">
      <c r="G2681" s="136">
        <v>43413</v>
      </c>
      <c r="H2681" t="s">
        <v>28</v>
      </c>
      <c r="I2681" t="s">
        <v>230</v>
      </c>
      <c r="J2681" t="s">
        <v>404</v>
      </c>
      <c r="K2681" s="138">
        <v>15.88</v>
      </c>
      <c r="L2681" s="137">
        <v>0</v>
      </c>
    </row>
    <row r="2682" spans="7:12" x14ac:dyDescent="0.25">
      <c r="G2682" s="136">
        <v>43416</v>
      </c>
      <c r="H2682" t="s">
        <v>192</v>
      </c>
      <c r="I2682" t="s">
        <v>163</v>
      </c>
      <c r="J2682" t="s">
        <v>405</v>
      </c>
      <c r="K2682" s="138">
        <v>96.8</v>
      </c>
      <c r="L2682" s="137">
        <v>0</v>
      </c>
    </row>
    <row r="2683" spans="7:12" x14ac:dyDescent="0.25">
      <c r="G2683" s="136">
        <v>43416</v>
      </c>
      <c r="H2683" t="s">
        <v>198</v>
      </c>
      <c r="I2683" t="s">
        <v>42</v>
      </c>
      <c r="J2683" t="s">
        <v>405</v>
      </c>
      <c r="K2683" s="138">
        <v>127.7</v>
      </c>
      <c r="L2683" s="137">
        <v>0</v>
      </c>
    </row>
    <row r="2684" spans="7:12" x14ac:dyDescent="0.25">
      <c r="G2684" s="136">
        <v>43416</v>
      </c>
      <c r="H2684" t="s">
        <v>183</v>
      </c>
      <c r="I2684" t="s">
        <v>63</v>
      </c>
      <c r="J2684" t="s">
        <v>405</v>
      </c>
      <c r="K2684" s="138">
        <v>40.25</v>
      </c>
      <c r="L2684" s="137">
        <v>0</v>
      </c>
    </row>
    <row r="2685" spans="7:12" x14ac:dyDescent="0.25">
      <c r="G2685" s="136">
        <v>43416</v>
      </c>
      <c r="H2685" t="s">
        <v>189</v>
      </c>
      <c r="I2685" t="s">
        <v>42</v>
      </c>
      <c r="J2685" t="s">
        <v>405</v>
      </c>
      <c r="K2685" s="138">
        <v>196</v>
      </c>
      <c r="L2685" s="137">
        <v>0</v>
      </c>
    </row>
    <row r="2686" spans="7:12" x14ac:dyDescent="0.25">
      <c r="G2686" s="136">
        <v>43416</v>
      </c>
      <c r="H2686" t="s">
        <v>25</v>
      </c>
      <c r="I2686" t="s">
        <v>63</v>
      </c>
      <c r="J2686" t="s">
        <v>405</v>
      </c>
      <c r="K2686" s="138">
        <v>160</v>
      </c>
      <c r="L2686" s="137">
        <v>0</v>
      </c>
    </row>
    <row r="2687" spans="7:12" x14ac:dyDescent="0.25">
      <c r="G2687" s="136">
        <v>43416</v>
      </c>
      <c r="H2687" t="s">
        <v>25</v>
      </c>
      <c r="I2687" t="s">
        <v>63</v>
      </c>
      <c r="J2687" t="s">
        <v>405</v>
      </c>
      <c r="K2687" s="138">
        <v>56</v>
      </c>
      <c r="L2687" s="137">
        <v>0</v>
      </c>
    </row>
    <row r="2688" spans="7:12" x14ac:dyDescent="0.25">
      <c r="G2688" s="136">
        <v>43416</v>
      </c>
      <c r="H2688" t="s">
        <v>25</v>
      </c>
      <c r="I2688" t="s">
        <v>63</v>
      </c>
      <c r="J2688" t="s">
        <v>405</v>
      </c>
      <c r="K2688" s="138">
        <v>24</v>
      </c>
      <c r="L2688" s="137">
        <v>0</v>
      </c>
    </row>
    <row r="2689" spans="7:12" x14ac:dyDescent="0.25">
      <c r="G2689" s="136">
        <v>43416</v>
      </c>
      <c r="H2689" t="s">
        <v>25</v>
      </c>
      <c r="I2689" t="s">
        <v>63</v>
      </c>
      <c r="J2689" t="s">
        <v>405</v>
      </c>
      <c r="K2689" s="138">
        <v>16</v>
      </c>
      <c r="L2689" s="137">
        <v>0</v>
      </c>
    </row>
    <row r="2690" spans="7:12" x14ac:dyDescent="0.25">
      <c r="G2690" s="136">
        <v>43416</v>
      </c>
      <c r="H2690" t="s">
        <v>25</v>
      </c>
      <c r="I2690" t="s">
        <v>63</v>
      </c>
      <c r="J2690" t="s">
        <v>405</v>
      </c>
      <c r="K2690" s="138">
        <v>8</v>
      </c>
      <c r="L2690" s="137">
        <v>0</v>
      </c>
    </row>
    <row r="2691" spans="7:12" x14ac:dyDescent="0.25">
      <c r="G2691" s="136">
        <v>43416</v>
      </c>
      <c r="H2691" t="s">
        <v>25</v>
      </c>
      <c r="I2691" t="s">
        <v>42</v>
      </c>
      <c r="J2691" t="s">
        <v>405</v>
      </c>
      <c r="K2691" s="138">
        <v>165.3</v>
      </c>
      <c r="L2691" s="137">
        <v>0</v>
      </c>
    </row>
    <row r="2692" spans="7:12" x14ac:dyDescent="0.25">
      <c r="G2692" s="136">
        <v>43416</v>
      </c>
      <c r="H2692" t="s">
        <v>25</v>
      </c>
      <c r="I2692" t="s">
        <v>42</v>
      </c>
      <c r="J2692" t="s">
        <v>405</v>
      </c>
      <c r="K2692" s="138">
        <v>62.6</v>
      </c>
      <c r="L2692" s="137">
        <v>0</v>
      </c>
    </row>
    <row r="2693" spans="7:12" x14ac:dyDescent="0.25">
      <c r="G2693" s="136">
        <v>43416</v>
      </c>
      <c r="H2693" t="s">
        <v>201</v>
      </c>
      <c r="I2693" t="s">
        <v>42</v>
      </c>
      <c r="J2693" t="s">
        <v>405</v>
      </c>
      <c r="K2693" s="138">
        <v>160.46</v>
      </c>
      <c r="L2693" s="137">
        <v>0</v>
      </c>
    </row>
    <row r="2694" spans="7:12" x14ac:dyDescent="0.25">
      <c r="G2694" s="136">
        <v>43416</v>
      </c>
      <c r="H2694" t="s">
        <v>181</v>
      </c>
      <c r="I2694" t="s">
        <v>42</v>
      </c>
      <c r="J2694" t="s">
        <v>405</v>
      </c>
      <c r="K2694" s="138">
        <v>115</v>
      </c>
      <c r="L2694" s="137">
        <v>0</v>
      </c>
    </row>
    <row r="2695" spans="7:12" x14ac:dyDescent="0.25">
      <c r="G2695" s="136">
        <v>43416</v>
      </c>
      <c r="H2695" t="s">
        <v>197</v>
      </c>
      <c r="I2695" t="s">
        <v>42</v>
      </c>
      <c r="J2695" t="s">
        <v>405</v>
      </c>
      <c r="K2695" s="138">
        <v>17</v>
      </c>
      <c r="L2695" s="137">
        <v>0</v>
      </c>
    </row>
    <row r="2696" spans="7:12" x14ac:dyDescent="0.25">
      <c r="G2696" s="136">
        <v>43416</v>
      </c>
      <c r="H2696" t="s">
        <v>187</v>
      </c>
      <c r="I2696" t="s">
        <v>42</v>
      </c>
      <c r="J2696" t="s">
        <v>405</v>
      </c>
      <c r="K2696" s="138">
        <v>215.17</v>
      </c>
      <c r="L2696" s="137">
        <v>0</v>
      </c>
    </row>
    <row r="2697" spans="7:12" x14ac:dyDescent="0.25">
      <c r="G2697" s="136">
        <v>43416</v>
      </c>
      <c r="H2697" t="s">
        <v>196</v>
      </c>
      <c r="I2697" t="s">
        <v>42</v>
      </c>
      <c r="J2697" t="s">
        <v>405</v>
      </c>
      <c r="K2697" s="138">
        <v>73.680000000000007</v>
      </c>
      <c r="L2697" s="137">
        <v>0</v>
      </c>
    </row>
    <row r="2698" spans="7:12" x14ac:dyDescent="0.25">
      <c r="G2698" s="136">
        <v>43416</v>
      </c>
      <c r="H2698" t="s">
        <v>179</v>
      </c>
      <c r="I2698" t="s">
        <v>63</v>
      </c>
      <c r="J2698" t="s">
        <v>405</v>
      </c>
      <c r="K2698" s="138">
        <v>77.7</v>
      </c>
      <c r="L2698" s="137">
        <v>0</v>
      </c>
    </row>
    <row r="2699" spans="7:12" x14ac:dyDescent="0.25">
      <c r="G2699" s="136">
        <v>43416</v>
      </c>
      <c r="H2699" t="s">
        <v>179</v>
      </c>
      <c r="I2699" t="s">
        <v>163</v>
      </c>
      <c r="J2699" t="s">
        <v>405</v>
      </c>
      <c r="K2699" s="138">
        <v>54.66</v>
      </c>
      <c r="L2699" s="137">
        <v>0</v>
      </c>
    </row>
    <row r="2700" spans="7:12" x14ac:dyDescent="0.25">
      <c r="G2700" s="136">
        <v>43416</v>
      </c>
      <c r="H2700" t="s">
        <v>28</v>
      </c>
      <c r="I2700" t="s">
        <v>163</v>
      </c>
      <c r="J2700" t="s">
        <v>405</v>
      </c>
      <c r="K2700" s="138">
        <v>26.24</v>
      </c>
      <c r="L2700" s="137">
        <v>0</v>
      </c>
    </row>
    <row r="2701" spans="7:12" x14ac:dyDescent="0.25">
      <c r="G2701" s="136">
        <v>43416</v>
      </c>
      <c r="H2701" t="s">
        <v>28</v>
      </c>
      <c r="I2701" t="s">
        <v>66</v>
      </c>
      <c r="J2701" t="s">
        <v>276</v>
      </c>
      <c r="K2701" s="138">
        <v>6.85</v>
      </c>
      <c r="L2701" s="137">
        <v>0</v>
      </c>
    </row>
    <row r="2702" spans="7:12" x14ac:dyDescent="0.25">
      <c r="G2702" s="136">
        <v>43416</v>
      </c>
      <c r="H2702" t="s">
        <v>28</v>
      </c>
      <c r="I2702" t="s">
        <v>42</v>
      </c>
      <c r="J2702" t="s">
        <v>405</v>
      </c>
      <c r="K2702" s="138">
        <v>51.6</v>
      </c>
      <c r="L2702" s="137">
        <v>0</v>
      </c>
    </row>
    <row r="2703" spans="7:12" x14ac:dyDescent="0.25">
      <c r="G2703" s="136">
        <v>43417</v>
      </c>
      <c r="H2703" t="s">
        <v>27</v>
      </c>
      <c r="I2703" t="s">
        <v>63</v>
      </c>
      <c r="J2703" t="s">
        <v>406</v>
      </c>
      <c r="K2703" s="138">
        <v>8</v>
      </c>
      <c r="L2703" s="137">
        <v>0</v>
      </c>
    </row>
    <row r="2704" spans="7:12" x14ac:dyDescent="0.25">
      <c r="G2704" s="136">
        <v>43417</v>
      </c>
      <c r="H2704" t="s">
        <v>183</v>
      </c>
      <c r="I2704" t="s">
        <v>155</v>
      </c>
      <c r="J2704" t="s">
        <v>406</v>
      </c>
      <c r="K2704" s="138">
        <v>351.69</v>
      </c>
      <c r="L2704" s="137">
        <v>0</v>
      </c>
    </row>
    <row r="2705" spans="7:12" x14ac:dyDescent="0.25">
      <c r="G2705" s="136">
        <v>43417</v>
      </c>
      <c r="H2705" t="s">
        <v>191</v>
      </c>
      <c r="I2705" t="s">
        <v>42</v>
      </c>
      <c r="J2705" t="s">
        <v>406</v>
      </c>
      <c r="K2705" s="138">
        <v>71.3</v>
      </c>
      <c r="L2705" s="137">
        <v>0</v>
      </c>
    </row>
    <row r="2706" spans="7:12" x14ac:dyDescent="0.25">
      <c r="G2706" s="136">
        <v>43417</v>
      </c>
      <c r="H2706" t="s">
        <v>25</v>
      </c>
      <c r="I2706" t="s">
        <v>63</v>
      </c>
      <c r="J2706" t="s">
        <v>406</v>
      </c>
      <c r="K2706" s="138">
        <v>56</v>
      </c>
      <c r="L2706" s="137">
        <v>0</v>
      </c>
    </row>
    <row r="2707" spans="7:12" x14ac:dyDescent="0.25">
      <c r="G2707" s="136">
        <v>43417</v>
      </c>
      <c r="H2707" t="s">
        <v>25</v>
      </c>
      <c r="I2707" t="s">
        <v>63</v>
      </c>
      <c r="J2707" t="s">
        <v>406</v>
      </c>
      <c r="K2707" s="138">
        <v>24</v>
      </c>
      <c r="L2707" s="137">
        <v>0</v>
      </c>
    </row>
    <row r="2708" spans="7:12" x14ac:dyDescent="0.25">
      <c r="G2708" s="136">
        <v>43417</v>
      </c>
      <c r="H2708" t="s">
        <v>25</v>
      </c>
      <c r="I2708" t="s">
        <v>63</v>
      </c>
      <c r="J2708" t="s">
        <v>406</v>
      </c>
      <c r="K2708" s="138">
        <v>16</v>
      </c>
      <c r="L2708" s="137">
        <v>0</v>
      </c>
    </row>
    <row r="2709" spans="7:12" x14ac:dyDescent="0.25">
      <c r="G2709" s="136">
        <v>43417</v>
      </c>
      <c r="H2709" t="s">
        <v>25</v>
      </c>
      <c r="I2709" t="s">
        <v>63</v>
      </c>
      <c r="J2709" t="s">
        <v>406</v>
      </c>
      <c r="K2709" s="138">
        <v>8</v>
      </c>
      <c r="L2709" s="137">
        <v>0</v>
      </c>
    </row>
    <row r="2710" spans="7:12" x14ac:dyDescent="0.25">
      <c r="G2710" s="136">
        <v>43417</v>
      </c>
      <c r="H2710" t="s">
        <v>25</v>
      </c>
      <c r="I2710" t="s">
        <v>42</v>
      </c>
      <c r="J2710" t="s">
        <v>406</v>
      </c>
      <c r="K2710" s="138">
        <v>216</v>
      </c>
      <c r="L2710" s="137">
        <v>0</v>
      </c>
    </row>
    <row r="2711" spans="7:12" x14ac:dyDescent="0.25">
      <c r="G2711" s="136">
        <v>43417</v>
      </c>
      <c r="H2711" t="s">
        <v>25</v>
      </c>
      <c r="I2711" t="s">
        <v>42</v>
      </c>
      <c r="J2711" t="s">
        <v>406</v>
      </c>
      <c r="K2711" s="138">
        <v>108</v>
      </c>
      <c r="L2711" s="137">
        <v>0</v>
      </c>
    </row>
    <row r="2712" spans="7:12" x14ac:dyDescent="0.25">
      <c r="G2712" s="136">
        <v>43417</v>
      </c>
      <c r="H2712" t="s">
        <v>187</v>
      </c>
      <c r="I2712" t="s">
        <v>42</v>
      </c>
      <c r="J2712" t="s">
        <v>406</v>
      </c>
      <c r="K2712" s="138">
        <v>167.82</v>
      </c>
      <c r="L2712" s="137">
        <v>0</v>
      </c>
    </row>
    <row r="2713" spans="7:12" x14ac:dyDescent="0.25">
      <c r="G2713" s="136">
        <v>43417</v>
      </c>
      <c r="H2713" t="s">
        <v>179</v>
      </c>
      <c r="I2713" t="s">
        <v>112</v>
      </c>
      <c r="J2713" t="s">
        <v>406</v>
      </c>
      <c r="K2713" s="138">
        <v>19</v>
      </c>
      <c r="L2713" s="137">
        <v>0</v>
      </c>
    </row>
    <row r="2714" spans="7:12" x14ac:dyDescent="0.25">
      <c r="G2714" s="136">
        <v>43417</v>
      </c>
      <c r="H2714" t="s">
        <v>28</v>
      </c>
      <c r="I2714" t="s">
        <v>163</v>
      </c>
      <c r="J2714" t="s">
        <v>406</v>
      </c>
      <c r="K2714" s="138">
        <v>165.4</v>
      </c>
      <c r="L2714" s="137">
        <v>0</v>
      </c>
    </row>
    <row r="2715" spans="7:12" x14ac:dyDescent="0.25">
      <c r="G2715" s="136">
        <v>43417</v>
      </c>
      <c r="H2715" t="s">
        <v>28</v>
      </c>
      <c r="I2715" t="s">
        <v>178</v>
      </c>
      <c r="J2715" t="s">
        <v>406</v>
      </c>
      <c r="K2715" s="138">
        <v>20</v>
      </c>
      <c r="L2715" s="137">
        <v>0</v>
      </c>
    </row>
    <row r="2716" spans="7:12" x14ac:dyDescent="0.25">
      <c r="G2716" s="136">
        <v>43417</v>
      </c>
      <c r="H2716" t="s">
        <v>28</v>
      </c>
      <c r="I2716" t="s">
        <v>112</v>
      </c>
      <c r="J2716" t="s">
        <v>406</v>
      </c>
      <c r="K2716" s="138">
        <v>50.33</v>
      </c>
      <c r="L2716" s="137">
        <v>0</v>
      </c>
    </row>
    <row r="2717" spans="7:12" x14ac:dyDescent="0.25">
      <c r="G2717" s="136">
        <v>43417</v>
      </c>
      <c r="H2717" t="s">
        <v>28</v>
      </c>
      <c r="I2717" t="s">
        <v>155</v>
      </c>
      <c r="J2717" t="s">
        <v>406</v>
      </c>
      <c r="K2717" s="138">
        <v>145.18</v>
      </c>
      <c r="L2717" s="137">
        <v>0</v>
      </c>
    </row>
    <row r="2718" spans="7:12" x14ac:dyDescent="0.25">
      <c r="G2718" s="136">
        <v>43417</v>
      </c>
      <c r="H2718" t="s">
        <v>28</v>
      </c>
      <c r="I2718" t="s">
        <v>155</v>
      </c>
      <c r="J2718" t="s">
        <v>406</v>
      </c>
      <c r="K2718" s="138">
        <v>87.62</v>
      </c>
      <c r="L2718" s="137">
        <v>0</v>
      </c>
    </row>
    <row r="2719" spans="7:12" x14ac:dyDescent="0.25">
      <c r="G2719" s="136">
        <v>43417</v>
      </c>
      <c r="H2719" t="s">
        <v>28</v>
      </c>
      <c r="I2719" t="s">
        <v>155</v>
      </c>
      <c r="J2719" t="s">
        <v>406</v>
      </c>
      <c r="K2719" s="138">
        <v>35</v>
      </c>
      <c r="L2719" s="137">
        <v>0</v>
      </c>
    </row>
    <row r="2720" spans="7:12" x14ac:dyDescent="0.25">
      <c r="G2720" s="136">
        <v>43417</v>
      </c>
      <c r="H2720" t="s">
        <v>28</v>
      </c>
      <c r="I2720" t="s">
        <v>66</v>
      </c>
      <c r="J2720" t="s">
        <v>134</v>
      </c>
      <c r="K2720" s="138">
        <v>2.25</v>
      </c>
      <c r="L2720" s="137">
        <v>0</v>
      </c>
    </row>
    <row r="2721" spans="7:12" x14ac:dyDescent="0.25">
      <c r="G2721" s="136">
        <v>43417</v>
      </c>
      <c r="H2721" t="s">
        <v>28</v>
      </c>
      <c r="I2721" t="s">
        <v>66</v>
      </c>
      <c r="J2721" t="s">
        <v>101</v>
      </c>
      <c r="K2721" s="138">
        <v>3</v>
      </c>
      <c r="L2721" s="137">
        <v>0</v>
      </c>
    </row>
    <row r="2722" spans="7:12" x14ac:dyDescent="0.25">
      <c r="G2722" s="136">
        <v>43418</v>
      </c>
      <c r="H2722" t="s">
        <v>185</v>
      </c>
      <c r="I2722" t="s">
        <v>42</v>
      </c>
      <c r="J2722" t="s">
        <v>407</v>
      </c>
      <c r="K2722" s="138">
        <v>10</v>
      </c>
      <c r="L2722" s="137">
        <v>0</v>
      </c>
    </row>
    <row r="2723" spans="7:12" x14ac:dyDescent="0.25">
      <c r="G2723" s="136">
        <v>43418</v>
      </c>
      <c r="H2723" t="s">
        <v>25</v>
      </c>
      <c r="I2723" t="s">
        <v>63</v>
      </c>
      <c r="J2723" t="s">
        <v>407</v>
      </c>
      <c r="K2723" s="138">
        <v>40</v>
      </c>
      <c r="L2723" s="137">
        <v>0</v>
      </c>
    </row>
    <row r="2724" spans="7:12" x14ac:dyDescent="0.25">
      <c r="G2724" s="136">
        <v>43418</v>
      </c>
      <c r="H2724" t="s">
        <v>25</v>
      </c>
      <c r="I2724" t="s">
        <v>63</v>
      </c>
      <c r="J2724" t="s">
        <v>407</v>
      </c>
      <c r="K2724" s="138">
        <v>32</v>
      </c>
      <c r="L2724" s="137">
        <v>0</v>
      </c>
    </row>
    <row r="2725" spans="7:12" x14ac:dyDescent="0.25">
      <c r="G2725" s="136">
        <v>43418</v>
      </c>
      <c r="H2725" t="s">
        <v>25</v>
      </c>
      <c r="I2725" t="s">
        <v>63</v>
      </c>
      <c r="J2725" t="s">
        <v>407</v>
      </c>
      <c r="K2725" s="138">
        <v>16</v>
      </c>
      <c r="L2725" s="137">
        <v>0</v>
      </c>
    </row>
    <row r="2726" spans="7:12" x14ac:dyDescent="0.25">
      <c r="G2726" s="136">
        <v>43418</v>
      </c>
      <c r="H2726" t="s">
        <v>25</v>
      </c>
      <c r="I2726" t="s">
        <v>63</v>
      </c>
      <c r="J2726" t="s">
        <v>407</v>
      </c>
      <c r="K2726" s="138">
        <v>8</v>
      </c>
      <c r="L2726" s="137">
        <v>0</v>
      </c>
    </row>
    <row r="2727" spans="7:12" x14ac:dyDescent="0.25">
      <c r="G2727" s="136">
        <v>43418</v>
      </c>
      <c r="H2727" t="s">
        <v>181</v>
      </c>
      <c r="I2727" t="s">
        <v>42</v>
      </c>
      <c r="J2727" t="s">
        <v>407</v>
      </c>
      <c r="K2727" s="138">
        <v>27</v>
      </c>
      <c r="L2727" s="137">
        <v>0</v>
      </c>
    </row>
    <row r="2728" spans="7:12" x14ac:dyDescent="0.25">
      <c r="G2728" s="136">
        <v>43419</v>
      </c>
      <c r="H2728" t="s">
        <v>203</v>
      </c>
      <c r="I2728" t="s">
        <v>171</v>
      </c>
      <c r="J2728" t="s">
        <v>409</v>
      </c>
      <c r="K2728" s="138">
        <v>443.8</v>
      </c>
      <c r="L2728" s="137">
        <v>0</v>
      </c>
    </row>
    <row r="2729" spans="7:12" x14ac:dyDescent="0.25">
      <c r="G2729" s="136">
        <v>43419</v>
      </c>
      <c r="H2729" t="s">
        <v>188</v>
      </c>
      <c r="I2729" t="s">
        <v>171</v>
      </c>
      <c r="J2729" t="s">
        <v>409</v>
      </c>
      <c r="K2729" s="138">
        <v>180.2</v>
      </c>
      <c r="L2729" s="137">
        <v>0</v>
      </c>
    </row>
    <row r="2730" spans="7:12" x14ac:dyDescent="0.25">
      <c r="G2730" s="136">
        <v>43419</v>
      </c>
      <c r="H2730" t="s">
        <v>25</v>
      </c>
      <c r="I2730" t="s">
        <v>63</v>
      </c>
      <c r="J2730" t="s">
        <v>409</v>
      </c>
      <c r="K2730" s="138">
        <v>24</v>
      </c>
      <c r="L2730" s="137">
        <v>0</v>
      </c>
    </row>
    <row r="2731" spans="7:12" x14ac:dyDescent="0.25">
      <c r="G2731" s="136">
        <v>43419</v>
      </c>
      <c r="H2731" t="s">
        <v>25</v>
      </c>
      <c r="I2731" t="s">
        <v>63</v>
      </c>
      <c r="J2731" t="s">
        <v>409</v>
      </c>
      <c r="K2731" s="138">
        <v>16</v>
      </c>
      <c r="L2731" s="137">
        <v>0</v>
      </c>
    </row>
    <row r="2732" spans="7:12" x14ac:dyDescent="0.25">
      <c r="G2732" s="136">
        <v>43419</v>
      </c>
      <c r="H2732" t="s">
        <v>182</v>
      </c>
      <c r="I2732" t="s">
        <v>112</v>
      </c>
      <c r="J2732" t="s">
        <v>409</v>
      </c>
      <c r="K2732" s="138">
        <v>246.37</v>
      </c>
      <c r="L2732" s="137">
        <v>0</v>
      </c>
    </row>
    <row r="2733" spans="7:12" x14ac:dyDescent="0.25">
      <c r="G2733" s="136">
        <v>43419</v>
      </c>
      <c r="H2733" t="s">
        <v>196</v>
      </c>
      <c r="I2733" t="s">
        <v>171</v>
      </c>
      <c r="J2733" t="s">
        <v>409</v>
      </c>
      <c r="K2733" s="138">
        <v>200.5</v>
      </c>
      <c r="L2733" s="137">
        <v>0</v>
      </c>
    </row>
    <row r="2734" spans="7:12" x14ac:dyDescent="0.25">
      <c r="G2734" s="136">
        <v>43419</v>
      </c>
      <c r="H2734" t="s">
        <v>28</v>
      </c>
      <c r="I2734" t="s">
        <v>66</v>
      </c>
      <c r="J2734" t="s">
        <v>104</v>
      </c>
      <c r="K2734" s="138">
        <v>1.8</v>
      </c>
      <c r="L2734" s="137">
        <v>0</v>
      </c>
    </row>
    <row r="2735" spans="7:12" x14ac:dyDescent="0.25">
      <c r="G2735" s="136">
        <v>43419</v>
      </c>
      <c r="H2735" t="s">
        <v>28</v>
      </c>
      <c r="I2735" t="s">
        <v>66</v>
      </c>
      <c r="J2735" t="s">
        <v>408</v>
      </c>
      <c r="K2735" s="138">
        <v>3</v>
      </c>
      <c r="L2735" s="137">
        <v>0</v>
      </c>
    </row>
    <row r="2736" spans="7:12" x14ac:dyDescent="0.25">
      <c r="G2736" s="136">
        <v>43420</v>
      </c>
      <c r="H2736" t="s">
        <v>203</v>
      </c>
      <c r="I2736" t="s">
        <v>112</v>
      </c>
      <c r="J2736" t="s">
        <v>410</v>
      </c>
      <c r="K2736" s="138">
        <v>94.88</v>
      </c>
      <c r="L2736" s="137">
        <v>0</v>
      </c>
    </row>
    <row r="2737" spans="7:12" x14ac:dyDescent="0.25">
      <c r="G2737" s="136">
        <v>43420</v>
      </c>
      <c r="H2737" t="s">
        <v>203</v>
      </c>
      <c r="I2737" t="s">
        <v>42</v>
      </c>
      <c r="J2737" t="s">
        <v>410</v>
      </c>
      <c r="K2737" s="138">
        <v>32.33</v>
      </c>
      <c r="L2737" s="137">
        <v>0</v>
      </c>
    </row>
    <row r="2738" spans="7:12" x14ac:dyDescent="0.25">
      <c r="G2738" s="136">
        <v>43420</v>
      </c>
      <c r="H2738" t="s">
        <v>199</v>
      </c>
      <c r="I2738" t="s">
        <v>42</v>
      </c>
      <c r="J2738" t="s">
        <v>410</v>
      </c>
      <c r="K2738" s="138">
        <v>212.39</v>
      </c>
      <c r="L2738" s="137">
        <v>0</v>
      </c>
    </row>
    <row r="2739" spans="7:12" x14ac:dyDescent="0.25">
      <c r="G2739" s="136">
        <v>43420</v>
      </c>
      <c r="H2739" t="s">
        <v>184</v>
      </c>
      <c r="I2739" t="s">
        <v>171</v>
      </c>
      <c r="J2739" t="s">
        <v>410</v>
      </c>
      <c r="K2739" s="138">
        <v>45</v>
      </c>
      <c r="L2739" s="137">
        <v>0</v>
      </c>
    </row>
    <row r="2740" spans="7:12" x14ac:dyDescent="0.25">
      <c r="G2740" s="136">
        <v>43420</v>
      </c>
      <c r="H2740" t="s">
        <v>183</v>
      </c>
      <c r="I2740" t="s">
        <v>42</v>
      </c>
      <c r="J2740" t="s">
        <v>410</v>
      </c>
      <c r="K2740" s="138">
        <v>29.04</v>
      </c>
      <c r="L2740" s="137">
        <v>0</v>
      </c>
    </row>
    <row r="2741" spans="7:12" x14ac:dyDescent="0.25">
      <c r="G2741" s="136">
        <v>43420</v>
      </c>
      <c r="H2741" t="s">
        <v>208</v>
      </c>
      <c r="I2741" t="s">
        <v>42</v>
      </c>
      <c r="J2741" t="s">
        <v>410</v>
      </c>
      <c r="K2741" s="138">
        <v>195</v>
      </c>
      <c r="L2741" s="137">
        <v>0</v>
      </c>
    </row>
    <row r="2742" spans="7:12" x14ac:dyDescent="0.25">
      <c r="G2742" s="136">
        <v>43420</v>
      </c>
      <c r="H2742" t="s">
        <v>208</v>
      </c>
      <c r="I2742" t="s">
        <v>171</v>
      </c>
      <c r="J2742" t="s">
        <v>410</v>
      </c>
      <c r="K2742" s="138">
        <v>280</v>
      </c>
      <c r="L2742" s="137">
        <v>0</v>
      </c>
    </row>
    <row r="2743" spans="7:12" x14ac:dyDescent="0.25">
      <c r="G2743" s="136">
        <v>43420</v>
      </c>
      <c r="H2743" t="s">
        <v>190</v>
      </c>
      <c r="I2743" t="s">
        <v>42</v>
      </c>
      <c r="J2743" t="s">
        <v>410</v>
      </c>
      <c r="K2743" s="138">
        <v>6.63</v>
      </c>
      <c r="L2743" s="137">
        <v>0</v>
      </c>
    </row>
    <row r="2744" spans="7:12" x14ac:dyDescent="0.25">
      <c r="G2744" s="136">
        <v>43420</v>
      </c>
      <c r="H2744" t="s">
        <v>188</v>
      </c>
      <c r="I2744" t="s">
        <v>171</v>
      </c>
      <c r="J2744" t="s">
        <v>410</v>
      </c>
      <c r="K2744" s="138">
        <v>327.18</v>
      </c>
      <c r="L2744" s="137">
        <v>0</v>
      </c>
    </row>
    <row r="2745" spans="7:12" x14ac:dyDescent="0.25">
      <c r="G2745" s="136">
        <v>43420</v>
      </c>
      <c r="H2745" t="s">
        <v>25</v>
      </c>
      <c r="I2745" t="s">
        <v>63</v>
      </c>
      <c r="J2745" t="s">
        <v>410</v>
      </c>
      <c r="K2745" s="138">
        <v>40</v>
      </c>
      <c r="L2745" s="137">
        <v>0</v>
      </c>
    </row>
    <row r="2746" spans="7:12" x14ac:dyDescent="0.25">
      <c r="G2746" s="136">
        <v>43420</v>
      </c>
      <c r="H2746" t="s">
        <v>25</v>
      </c>
      <c r="I2746" t="s">
        <v>63</v>
      </c>
      <c r="J2746" t="s">
        <v>410</v>
      </c>
      <c r="K2746" s="138">
        <v>24</v>
      </c>
      <c r="L2746" s="137">
        <v>0</v>
      </c>
    </row>
    <row r="2747" spans="7:12" x14ac:dyDescent="0.25">
      <c r="G2747" s="136">
        <v>43420</v>
      </c>
      <c r="H2747" t="s">
        <v>25</v>
      </c>
      <c r="I2747" t="s">
        <v>63</v>
      </c>
      <c r="J2747" t="s">
        <v>410</v>
      </c>
      <c r="K2747" s="138">
        <v>16</v>
      </c>
      <c r="L2747" s="137">
        <v>0</v>
      </c>
    </row>
    <row r="2748" spans="7:12" x14ac:dyDescent="0.25">
      <c r="G2748" s="136">
        <v>43420</v>
      </c>
      <c r="H2748" t="s">
        <v>25</v>
      </c>
      <c r="I2748" t="s">
        <v>63</v>
      </c>
      <c r="J2748" t="s">
        <v>410</v>
      </c>
      <c r="K2748" s="138">
        <v>8</v>
      </c>
      <c r="L2748" s="137">
        <v>0</v>
      </c>
    </row>
    <row r="2749" spans="7:12" x14ac:dyDescent="0.25">
      <c r="G2749" s="136">
        <v>43420</v>
      </c>
      <c r="H2749" t="s">
        <v>201</v>
      </c>
      <c r="I2749" t="s">
        <v>63</v>
      </c>
      <c r="J2749" t="s">
        <v>410</v>
      </c>
      <c r="K2749" s="138">
        <v>16.510000000000002</v>
      </c>
      <c r="L2749" s="137">
        <v>0</v>
      </c>
    </row>
    <row r="2750" spans="7:12" x14ac:dyDescent="0.25">
      <c r="G2750" s="136">
        <v>43420</v>
      </c>
      <c r="H2750" t="s">
        <v>187</v>
      </c>
      <c r="I2750" t="s">
        <v>42</v>
      </c>
      <c r="J2750" t="s">
        <v>410</v>
      </c>
      <c r="K2750" s="138">
        <v>82.5</v>
      </c>
      <c r="L2750" s="137">
        <v>0</v>
      </c>
    </row>
    <row r="2751" spans="7:12" x14ac:dyDescent="0.25">
      <c r="G2751" s="136">
        <v>43420</v>
      </c>
      <c r="H2751" t="s">
        <v>196</v>
      </c>
      <c r="I2751" t="s">
        <v>42</v>
      </c>
      <c r="J2751" t="s">
        <v>410</v>
      </c>
      <c r="K2751" s="138">
        <v>43</v>
      </c>
      <c r="L2751" s="137">
        <v>0</v>
      </c>
    </row>
    <row r="2752" spans="7:12" x14ac:dyDescent="0.25">
      <c r="G2752" s="136">
        <v>43420</v>
      </c>
      <c r="H2752" t="s">
        <v>196</v>
      </c>
      <c r="I2752" t="s">
        <v>171</v>
      </c>
      <c r="J2752" t="s">
        <v>410</v>
      </c>
      <c r="K2752" s="138">
        <v>178</v>
      </c>
      <c r="L2752" s="137">
        <v>0</v>
      </c>
    </row>
    <row r="2753" spans="7:12" x14ac:dyDescent="0.25">
      <c r="G2753" s="136">
        <v>43420</v>
      </c>
      <c r="H2753" t="s">
        <v>180</v>
      </c>
      <c r="I2753" t="s">
        <v>42</v>
      </c>
      <c r="J2753" t="s">
        <v>410</v>
      </c>
      <c r="K2753" s="138">
        <v>137.44</v>
      </c>
      <c r="L2753" s="137">
        <v>0</v>
      </c>
    </row>
    <row r="2754" spans="7:12" x14ac:dyDescent="0.25">
      <c r="G2754" s="136">
        <v>43420</v>
      </c>
      <c r="H2754" t="s">
        <v>28</v>
      </c>
      <c r="I2754" t="s">
        <v>178</v>
      </c>
      <c r="J2754" t="s">
        <v>410</v>
      </c>
      <c r="K2754" s="138">
        <v>59.16</v>
      </c>
      <c r="L2754" s="137">
        <v>0</v>
      </c>
    </row>
    <row r="2755" spans="7:12" x14ac:dyDescent="0.25">
      <c r="G2755" s="136">
        <v>43420</v>
      </c>
      <c r="H2755" t="s">
        <v>28</v>
      </c>
      <c r="I2755" t="s">
        <v>178</v>
      </c>
      <c r="J2755" t="s">
        <v>410</v>
      </c>
      <c r="K2755" s="138">
        <v>51.35</v>
      </c>
      <c r="L2755" s="137">
        <v>0</v>
      </c>
    </row>
    <row r="2756" spans="7:12" x14ac:dyDescent="0.25">
      <c r="G2756" s="136">
        <v>43420</v>
      </c>
      <c r="H2756" t="s">
        <v>28</v>
      </c>
      <c r="I2756" t="s">
        <v>112</v>
      </c>
      <c r="J2756" t="s">
        <v>410</v>
      </c>
      <c r="K2756" s="138">
        <v>96</v>
      </c>
      <c r="L2756" s="137">
        <v>0</v>
      </c>
    </row>
    <row r="2757" spans="7:12" x14ac:dyDescent="0.25">
      <c r="G2757" s="136">
        <v>43420</v>
      </c>
      <c r="H2757" t="s">
        <v>28</v>
      </c>
      <c r="I2757" t="s">
        <v>112</v>
      </c>
      <c r="J2757" t="s">
        <v>410</v>
      </c>
      <c r="K2757" s="138">
        <v>69.28</v>
      </c>
      <c r="L2757" s="137">
        <v>0</v>
      </c>
    </row>
    <row r="2758" spans="7:12" x14ac:dyDescent="0.25">
      <c r="G2758" s="136">
        <v>43420</v>
      </c>
      <c r="H2758" t="s">
        <v>28</v>
      </c>
      <c r="I2758" t="s">
        <v>112</v>
      </c>
      <c r="J2758" t="s">
        <v>410</v>
      </c>
      <c r="K2758" s="138">
        <v>19.96</v>
      </c>
      <c r="L2758" s="137">
        <v>0</v>
      </c>
    </row>
    <row r="2759" spans="7:12" x14ac:dyDescent="0.25">
      <c r="G2759" s="136">
        <v>43420</v>
      </c>
      <c r="H2759" t="s">
        <v>28</v>
      </c>
      <c r="I2759" t="s">
        <v>155</v>
      </c>
      <c r="J2759" t="s">
        <v>410</v>
      </c>
      <c r="K2759" s="138">
        <v>285.70999999999998</v>
      </c>
      <c r="L2759" s="137">
        <v>0</v>
      </c>
    </row>
    <row r="2760" spans="7:12" x14ac:dyDescent="0.25">
      <c r="G2760" s="136">
        <v>43420</v>
      </c>
      <c r="H2760" t="s">
        <v>28</v>
      </c>
      <c r="I2760" t="s">
        <v>155</v>
      </c>
      <c r="J2760" t="s">
        <v>410</v>
      </c>
      <c r="K2760" s="138">
        <v>125.21</v>
      </c>
      <c r="L2760" s="137">
        <v>0</v>
      </c>
    </row>
    <row r="2761" spans="7:12" x14ac:dyDescent="0.25">
      <c r="G2761" s="136">
        <v>43420</v>
      </c>
      <c r="H2761" t="s">
        <v>28</v>
      </c>
      <c r="I2761" t="s">
        <v>155</v>
      </c>
      <c r="J2761" t="s">
        <v>410</v>
      </c>
      <c r="K2761" s="138">
        <v>99.83</v>
      </c>
      <c r="L2761" s="137">
        <v>0</v>
      </c>
    </row>
    <row r="2762" spans="7:12" x14ac:dyDescent="0.25">
      <c r="G2762" s="136">
        <v>43420</v>
      </c>
      <c r="H2762" t="s">
        <v>28</v>
      </c>
      <c r="I2762" t="s">
        <v>155</v>
      </c>
      <c r="J2762" t="s">
        <v>410</v>
      </c>
      <c r="K2762" s="138">
        <v>55.05</v>
      </c>
      <c r="L2762" s="137">
        <v>0</v>
      </c>
    </row>
    <row r="2763" spans="7:12" x14ac:dyDescent="0.25">
      <c r="G2763" s="136">
        <v>43420</v>
      </c>
      <c r="H2763" t="s">
        <v>28</v>
      </c>
      <c r="I2763" t="s">
        <v>155</v>
      </c>
      <c r="J2763" t="s">
        <v>410</v>
      </c>
      <c r="K2763" s="138">
        <v>39.200000000000003</v>
      </c>
      <c r="L2763" s="137">
        <v>0</v>
      </c>
    </row>
    <row r="2764" spans="7:12" x14ac:dyDescent="0.25">
      <c r="G2764" s="136">
        <v>43420</v>
      </c>
      <c r="H2764" t="s">
        <v>28</v>
      </c>
      <c r="I2764" t="s">
        <v>155</v>
      </c>
      <c r="J2764" t="s">
        <v>410</v>
      </c>
      <c r="K2764" s="138">
        <v>36.11</v>
      </c>
      <c r="L2764" s="137">
        <v>0</v>
      </c>
    </row>
    <row r="2765" spans="7:12" x14ac:dyDescent="0.25">
      <c r="G2765" s="136">
        <v>43420</v>
      </c>
      <c r="H2765" t="s">
        <v>28</v>
      </c>
      <c r="I2765" t="s">
        <v>155</v>
      </c>
      <c r="J2765" t="s">
        <v>410</v>
      </c>
      <c r="K2765" s="138">
        <v>36</v>
      </c>
      <c r="L2765" s="137">
        <v>0</v>
      </c>
    </row>
    <row r="2766" spans="7:12" x14ac:dyDescent="0.25">
      <c r="G2766" s="136">
        <v>43420</v>
      </c>
      <c r="H2766" t="s">
        <v>28</v>
      </c>
      <c r="I2766" t="s">
        <v>155</v>
      </c>
      <c r="J2766" t="s">
        <v>410</v>
      </c>
      <c r="K2766" s="138">
        <v>30</v>
      </c>
      <c r="L2766" s="137">
        <v>0</v>
      </c>
    </row>
    <row r="2767" spans="7:12" x14ac:dyDescent="0.25">
      <c r="G2767" s="136">
        <v>43420</v>
      </c>
      <c r="H2767" t="s">
        <v>28</v>
      </c>
      <c r="I2767" t="s">
        <v>155</v>
      </c>
      <c r="J2767" t="s">
        <v>410</v>
      </c>
      <c r="K2767" s="138">
        <v>16.64</v>
      </c>
      <c r="L2767" s="137">
        <v>0</v>
      </c>
    </row>
    <row r="2768" spans="7:12" x14ac:dyDescent="0.25">
      <c r="G2768" s="136">
        <v>43420</v>
      </c>
      <c r="H2768" t="s">
        <v>28</v>
      </c>
      <c r="I2768" t="s">
        <v>155</v>
      </c>
      <c r="J2768" t="s">
        <v>410</v>
      </c>
      <c r="K2768" s="138">
        <v>15.41</v>
      </c>
      <c r="L2768" s="137">
        <v>0</v>
      </c>
    </row>
    <row r="2769" spans="7:12" x14ac:dyDescent="0.25">
      <c r="G2769" s="136">
        <v>43420</v>
      </c>
      <c r="H2769" t="s">
        <v>28</v>
      </c>
      <c r="I2769" t="s">
        <v>66</v>
      </c>
      <c r="J2769" t="s">
        <v>106</v>
      </c>
      <c r="K2769" s="138">
        <v>2.25</v>
      </c>
      <c r="L2769" s="137">
        <v>0</v>
      </c>
    </row>
    <row r="2770" spans="7:12" x14ac:dyDescent="0.25">
      <c r="G2770" s="136">
        <v>43420</v>
      </c>
      <c r="H2770" t="s">
        <v>28</v>
      </c>
      <c r="I2770" t="s">
        <v>66</v>
      </c>
      <c r="J2770" t="s">
        <v>124</v>
      </c>
      <c r="K2770" s="138">
        <v>3.7</v>
      </c>
      <c r="L2770" s="137">
        <v>0</v>
      </c>
    </row>
    <row r="2771" spans="7:12" x14ac:dyDescent="0.25">
      <c r="G2771" s="136">
        <v>43420</v>
      </c>
      <c r="H2771" t="s">
        <v>28</v>
      </c>
      <c r="I2771" t="s">
        <v>66</v>
      </c>
      <c r="J2771" t="s">
        <v>121</v>
      </c>
      <c r="K2771" s="138">
        <v>2.4</v>
      </c>
      <c r="L2771" s="137">
        <v>0</v>
      </c>
    </row>
    <row r="2772" spans="7:12" x14ac:dyDescent="0.25">
      <c r="G2772" s="136">
        <v>43420</v>
      </c>
      <c r="H2772" t="s">
        <v>28</v>
      </c>
      <c r="I2772" t="s">
        <v>66</v>
      </c>
      <c r="J2772" t="s">
        <v>123</v>
      </c>
      <c r="K2772" s="138">
        <v>4.5</v>
      </c>
      <c r="L2772" s="137">
        <v>0</v>
      </c>
    </row>
    <row r="2773" spans="7:12" x14ac:dyDescent="0.25">
      <c r="G2773" s="136">
        <v>43423</v>
      </c>
      <c r="H2773" t="s">
        <v>27</v>
      </c>
      <c r="I2773" t="s">
        <v>63</v>
      </c>
      <c r="J2773" t="s">
        <v>411</v>
      </c>
      <c r="K2773" s="138">
        <v>8</v>
      </c>
      <c r="L2773" s="137">
        <v>0</v>
      </c>
    </row>
    <row r="2774" spans="7:12" x14ac:dyDescent="0.25">
      <c r="G2774" s="136">
        <v>43423</v>
      </c>
      <c r="H2774" t="s">
        <v>185</v>
      </c>
      <c r="I2774" t="s">
        <v>42</v>
      </c>
      <c r="J2774" t="s">
        <v>411</v>
      </c>
      <c r="K2774" s="138">
        <v>5</v>
      </c>
      <c r="L2774" s="137">
        <v>0</v>
      </c>
    </row>
    <row r="2775" spans="7:12" x14ac:dyDescent="0.25">
      <c r="G2775" s="136">
        <v>43423</v>
      </c>
      <c r="H2775" t="s">
        <v>188</v>
      </c>
      <c r="I2775" t="s">
        <v>175</v>
      </c>
      <c r="J2775" t="s">
        <v>411</v>
      </c>
      <c r="K2775" s="138">
        <v>1618.93</v>
      </c>
      <c r="L2775" s="137">
        <v>0</v>
      </c>
    </row>
    <row r="2776" spans="7:12" x14ac:dyDescent="0.25">
      <c r="G2776" s="136">
        <v>43423</v>
      </c>
      <c r="H2776" t="s">
        <v>25</v>
      </c>
      <c r="I2776" t="s">
        <v>63</v>
      </c>
      <c r="J2776" t="s">
        <v>411</v>
      </c>
      <c r="K2776" s="138">
        <v>112</v>
      </c>
      <c r="L2776" s="137">
        <v>0</v>
      </c>
    </row>
    <row r="2777" spans="7:12" x14ac:dyDescent="0.25">
      <c r="G2777" s="136">
        <v>43423</v>
      </c>
      <c r="H2777" t="s">
        <v>25</v>
      </c>
      <c r="I2777" t="s">
        <v>63</v>
      </c>
      <c r="J2777" t="s">
        <v>411</v>
      </c>
      <c r="K2777" s="138">
        <v>56</v>
      </c>
      <c r="L2777" s="137">
        <v>0</v>
      </c>
    </row>
    <row r="2778" spans="7:12" x14ac:dyDescent="0.25">
      <c r="G2778" s="136">
        <v>43423</v>
      </c>
      <c r="H2778" t="s">
        <v>25</v>
      </c>
      <c r="I2778" t="s">
        <v>63</v>
      </c>
      <c r="J2778" t="s">
        <v>411</v>
      </c>
      <c r="K2778" s="138">
        <v>40</v>
      </c>
      <c r="L2778" s="137">
        <v>0</v>
      </c>
    </row>
    <row r="2779" spans="7:12" x14ac:dyDescent="0.25">
      <c r="G2779" s="136">
        <v>43423</v>
      </c>
      <c r="H2779" t="s">
        <v>25</v>
      </c>
      <c r="I2779" t="s">
        <v>63</v>
      </c>
      <c r="J2779" t="s">
        <v>411</v>
      </c>
      <c r="K2779" s="138">
        <v>24</v>
      </c>
      <c r="L2779" s="137">
        <v>0</v>
      </c>
    </row>
    <row r="2780" spans="7:12" x14ac:dyDescent="0.25">
      <c r="G2780" s="136">
        <v>43423</v>
      </c>
      <c r="H2780" t="s">
        <v>25</v>
      </c>
      <c r="I2780" t="s">
        <v>63</v>
      </c>
      <c r="J2780" t="s">
        <v>411</v>
      </c>
      <c r="K2780" s="138">
        <v>16</v>
      </c>
      <c r="L2780" s="137">
        <v>0</v>
      </c>
    </row>
    <row r="2781" spans="7:12" x14ac:dyDescent="0.25">
      <c r="G2781" s="136">
        <v>43423</v>
      </c>
      <c r="H2781" t="s">
        <v>25</v>
      </c>
      <c r="I2781" t="s">
        <v>63</v>
      </c>
      <c r="J2781" t="s">
        <v>411</v>
      </c>
      <c r="K2781" s="138">
        <v>8</v>
      </c>
      <c r="L2781" s="137">
        <v>0</v>
      </c>
    </row>
    <row r="2782" spans="7:12" x14ac:dyDescent="0.25">
      <c r="G2782" s="136">
        <v>43423</v>
      </c>
      <c r="H2782" t="s">
        <v>187</v>
      </c>
      <c r="I2782" t="s">
        <v>42</v>
      </c>
      <c r="J2782" t="s">
        <v>411</v>
      </c>
      <c r="K2782" s="138">
        <v>42</v>
      </c>
      <c r="L2782" s="137">
        <v>0</v>
      </c>
    </row>
    <row r="2783" spans="7:12" x14ac:dyDescent="0.25">
      <c r="G2783" s="136">
        <v>43423</v>
      </c>
      <c r="H2783" t="s">
        <v>28</v>
      </c>
      <c r="I2783" t="s">
        <v>63</v>
      </c>
      <c r="J2783" t="s">
        <v>411</v>
      </c>
      <c r="K2783" s="138">
        <v>30</v>
      </c>
      <c r="L2783" s="137">
        <v>0</v>
      </c>
    </row>
    <row r="2784" spans="7:12" x14ac:dyDescent="0.25">
      <c r="G2784" s="136">
        <v>43423</v>
      </c>
      <c r="H2784" t="s">
        <v>28</v>
      </c>
      <c r="I2784" t="s">
        <v>63</v>
      </c>
      <c r="J2784" t="s">
        <v>411</v>
      </c>
      <c r="K2784" s="138">
        <v>8</v>
      </c>
      <c r="L2784" s="137">
        <v>0</v>
      </c>
    </row>
    <row r="2785" spans="7:12" x14ac:dyDescent="0.25">
      <c r="G2785" s="136">
        <v>43423</v>
      </c>
      <c r="H2785" t="s">
        <v>28</v>
      </c>
      <c r="I2785" t="s">
        <v>112</v>
      </c>
      <c r="J2785" t="s">
        <v>411</v>
      </c>
      <c r="K2785" s="138">
        <v>43.32</v>
      </c>
      <c r="L2785" s="137">
        <v>0</v>
      </c>
    </row>
    <row r="2786" spans="7:12" x14ac:dyDescent="0.25">
      <c r="G2786" s="136">
        <v>43423</v>
      </c>
      <c r="H2786" t="s">
        <v>28</v>
      </c>
      <c r="I2786" t="s">
        <v>155</v>
      </c>
      <c r="J2786" t="s">
        <v>411</v>
      </c>
      <c r="K2786" s="138">
        <v>107.4</v>
      </c>
      <c r="L2786" s="137">
        <v>0</v>
      </c>
    </row>
    <row r="2787" spans="7:12" x14ac:dyDescent="0.25">
      <c r="G2787" s="136">
        <v>43423</v>
      </c>
      <c r="H2787" t="s">
        <v>28</v>
      </c>
      <c r="I2787" t="s">
        <v>155</v>
      </c>
      <c r="J2787" t="s">
        <v>411</v>
      </c>
      <c r="K2787" s="138">
        <v>55.87</v>
      </c>
      <c r="L2787" s="137">
        <v>0</v>
      </c>
    </row>
    <row r="2788" spans="7:12" x14ac:dyDescent="0.25">
      <c r="G2788" s="136">
        <v>43423</v>
      </c>
      <c r="H2788" t="s">
        <v>28</v>
      </c>
      <c r="I2788" t="s">
        <v>42</v>
      </c>
      <c r="J2788" t="s">
        <v>411</v>
      </c>
      <c r="K2788" s="138">
        <v>65</v>
      </c>
      <c r="L2788" s="137">
        <v>0</v>
      </c>
    </row>
    <row r="2789" spans="7:12" x14ac:dyDescent="0.25">
      <c r="G2789" s="136">
        <v>43424</v>
      </c>
      <c r="H2789" t="s">
        <v>204</v>
      </c>
      <c r="I2789" t="s">
        <v>176</v>
      </c>
      <c r="J2789" t="s">
        <v>412</v>
      </c>
      <c r="K2789" s="138">
        <v>125.7</v>
      </c>
      <c r="L2789" s="137">
        <v>0</v>
      </c>
    </row>
    <row r="2790" spans="7:12" x14ac:dyDescent="0.25">
      <c r="G2790" s="136">
        <v>43424</v>
      </c>
      <c r="H2790" t="s">
        <v>203</v>
      </c>
      <c r="I2790" t="s">
        <v>176</v>
      </c>
      <c r="J2790" t="s">
        <v>412</v>
      </c>
      <c r="K2790" s="138">
        <v>553.25</v>
      </c>
      <c r="L2790" s="137">
        <v>0</v>
      </c>
    </row>
    <row r="2791" spans="7:12" x14ac:dyDescent="0.25">
      <c r="G2791" s="136">
        <v>43424</v>
      </c>
      <c r="H2791" t="s">
        <v>192</v>
      </c>
      <c r="I2791" t="s">
        <v>176</v>
      </c>
      <c r="J2791" t="s">
        <v>412</v>
      </c>
      <c r="K2791" s="138">
        <v>551.15</v>
      </c>
      <c r="L2791" s="137">
        <v>0</v>
      </c>
    </row>
    <row r="2792" spans="7:12" x14ac:dyDescent="0.25">
      <c r="G2792" s="136">
        <v>43424</v>
      </c>
      <c r="H2792" t="s">
        <v>25</v>
      </c>
      <c r="I2792" t="s">
        <v>63</v>
      </c>
      <c r="J2792" t="s">
        <v>412</v>
      </c>
      <c r="K2792" s="138">
        <v>48</v>
      </c>
      <c r="L2792" s="137">
        <v>0</v>
      </c>
    </row>
    <row r="2793" spans="7:12" x14ac:dyDescent="0.25">
      <c r="G2793" s="136">
        <v>43424</v>
      </c>
      <c r="H2793" t="s">
        <v>25</v>
      </c>
      <c r="I2793" t="s">
        <v>63</v>
      </c>
      <c r="J2793" t="s">
        <v>412</v>
      </c>
      <c r="K2793" s="138">
        <v>40</v>
      </c>
      <c r="L2793" s="137">
        <v>0</v>
      </c>
    </row>
    <row r="2794" spans="7:12" x14ac:dyDescent="0.25">
      <c r="G2794" s="136">
        <v>43424</v>
      </c>
      <c r="H2794" t="s">
        <v>25</v>
      </c>
      <c r="I2794" t="s">
        <v>63</v>
      </c>
      <c r="J2794" t="s">
        <v>412</v>
      </c>
      <c r="K2794" s="138">
        <v>32</v>
      </c>
      <c r="L2794" s="137">
        <v>0</v>
      </c>
    </row>
    <row r="2795" spans="7:12" x14ac:dyDescent="0.25">
      <c r="G2795" s="136">
        <v>43424</v>
      </c>
      <c r="H2795" t="s">
        <v>25</v>
      </c>
      <c r="I2795" t="s">
        <v>63</v>
      </c>
      <c r="J2795" t="s">
        <v>412</v>
      </c>
      <c r="K2795" s="138">
        <v>24</v>
      </c>
      <c r="L2795" s="137">
        <v>0</v>
      </c>
    </row>
    <row r="2796" spans="7:12" x14ac:dyDescent="0.25">
      <c r="G2796" s="136">
        <v>43424</v>
      </c>
      <c r="H2796" t="s">
        <v>25</v>
      </c>
      <c r="I2796" t="s">
        <v>63</v>
      </c>
      <c r="J2796" t="s">
        <v>412</v>
      </c>
      <c r="K2796" s="138">
        <v>16</v>
      </c>
      <c r="L2796" s="137">
        <v>0</v>
      </c>
    </row>
    <row r="2797" spans="7:12" x14ac:dyDescent="0.25">
      <c r="G2797" s="136">
        <v>43424</v>
      </c>
      <c r="H2797" t="s">
        <v>25</v>
      </c>
      <c r="I2797" t="s">
        <v>63</v>
      </c>
      <c r="J2797" t="s">
        <v>412</v>
      </c>
      <c r="K2797" s="138">
        <v>8</v>
      </c>
      <c r="L2797" s="137">
        <v>0</v>
      </c>
    </row>
    <row r="2798" spans="7:12" x14ac:dyDescent="0.25">
      <c r="G2798" s="136">
        <v>43424</v>
      </c>
      <c r="H2798" t="s">
        <v>201</v>
      </c>
      <c r="I2798" t="s">
        <v>176</v>
      </c>
      <c r="J2798" t="s">
        <v>412</v>
      </c>
      <c r="K2798" s="138">
        <v>82.55</v>
      </c>
      <c r="L2798" s="137">
        <v>0</v>
      </c>
    </row>
    <row r="2799" spans="7:12" x14ac:dyDescent="0.25">
      <c r="G2799" s="136">
        <v>43424</v>
      </c>
      <c r="H2799" t="s">
        <v>211</v>
      </c>
      <c r="I2799" t="s">
        <v>63</v>
      </c>
      <c r="J2799" t="s">
        <v>412</v>
      </c>
      <c r="K2799" s="138">
        <v>41.69</v>
      </c>
      <c r="L2799" s="137">
        <v>0</v>
      </c>
    </row>
    <row r="2800" spans="7:12" x14ac:dyDescent="0.25">
      <c r="G2800" s="136">
        <v>43424</v>
      </c>
      <c r="H2800" t="s">
        <v>207</v>
      </c>
      <c r="I2800" t="s">
        <v>176</v>
      </c>
      <c r="J2800" t="s">
        <v>412</v>
      </c>
      <c r="K2800" s="138">
        <v>18.399999999999999</v>
      </c>
      <c r="L2800" s="137">
        <v>0</v>
      </c>
    </row>
    <row r="2801" spans="7:12" x14ac:dyDescent="0.25">
      <c r="G2801" s="136">
        <v>43424</v>
      </c>
      <c r="H2801" t="s">
        <v>180</v>
      </c>
      <c r="I2801" t="s">
        <v>176</v>
      </c>
      <c r="J2801" t="s">
        <v>412</v>
      </c>
      <c r="K2801" s="138">
        <v>208.6</v>
      </c>
      <c r="L2801" s="137">
        <v>0</v>
      </c>
    </row>
    <row r="2802" spans="7:12" x14ac:dyDescent="0.25">
      <c r="G2802" s="136">
        <v>43424</v>
      </c>
      <c r="H2802" t="s">
        <v>180</v>
      </c>
      <c r="I2802" t="s">
        <v>42</v>
      </c>
      <c r="J2802" t="s">
        <v>412</v>
      </c>
      <c r="K2802" s="138">
        <v>22</v>
      </c>
      <c r="L2802" s="137">
        <v>0</v>
      </c>
    </row>
    <row r="2803" spans="7:12" x14ac:dyDescent="0.25">
      <c r="G2803" s="136">
        <v>43424</v>
      </c>
      <c r="H2803" t="s">
        <v>179</v>
      </c>
      <c r="I2803" t="s">
        <v>176</v>
      </c>
      <c r="J2803" t="s">
        <v>412</v>
      </c>
      <c r="K2803" s="138">
        <v>741.65</v>
      </c>
      <c r="L2803" s="137">
        <v>0</v>
      </c>
    </row>
    <row r="2804" spans="7:12" x14ac:dyDescent="0.25">
      <c r="G2804" s="136">
        <v>43424</v>
      </c>
      <c r="H2804" t="s">
        <v>28</v>
      </c>
      <c r="I2804" t="s">
        <v>155</v>
      </c>
      <c r="J2804" t="s">
        <v>412</v>
      </c>
      <c r="K2804" s="138">
        <v>373</v>
      </c>
      <c r="L2804" s="137">
        <v>0</v>
      </c>
    </row>
    <row r="2805" spans="7:12" x14ac:dyDescent="0.25">
      <c r="G2805" s="136">
        <v>43424</v>
      </c>
      <c r="H2805" t="s">
        <v>28</v>
      </c>
      <c r="I2805" t="s">
        <v>66</v>
      </c>
      <c r="J2805" t="s">
        <v>120</v>
      </c>
      <c r="K2805" s="138">
        <v>6.5</v>
      </c>
      <c r="L2805" s="137">
        <v>0</v>
      </c>
    </row>
    <row r="2806" spans="7:12" x14ac:dyDescent="0.25">
      <c r="G2806" s="136">
        <v>43424</v>
      </c>
      <c r="H2806" t="s">
        <v>28</v>
      </c>
      <c r="I2806" t="s">
        <v>66</v>
      </c>
      <c r="J2806" t="s">
        <v>124</v>
      </c>
      <c r="K2806" s="138">
        <v>7.3</v>
      </c>
      <c r="L2806" s="137">
        <v>0</v>
      </c>
    </row>
    <row r="2807" spans="7:12" x14ac:dyDescent="0.25">
      <c r="G2807" s="136">
        <v>43424</v>
      </c>
      <c r="H2807" t="s">
        <v>28</v>
      </c>
      <c r="I2807" t="s">
        <v>66</v>
      </c>
      <c r="J2807" t="s">
        <v>98</v>
      </c>
      <c r="K2807" s="138">
        <v>14</v>
      </c>
      <c r="L2807" s="137">
        <v>0</v>
      </c>
    </row>
    <row r="2808" spans="7:12" x14ac:dyDescent="0.25">
      <c r="G2808" s="136">
        <v>43424</v>
      </c>
      <c r="H2808" t="s">
        <v>28</v>
      </c>
      <c r="I2808" t="s">
        <v>66</v>
      </c>
      <c r="J2808" t="s">
        <v>145</v>
      </c>
      <c r="K2808" s="138">
        <v>19</v>
      </c>
      <c r="L2808" s="137">
        <v>0</v>
      </c>
    </row>
    <row r="2809" spans="7:12" x14ac:dyDescent="0.25">
      <c r="G2809" s="136">
        <v>43424</v>
      </c>
      <c r="H2809" t="s">
        <v>28</v>
      </c>
      <c r="I2809" t="s">
        <v>42</v>
      </c>
      <c r="J2809" t="s">
        <v>412</v>
      </c>
      <c r="K2809" s="138">
        <v>88</v>
      </c>
      <c r="L2809" s="137">
        <v>0</v>
      </c>
    </row>
    <row r="2810" spans="7:12" x14ac:dyDescent="0.25">
      <c r="G2810" s="136">
        <v>43425</v>
      </c>
      <c r="H2810" t="s">
        <v>192</v>
      </c>
      <c r="I2810" t="s">
        <v>42</v>
      </c>
      <c r="J2810" t="s">
        <v>413</v>
      </c>
      <c r="K2810" s="138">
        <v>12.6</v>
      </c>
      <c r="L2810" s="137">
        <v>0</v>
      </c>
    </row>
    <row r="2811" spans="7:12" x14ac:dyDescent="0.25">
      <c r="G2811" s="136">
        <v>43425</v>
      </c>
      <c r="H2811" t="s">
        <v>199</v>
      </c>
      <c r="I2811" t="s">
        <v>175</v>
      </c>
      <c r="J2811" t="s">
        <v>413</v>
      </c>
      <c r="K2811" s="138">
        <v>203.77</v>
      </c>
      <c r="L2811" s="137">
        <v>0</v>
      </c>
    </row>
    <row r="2812" spans="7:12" x14ac:dyDescent="0.25">
      <c r="G2812" s="136">
        <v>43425</v>
      </c>
      <c r="H2812" t="s">
        <v>183</v>
      </c>
      <c r="I2812" t="s">
        <v>42</v>
      </c>
      <c r="J2812" t="s">
        <v>413</v>
      </c>
      <c r="K2812" s="138">
        <v>80</v>
      </c>
      <c r="L2812" s="137">
        <v>0</v>
      </c>
    </row>
    <row r="2813" spans="7:12" x14ac:dyDescent="0.25">
      <c r="G2813" s="136">
        <v>43425</v>
      </c>
      <c r="H2813" t="s">
        <v>193</v>
      </c>
      <c r="I2813" t="s">
        <v>42</v>
      </c>
      <c r="J2813" t="s">
        <v>413</v>
      </c>
      <c r="K2813" s="138">
        <v>27.6</v>
      </c>
      <c r="L2813" s="137">
        <v>0</v>
      </c>
    </row>
    <row r="2814" spans="7:12" x14ac:dyDescent="0.25">
      <c r="G2814" s="136">
        <v>43425</v>
      </c>
      <c r="H2814" t="s">
        <v>188</v>
      </c>
      <c r="I2814" t="s">
        <v>42</v>
      </c>
      <c r="J2814" t="s">
        <v>413</v>
      </c>
      <c r="K2814" s="138">
        <v>60</v>
      </c>
      <c r="L2814" s="137">
        <v>0</v>
      </c>
    </row>
    <row r="2815" spans="7:12" x14ac:dyDescent="0.25">
      <c r="G2815" s="136">
        <v>43425</v>
      </c>
      <c r="H2815" t="s">
        <v>25</v>
      </c>
      <c r="I2815" t="s">
        <v>63</v>
      </c>
      <c r="J2815" t="s">
        <v>413</v>
      </c>
      <c r="K2815" s="138">
        <v>96</v>
      </c>
      <c r="L2815" s="137">
        <v>0</v>
      </c>
    </row>
    <row r="2816" spans="7:12" x14ac:dyDescent="0.25">
      <c r="G2816" s="136">
        <v>43425</v>
      </c>
      <c r="H2816" t="s">
        <v>25</v>
      </c>
      <c r="I2816" t="s">
        <v>63</v>
      </c>
      <c r="J2816" t="s">
        <v>413</v>
      </c>
      <c r="K2816" s="138">
        <v>8</v>
      </c>
      <c r="L2816" s="137">
        <v>0</v>
      </c>
    </row>
    <row r="2817" spans="7:12" x14ac:dyDescent="0.25">
      <c r="G2817" s="136">
        <v>43425</v>
      </c>
      <c r="H2817" t="s">
        <v>197</v>
      </c>
      <c r="I2817" t="s">
        <v>112</v>
      </c>
      <c r="J2817" t="s">
        <v>413</v>
      </c>
      <c r="K2817" s="138">
        <v>374.62</v>
      </c>
      <c r="L2817" s="137">
        <v>0</v>
      </c>
    </row>
    <row r="2818" spans="7:12" x14ac:dyDescent="0.25">
      <c r="G2818" s="136">
        <v>43425</v>
      </c>
      <c r="H2818" t="s">
        <v>197</v>
      </c>
      <c r="I2818" t="s">
        <v>176</v>
      </c>
      <c r="J2818" t="s">
        <v>413</v>
      </c>
      <c r="K2818" s="138">
        <v>33</v>
      </c>
      <c r="L2818" s="137">
        <v>0</v>
      </c>
    </row>
    <row r="2819" spans="7:12" x14ac:dyDescent="0.25">
      <c r="G2819" s="136">
        <v>43425</v>
      </c>
      <c r="H2819" t="s">
        <v>197</v>
      </c>
      <c r="I2819" t="s">
        <v>42</v>
      </c>
      <c r="J2819" t="s">
        <v>413</v>
      </c>
      <c r="K2819" s="138">
        <v>176</v>
      </c>
      <c r="L2819" s="137">
        <v>0</v>
      </c>
    </row>
    <row r="2820" spans="7:12" x14ac:dyDescent="0.25">
      <c r="G2820" s="136">
        <v>43425</v>
      </c>
      <c r="H2820" t="s">
        <v>28</v>
      </c>
      <c r="I2820" t="s">
        <v>66</v>
      </c>
      <c r="J2820" t="s">
        <v>141</v>
      </c>
      <c r="K2820" s="138">
        <v>4.75</v>
      </c>
      <c r="L2820" s="137">
        <v>0</v>
      </c>
    </row>
    <row r="2821" spans="7:12" x14ac:dyDescent="0.25">
      <c r="G2821" s="136">
        <v>43425</v>
      </c>
      <c r="H2821" t="s">
        <v>28</v>
      </c>
      <c r="I2821" t="s">
        <v>66</v>
      </c>
      <c r="J2821" t="s">
        <v>142</v>
      </c>
      <c r="K2821" s="138">
        <v>22</v>
      </c>
      <c r="L2821" s="137">
        <v>0</v>
      </c>
    </row>
    <row r="2822" spans="7:12" x14ac:dyDescent="0.25">
      <c r="G2822" s="136">
        <v>43426</v>
      </c>
      <c r="H2822" t="s">
        <v>188</v>
      </c>
      <c r="I2822" t="s">
        <v>42</v>
      </c>
      <c r="J2822" t="s">
        <v>414</v>
      </c>
      <c r="K2822" s="138">
        <v>120</v>
      </c>
      <c r="L2822" s="137">
        <v>0</v>
      </c>
    </row>
    <row r="2823" spans="7:12" x14ac:dyDescent="0.25">
      <c r="G2823" s="136">
        <v>43426</v>
      </c>
      <c r="H2823" t="s">
        <v>25</v>
      </c>
      <c r="I2823" t="s">
        <v>63</v>
      </c>
      <c r="J2823" t="s">
        <v>414</v>
      </c>
      <c r="K2823" s="138">
        <v>32</v>
      </c>
      <c r="L2823" s="137">
        <v>0</v>
      </c>
    </row>
    <row r="2824" spans="7:12" x14ac:dyDescent="0.25">
      <c r="G2824" s="136">
        <v>43426</v>
      </c>
      <c r="H2824" t="s">
        <v>25</v>
      </c>
      <c r="I2824" t="s">
        <v>63</v>
      </c>
      <c r="J2824" t="s">
        <v>414</v>
      </c>
      <c r="K2824" s="138">
        <v>16</v>
      </c>
      <c r="L2824" s="137">
        <v>0</v>
      </c>
    </row>
    <row r="2825" spans="7:12" x14ac:dyDescent="0.25">
      <c r="G2825" s="136">
        <v>43426</v>
      </c>
      <c r="H2825" t="s">
        <v>25</v>
      </c>
      <c r="I2825" t="s">
        <v>63</v>
      </c>
      <c r="J2825" t="s">
        <v>414</v>
      </c>
      <c r="K2825" s="138">
        <v>8</v>
      </c>
      <c r="L2825" s="137">
        <v>0</v>
      </c>
    </row>
    <row r="2826" spans="7:12" x14ac:dyDescent="0.25">
      <c r="G2826" s="136">
        <v>43426</v>
      </c>
      <c r="H2826" t="s">
        <v>28</v>
      </c>
      <c r="I2826" t="s">
        <v>66</v>
      </c>
      <c r="J2826" t="s">
        <v>106</v>
      </c>
      <c r="K2826" s="138">
        <v>2.25</v>
      </c>
      <c r="L2826" s="137">
        <v>0</v>
      </c>
    </row>
    <row r="2827" spans="7:12" x14ac:dyDescent="0.25">
      <c r="G2827" s="136">
        <v>43426</v>
      </c>
      <c r="H2827" t="s">
        <v>28</v>
      </c>
      <c r="I2827" t="s">
        <v>42</v>
      </c>
      <c r="J2827" t="s">
        <v>414</v>
      </c>
      <c r="K2827" s="138">
        <v>34</v>
      </c>
      <c r="L2827" s="137">
        <v>0</v>
      </c>
    </row>
    <row r="2828" spans="7:12" x14ac:dyDescent="0.25">
      <c r="G2828" s="136">
        <v>43427</v>
      </c>
      <c r="H2828" t="s">
        <v>184</v>
      </c>
      <c r="I2828" t="s">
        <v>171</v>
      </c>
      <c r="J2828" t="s">
        <v>415</v>
      </c>
      <c r="K2828" s="138">
        <v>35</v>
      </c>
      <c r="L2828" s="137">
        <v>0</v>
      </c>
    </row>
    <row r="2829" spans="7:12" x14ac:dyDescent="0.25">
      <c r="G2829" s="136">
        <v>43427</v>
      </c>
      <c r="H2829" t="s">
        <v>191</v>
      </c>
      <c r="I2829" t="s">
        <v>163</v>
      </c>
      <c r="J2829" t="s">
        <v>415</v>
      </c>
      <c r="K2829" s="138">
        <v>140.19999999999999</v>
      </c>
      <c r="L2829" s="137">
        <v>0</v>
      </c>
    </row>
    <row r="2830" spans="7:12" x14ac:dyDescent="0.25">
      <c r="G2830" s="136">
        <v>43427</v>
      </c>
      <c r="H2830" t="s">
        <v>193</v>
      </c>
      <c r="I2830" t="s">
        <v>42</v>
      </c>
      <c r="J2830" t="s">
        <v>415</v>
      </c>
      <c r="K2830" s="138">
        <v>33.799999999999997</v>
      </c>
      <c r="L2830" s="137">
        <v>0</v>
      </c>
    </row>
    <row r="2831" spans="7:12" x14ac:dyDescent="0.25">
      <c r="G2831" s="136">
        <v>43427</v>
      </c>
      <c r="H2831" t="s">
        <v>25</v>
      </c>
      <c r="I2831" t="s">
        <v>63</v>
      </c>
      <c r="J2831" t="s">
        <v>415</v>
      </c>
      <c r="K2831" s="138">
        <v>40</v>
      </c>
      <c r="L2831" s="137">
        <v>0</v>
      </c>
    </row>
    <row r="2832" spans="7:12" x14ac:dyDescent="0.25">
      <c r="G2832" s="136">
        <v>43427</v>
      </c>
      <c r="H2832" t="s">
        <v>25</v>
      </c>
      <c r="I2832" t="s">
        <v>63</v>
      </c>
      <c r="J2832" t="s">
        <v>415</v>
      </c>
      <c r="K2832" s="138">
        <v>8</v>
      </c>
      <c r="L2832" s="137">
        <v>0</v>
      </c>
    </row>
    <row r="2833" spans="7:12" x14ac:dyDescent="0.25">
      <c r="G2833" s="136">
        <v>43427</v>
      </c>
      <c r="H2833" t="s">
        <v>201</v>
      </c>
      <c r="I2833" t="s">
        <v>42</v>
      </c>
      <c r="J2833" t="s">
        <v>415</v>
      </c>
      <c r="K2833" s="138">
        <v>130.16</v>
      </c>
      <c r="L2833" s="137">
        <v>0</v>
      </c>
    </row>
    <row r="2834" spans="7:12" x14ac:dyDescent="0.25">
      <c r="G2834" s="136">
        <v>43427</v>
      </c>
      <c r="H2834" t="s">
        <v>207</v>
      </c>
      <c r="I2834" t="s">
        <v>112</v>
      </c>
      <c r="J2834" t="s">
        <v>415</v>
      </c>
      <c r="K2834" s="138">
        <v>54.5</v>
      </c>
      <c r="L2834" s="137">
        <v>0</v>
      </c>
    </row>
    <row r="2835" spans="7:12" x14ac:dyDescent="0.25">
      <c r="G2835" s="136">
        <v>43427</v>
      </c>
      <c r="H2835" t="s">
        <v>181</v>
      </c>
      <c r="I2835" t="s">
        <v>42</v>
      </c>
      <c r="J2835" t="s">
        <v>415</v>
      </c>
      <c r="K2835" s="138">
        <v>384.98</v>
      </c>
      <c r="L2835" s="137">
        <v>0</v>
      </c>
    </row>
    <row r="2836" spans="7:12" x14ac:dyDescent="0.25">
      <c r="G2836" s="136">
        <v>43427</v>
      </c>
      <c r="H2836" t="s">
        <v>196</v>
      </c>
      <c r="I2836" t="s">
        <v>112</v>
      </c>
      <c r="J2836" t="s">
        <v>415</v>
      </c>
      <c r="K2836" s="138">
        <v>47.25</v>
      </c>
      <c r="L2836" s="137">
        <v>0</v>
      </c>
    </row>
    <row r="2837" spans="7:12" x14ac:dyDescent="0.25">
      <c r="G2837" s="136">
        <v>43427</v>
      </c>
      <c r="H2837" t="s">
        <v>180</v>
      </c>
      <c r="I2837" t="s">
        <v>63</v>
      </c>
      <c r="J2837" t="s">
        <v>415</v>
      </c>
      <c r="K2837" s="138">
        <v>10</v>
      </c>
      <c r="L2837" s="137">
        <v>0</v>
      </c>
    </row>
    <row r="2838" spans="7:12" x14ac:dyDescent="0.25">
      <c r="G2838" s="136">
        <v>43427</v>
      </c>
      <c r="H2838" t="s">
        <v>180</v>
      </c>
      <c r="I2838" t="s">
        <v>42</v>
      </c>
      <c r="J2838" t="s">
        <v>415</v>
      </c>
      <c r="K2838" s="138">
        <v>10</v>
      </c>
      <c r="L2838" s="137">
        <v>0</v>
      </c>
    </row>
    <row r="2839" spans="7:12" x14ac:dyDescent="0.25">
      <c r="G2839" s="136">
        <v>43427</v>
      </c>
      <c r="H2839" t="s">
        <v>28</v>
      </c>
      <c r="I2839" t="s">
        <v>63</v>
      </c>
      <c r="J2839" t="s">
        <v>415</v>
      </c>
      <c r="K2839" s="138">
        <v>8</v>
      </c>
      <c r="L2839" s="137">
        <v>0</v>
      </c>
    </row>
    <row r="2840" spans="7:12" x14ac:dyDescent="0.25">
      <c r="G2840" s="136">
        <v>43427</v>
      </c>
      <c r="H2840" t="s">
        <v>28</v>
      </c>
      <c r="I2840" t="s">
        <v>155</v>
      </c>
      <c r="J2840" t="s">
        <v>415</v>
      </c>
      <c r="K2840" s="138">
        <v>44.02</v>
      </c>
      <c r="L2840" s="137">
        <v>0</v>
      </c>
    </row>
    <row r="2841" spans="7:12" x14ac:dyDescent="0.25">
      <c r="G2841" s="136">
        <v>43427</v>
      </c>
      <c r="H2841" t="s">
        <v>28</v>
      </c>
      <c r="I2841" t="s">
        <v>155</v>
      </c>
      <c r="J2841" t="s">
        <v>415</v>
      </c>
      <c r="K2841" s="138">
        <v>40.68</v>
      </c>
      <c r="L2841" s="137">
        <v>0</v>
      </c>
    </row>
    <row r="2842" spans="7:12" x14ac:dyDescent="0.25">
      <c r="G2842" s="136">
        <v>43427</v>
      </c>
      <c r="H2842" t="s">
        <v>28</v>
      </c>
      <c r="I2842" t="s">
        <v>155</v>
      </c>
      <c r="J2842" t="s">
        <v>415</v>
      </c>
      <c r="K2842" s="138">
        <v>34.54</v>
      </c>
      <c r="L2842" s="137">
        <v>0</v>
      </c>
    </row>
    <row r="2843" spans="7:12" x14ac:dyDescent="0.25">
      <c r="G2843" s="136">
        <v>43427</v>
      </c>
      <c r="H2843" t="s">
        <v>28</v>
      </c>
      <c r="I2843" t="s">
        <v>155</v>
      </c>
      <c r="J2843" t="s">
        <v>415</v>
      </c>
      <c r="K2843" s="138">
        <v>34.33</v>
      </c>
      <c r="L2843" s="137">
        <v>0</v>
      </c>
    </row>
    <row r="2844" spans="7:12" x14ac:dyDescent="0.25">
      <c r="G2844" s="136">
        <v>43427</v>
      </c>
      <c r="H2844" t="s">
        <v>28</v>
      </c>
      <c r="I2844" t="s">
        <v>155</v>
      </c>
      <c r="J2844" t="s">
        <v>415</v>
      </c>
      <c r="K2844" s="138">
        <v>25</v>
      </c>
      <c r="L2844" s="137">
        <v>0</v>
      </c>
    </row>
    <row r="2845" spans="7:12" x14ac:dyDescent="0.25">
      <c r="G2845" s="136">
        <v>43427</v>
      </c>
      <c r="H2845" t="s">
        <v>28</v>
      </c>
      <c r="I2845" t="s">
        <v>66</v>
      </c>
      <c r="J2845" t="s">
        <v>402</v>
      </c>
      <c r="K2845" s="138">
        <v>14</v>
      </c>
      <c r="L2845" s="137">
        <v>0</v>
      </c>
    </row>
    <row r="2846" spans="7:12" x14ac:dyDescent="0.25">
      <c r="G2846" s="136">
        <v>43428</v>
      </c>
      <c r="H2846" t="s">
        <v>27</v>
      </c>
      <c r="I2846" t="s">
        <v>231</v>
      </c>
      <c r="J2846" t="s">
        <v>416</v>
      </c>
      <c r="K2846" s="138">
        <v>87.19</v>
      </c>
      <c r="L2846" s="137">
        <v>0</v>
      </c>
    </row>
    <row r="2847" spans="7:12" x14ac:dyDescent="0.25">
      <c r="G2847" s="136">
        <v>43428</v>
      </c>
      <c r="H2847" t="s">
        <v>27</v>
      </c>
      <c r="I2847" t="s">
        <v>231</v>
      </c>
      <c r="J2847" t="s">
        <v>416</v>
      </c>
      <c r="K2847" s="138">
        <v>84.37</v>
      </c>
      <c r="L2847" s="137">
        <v>0</v>
      </c>
    </row>
    <row r="2848" spans="7:12" x14ac:dyDescent="0.25">
      <c r="G2848" s="136">
        <v>43428</v>
      </c>
      <c r="H2848" t="s">
        <v>27</v>
      </c>
      <c r="I2848" t="s">
        <v>231</v>
      </c>
      <c r="J2848" t="s">
        <v>416</v>
      </c>
      <c r="K2848" s="138">
        <v>81.67</v>
      </c>
      <c r="L2848" s="137">
        <v>0</v>
      </c>
    </row>
    <row r="2849" spans="7:12" x14ac:dyDescent="0.25">
      <c r="G2849" s="136">
        <v>43428</v>
      </c>
      <c r="H2849" t="s">
        <v>27</v>
      </c>
      <c r="I2849" t="s">
        <v>231</v>
      </c>
      <c r="J2849" t="s">
        <v>416</v>
      </c>
      <c r="K2849" s="138">
        <v>77.98</v>
      </c>
      <c r="L2849" s="137">
        <v>0</v>
      </c>
    </row>
    <row r="2850" spans="7:12" x14ac:dyDescent="0.25">
      <c r="G2850" s="136">
        <v>43428</v>
      </c>
      <c r="H2850" t="s">
        <v>27</v>
      </c>
      <c r="I2850" t="s">
        <v>231</v>
      </c>
      <c r="J2850" t="s">
        <v>416</v>
      </c>
      <c r="K2850" s="138">
        <v>72.040000000000006</v>
      </c>
      <c r="L2850" s="137">
        <v>0</v>
      </c>
    </row>
    <row r="2851" spans="7:12" x14ac:dyDescent="0.25">
      <c r="G2851" s="136">
        <v>43428</v>
      </c>
      <c r="H2851" t="s">
        <v>27</v>
      </c>
      <c r="I2851" t="s">
        <v>231</v>
      </c>
      <c r="J2851" t="s">
        <v>416</v>
      </c>
      <c r="K2851" s="138">
        <v>69.900000000000006</v>
      </c>
      <c r="L2851" s="137">
        <v>0</v>
      </c>
    </row>
    <row r="2852" spans="7:12" x14ac:dyDescent="0.25">
      <c r="G2852" s="136">
        <v>43428</v>
      </c>
      <c r="H2852" t="s">
        <v>27</v>
      </c>
      <c r="I2852" t="s">
        <v>231</v>
      </c>
      <c r="J2852" t="s">
        <v>416</v>
      </c>
      <c r="K2852" s="138">
        <v>57.12</v>
      </c>
      <c r="L2852" s="137">
        <v>0</v>
      </c>
    </row>
    <row r="2853" spans="7:12" x14ac:dyDescent="0.25">
      <c r="G2853" s="136">
        <v>43428</v>
      </c>
      <c r="H2853" t="s">
        <v>27</v>
      </c>
      <c r="I2853" t="s">
        <v>231</v>
      </c>
      <c r="J2853" t="s">
        <v>416</v>
      </c>
      <c r="K2853" s="138">
        <v>38.840000000000003</v>
      </c>
      <c r="L2853" s="137">
        <v>0</v>
      </c>
    </row>
    <row r="2854" spans="7:12" x14ac:dyDescent="0.25">
      <c r="G2854" s="136">
        <v>43428</v>
      </c>
      <c r="H2854" t="s">
        <v>27</v>
      </c>
      <c r="I2854" t="s">
        <v>231</v>
      </c>
      <c r="J2854" t="s">
        <v>416</v>
      </c>
      <c r="K2854" s="138">
        <v>32.549999999999997</v>
      </c>
      <c r="L2854" s="137">
        <v>0</v>
      </c>
    </row>
    <row r="2855" spans="7:12" x14ac:dyDescent="0.25">
      <c r="G2855" s="136">
        <v>43428</v>
      </c>
      <c r="H2855" t="s">
        <v>27</v>
      </c>
      <c r="I2855" t="s">
        <v>231</v>
      </c>
      <c r="J2855" t="s">
        <v>416</v>
      </c>
      <c r="K2855" s="138">
        <v>32.4</v>
      </c>
      <c r="L2855" s="137">
        <v>0</v>
      </c>
    </row>
    <row r="2856" spans="7:12" x14ac:dyDescent="0.25">
      <c r="G2856" s="136">
        <v>43428</v>
      </c>
      <c r="H2856" t="s">
        <v>27</v>
      </c>
      <c r="I2856" t="s">
        <v>231</v>
      </c>
      <c r="J2856" t="s">
        <v>416</v>
      </c>
      <c r="K2856" s="138">
        <v>29.14</v>
      </c>
      <c r="L2856" s="137">
        <v>0</v>
      </c>
    </row>
    <row r="2857" spans="7:12" x14ac:dyDescent="0.25">
      <c r="G2857" s="136">
        <v>43428</v>
      </c>
      <c r="H2857" t="s">
        <v>27</v>
      </c>
      <c r="I2857" t="s">
        <v>231</v>
      </c>
      <c r="J2857" t="s">
        <v>416</v>
      </c>
      <c r="K2857" s="138">
        <v>22.78</v>
      </c>
      <c r="L2857" s="137">
        <v>0</v>
      </c>
    </row>
    <row r="2858" spans="7:12" x14ac:dyDescent="0.25">
      <c r="G2858" s="136">
        <v>43428</v>
      </c>
      <c r="H2858" t="s">
        <v>27</v>
      </c>
      <c r="I2858" t="s">
        <v>231</v>
      </c>
      <c r="J2858" t="s">
        <v>416</v>
      </c>
      <c r="K2858" s="138">
        <v>13.67</v>
      </c>
      <c r="L2858" s="137">
        <v>0</v>
      </c>
    </row>
    <row r="2859" spans="7:12" x14ac:dyDescent="0.25">
      <c r="G2859" s="136">
        <v>43428</v>
      </c>
      <c r="H2859" t="s">
        <v>27</v>
      </c>
      <c r="I2859" t="s">
        <v>231</v>
      </c>
      <c r="J2859" t="s">
        <v>416</v>
      </c>
      <c r="K2859" s="138">
        <v>13.61</v>
      </c>
      <c r="L2859" s="137">
        <v>0</v>
      </c>
    </row>
    <row r="2860" spans="7:12" x14ac:dyDescent="0.25">
      <c r="G2860" s="136">
        <v>43428</v>
      </c>
      <c r="H2860" t="s">
        <v>27</v>
      </c>
      <c r="I2860" t="s">
        <v>231</v>
      </c>
      <c r="J2860" t="s">
        <v>416</v>
      </c>
      <c r="K2860" s="138">
        <v>13.38</v>
      </c>
      <c r="L2860" s="137">
        <v>0</v>
      </c>
    </row>
    <row r="2861" spans="7:12" x14ac:dyDescent="0.25">
      <c r="G2861" s="136">
        <v>43428</v>
      </c>
      <c r="H2861" t="s">
        <v>27</v>
      </c>
      <c r="I2861" t="s">
        <v>231</v>
      </c>
      <c r="J2861" t="s">
        <v>416</v>
      </c>
      <c r="K2861" s="138">
        <v>11.02</v>
      </c>
      <c r="L2861" s="137">
        <v>0</v>
      </c>
    </row>
    <row r="2862" spans="7:12" x14ac:dyDescent="0.25">
      <c r="G2862" s="136">
        <v>43428</v>
      </c>
      <c r="H2862" t="s">
        <v>195</v>
      </c>
      <c r="I2862" t="s">
        <v>231</v>
      </c>
      <c r="J2862" t="s">
        <v>416</v>
      </c>
      <c r="K2862" s="138">
        <v>127.94</v>
      </c>
      <c r="L2862" s="137">
        <v>0</v>
      </c>
    </row>
    <row r="2863" spans="7:12" x14ac:dyDescent="0.25">
      <c r="G2863" s="136">
        <v>43428</v>
      </c>
      <c r="H2863" t="s">
        <v>183</v>
      </c>
      <c r="I2863" t="s">
        <v>231</v>
      </c>
      <c r="J2863" t="s">
        <v>416</v>
      </c>
      <c r="K2863" s="138">
        <v>2595.87</v>
      </c>
      <c r="L2863" s="137">
        <v>0</v>
      </c>
    </row>
    <row r="2864" spans="7:12" x14ac:dyDescent="0.25">
      <c r="G2864" s="136">
        <v>43428</v>
      </c>
      <c r="H2864" t="s">
        <v>183</v>
      </c>
      <c r="I2864" t="s">
        <v>42</v>
      </c>
      <c r="J2864" t="s">
        <v>417</v>
      </c>
      <c r="K2864" s="138">
        <v>22.45</v>
      </c>
      <c r="L2864" s="137">
        <v>0</v>
      </c>
    </row>
    <row r="2865" spans="7:12" x14ac:dyDescent="0.25">
      <c r="G2865" s="136">
        <v>43428</v>
      </c>
      <c r="H2865" t="s">
        <v>191</v>
      </c>
      <c r="I2865" t="s">
        <v>163</v>
      </c>
      <c r="J2865" t="s">
        <v>417</v>
      </c>
      <c r="K2865" s="138">
        <v>146.9</v>
      </c>
      <c r="L2865" s="137">
        <v>0</v>
      </c>
    </row>
    <row r="2866" spans="7:12" x14ac:dyDescent="0.25">
      <c r="G2866" s="136">
        <v>43428</v>
      </c>
      <c r="H2866" t="s">
        <v>193</v>
      </c>
      <c r="I2866" t="s">
        <v>231</v>
      </c>
      <c r="J2866" t="s">
        <v>416</v>
      </c>
      <c r="K2866" s="138">
        <v>570.05999999999995</v>
      </c>
      <c r="L2866" s="137">
        <v>0</v>
      </c>
    </row>
    <row r="2867" spans="7:12" x14ac:dyDescent="0.25">
      <c r="G2867" s="136">
        <v>43428</v>
      </c>
      <c r="H2867" t="s">
        <v>193</v>
      </c>
      <c r="I2867" t="s">
        <v>42</v>
      </c>
      <c r="J2867" t="s">
        <v>417</v>
      </c>
      <c r="K2867" s="138">
        <v>20.5</v>
      </c>
      <c r="L2867" s="137">
        <v>0</v>
      </c>
    </row>
    <row r="2868" spans="7:12" x14ac:dyDescent="0.25">
      <c r="G2868" s="136">
        <v>43428</v>
      </c>
      <c r="H2868" t="s">
        <v>188</v>
      </c>
      <c r="I2868" t="s">
        <v>231</v>
      </c>
      <c r="J2868" t="s">
        <v>416</v>
      </c>
      <c r="K2868" s="138">
        <v>340.7</v>
      </c>
      <c r="L2868" s="137">
        <v>0</v>
      </c>
    </row>
    <row r="2869" spans="7:12" x14ac:dyDescent="0.25">
      <c r="G2869" s="136">
        <v>43428</v>
      </c>
      <c r="H2869" t="s">
        <v>200</v>
      </c>
      <c r="I2869" t="s">
        <v>42</v>
      </c>
      <c r="J2869" t="s">
        <v>417</v>
      </c>
      <c r="K2869" s="138">
        <v>10</v>
      </c>
      <c r="L2869" s="137">
        <v>0</v>
      </c>
    </row>
    <row r="2870" spans="7:12" x14ac:dyDescent="0.25">
      <c r="G2870" s="136">
        <v>43428</v>
      </c>
      <c r="H2870" t="s">
        <v>25</v>
      </c>
      <c r="I2870" t="s">
        <v>231</v>
      </c>
      <c r="J2870" t="s">
        <v>416</v>
      </c>
      <c r="K2870" s="138">
        <v>1129.82</v>
      </c>
      <c r="L2870" s="137">
        <v>0</v>
      </c>
    </row>
    <row r="2871" spans="7:12" x14ac:dyDescent="0.25">
      <c r="G2871" s="136">
        <v>43428</v>
      </c>
      <c r="H2871" t="s">
        <v>25</v>
      </c>
      <c r="I2871" t="s">
        <v>231</v>
      </c>
      <c r="J2871" t="s">
        <v>416</v>
      </c>
      <c r="K2871" s="138">
        <v>784.57</v>
      </c>
      <c r="L2871" s="137">
        <v>0</v>
      </c>
    </row>
    <row r="2872" spans="7:12" x14ac:dyDescent="0.25">
      <c r="G2872" s="136">
        <v>43428</v>
      </c>
      <c r="H2872" t="s">
        <v>25</v>
      </c>
      <c r="I2872" t="s">
        <v>231</v>
      </c>
      <c r="J2872" t="s">
        <v>416</v>
      </c>
      <c r="K2872" s="138">
        <v>763.6</v>
      </c>
      <c r="L2872" s="137">
        <v>0</v>
      </c>
    </row>
    <row r="2873" spans="7:12" x14ac:dyDescent="0.25">
      <c r="G2873" s="136">
        <v>43428</v>
      </c>
      <c r="H2873" t="s">
        <v>25</v>
      </c>
      <c r="I2873" t="s">
        <v>231</v>
      </c>
      <c r="J2873" t="s">
        <v>416</v>
      </c>
      <c r="K2873" s="138">
        <v>745.07</v>
      </c>
      <c r="L2873" s="137">
        <v>0</v>
      </c>
    </row>
    <row r="2874" spans="7:12" x14ac:dyDescent="0.25">
      <c r="G2874" s="136">
        <v>43428</v>
      </c>
      <c r="H2874" t="s">
        <v>25</v>
      </c>
      <c r="I2874" t="s">
        <v>231</v>
      </c>
      <c r="J2874" t="s">
        <v>416</v>
      </c>
      <c r="K2874" s="138">
        <v>657.63</v>
      </c>
      <c r="L2874" s="137">
        <v>0</v>
      </c>
    </row>
    <row r="2875" spans="7:12" x14ac:dyDescent="0.25">
      <c r="G2875" s="136">
        <v>43428</v>
      </c>
      <c r="H2875" t="s">
        <v>25</v>
      </c>
      <c r="I2875" t="s">
        <v>231</v>
      </c>
      <c r="J2875" t="s">
        <v>416</v>
      </c>
      <c r="K2875" s="138">
        <v>631.69000000000005</v>
      </c>
      <c r="L2875" s="137">
        <v>0</v>
      </c>
    </row>
    <row r="2876" spans="7:12" x14ac:dyDescent="0.25">
      <c r="G2876" s="136">
        <v>43428</v>
      </c>
      <c r="H2876" t="s">
        <v>25</v>
      </c>
      <c r="I2876" t="s">
        <v>231</v>
      </c>
      <c r="J2876" t="s">
        <v>416</v>
      </c>
      <c r="K2876" s="138">
        <v>580.74</v>
      </c>
      <c r="L2876" s="137">
        <v>0</v>
      </c>
    </row>
    <row r="2877" spans="7:12" x14ac:dyDescent="0.25">
      <c r="G2877" s="136">
        <v>43428</v>
      </c>
      <c r="H2877" t="s">
        <v>25</v>
      </c>
      <c r="I2877" t="s">
        <v>231</v>
      </c>
      <c r="J2877" t="s">
        <v>416</v>
      </c>
      <c r="K2877" s="138">
        <v>564.22</v>
      </c>
      <c r="L2877" s="137">
        <v>0</v>
      </c>
    </row>
    <row r="2878" spans="7:12" x14ac:dyDescent="0.25">
      <c r="G2878" s="136">
        <v>43428</v>
      </c>
      <c r="H2878" t="s">
        <v>25</v>
      </c>
      <c r="I2878" t="s">
        <v>231</v>
      </c>
      <c r="J2878" t="s">
        <v>416</v>
      </c>
      <c r="K2878" s="138">
        <v>563.71</v>
      </c>
      <c r="L2878" s="137">
        <v>0</v>
      </c>
    </row>
    <row r="2879" spans="7:12" x14ac:dyDescent="0.25">
      <c r="G2879" s="136">
        <v>43428</v>
      </c>
      <c r="H2879" t="s">
        <v>25</v>
      </c>
      <c r="I2879" t="s">
        <v>231</v>
      </c>
      <c r="J2879" t="s">
        <v>416</v>
      </c>
      <c r="K2879" s="138">
        <v>524.77</v>
      </c>
      <c r="L2879" s="137">
        <v>0</v>
      </c>
    </row>
    <row r="2880" spans="7:12" x14ac:dyDescent="0.25">
      <c r="G2880" s="136">
        <v>43428</v>
      </c>
      <c r="H2880" t="s">
        <v>25</v>
      </c>
      <c r="I2880" t="s">
        <v>231</v>
      </c>
      <c r="J2880" t="s">
        <v>416</v>
      </c>
      <c r="K2880" s="138">
        <v>406.42</v>
      </c>
      <c r="L2880" s="137">
        <v>0</v>
      </c>
    </row>
    <row r="2881" spans="7:12" x14ac:dyDescent="0.25">
      <c r="G2881" s="136">
        <v>43428</v>
      </c>
      <c r="H2881" t="s">
        <v>25</v>
      </c>
      <c r="I2881" t="s">
        <v>231</v>
      </c>
      <c r="J2881" t="s">
        <v>416</v>
      </c>
      <c r="K2881" s="138">
        <v>384.79</v>
      </c>
      <c r="L2881" s="137">
        <v>0</v>
      </c>
    </row>
    <row r="2882" spans="7:12" x14ac:dyDescent="0.25">
      <c r="G2882" s="136">
        <v>43428</v>
      </c>
      <c r="H2882" t="s">
        <v>25</v>
      </c>
      <c r="I2882" t="s">
        <v>231</v>
      </c>
      <c r="J2882" t="s">
        <v>416</v>
      </c>
      <c r="K2882" s="138">
        <v>341.38</v>
      </c>
      <c r="L2882" s="137">
        <v>0</v>
      </c>
    </row>
    <row r="2883" spans="7:12" x14ac:dyDescent="0.25">
      <c r="G2883" s="136">
        <v>43428</v>
      </c>
      <c r="H2883" t="s">
        <v>25</v>
      </c>
      <c r="I2883" t="s">
        <v>231</v>
      </c>
      <c r="J2883" t="s">
        <v>416</v>
      </c>
      <c r="K2883" s="138">
        <v>322.63</v>
      </c>
      <c r="L2883" s="137">
        <v>0</v>
      </c>
    </row>
    <row r="2884" spans="7:12" x14ac:dyDescent="0.25">
      <c r="G2884" s="136">
        <v>43428</v>
      </c>
      <c r="H2884" t="s">
        <v>25</v>
      </c>
      <c r="I2884" t="s">
        <v>231</v>
      </c>
      <c r="J2884" t="s">
        <v>416</v>
      </c>
      <c r="K2884" s="138">
        <v>266.67</v>
      </c>
      <c r="L2884" s="137">
        <v>0</v>
      </c>
    </row>
    <row r="2885" spans="7:12" x14ac:dyDescent="0.25">
      <c r="G2885" s="136">
        <v>43428</v>
      </c>
      <c r="H2885" t="s">
        <v>25</v>
      </c>
      <c r="I2885" t="s">
        <v>231</v>
      </c>
      <c r="J2885" t="s">
        <v>416</v>
      </c>
      <c r="K2885" s="138">
        <v>265.14999999999998</v>
      </c>
      <c r="L2885" s="137">
        <v>0</v>
      </c>
    </row>
    <row r="2886" spans="7:12" x14ac:dyDescent="0.25">
      <c r="G2886" s="136">
        <v>43428</v>
      </c>
      <c r="H2886" t="s">
        <v>25</v>
      </c>
      <c r="I2886" t="s">
        <v>231</v>
      </c>
      <c r="J2886" t="s">
        <v>416</v>
      </c>
      <c r="K2886" s="138">
        <v>263.73</v>
      </c>
      <c r="L2886" s="137">
        <v>0</v>
      </c>
    </row>
    <row r="2887" spans="7:12" x14ac:dyDescent="0.25">
      <c r="G2887" s="136">
        <v>43428</v>
      </c>
      <c r="H2887" t="s">
        <v>25</v>
      </c>
      <c r="I2887" t="s">
        <v>231</v>
      </c>
      <c r="J2887" t="s">
        <v>416</v>
      </c>
      <c r="K2887" s="138">
        <v>253.1</v>
      </c>
      <c r="L2887" s="137">
        <v>0</v>
      </c>
    </row>
    <row r="2888" spans="7:12" x14ac:dyDescent="0.25">
      <c r="G2888" s="136">
        <v>43428</v>
      </c>
      <c r="H2888" t="s">
        <v>25</v>
      </c>
      <c r="I2888" t="s">
        <v>231</v>
      </c>
      <c r="J2888" t="s">
        <v>416</v>
      </c>
      <c r="K2888" s="138">
        <v>250</v>
      </c>
      <c r="L2888" s="137">
        <v>0</v>
      </c>
    </row>
    <row r="2889" spans="7:12" x14ac:dyDescent="0.25">
      <c r="G2889" s="136">
        <v>43428</v>
      </c>
      <c r="H2889" t="s">
        <v>25</v>
      </c>
      <c r="I2889" t="s">
        <v>231</v>
      </c>
      <c r="J2889" t="s">
        <v>416</v>
      </c>
      <c r="K2889" s="138">
        <v>236.28</v>
      </c>
      <c r="L2889" s="137">
        <v>0</v>
      </c>
    </row>
    <row r="2890" spans="7:12" x14ac:dyDescent="0.25">
      <c r="G2890" s="136">
        <v>43428</v>
      </c>
      <c r="H2890" t="s">
        <v>25</v>
      </c>
      <c r="I2890" t="s">
        <v>231</v>
      </c>
      <c r="J2890" t="s">
        <v>416</v>
      </c>
      <c r="K2890" s="138">
        <v>228.43</v>
      </c>
      <c r="L2890" s="137">
        <v>0</v>
      </c>
    </row>
    <row r="2891" spans="7:12" x14ac:dyDescent="0.25">
      <c r="G2891" s="136">
        <v>43428</v>
      </c>
      <c r="H2891" t="s">
        <v>25</v>
      </c>
      <c r="I2891" t="s">
        <v>231</v>
      </c>
      <c r="J2891" t="s">
        <v>416</v>
      </c>
      <c r="K2891" s="138">
        <v>189.44</v>
      </c>
      <c r="L2891" s="137">
        <v>0</v>
      </c>
    </row>
    <row r="2892" spans="7:12" x14ac:dyDescent="0.25">
      <c r="G2892" s="136">
        <v>43428</v>
      </c>
      <c r="H2892" t="s">
        <v>25</v>
      </c>
      <c r="I2892" t="s">
        <v>231</v>
      </c>
      <c r="J2892" t="s">
        <v>416</v>
      </c>
      <c r="K2892" s="138">
        <v>54.42</v>
      </c>
      <c r="L2892" s="137">
        <v>0</v>
      </c>
    </row>
    <row r="2893" spans="7:12" x14ac:dyDescent="0.25">
      <c r="G2893" s="136">
        <v>43428</v>
      </c>
      <c r="H2893" t="s">
        <v>25</v>
      </c>
      <c r="I2893" t="s">
        <v>231</v>
      </c>
      <c r="J2893" t="s">
        <v>416</v>
      </c>
      <c r="K2893" s="138">
        <v>36.61</v>
      </c>
      <c r="L2893" s="137">
        <v>0</v>
      </c>
    </row>
    <row r="2894" spans="7:12" x14ac:dyDescent="0.25">
      <c r="G2894" s="136">
        <v>43428</v>
      </c>
      <c r="H2894" t="s">
        <v>25</v>
      </c>
      <c r="I2894" t="s">
        <v>231</v>
      </c>
      <c r="J2894" t="s">
        <v>416</v>
      </c>
      <c r="K2894" s="138">
        <v>16.12</v>
      </c>
      <c r="L2894" s="137">
        <v>0</v>
      </c>
    </row>
    <row r="2895" spans="7:12" x14ac:dyDescent="0.25">
      <c r="G2895" s="136">
        <v>43428</v>
      </c>
      <c r="H2895" t="s">
        <v>25</v>
      </c>
      <c r="I2895" t="s">
        <v>231</v>
      </c>
      <c r="J2895" t="s">
        <v>416</v>
      </c>
      <c r="K2895" s="138">
        <v>12.89</v>
      </c>
      <c r="L2895" s="137">
        <v>0</v>
      </c>
    </row>
    <row r="2896" spans="7:12" x14ac:dyDescent="0.25">
      <c r="G2896" s="136">
        <v>43428</v>
      </c>
      <c r="H2896" t="s">
        <v>179</v>
      </c>
      <c r="I2896" t="s">
        <v>231</v>
      </c>
      <c r="J2896" t="s">
        <v>416</v>
      </c>
      <c r="K2896" s="138">
        <v>415.81</v>
      </c>
      <c r="L2896" s="137">
        <v>0</v>
      </c>
    </row>
    <row r="2897" spans="7:12" x14ac:dyDescent="0.25">
      <c r="G2897" s="136">
        <v>43428</v>
      </c>
      <c r="H2897" t="s">
        <v>28</v>
      </c>
      <c r="I2897" t="s">
        <v>231</v>
      </c>
      <c r="J2897" t="s">
        <v>416</v>
      </c>
      <c r="K2897" s="138">
        <v>83.42</v>
      </c>
      <c r="L2897" s="137">
        <v>0</v>
      </c>
    </row>
    <row r="2898" spans="7:12" x14ac:dyDescent="0.25">
      <c r="G2898" s="136">
        <v>43428</v>
      </c>
      <c r="H2898" t="s">
        <v>28</v>
      </c>
      <c r="I2898" t="s">
        <v>231</v>
      </c>
      <c r="J2898" t="s">
        <v>416</v>
      </c>
      <c r="K2898" s="138">
        <v>38.81</v>
      </c>
      <c r="L2898" s="137">
        <v>0</v>
      </c>
    </row>
    <row r="2899" spans="7:12" x14ac:dyDescent="0.25">
      <c r="G2899" s="136">
        <v>43428</v>
      </c>
      <c r="H2899" t="s">
        <v>28</v>
      </c>
      <c r="I2899" t="s">
        <v>231</v>
      </c>
      <c r="J2899" t="s">
        <v>416</v>
      </c>
      <c r="K2899" s="138">
        <v>37.049999999999997</v>
      </c>
      <c r="L2899" s="137">
        <v>0</v>
      </c>
    </row>
    <row r="2900" spans="7:12" x14ac:dyDescent="0.25">
      <c r="G2900" s="136">
        <v>43430</v>
      </c>
      <c r="H2900" t="s">
        <v>203</v>
      </c>
      <c r="I2900" t="s">
        <v>163</v>
      </c>
      <c r="J2900" t="s">
        <v>418</v>
      </c>
      <c r="K2900" s="138">
        <v>115.5</v>
      </c>
      <c r="L2900" s="137">
        <v>0</v>
      </c>
    </row>
    <row r="2901" spans="7:12" x14ac:dyDescent="0.25">
      <c r="G2901" s="136">
        <v>43430</v>
      </c>
      <c r="H2901" t="s">
        <v>27</v>
      </c>
      <c r="I2901" t="s">
        <v>63</v>
      </c>
      <c r="J2901" t="s">
        <v>418</v>
      </c>
      <c r="K2901" s="138">
        <v>8</v>
      </c>
      <c r="L2901" s="137">
        <v>0</v>
      </c>
    </row>
    <row r="2902" spans="7:12" x14ac:dyDescent="0.25">
      <c r="G2902" s="136">
        <v>43430</v>
      </c>
      <c r="H2902" t="s">
        <v>188</v>
      </c>
      <c r="I2902" t="s">
        <v>63</v>
      </c>
      <c r="J2902" t="s">
        <v>418</v>
      </c>
      <c r="K2902" s="138">
        <v>25.4</v>
      </c>
      <c r="L2902" s="137">
        <v>0</v>
      </c>
    </row>
    <row r="2903" spans="7:12" x14ac:dyDescent="0.25">
      <c r="G2903" s="136">
        <v>43430</v>
      </c>
      <c r="H2903" t="s">
        <v>25</v>
      </c>
      <c r="I2903" t="s">
        <v>63</v>
      </c>
      <c r="J2903" t="s">
        <v>418</v>
      </c>
      <c r="K2903" s="138">
        <v>48</v>
      </c>
      <c r="L2903" s="137">
        <v>0</v>
      </c>
    </row>
    <row r="2904" spans="7:12" x14ac:dyDescent="0.25">
      <c r="G2904" s="136">
        <v>43430</v>
      </c>
      <c r="H2904" t="s">
        <v>25</v>
      </c>
      <c r="I2904" t="s">
        <v>63</v>
      </c>
      <c r="J2904" t="s">
        <v>418</v>
      </c>
      <c r="K2904" s="138">
        <v>24</v>
      </c>
      <c r="L2904" s="137">
        <v>0</v>
      </c>
    </row>
    <row r="2905" spans="7:12" x14ac:dyDescent="0.25">
      <c r="G2905" s="136">
        <v>43430</v>
      </c>
      <c r="H2905" t="s">
        <v>25</v>
      </c>
      <c r="I2905" t="s">
        <v>63</v>
      </c>
      <c r="J2905" t="s">
        <v>418</v>
      </c>
      <c r="K2905" s="138">
        <v>16</v>
      </c>
      <c r="L2905" s="137">
        <v>0</v>
      </c>
    </row>
    <row r="2906" spans="7:12" x14ac:dyDescent="0.25">
      <c r="G2906" s="136">
        <v>43430</v>
      </c>
      <c r="H2906" t="s">
        <v>28</v>
      </c>
      <c r="I2906" t="s">
        <v>63</v>
      </c>
      <c r="J2906" t="s">
        <v>418</v>
      </c>
      <c r="K2906" s="138">
        <v>15</v>
      </c>
      <c r="L2906" s="137">
        <v>0</v>
      </c>
    </row>
    <row r="2907" spans="7:12" x14ac:dyDescent="0.25">
      <c r="G2907" s="136">
        <v>43430</v>
      </c>
      <c r="H2907" t="s">
        <v>28</v>
      </c>
      <c r="I2907" t="s">
        <v>66</v>
      </c>
      <c r="J2907" t="s">
        <v>131</v>
      </c>
      <c r="K2907" s="138">
        <v>1.8</v>
      </c>
      <c r="L2907" s="137">
        <v>0</v>
      </c>
    </row>
    <row r="2908" spans="7:12" x14ac:dyDescent="0.25">
      <c r="G2908" s="136">
        <v>43430</v>
      </c>
      <c r="H2908" t="s">
        <v>28</v>
      </c>
      <c r="I2908" t="s">
        <v>66</v>
      </c>
      <c r="J2908" t="s">
        <v>121</v>
      </c>
      <c r="K2908" s="138">
        <v>2.7</v>
      </c>
      <c r="L2908" s="137">
        <v>0</v>
      </c>
    </row>
    <row r="2909" spans="7:12" x14ac:dyDescent="0.25">
      <c r="G2909" s="136">
        <v>43431</v>
      </c>
      <c r="H2909" t="s">
        <v>195</v>
      </c>
      <c r="I2909" t="s">
        <v>163</v>
      </c>
      <c r="J2909" t="s">
        <v>419</v>
      </c>
      <c r="K2909" s="138">
        <v>56.06</v>
      </c>
      <c r="L2909" s="137">
        <v>0</v>
      </c>
    </row>
    <row r="2910" spans="7:12" x14ac:dyDescent="0.25">
      <c r="G2910" s="136">
        <v>43431</v>
      </c>
      <c r="H2910" t="s">
        <v>183</v>
      </c>
      <c r="I2910" t="s">
        <v>178</v>
      </c>
      <c r="J2910" t="s">
        <v>419</v>
      </c>
      <c r="K2910" s="138">
        <v>75</v>
      </c>
      <c r="L2910" s="137">
        <v>0</v>
      </c>
    </row>
    <row r="2911" spans="7:12" x14ac:dyDescent="0.25">
      <c r="G2911" s="136">
        <v>43431</v>
      </c>
      <c r="H2911" t="s">
        <v>183</v>
      </c>
      <c r="I2911" t="s">
        <v>42</v>
      </c>
      <c r="J2911" t="s">
        <v>419</v>
      </c>
      <c r="K2911" s="138">
        <v>14.17</v>
      </c>
      <c r="L2911" s="137">
        <v>0</v>
      </c>
    </row>
    <row r="2912" spans="7:12" x14ac:dyDescent="0.25">
      <c r="G2912" s="136">
        <v>43431</v>
      </c>
      <c r="H2912" t="s">
        <v>189</v>
      </c>
      <c r="I2912" t="s">
        <v>63</v>
      </c>
      <c r="J2912" t="s">
        <v>419</v>
      </c>
      <c r="K2912" s="138">
        <v>28.97</v>
      </c>
      <c r="L2912" s="137">
        <v>0</v>
      </c>
    </row>
    <row r="2913" spans="7:12" x14ac:dyDescent="0.25">
      <c r="G2913" s="136">
        <v>43431</v>
      </c>
      <c r="H2913" t="s">
        <v>193</v>
      </c>
      <c r="I2913" t="s">
        <v>163</v>
      </c>
      <c r="J2913" t="s">
        <v>419</v>
      </c>
      <c r="K2913" s="138">
        <v>269.86</v>
      </c>
      <c r="L2913" s="137">
        <v>0</v>
      </c>
    </row>
    <row r="2914" spans="7:12" x14ac:dyDescent="0.25">
      <c r="G2914" s="136">
        <v>43431</v>
      </c>
      <c r="H2914" t="s">
        <v>188</v>
      </c>
      <c r="I2914" t="s">
        <v>178</v>
      </c>
      <c r="J2914" t="s">
        <v>419</v>
      </c>
      <c r="K2914" s="138">
        <v>363.8</v>
      </c>
      <c r="L2914" s="137">
        <v>0</v>
      </c>
    </row>
    <row r="2915" spans="7:12" x14ac:dyDescent="0.25">
      <c r="G2915" s="136">
        <v>43431</v>
      </c>
      <c r="H2915" t="s">
        <v>25</v>
      </c>
      <c r="I2915" t="s">
        <v>63</v>
      </c>
      <c r="J2915" t="s">
        <v>419</v>
      </c>
      <c r="K2915" s="138">
        <v>24</v>
      </c>
      <c r="L2915" s="137">
        <v>0</v>
      </c>
    </row>
    <row r="2916" spans="7:12" x14ac:dyDescent="0.25">
      <c r="G2916" s="136">
        <v>43431</v>
      </c>
      <c r="H2916" t="s">
        <v>25</v>
      </c>
      <c r="I2916" t="s">
        <v>63</v>
      </c>
      <c r="J2916" t="s">
        <v>419</v>
      </c>
      <c r="K2916" s="138">
        <v>16</v>
      </c>
      <c r="L2916" s="137">
        <v>0</v>
      </c>
    </row>
    <row r="2917" spans="7:12" x14ac:dyDescent="0.25">
      <c r="G2917" s="136">
        <v>43431</v>
      </c>
      <c r="H2917" t="s">
        <v>25</v>
      </c>
      <c r="I2917" t="s">
        <v>63</v>
      </c>
      <c r="J2917" t="s">
        <v>419</v>
      </c>
      <c r="K2917" s="138">
        <v>8</v>
      </c>
      <c r="L2917" s="137">
        <v>0</v>
      </c>
    </row>
    <row r="2918" spans="7:12" x14ac:dyDescent="0.25">
      <c r="G2918" s="136">
        <v>43431</v>
      </c>
      <c r="H2918" t="s">
        <v>180</v>
      </c>
      <c r="I2918" t="s">
        <v>63</v>
      </c>
      <c r="J2918" t="s">
        <v>419</v>
      </c>
      <c r="K2918" s="138">
        <v>38.950000000000003</v>
      </c>
      <c r="L2918" s="137">
        <v>0</v>
      </c>
    </row>
    <row r="2919" spans="7:12" x14ac:dyDescent="0.25">
      <c r="G2919" s="136">
        <v>43431</v>
      </c>
      <c r="H2919" t="s">
        <v>28</v>
      </c>
      <c r="I2919" t="s">
        <v>112</v>
      </c>
      <c r="J2919" t="s">
        <v>419</v>
      </c>
      <c r="K2919" s="138">
        <v>85.93</v>
      </c>
      <c r="L2919" s="137">
        <v>0</v>
      </c>
    </row>
    <row r="2920" spans="7:12" x14ac:dyDescent="0.25">
      <c r="G2920" s="136">
        <v>43431</v>
      </c>
      <c r="H2920" t="s">
        <v>28</v>
      </c>
      <c r="I2920" t="s">
        <v>155</v>
      </c>
      <c r="J2920" t="s">
        <v>419</v>
      </c>
      <c r="K2920" s="138">
        <v>69.209999999999994</v>
      </c>
      <c r="L2920" s="137">
        <v>0</v>
      </c>
    </row>
    <row r="2921" spans="7:12" x14ac:dyDescent="0.25">
      <c r="G2921" s="136">
        <v>43431</v>
      </c>
      <c r="H2921" t="s">
        <v>28</v>
      </c>
      <c r="I2921" t="s">
        <v>155</v>
      </c>
      <c r="J2921" t="s">
        <v>419</v>
      </c>
      <c r="K2921" s="138">
        <v>30.4</v>
      </c>
      <c r="L2921" s="137">
        <v>0</v>
      </c>
    </row>
    <row r="2922" spans="7:12" x14ac:dyDescent="0.25">
      <c r="G2922" s="136">
        <v>43431</v>
      </c>
      <c r="H2922" t="s">
        <v>28</v>
      </c>
      <c r="I2922" t="s">
        <v>66</v>
      </c>
      <c r="J2922" t="s">
        <v>134</v>
      </c>
      <c r="K2922" s="138">
        <v>2.25</v>
      </c>
      <c r="L2922" s="137">
        <v>0</v>
      </c>
    </row>
    <row r="2923" spans="7:12" x14ac:dyDescent="0.25">
      <c r="G2923" s="136">
        <v>43433</v>
      </c>
      <c r="H2923" t="s">
        <v>199</v>
      </c>
      <c r="I2923" t="s">
        <v>63</v>
      </c>
      <c r="J2923" t="s">
        <v>420</v>
      </c>
      <c r="K2923" s="138">
        <v>219.25</v>
      </c>
      <c r="L2923" s="137">
        <v>0</v>
      </c>
    </row>
    <row r="2924" spans="7:12" x14ac:dyDescent="0.25">
      <c r="G2924" s="136">
        <v>43433</v>
      </c>
      <c r="H2924" t="s">
        <v>213</v>
      </c>
      <c r="I2924" t="s">
        <v>63</v>
      </c>
      <c r="J2924" t="s">
        <v>420</v>
      </c>
      <c r="K2924" s="138">
        <v>6.28</v>
      </c>
      <c r="L2924" s="137">
        <v>0</v>
      </c>
    </row>
    <row r="2925" spans="7:12" x14ac:dyDescent="0.25">
      <c r="G2925" s="136">
        <v>43433</v>
      </c>
      <c r="H2925" t="s">
        <v>193</v>
      </c>
      <c r="I2925" t="s">
        <v>42</v>
      </c>
      <c r="J2925" t="s">
        <v>420</v>
      </c>
      <c r="K2925" s="138">
        <v>6.3</v>
      </c>
      <c r="L2925" s="137">
        <v>0</v>
      </c>
    </row>
    <row r="2926" spans="7:12" x14ac:dyDescent="0.25">
      <c r="G2926" s="136">
        <v>43433</v>
      </c>
      <c r="H2926" t="s">
        <v>25</v>
      </c>
      <c r="I2926" t="s">
        <v>63</v>
      </c>
      <c r="J2926" t="s">
        <v>420</v>
      </c>
      <c r="K2926" s="138">
        <v>32</v>
      </c>
      <c r="L2926" s="137">
        <v>0</v>
      </c>
    </row>
    <row r="2927" spans="7:12" x14ac:dyDescent="0.25">
      <c r="G2927" s="136">
        <v>43433</v>
      </c>
      <c r="H2927" t="s">
        <v>25</v>
      </c>
      <c r="I2927" t="s">
        <v>63</v>
      </c>
      <c r="J2927" t="s">
        <v>420</v>
      </c>
      <c r="K2927" s="138">
        <v>24</v>
      </c>
      <c r="L2927" s="137">
        <v>0</v>
      </c>
    </row>
    <row r="2928" spans="7:12" x14ac:dyDescent="0.25">
      <c r="G2928" s="136">
        <v>43433</v>
      </c>
      <c r="H2928" t="s">
        <v>25</v>
      </c>
      <c r="I2928" t="s">
        <v>232</v>
      </c>
      <c r="J2928" t="s">
        <v>421</v>
      </c>
      <c r="K2928" s="138">
        <v>15.62</v>
      </c>
      <c r="L2928" s="137">
        <v>0</v>
      </c>
    </row>
    <row r="2929" spans="7:12" x14ac:dyDescent="0.25">
      <c r="G2929" s="136">
        <v>43433</v>
      </c>
      <c r="H2929" t="s">
        <v>201</v>
      </c>
      <c r="I2929" t="s">
        <v>42</v>
      </c>
      <c r="J2929" t="s">
        <v>420</v>
      </c>
      <c r="K2929" s="138">
        <v>51.5</v>
      </c>
      <c r="L2929" s="137">
        <v>0</v>
      </c>
    </row>
    <row r="2930" spans="7:12" x14ac:dyDescent="0.25">
      <c r="G2930" s="136">
        <v>43433</v>
      </c>
      <c r="H2930" t="s">
        <v>211</v>
      </c>
      <c r="I2930" t="s">
        <v>176</v>
      </c>
      <c r="J2930" t="s">
        <v>420</v>
      </c>
      <c r="K2930" s="138">
        <v>3354.82</v>
      </c>
      <c r="L2930" s="137">
        <v>0</v>
      </c>
    </row>
    <row r="2931" spans="7:12" x14ac:dyDescent="0.25">
      <c r="G2931" s="136">
        <v>43433</v>
      </c>
      <c r="H2931" t="s">
        <v>28</v>
      </c>
      <c r="I2931" t="s">
        <v>63</v>
      </c>
      <c r="J2931" t="s">
        <v>420</v>
      </c>
      <c r="K2931" s="138">
        <v>16</v>
      </c>
      <c r="L2931" s="137">
        <v>0</v>
      </c>
    </row>
    <row r="2932" spans="7:12" x14ac:dyDescent="0.25">
      <c r="G2932" s="136">
        <v>43433</v>
      </c>
      <c r="H2932" t="s">
        <v>28</v>
      </c>
      <c r="I2932" t="s">
        <v>163</v>
      </c>
      <c r="J2932" t="s">
        <v>420</v>
      </c>
      <c r="K2932" s="138">
        <v>32.299999999999997</v>
      </c>
      <c r="L2932" s="137">
        <v>0</v>
      </c>
    </row>
    <row r="2933" spans="7:12" x14ac:dyDescent="0.25">
      <c r="G2933" s="136">
        <v>43433</v>
      </c>
      <c r="H2933" t="s">
        <v>28</v>
      </c>
      <c r="I2933" t="s">
        <v>66</v>
      </c>
      <c r="J2933" t="s">
        <v>372</v>
      </c>
      <c r="K2933" s="138">
        <v>22.5</v>
      </c>
      <c r="L2933" s="137">
        <v>0</v>
      </c>
    </row>
    <row r="2934" spans="7:12" x14ac:dyDescent="0.25">
      <c r="G2934" s="136">
        <v>43433</v>
      </c>
      <c r="H2934" t="s">
        <v>28</v>
      </c>
      <c r="I2934" t="s">
        <v>66</v>
      </c>
      <c r="J2934" t="s">
        <v>140</v>
      </c>
      <c r="K2934" s="138">
        <v>18.75</v>
      </c>
      <c r="L2934" s="137">
        <v>0</v>
      </c>
    </row>
    <row r="2935" spans="7:12" x14ac:dyDescent="0.25">
      <c r="G2935" s="136">
        <v>43433</v>
      </c>
      <c r="H2935" t="s">
        <v>28</v>
      </c>
      <c r="I2935" t="s">
        <v>42</v>
      </c>
      <c r="J2935" t="s">
        <v>420</v>
      </c>
      <c r="K2935" s="138">
        <v>19</v>
      </c>
      <c r="L2935" s="137">
        <v>0</v>
      </c>
    </row>
    <row r="2936" spans="7:12" x14ac:dyDescent="0.25">
      <c r="G2936" s="136">
        <v>43434</v>
      </c>
      <c r="H2936" t="s">
        <v>27</v>
      </c>
      <c r="I2936" t="s">
        <v>63</v>
      </c>
      <c r="J2936" t="s">
        <v>422</v>
      </c>
      <c r="K2936" s="138">
        <v>8</v>
      </c>
      <c r="L2936" s="137">
        <v>0</v>
      </c>
    </row>
    <row r="2937" spans="7:12" x14ac:dyDescent="0.25">
      <c r="G2937" s="136">
        <v>43434</v>
      </c>
      <c r="H2937" t="s">
        <v>195</v>
      </c>
      <c r="I2937" t="s">
        <v>163</v>
      </c>
      <c r="J2937" t="s">
        <v>422</v>
      </c>
      <c r="K2937" s="138">
        <v>53.55</v>
      </c>
      <c r="L2937" s="137">
        <v>0</v>
      </c>
    </row>
    <row r="2938" spans="7:12" x14ac:dyDescent="0.25">
      <c r="G2938" s="136">
        <v>43434</v>
      </c>
      <c r="H2938" t="s">
        <v>188</v>
      </c>
      <c r="I2938" t="s">
        <v>63</v>
      </c>
      <c r="J2938" t="s">
        <v>422</v>
      </c>
      <c r="K2938" s="138">
        <v>8</v>
      </c>
      <c r="L2938" s="137">
        <v>0</v>
      </c>
    </row>
    <row r="2939" spans="7:12" x14ac:dyDescent="0.25">
      <c r="G2939" s="136">
        <v>43434</v>
      </c>
      <c r="H2939" t="s">
        <v>25</v>
      </c>
      <c r="I2939" t="s">
        <v>63</v>
      </c>
      <c r="J2939" t="s">
        <v>422</v>
      </c>
      <c r="K2939" s="138">
        <v>24</v>
      </c>
      <c r="L2939" s="137">
        <v>0</v>
      </c>
    </row>
    <row r="2940" spans="7:12" x14ac:dyDescent="0.25">
      <c r="G2940" s="136">
        <v>43434</v>
      </c>
      <c r="H2940" t="s">
        <v>25</v>
      </c>
      <c r="I2940" t="s">
        <v>63</v>
      </c>
      <c r="J2940" t="s">
        <v>422</v>
      </c>
      <c r="K2940" s="138">
        <v>16</v>
      </c>
      <c r="L2940" s="137">
        <v>0</v>
      </c>
    </row>
    <row r="2941" spans="7:12" x14ac:dyDescent="0.25">
      <c r="G2941" s="136">
        <v>43434</v>
      </c>
      <c r="H2941" t="s">
        <v>25</v>
      </c>
      <c r="I2941" t="s">
        <v>63</v>
      </c>
      <c r="J2941" t="s">
        <v>422</v>
      </c>
      <c r="K2941" s="138">
        <v>8</v>
      </c>
      <c r="L2941" s="137">
        <v>0</v>
      </c>
    </row>
    <row r="2942" spans="7:12" x14ac:dyDescent="0.25">
      <c r="G2942" s="136">
        <v>43434</v>
      </c>
      <c r="H2942" t="s">
        <v>181</v>
      </c>
      <c r="I2942" t="s">
        <v>42</v>
      </c>
      <c r="J2942" t="s">
        <v>422</v>
      </c>
      <c r="K2942" s="138">
        <v>188.4</v>
      </c>
      <c r="L2942" s="137">
        <v>0</v>
      </c>
    </row>
    <row r="2943" spans="7:12" x14ac:dyDescent="0.25">
      <c r="G2943" s="136">
        <v>43434</v>
      </c>
      <c r="H2943" t="s">
        <v>180</v>
      </c>
      <c r="I2943" t="s">
        <v>42</v>
      </c>
      <c r="J2943" t="s">
        <v>422</v>
      </c>
      <c r="K2943" s="138">
        <v>71.7</v>
      </c>
      <c r="L2943" s="137">
        <v>0</v>
      </c>
    </row>
    <row r="2944" spans="7:12" x14ac:dyDescent="0.25">
      <c r="G2944" s="136">
        <v>43434</v>
      </c>
      <c r="H2944" t="s">
        <v>179</v>
      </c>
      <c r="I2944" t="s">
        <v>63</v>
      </c>
      <c r="J2944" t="s">
        <v>422</v>
      </c>
      <c r="K2944" s="138">
        <v>130.66</v>
      </c>
      <c r="L2944" s="137">
        <v>0</v>
      </c>
    </row>
    <row r="2945" spans="7:12" x14ac:dyDescent="0.25">
      <c r="G2945" s="136">
        <v>43434</v>
      </c>
      <c r="H2945" t="s">
        <v>179</v>
      </c>
      <c r="I2945" t="s">
        <v>112</v>
      </c>
      <c r="J2945" t="s">
        <v>422</v>
      </c>
      <c r="K2945" s="138">
        <v>214.34</v>
      </c>
      <c r="L2945" s="137">
        <v>0</v>
      </c>
    </row>
    <row r="2946" spans="7:12" x14ac:dyDescent="0.25">
      <c r="G2946" s="136">
        <v>43434</v>
      </c>
      <c r="H2946" t="s">
        <v>179</v>
      </c>
      <c r="I2946" t="s">
        <v>176</v>
      </c>
      <c r="J2946" t="s">
        <v>422</v>
      </c>
      <c r="K2946" s="138">
        <v>0</v>
      </c>
      <c r="L2946" s="137">
        <v>214.34</v>
      </c>
    </row>
    <row r="2947" spans="7:12" x14ac:dyDescent="0.25">
      <c r="G2947" s="136">
        <v>43434</v>
      </c>
      <c r="H2947" t="s">
        <v>28</v>
      </c>
      <c r="I2947" t="s">
        <v>63</v>
      </c>
      <c r="J2947" t="s">
        <v>422</v>
      </c>
      <c r="K2947" s="138">
        <v>26.16</v>
      </c>
      <c r="L2947" s="137">
        <v>0</v>
      </c>
    </row>
    <row r="2948" spans="7:12" x14ac:dyDescent="0.25">
      <c r="G2948" s="136">
        <v>43434</v>
      </c>
      <c r="H2948" t="s">
        <v>28</v>
      </c>
      <c r="I2948" t="s">
        <v>163</v>
      </c>
      <c r="J2948" t="s">
        <v>422</v>
      </c>
      <c r="K2948" s="138">
        <v>20.8</v>
      </c>
      <c r="L2948" s="137">
        <v>0</v>
      </c>
    </row>
    <row r="2949" spans="7:12" x14ac:dyDescent="0.25">
      <c r="G2949" s="136">
        <v>43434</v>
      </c>
      <c r="H2949" t="s">
        <v>28</v>
      </c>
      <c r="I2949" t="s">
        <v>66</v>
      </c>
      <c r="J2949" t="s">
        <v>293</v>
      </c>
      <c r="K2949" s="138">
        <v>2.4</v>
      </c>
      <c r="L2949" s="137">
        <v>0</v>
      </c>
    </row>
    <row r="2950" spans="7:12" x14ac:dyDescent="0.25">
      <c r="G2950" s="136">
        <v>43434</v>
      </c>
      <c r="H2950" t="s">
        <v>28</v>
      </c>
      <c r="I2950" t="s">
        <v>66</v>
      </c>
      <c r="J2950" t="s">
        <v>105</v>
      </c>
      <c r="K2950" s="138">
        <v>25</v>
      </c>
      <c r="L2950" s="137">
        <v>0</v>
      </c>
    </row>
    <row r="2951" spans="7:12" x14ac:dyDescent="0.25">
      <c r="G2951" s="136">
        <v>43434</v>
      </c>
      <c r="H2951" t="s">
        <v>28</v>
      </c>
      <c r="I2951" t="s">
        <v>66</v>
      </c>
      <c r="J2951" t="s">
        <v>143</v>
      </c>
      <c r="K2951" s="138">
        <v>9</v>
      </c>
      <c r="L2951" s="137">
        <v>0</v>
      </c>
    </row>
    <row r="2952" spans="7:12" x14ac:dyDescent="0.25">
      <c r="G2952" s="136">
        <v>43435</v>
      </c>
      <c r="H2952" t="s">
        <v>27</v>
      </c>
      <c r="I2952" t="s">
        <v>42</v>
      </c>
      <c r="J2952" t="s">
        <v>423</v>
      </c>
      <c r="K2952" s="138">
        <v>312</v>
      </c>
      <c r="L2952" s="137">
        <v>0</v>
      </c>
    </row>
    <row r="2953" spans="7:12" x14ac:dyDescent="0.25">
      <c r="G2953" s="136">
        <v>43435</v>
      </c>
      <c r="H2953" t="s">
        <v>184</v>
      </c>
      <c r="I2953" t="s">
        <v>171</v>
      </c>
      <c r="J2953" t="s">
        <v>423</v>
      </c>
      <c r="K2953" s="138">
        <v>35</v>
      </c>
      <c r="L2953" s="137">
        <v>0</v>
      </c>
    </row>
    <row r="2954" spans="7:12" x14ac:dyDescent="0.25">
      <c r="G2954" s="136">
        <v>43435</v>
      </c>
      <c r="H2954" t="s">
        <v>207</v>
      </c>
      <c r="I2954" t="s">
        <v>112</v>
      </c>
      <c r="J2954" t="s">
        <v>423</v>
      </c>
      <c r="K2954" s="138">
        <v>32.9</v>
      </c>
      <c r="L2954" s="137">
        <v>0</v>
      </c>
    </row>
    <row r="2955" spans="7:12" x14ac:dyDescent="0.25">
      <c r="G2955" s="136">
        <v>43435</v>
      </c>
      <c r="H2955" t="s">
        <v>28</v>
      </c>
      <c r="I2955" t="s">
        <v>178</v>
      </c>
      <c r="J2955" t="s">
        <v>423</v>
      </c>
      <c r="K2955" s="138">
        <v>74.680000000000007</v>
      </c>
      <c r="L2955" s="137">
        <v>0</v>
      </c>
    </row>
    <row r="2956" spans="7:12" x14ac:dyDescent="0.25">
      <c r="G2956" s="136">
        <v>43435</v>
      </c>
      <c r="H2956" t="s">
        <v>28</v>
      </c>
      <c r="I2956" t="s">
        <v>178</v>
      </c>
      <c r="J2956" t="s">
        <v>423</v>
      </c>
      <c r="K2956" s="138">
        <v>35.96</v>
      </c>
      <c r="L2956" s="137">
        <v>0</v>
      </c>
    </row>
    <row r="2957" spans="7:12" x14ac:dyDescent="0.25">
      <c r="G2957" s="136">
        <v>43435</v>
      </c>
      <c r="H2957" t="s">
        <v>28</v>
      </c>
      <c r="I2957" t="s">
        <v>112</v>
      </c>
      <c r="J2957" t="s">
        <v>423</v>
      </c>
      <c r="K2957" s="138">
        <v>96</v>
      </c>
      <c r="L2957" s="137">
        <v>0</v>
      </c>
    </row>
    <row r="2958" spans="7:12" x14ac:dyDescent="0.25">
      <c r="G2958" s="136">
        <v>43435</v>
      </c>
      <c r="H2958" t="s">
        <v>28</v>
      </c>
      <c r="I2958" t="s">
        <v>112</v>
      </c>
      <c r="J2958" t="s">
        <v>423</v>
      </c>
      <c r="K2958" s="138">
        <v>29.75</v>
      </c>
      <c r="L2958" s="137">
        <v>0</v>
      </c>
    </row>
    <row r="2959" spans="7:12" x14ac:dyDescent="0.25">
      <c r="G2959" s="136">
        <v>43435</v>
      </c>
      <c r="H2959" t="s">
        <v>28</v>
      </c>
      <c r="I2959" t="s">
        <v>112</v>
      </c>
      <c r="J2959" t="s">
        <v>423</v>
      </c>
      <c r="K2959" s="138">
        <v>23.99</v>
      </c>
      <c r="L2959" s="137">
        <v>0</v>
      </c>
    </row>
    <row r="2960" spans="7:12" x14ac:dyDescent="0.25">
      <c r="G2960" s="136">
        <v>43435</v>
      </c>
      <c r="H2960" t="s">
        <v>28</v>
      </c>
      <c r="I2960" t="s">
        <v>155</v>
      </c>
      <c r="J2960" t="s">
        <v>423</v>
      </c>
      <c r="K2960" s="138">
        <v>126</v>
      </c>
      <c r="L2960" s="137">
        <v>0</v>
      </c>
    </row>
    <row r="2961" spans="7:12" x14ac:dyDescent="0.25">
      <c r="G2961" s="136">
        <v>43435</v>
      </c>
      <c r="H2961" t="s">
        <v>28</v>
      </c>
      <c r="I2961" t="s">
        <v>155</v>
      </c>
      <c r="J2961" t="s">
        <v>423</v>
      </c>
      <c r="K2961" s="138">
        <v>113.68</v>
      </c>
      <c r="L2961" s="137">
        <v>0</v>
      </c>
    </row>
    <row r="2962" spans="7:12" x14ac:dyDescent="0.25">
      <c r="G2962" s="136">
        <v>43435</v>
      </c>
      <c r="H2962" t="s">
        <v>28</v>
      </c>
      <c r="I2962" t="s">
        <v>155</v>
      </c>
      <c r="J2962" t="s">
        <v>423</v>
      </c>
      <c r="K2962" s="138">
        <v>105.75</v>
      </c>
      <c r="L2962" s="137">
        <v>0</v>
      </c>
    </row>
    <row r="2963" spans="7:12" x14ac:dyDescent="0.25">
      <c r="G2963" s="136">
        <v>43435</v>
      </c>
      <c r="H2963" t="s">
        <v>28</v>
      </c>
      <c r="I2963" t="s">
        <v>155</v>
      </c>
      <c r="J2963" t="s">
        <v>423</v>
      </c>
      <c r="K2963" s="138">
        <v>15.95</v>
      </c>
      <c r="L2963" s="137">
        <v>0</v>
      </c>
    </row>
    <row r="2964" spans="7:12" x14ac:dyDescent="0.25">
      <c r="G2964" s="136">
        <v>43435</v>
      </c>
      <c r="H2964" t="s">
        <v>28</v>
      </c>
      <c r="I2964" t="s">
        <v>66</v>
      </c>
      <c r="J2964" t="s">
        <v>111</v>
      </c>
      <c r="K2964" s="138">
        <v>3</v>
      </c>
      <c r="L2964" s="137">
        <v>0</v>
      </c>
    </row>
    <row r="2965" spans="7:12" x14ac:dyDescent="0.25">
      <c r="G2965" s="136">
        <v>43435</v>
      </c>
      <c r="H2965" t="s">
        <v>28</v>
      </c>
      <c r="I2965" t="s">
        <v>66</v>
      </c>
      <c r="J2965" t="s">
        <v>115</v>
      </c>
      <c r="K2965" s="138">
        <v>2.25</v>
      </c>
      <c r="L2965" s="137">
        <v>0</v>
      </c>
    </row>
    <row r="2966" spans="7:12" x14ac:dyDescent="0.25">
      <c r="G2966" s="136">
        <v>43435</v>
      </c>
      <c r="H2966" t="s">
        <v>28</v>
      </c>
      <c r="I2966" t="s">
        <v>42</v>
      </c>
      <c r="J2966" t="s">
        <v>423</v>
      </c>
      <c r="K2966" s="138">
        <v>137.5</v>
      </c>
      <c r="L2966" s="137">
        <v>0</v>
      </c>
    </row>
    <row r="2967" spans="7:12" x14ac:dyDescent="0.25">
      <c r="G2967" s="136">
        <v>43437</v>
      </c>
      <c r="H2967" t="s">
        <v>183</v>
      </c>
      <c r="I2967" t="s">
        <v>42</v>
      </c>
      <c r="J2967" t="s">
        <v>424</v>
      </c>
      <c r="K2967" s="138">
        <v>9.34</v>
      </c>
      <c r="L2967" s="137">
        <v>0</v>
      </c>
    </row>
    <row r="2968" spans="7:12" x14ac:dyDescent="0.25">
      <c r="G2968" s="136">
        <v>43437</v>
      </c>
      <c r="H2968" t="s">
        <v>188</v>
      </c>
      <c r="I2968" t="s">
        <v>175</v>
      </c>
      <c r="J2968" t="s">
        <v>424</v>
      </c>
      <c r="K2968" s="138">
        <v>200</v>
      </c>
      <c r="L2968" s="137">
        <v>0</v>
      </c>
    </row>
    <row r="2969" spans="7:12" x14ac:dyDescent="0.25">
      <c r="G2969" s="136">
        <v>43437</v>
      </c>
      <c r="H2969" t="s">
        <v>28</v>
      </c>
      <c r="I2969" t="s">
        <v>112</v>
      </c>
      <c r="J2969" t="s">
        <v>424</v>
      </c>
      <c r="K2969" s="138">
        <v>184</v>
      </c>
      <c r="L2969" s="137">
        <v>0</v>
      </c>
    </row>
    <row r="2970" spans="7:12" x14ac:dyDescent="0.25">
      <c r="G2970" s="136">
        <v>43437</v>
      </c>
      <c r="H2970" t="s">
        <v>28</v>
      </c>
      <c r="I2970" t="s">
        <v>176</v>
      </c>
      <c r="J2970" t="s">
        <v>424</v>
      </c>
      <c r="K2970" s="138">
        <v>0</v>
      </c>
      <c r="L2970" s="137">
        <v>54</v>
      </c>
    </row>
    <row r="2971" spans="7:12" x14ac:dyDescent="0.25">
      <c r="G2971" s="136">
        <v>43437</v>
      </c>
      <c r="H2971" t="s">
        <v>28</v>
      </c>
      <c r="I2971" t="s">
        <v>66</v>
      </c>
      <c r="J2971" t="s">
        <v>141</v>
      </c>
      <c r="K2971" s="138">
        <v>3.15</v>
      </c>
      <c r="L2971" s="137">
        <v>0</v>
      </c>
    </row>
    <row r="2972" spans="7:12" x14ac:dyDescent="0.25">
      <c r="G2972" s="136">
        <v>43437</v>
      </c>
      <c r="H2972" t="s">
        <v>28</v>
      </c>
      <c r="I2972" t="s">
        <v>66</v>
      </c>
      <c r="J2972" t="s">
        <v>143</v>
      </c>
      <c r="K2972" s="138">
        <v>4.5</v>
      </c>
      <c r="L2972" s="137">
        <v>0</v>
      </c>
    </row>
    <row r="2973" spans="7:12" x14ac:dyDescent="0.25">
      <c r="G2973" s="136">
        <v>43437</v>
      </c>
      <c r="H2973" t="s">
        <v>28</v>
      </c>
      <c r="I2973" t="s">
        <v>66</v>
      </c>
      <c r="J2973" t="s">
        <v>98</v>
      </c>
      <c r="K2973" s="138">
        <v>4</v>
      </c>
      <c r="L2973" s="137">
        <v>0</v>
      </c>
    </row>
    <row r="2974" spans="7:12" x14ac:dyDescent="0.25">
      <c r="G2974" s="136">
        <v>43437</v>
      </c>
      <c r="H2974" t="s">
        <v>28</v>
      </c>
      <c r="I2974" t="s">
        <v>66</v>
      </c>
      <c r="J2974" t="s">
        <v>115</v>
      </c>
      <c r="K2974" s="138">
        <v>9</v>
      </c>
      <c r="L2974" s="137">
        <v>0</v>
      </c>
    </row>
    <row r="2975" spans="7:12" x14ac:dyDescent="0.25">
      <c r="G2975" s="136">
        <v>43438</v>
      </c>
      <c r="H2975" t="s">
        <v>203</v>
      </c>
      <c r="I2975" t="s">
        <v>42</v>
      </c>
      <c r="J2975" t="s">
        <v>425</v>
      </c>
      <c r="K2975" s="138">
        <v>170</v>
      </c>
      <c r="L2975" s="137">
        <v>0</v>
      </c>
    </row>
    <row r="2976" spans="7:12" x14ac:dyDescent="0.25">
      <c r="G2976" s="136">
        <v>43438</v>
      </c>
      <c r="H2976" t="s">
        <v>27</v>
      </c>
      <c r="I2976" t="s">
        <v>63</v>
      </c>
      <c r="J2976" t="s">
        <v>425</v>
      </c>
      <c r="K2976" s="138">
        <v>16</v>
      </c>
      <c r="L2976" s="137">
        <v>0</v>
      </c>
    </row>
    <row r="2977" spans="7:12" x14ac:dyDescent="0.25">
      <c r="G2977" s="136">
        <v>43438</v>
      </c>
      <c r="H2977" t="s">
        <v>27</v>
      </c>
      <c r="I2977" t="s">
        <v>63</v>
      </c>
      <c r="J2977" t="s">
        <v>425</v>
      </c>
      <c r="K2977" s="138">
        <v>8</v>
      </c>
      <c r="L2977" s="137">
        <v>0</v>
      </c>
    </row>
    <row r="2978" spans="7:12" x14ac:dyDescent="0.25">
      <c r="G2978" s="136">
        <v>43438</v>
      </c>
      <c r="H2978" t="s">
        <v>184</v>
      </c>
      <c r="I2978" t="s">
        <v>42</v>
      </c>
      <c r="J2978" t="s">
        <v>425</v>
      </c>
      <c r="K2978" s="138">
        <v>135</v>
      </c>
      <c r="L2978" s="137">
        <v>0</v>
      </c>
    </row>
    <row r="2979" spans="7:12" x14ac:dyDescent="0.25">
      <c r="G2979" s="136">
        <v>43438</v>
      </c>
      <c r="H2979" t="s">
        <v>183</v>
      </c>
      <c r="I2979" t="s">
        <v>178</v>
      </c>
      <c r="J2979" t="s">
        <v>425</v>
      </c>
      <c r="K2979" s="138">
        <v>25</v>
      </c>
      <c r="L2979" s="137">
        <v>0</v>
      </c>
    </row>
    <row r="2980" spans="7:12" x14ac:dyDescent="0.25">
      <c r="G2980" s="136">
        <v>43438</v>
      </c>
      <c r="H2980" t="s">
        <v>183</v>
      </c>
      <c r="I2980" t="s">
        <v>171</v>
      </c>
      <c r="J2980" t="s">
        <v>425</v>
      </c>
      <c r="K2980" s="138">
        <v>2100</v>
      </c>
      <c r="L2980" s="137">
        <v>0</v>
      </c>
    </row>
    <row r="2981" spans="7:12" x14ac:dyDescent="0.25">
      <c r="G2981" s="136">
        <v>43438</v>
      </c>
      <c r="H2981" t="s">
        <v>208</v>
      </c>
      <c r="I2981" t="s">
        <v>42</v>
      </c>
      <c r="J2981" t="s">
        <v>425</v>
      </c>
      <c r="K2981" s="138">
        <v>45</v>
      </c>
      <c r="L2981" s="137">
        <v>0</v>
      </c>
    </row>
    <row r="2982" spans="7:12" x14ac:dyDescent="0.25">
      <c r="G2982" s="136">
        <v>43438</v>
      </c>
      <c r="H2982" t="s">
        <v>189</v>
      </c>
      <c r="I2982" t="s">
        <v>171</v>
      </c>
      <c r="J2982" t="s">
        <v>425</v>
      </c>
      <c r="K2982" s="138">
        <v>150</v>
      </c>
      <c r="L2982" s="137">
        <v>0</v>
      </c>
    </row>
    <row r="2983" spans="7:12" x14ac:dyDescent="0.25">
      <c r="G2983" s="136">
        <v>43438</v>
      </c>
      <c r="H2983" t="s">
        <v>193</v>
      </c>
      <c r="I2983" t="s">
        <v>178</v>
      </c>
      <c r="J2983" t="s">
        <v>425</v>
      </c>
      <c r="K2983" s="138">
        <v>24.28</v>
      </c>
      <c r="L2983" s="137">
        <v>0</v>
      </c>
    </row>
    <row r="2984" spans="7:12" x14ac:dyDescent="0.25">
      <c r="G2984" s="136">
        <v>43438</v>
      </c>
      <c r="H2984" t="s">
        <v>193</v>
      </c>
      <c r="I2984" t="s">
        <v>42</v>
      </c>
      <c r="J2984" t="s">
        <v>425</v>
      </c>
      <c r="K2984" s="138">
        <v>34.299999999999997</v>
      </c>
      <c r="L2984" s="137">
        <v>0</v>
      </c>
    </row>
    <row r="2985" spans="7:12" x14ac:dyDescent="0.25">
      <c r="G2985" s="136">
        <v>43438</v>
      </c>
      <c r="H2985" t="s">
        <v>188</v>
      </c>
      <c r="I2985" t="s">
        <v>178</v>
      </c>
      <c r="J2985" t="s">
        <v>425</v>
      </c>
      <c r="K2985" s="138">
        <v>89.5</v>
      </c>
      <c r="L2985" s="137">
        <v>0</v>
      </c>
    </row>
    <row r="2986" spans="7:12" x14ac:dyDescent="0.25">
      <c r="G2986" s="136">
        <v>43438</v>
      </c>
      <c r="H2986" t="s">
        <v>188</v>
      </c>
      <c r="I2986" t="s">
        <v>171</v>
      </c>
      <c r="J2986" t="s">
        <v>425</v>
      </c>
      <c r="K2986" s="138">
        <v>150</v>
      </c>
      <c r="L2986" s="137">
        <v>0</v>
      </c>
    </row>
    <row r="2987" spans="7:12" x14ac:dyDescent="0.25">
      <c r="G2987" s="136">
        <v>43438</v>
      </c>
      <c r="H2987" t="s">
        <v>25</v>
      </c>
      <c r="I2987" t="s">
        <v>63</v>
      </c>
      <c r="J2987" t="s">
        <v>425</v>
      </c>
      <c r="K2987" s="138">
        <v>64</v>
      </c>
      <c r="L2987" s="137">
        <v>0</v>
      </c>
    </row>
    <row r="2988" spans="7:12" x14ac:dyDescent="0.25">
      <c r="G2988" s="136">
        <v>43438</v>
      </c>
      <c r="H2988" t="s">
        <v>25</v>
      </c>
      <c r="I2988" t="s">
        <v>63</v>
      </c>
      <c r="J2988" t="s">
        <v>425</v>
      </c>
      <c r="K2988" s="138">
        <v>48</v>
      </c>
      <c r="L2988" s="137">
        <v>0</v>
      </c>
    </row>
    <row r="2989" spans="7:12" x14ac:dyDescent="0.25">
      <c r="G2989" s="136">
        <v>43438</v>
      </c>
      <c r="H2989" t="s">
        <v>25</v>
      </c>
      <c r="I2989" t="s">
        <v>63</v>
      </c>
      <c r="J2989" t="s">
        <v>425</v>
      </c>
      <c r="K2989" s="138">
        <v>40</v>
      </c>
      <c r="L2989" s="137">
        <v>0</v>
      </c>
    </row>
    <row r="2990" spans="7:12" x14ac:dyDescent="0.25">
      <c r="G2990" s="136">
        <v>43438</v>
      </c>
      <c r="H2990" t="s">
        <v>25</v>
      </c>
      <c r="I2990" t="s">
        <v>63</v>
      </c>
      <c r="J2990" t="s">
        <v>425</v>
      </c>
      <c r="K2990" s="138">
        <v>24</v>
      </c>
      <c r="L2990" s="137">
        <v>0</v>
      </c>
    </row>
    <row r="2991" spans="7:12" x14ac:dyDescent="0.25">
      <c r="G2991" s="136">
        <v>43438</v>
      </c>
      <c r="H2991" t="s">
        <v>25</v>
      </c>
      <c r="I2991" t="s">
        <v>63</v>
      </c>
      <c r="J2991" t="s">
        <v>425</v>
      </c>
      <c r="K2991" s="138">
        <v>16</v>
      </c>
      <c r="L2991" s="137">
        <v>0</v>
      </c>
    </row>
    <row r="2992" spans="7:12" x14ac:dyDescent="0.25">
      <c r="G2992" s="136">
        <v>43438</v>
      </c>
      <c r="H2992" t="s">
        <v>25</v>
      </c>
      <c r="I2992" t="s">
        <v>63</v>
      </c>
      <c r="J2992" t="s">
        <v>425</v>
      </c>
      <c r="K2992" s="138">
        <v>8</v>
      </c>
      <c r="L2992" s="137">
        <v>0</v>
      </c>
    </row>
    <row r="2993" spans="7:12" x14ac:dyDescent="0.25">
      <c r="G2993" s="136">
        <v>43438</v>
      </c>
      <c r="H2993" t="s">
        <v>197</v>
      </c>
      <c r="I2993" t="s">
        <v>42</v>
      </c>
      <c r="J2993" t="s">
        <v>425</v>
      </c>
      <c r="K2993" s="138">
        <v>42</v>
      </c>
      <c r="L2993" s="137">
        <v>0</v>
      </c>
    </row>
    <row r="2994" spans="7:12" x14ac:dyDescent="0.25">
      <c r="G2994" s="136">
        <v>43438</v>
      </c>
      <c r="H2994" t="s">
        <v>196</v>
      </c>
      <c r="I2994" t="s">
        <v>112</v>
      </c>
      <c r="J2994" t="s">
        <v>425</v>
      </c>
      <c r="K2994" s="138">
        <v>20.75</v>
      </c>
      <c r="L2994" s="137">
        <v>0</v>
      </c>
    </row>
    <row r="2995" spans="7:12" x14ac:dyDescent="0.25">
      <c r="G2995" s="136">
        <v>43438</v>
      </c>
      <c r="H2995" t="s">
        <v>196</v>
      </c>
      <c r="I2995" t="s">
        <v>42</v>
      </c>
      <c r="J2995" t="s">
        <v>425</v>
      </c>
      <c r="K2995" s="138">
        <v>85</v>
      </c>
      <c r="L2995" s="137">
        <v>0</v>
      </c>
    </row>
    <row r="2996" spans="7:12" x14ac:dyDescent="0.25">
      <c r="G2996" s="136">
        <v>43438</v>
      </c>
      <c r="H2996" t="s">
        <v>180</v>
      </c>
      <c r="I2996" t="s">
        <v>42</v>
      </c>
      <c r="J2996" t="s">
        <v>425</v>
      </c>
      <c r="K2996" s="138">
        <v>42</v>
      </c>
      <c r="L2996" s="137">
        <v>0</v>
      </c>
    </row>
    <row r="2997" spans="7:12" x14ac:dyDescent="0.25">
      <c r="G2997" s="136">
        <v>43438</v>
      </c>
      <c r="H2997" t="s">
        <v>179</v>
      </c>
      <c r="I2997" t="s">
        <v>163</v>
      </c>
      <c r="J2997" t="s">
        <v>425</v>
      </c>
      <c r="K2997" s="138">
        <v>282.94</v>
      </c>
      <c r="L2997" s="137">
        <v>0</v>
      </c>
    </row>
    <row r="2998" spans="7:12" x14ac:dyDescent="0.25">
      <c r="G2998" s="136">
        <v>43438</v>
      </c>
      <c r="H2998" t="s">
        <v>179</v>
      </c>
      <c r="I2998" t="s">
        <v>112</v>
      </c>
      <c r="J2998" t="s">
        <v>425</v>
      </c>
      <c r="K2998" s="138">
        <v>78.25</v>
      </c>
      <c r="L2998" s="137">
        <v>0</v>
      </c>
    </row>
    <row r="2999" spans="7:12" x14ac:dyDescent="0.25">
      <c r="G2999" s="136">
        <v>43438</v>
      </c>
      <c r="H2999" t="s">
        <v>179</v>
      </c>
      <c r="I2999" t="s">
        <v>155</v>
      </c>
      <c r="J2999" t="s">
        <v>425</v>
      </c>
      <c r="K2999" s="138">
        <v>80.25</v>
      </c>
      <c r="L2999" s="137">
        <v>0</v>
      </c>
    </row>
    <row r="3000" spans="7:12" x14ac:dyDescent="0.25">
      <c r="G3000" s="136">
        <v>43438</v>
      </c>
      <c r="H3000" t="s">
        <v>28</v>
      </c>
      <c r="I3000" t="s">
        <v>178</v>
      </c>
      <c r="J3000" t="s">
        <v>425</v>
      </c>
      <c r="K3000" s="138">
        <v>49.2</v>
      </c>
      <c r="L3000" s="137">
        <v>0</v>
      </c>
    </row>
    <row r="3001" spans="7:12" x14ac:dyDescent="0.25">
      <c r="G3001" s="136">
        <v>43438</v>
      </c>
      <c r="H3001" t="s">
        <v>28</v>
      </c>
      <c r="I3001" t="s">
        <v>178</v>
      </c>
      <c r="J3001" t="s">
        <v>425</v>
      </c>
      <c r="K3001" s="138">
        <v>46.98</v>
      </c>
      <c r="L3001" s="137">
        <v>0</v>
      </c>
    </row>
    <row r="3002" spans="7:12" x14ac:dyDescent="0.25">
      <c r="G3002" s="136">
        <v>43438</v>
      </c>
      <c r="H3002" t="s">
        <v>28</v>
      </c>
      <c r="I3002" t="s">
        <v>112</v>
      </c>
      <c r="J3002" t="s">
        <v>425</v>
      </c>
      <c r="K3002" s="138">
        <v>171.2</v>
      </c>
      <c r="L3002" s="137">
        <v>0</v>
      </c>
    </row>
    <row r="3003" spans="7:12" x14ac:dyDescent="0.25">
      <c r="G3003" s="136">
        <v>43438</v>
      </c>
      <c r="H3003" t="s">
        <v>28</v>
      </c>
      <c r="I3003" t="s">
        <v>112</v>
      </c>
      <c r="J3003" t="s">
        <v>425</v>
      </c>
      <c r="K3003" s="138">
        <v>104.5</v>
      </c>
      <c r="L3003" s="137">
        <v>0</v>
      </c>
    </row>
    <row r="3004" spans="7:12" x14ac:dyDescent="0.25">
      <c r="G3004" s="136">
        <v>43438</v>
      </c>
      <c r="H3004" t="s">
        <v>28</v>
      </c>
      <c r="I3004" t="s">
        <v>112</v>
      </c>
      <c r="J3004" t="s">
        <v>425</v>
      </c>
      <c r="K3004" s="138">
        <v>27</v>
      </c>
      <c r="L3004" s="137">
        <v>0</v>
      </c>
    </row>
    <row r="3005" spans="7:12" x14ac:dyDescent="0.25">
      <c r="G3005" s="136">
        <v>43438</v>
      </c>
      <c r="H3005" t="s">
        <v>28</v>
      </c>
      <c r="I3005" t="s">
        <v>155</v>
      </c>
      <c r="J3005" t="s">
        <v>425</v>
      </c>
      <c r="K3005" s="138">
        <v>79.75</v>
      </c>
      <c r="L3005" s="137">
        <v>0</v>
      </c>
    </row>
    <row r="3006" spans="7:12" x14ac:dyDescent="0.25">
      <c r="G3006" s="136">
        <v>43438</v>
      </c>
      <c r="H3006" t="s">
        <v>28</v>
      </c>
      <c r="I3006" t="s">
        <v>155</v>
      </c>
      <c r="J3006" t="s">
        <v>425</v>
      </c>
      <c r="K3006" s="138">
        <v>70.86</v>
      </c>
      <c r="L3006" s="137">
        <v>0</v>
      </c>
    </row>
    <row r="3007" spans="7:12" x14ac:dyDescent="0.25">
      <c r="G3007" s="136">
        <v>43438</v>
      </c>
      <c r="H3007" t="s">
        <v>28</v>
      </c>
      <c r="I3007" t="s">
        <v>155</v>
      </c>
      <c r="J3007" t="s">
        <v>425</v>
      </c>
      <c r="K3007" s="138">
        <v>43.7</v>
      </c>
      <c r="L3007" s="137">
        <v>0</v>
      </c>
    </row>
    <row r="3008" spans="7:12" x14ac:dyDescent="0.25">
      <c r="G3008" s="136">
        <v>43438</v>
      </c>
      <c r="H3008" t="s">
        <v>28</v>
      </c>
      <c r="I3008" t="s">
        <v>155</v>
      </c>
      <c r="J3008" t="s">
        <v>425</v>
      </c>
      <c r="K3008" s="138">
        <v>24.11</v>
      </c>
      <c r="L3008" s="137">
        <v>0</v>
      </c>
    </row>
    <row r="3009" spans="7:12" x14ac:dyDescent="0.25">
      <c r="G3009" s="136">
        <v>43438</v>
      </c>
      <c r="H3009" t="s">
        <v>28</v>
      </c>
      <c r="I3009" t="s">
        <v>155</v>
      </c>
      <c r="J3009" t="s">
        <v>425</v>
      </c>
      <c r="K3009" s="138">
        <v>20.82</v>
      </c>
      <c r="L3009" s="137">
        <v>0</v>
      </c>
    </row>
    <row r="3010" spans="7:12" x14ac:dyDescent="0.25">
      <c r="G3010" s="136">
        <v>43438</v>
      </c>
      <c r="H3010" t="s">
        <v>28</v>
      </c>
      <c r="I3010" t="s">
        <v>176</v>
      </c>
      <c r="J3010" t="s">
        <v>425</v>
      </c>
      <c r="K3010" s="138">
        <v>42.84</v>
      </c>
      <c r="L3010" s="137">
        <v>0</v>
      </c>
    </row>
    <row r="3011" spans="7:12" x14ac:dyDescent="0.25">
      <c r="G3011" s="136">
        <v>43438</v>
      </c>
      <c r="H3011" t="s">
        <v>28</v>
      </c>
      <c r="I3011" t="s">
        <v>66</v>
      </c>
      <c r="J3011" t="s">
        <v>137</v>
      </c>
      <c r="K3011" s="138">
        <v>1.8</v>
      </c>
      <c r="L3011" s="137">
        <v>0</v>
      </c>
    </row>
    <row r="3012" spans="7:12" x14ac:dyDescent="0.25">
      <c r="G3012" s="136">
        <v>43438</v>
      </c>
      <c r="H3012" t="s">
        <v>28</v>
      </c>
      <c r="I3012" t="s">
        <v>42</v>
      </c>
      <c r="J3012" t="s">
        <v>425</v>
      </c>
      <c r="K3012" s="138">
        <v>264</v>
      </c>
      <c r="L3012" s="137">
        <v>0</v>
      </c>
    </row>
    <row r="3013" spans="7:12" x14ac:dyDescent="0.25">
      <c r="G3013" s="136">
        <v>43439</v>
      </c>
      <c r="H3013" t="s">
        <v>185</v>
      </c>
      <c r="I3013" t="s">
        <v>63</v>
      </c>
      <c r="J3013" t="s">
        <v>426</v>
      </c>
      <c r="K3013" s="138">
        <v>22.74</v>
      </c>
      <c r="L3013" s="137">
        <v>0</v>
      </c>
    </row>
    <row r="3014" spans="7:12" x14ac:dyDescent="0.25">
      <c r="G3014" s="136">
        <v>43439</v>
      </c>
      <c r="H3014" t="s">
        <v>185</v>
      </c>
      <c r="I3014" t="s">
        <v>42</v>
      </c>
      <c r="J3014" t="s">
        <v>426</v>
      </c>
      <c r="K3014" s="138">
        <v>10</v>
      </c>
      <c r="L3014" s="137">
        <v>0</v>
      </c>
    </row>
    <row r="3015" spans="7:12" x14ac:dyDescent="0.25">
      <c r="G3015" s="136">
        <v>43439</v>
      </c>
      <c r="H3015" t="s">
        <v>195</v>
      </c>
      <c r="I3015" t="s">
        <v>163</v>
      </c>
      <c r="J3015" t="s">
        <v>426</v>
      </c>
      <c r="K3015" s="138">
        <v>339.5</v>
      </c>
      <c r="L3015" s="137">
        <v>0</v>
      </c>
    </row>
    <row r="3016" spans="7:12" x14ac:dyDescent="0.25">
      <c r="G3016" s="136">
        <v>43439</v>
      </c>
      <c r="H3016" t="s">
        <v>183</v>
      </c>
      <c r="I3016" t="s">
        <v>42</v>
      </c>
      <c r="J3016" t="s">
        <v>426</v>
      </c>
      <c r="K3016" s="138">
        <v>11.44</v>
      </c>
      <c r="L3016" s="137">
        <v>0</v>
      </c>
    </row>
    <row r="3017" spans="7:12" x14ac:dyDescent="0.25">
      <c r="G3017" s="136">
        <v>43439</v>
      </c>
      <c r="H3017" t="s">
        <v>188</v>
      </c>
      <c r="I3017" t="s">
        <v>42</v>
      </c>
      <c r="J3017" t="s">
        <v>426</v>
      </c>
      <c r="K3017" s="138">
        <v>80</v>
      </c>
      <c r="L3017" s="137">
        <v>0</v>
      </c>
    </row>
    <row r="3018" spans="7:12" x14ac:dyDescent="0.25">
      <c r="G3018" s="136">
        <v>43439</v>
      </c>
      <c r="H3018" t="s">
        <v>200</v>
      </c>
      <c r="I3018" t="s">
        <v>42</v>
      </c>
      <c r="J3018" t="s">
        <v>426</v>
      </c>
      <c r="K3018" s="138">
        <v>175</v>
      </c>
      <c r="L3018" s="137">
        <v>0</v>
      </c>
    </row>
    <row r="3019" spans="7:12" x14ac:dyDescent="0.25">
      <c r="G3019" s="136">
        <v>43439</v>
      </c>
      <c r="H3019" t="s">
        <v>25</v>
      </c>
      <c r="I3019" t="s">
        <v>63</v>
      </c>
      <c r="J3019" t="s">
        <v>426</v>
      </c>
      <c r="K3019" s="138">
        <v>40</v>
      </c>
      <c r="L3019" s="137">
        <v>0</v>
      </c>
    </row>
    <row r="3020" spans="7:12" x14ac:dyDescent="0.25">
      <c r="G3020" s="136">
        <v>43439</v>
      </c>
      <c r="H3020" t="s">
        <v>25</v>
      </c>
      <c r="I3020" t="s">
        <v>63</v>
      </c>
      <c r="J3020" t="s">
        <v>426</v>
      </c>
      <c r="K3020" s="138">
        <v>24</v>
      </c>
      <c r="L3020" s="137">
        <v>0</v>
      </c>
    </row>
    <row r="3021" spans="7:12" x14ac:dyDescent="0.25">
      <c r="G3021" s="136">
        <v>43439</v>
      </c>
      <c r="H3021" t="s">
        <v>25</v>
      </c>
      <c r="I3021" t="s">
        <v>63</v>
      </c>
      <c r="J3021" t="s">
        <v>426</v>
      </c>
      <c r="K3021" s="138">
        <v>16</v>
      </c>
      <c r="L3021" s="137">
        <v>0</v>
      </c>
    </row>
    <row r="3022" spans="7:12" x14ac:dyDescent="0.25">
      <c r="G3022" s="136">
        <v>43439</v>
      </c>
      <c r="H3022" t="s">
        <v>25</v>
      </c>
      <c r="I3022" t="s">
        <v>63</v>
      </c>
      <c r="J3022" t="s">
        <v>426</v>
      </c>
      <c r="K3022" s="138">
        <v>8</v>
      </c>
      <c r="L3022" s="137">
        <v>0</v>
      </c>
    </row>
    <row r="3023" spans="7:12" x14ac:dyDescent="0.25">
      <c r="G3023" s="136">
        <v>43439</v>
      </c>
      <c r="H3023" t="s">
        <v>197</v>
      </c>
      <c r="I3023" t="s">
        <v>42</v>
      </c>
      <c r="J3023" t="s">
        <v>426</v>
      </c>
      <c r="K3023" s="138">
        <v>87.84</v>
      </c>
      <c r="L3023" s="137">
        <v>0</v>
      </c>
    </row>
    <row r="3024" spans="7:12" x14ac:dyDescent="0.25">
      <c r="G3024" s="136">
        <v>43439</v>
      </c>
      <c r="H3024" t="s">
        <v>180</v>
      </c>
      <c r="I3024" t="s">
        <v>42</v>
      </c>
      <c r="J3024" t="s">
        <v>426</v>
      </c>
      <c r="K3024" s="138">
        <v>111.6</v>
      </c>
      <c r="L3024" s="137">
        <v>0</v>
      </c>
    </row>
    <row r="3025" spans="7:12" x14ac:dyDescent="0.25">
      <c r="G3025" s="136">
        <v>43440</v>
      </c>
      <c r="H3025" t="s">
        <v>27</v>
      </c>
      <c r="I3025" t="s">
        <v>63</v>
      </c>
      <c r="J3025" t="s">
        <v>427</v>
      </c>
      <c r="K3025" s="138">
        <v>16</v>
      </c>
      <c r="L3025" s="137">
        <v>0</v>
      </c>
    </row>
    <row r="3026" spans="7:12" x14ac:dyDescent="0.25">
      <c r="G3026" s="136">
        <v>43440</v>
      </c>
      <c r="H3026" t="s">
        <v>27</v>
      </c>
      <c r="I3026" t="s">
        <v>63</v>
      </c>
      <c r="J3026" t="s">
        <v>427</v>
      </c>
      <c r="K3026" s="138">
        <v>8</v>
      </c>
      <c r="L3026" s="137">
        <v>0</v>
      </c>
    </row>
    <row r="3027" spans="7:12" x14ac:dyDescent="0.25">
      <c r="G3027" s="136">
        <v>43440</v>
      </c>
      <c r="H3027" t="s">
        <v>27</v>
      </c>
      <c r="I3027" t="s">
        <v>42</v>
      </c>
      <c r="J3027" t="s">
        <v>427</v>
      </c>
      <c r="K3027" s="138">
        <v>3.15</v>
      </c>
      <c r="L3027" s="137">
        <v>0</v>
      </c>
    </row>
    <row r="3028" spans="7:12" x14ac:dyDescent="0.25">
      <c r="G3028" s="136">
        <v>43440</v>
      </c>
      <c r="H3028" t="s">
        <v>185</v>
      </c>
      <c r="I3028" t="s">
        <v>163</v>
      </c>
      <c r="J3028" t="s">
        <v>427</v>
      </c>
      <c r="K3028" s="138">
        <v>293.02</v>
      </c>
      <c r="L3028" s="137">
        <v>0</v>
      </c>
    </row>
    <row r="3029" spans="7:12" x14ac:dyDescent="0.25">
      <c r="G3029" s="136">
        <v>43440</v>
      </c>
      <c r="H3029" t="s">
        <v>185</v>
      </c>
      <c r="I3029" t="s">
        <v>42</v>
      </c>
      <c r="J3029" t="s">
        <v>427</v>
      </c>
      <c r="K3029" s="138">
        <v>10</v>
      </c>
      <c r="L3029" s="137">
        <v>0</v>
      </c>
    </row>
    <row r="3030" spans="7:12" x14ac:dyDescent="0.25">
      <c r="G3030" s="136">
        <v>43440</v>
      </c>
      <c r="H3030" t="s">
        <v>184</v>
      </c>
      <c r="I3030" t="s">
        <v>176</v>
      </c>
      <c r="J3030" t="s">
        <v>427</v>
      </c>
      <c r="K3030" s="138">
        <v>0</v>
      </c>
      <c r="L3030" s="137">
        <v>5</v>
      </c>
    </row>
    <row r="3031" spans="7:12" x14ac:dyDescent="0.25">
      <c r="G3031" s="136">
        <v>43440</v>
      </c>
      <c r="H3031" t="s">
        <v>183</v>
      </c>
      <c r="I3031" t="s">
        <v>42</v>
      </c>
      <c r="J3031" t="s">
        <v>427</v>
      </c>
      <c r="K3031" s="138">
        <v>20.100000000000001</v>
      </c>
      <c r="L3031" s="137">
        <v>0</v>
      </c>
    </row>
    <row r="3032" spans="7:12" x14ac:dyDescent="0.25">
      <c r="G3032" s="136">
        <v>43440</v>
      </c>
      <c r="H3032" t="s">
        <v>191</v>
      </c>
      <c r="I3032" t="s">
        <v>42</v>
      </c>
      <c r="J3032" t="s">
        <v>427</v>
      </c>
      <c r="K3032" s="138">
        <v>7</v>
      </c>
      <c r="L3032" s="137">
        <v>0</v>
      </c>
    </row>
    <row r="3033" spans="7:12" x14ac:dyDescent="0.25">
      <c r="G3033" s="136">
        <v>43440</v>
      </c>
      <c r="H3033" t="s">
        <v>188</v>
      </c>
      <c r="I3033" t="s">
        <v>171</v>
      </c>
      <c r="J3033" t="s">
        <v>427</v>
      </c>
      <c r="K3033" s="138">
        <v>1026.1199999999999</v>
      </c>
      <c r="L3033" s="137">
        <v>0</v>
      </c>
    </row>
    <row r="3034" spans="7:12" x14ac:dyDescent="0.25">
      <c r="G3034" s="136">
        <v>43440</v>
      </c>
      <c r="H3034" t="s">
        <v>25</v>
      </c>
      <c r="I3034" t="s">
        <v>63</v>
      </c>
      <c r="J3034" t="s">
        <v>427</v>
      </c>
      <c r="K3034" s="138">
        <v>80</v>
      </c>
      <c r="L3034" s="137">
        <v>0</v>
      </c>
    </row>
    <row r="3035" spans="7:12" x14ac:dyDescent="0.25">
      <c r="G3035" s="136">
        <v>43440</v>
      </c>
      <c r="H3035" t="s">
        <v>25</v>
      </c>
      <c r="I3035" t="s">
        <v>63</v>
      </c>
      <c r="J3035" t="s">
        <v>427</v>
      </c>
      <c r="K3035" s="138">
        <v>72</v>
      </c>
      <c r="L3035" s="137">
        <v>0</v>
      </c>
    </row>
    <row r="3036" spans="7:12" x14ac:dyDescent="0.25">
      <c r="G3036" s="136">
        <v>43440</v>
      </c>
      <c r="H3036" t="s">
        <v>25</v>
      </c>
      <c r="I3036" t="s">
        <v>63</v>
      </c>
      <c r="J3036" t="s">
        <v>427</v>
      </c>
      <c r="K3036" s="138">
        <v>64</v>
      </c>
      <c r="L3036" s="137">
        <v>0</v>
      </c>
    </row>
    <row r="3037" spans="7:12" x14ac:dyDescent="0.25">
      <c r="G3037" s="136">
        <v>43440</v>
      </c>
      <c r="H3037" t="s">
        <v>25</v>
      </c>
      <c r="I3037" t="s">
        <v>63</v>
      </c>
      <c r="J3037" t="s">
        <v>427</v>
      </c>
      <c r="K3037" s="138">
        <v>40</v>
      </c>
      <c r="L3037" s="137">
        <v>0</v>
      </c>
    </row>
    <row r="3038" spans="7:12" x14ac:dyDescent="0.25">
      <c r="G3038" s="136">
        <v>43440</v>
      </c>
      <c r="H3038" t="s">
        <v>25</v>
      </c>
      <c r="I3038" t="s">
        <v>63</v>
      </c>
      <c r="J3038" t="s">
        <v>427</v>
      </c>
      <c r="K3038" s="138">
        <v>24</v>
      </c>
      <c r="L3038" s="137">
        <v>0</v>
      </c>
    </row>
    <row r="3039" spans="7:12" x14ac:dyDescent="0.25">
      <c r="G3039" s="136">
        <v>43440</v>
      </c>
      <c r="H3039" t="s">
        <v>25</v>
      </c>
      <c r="I3039" t="s">
        <v>63</v>
      </c>
      <c r="J3039" t="s">
        <v>427</v>
      </c>
      <c r="K3039" s="138">
        <v>16</v>
      </c>
      <c r="L3039" s="137">
        <v>0</v>
      </c>
    </row>
    <row r="3040" spans="7:12" x14ac:dyDescent="0.25">
      <c r="G3040" s="136">
        <v>43440</v>
      </c>
      <c r="H3040" t="s">
        <v>25</v>
      </c>
      <c r="I3040" t="s">
        <v>63</v>
      </c>
      <c r="J3040" t="s">
        <v>427</v>
      </c>
      <c r="K3040" s="138">
        <v>8</v>
      </c>
      <c r="L3040" s="137">
        <v>0</v>
      </c>
    </row>
    <row r="3041" spans="7:12" x14ac:dyDescent="0.25">
      <c r="G3041" s="136">
        <v>43440</v>
      </c>
      <c r="H3041" t="s">
        <v>25</v>
      </c>
      <c r="I3041" t="s">
        <v>42</v>
      </c>
      <c r="J3041" t="s">
        <v>427</v>
      </c>
      <c r="K3041" s="138">
        <v>147.9</v>
      </c>
      <c r="L3041" s="137">
        <v>0</v>
      </c>
    </row>
    <row r="3042" spans="7:12" x14ac:dyDescent="0.25">
      <c r="G3042" s="136">
        <v>43440</v>
      </c>
      <c r="H3042" t="s">
        <v>181</v>
      </c>
      <c r="I3042" t="s">
        <v>42</v>
      </c>
      <c r="J3042" t="s">
        <v>427</v>
      </c>
      <c r="K3042" s="138">
        <v>152.30000000000001</v>
      </c>
      <c r="L3042" s="137">
        <v>0</v>
      </c>
    </row>
    <row r="3043" spans="7:12" x14ac:dyDescent="0.25">
      <c r="G3043" s="136">
        <v>43440</v>
      </c>
      <c r="H3043" t="s">
        <v>197</v>
      </c>
      <c r="I3043" t="s">
        <v>171</v>
      </c>
      <c r="J3043" t="s">
        <v>427</v>
      </c>
      <c r="K3043" s="138">
        <v>171.02</v>
      </c>
      <c r="L3043" s="137">
        <v>0</v>
      </c>
    </row>
    <row r="3044" spans="7:12" x14ac:dyDescent="0.25">
      <c r="G3044" s="136">
        <v>43440</v>
      </c>
      <c r="H3044" t="s">
        <v>28</v>
      </c>
      <c r="I3044" t="s">
        <v>66</v>
      </c>
      <c r="J3044" t="s">
        <v>125</v>
      </c>
      <c r="K3044" s="138">
        <v>6.85</v>
      </c>
      <c r="L3044" s="137">
        <v>0</v>
      </c>
    </row>
    <row r="3045" spans="7:12" x14ac:dyDescent="0.25">
      <c r="G3045" s="136">
        <v>43440</v>
      </c>
      <c r="H3045" t="s">
        <v>28</v>
      </c>
      <c r="I3045" t="s">
        <v>66</v>
      </c>
      <c r="J3045" t="s">
        <v>279</v>
      </c>
      <c r="K3045" s="138">
        <v>2.4</v>
      </c>
      <c r="L3045" s="137">
        <v>0</v>
      </c>
    </row>
    <row r="3046" spans="7:12" x14ac:dyDescent="0.25">
      <c r="G3046" s="136">
        <v>43440</v>
      </c>
      <c r="H3046" t="s">
        <v>28</v>
      </c>
      <c r="I3046" t="s">
        <v>66</v>
      </c>
      <c r="J3046" t="s">
        <v>124</v>
      </c>
      <c r="K3046" s="138">
        <v>3.15</v>
      </c>
      <c r="L3046" s="137">
        <v>0</v>
      </c>
    </row>
    <row r="3047" spans="7:12" x14ac:dyDescent="0.25">
      <c r="G3047" s="136">
        <v>43440</v>
      </c>
      <c r="H3047" t="s">
        <v>28</v>
      </c>
      <c r="I3047" t="s">
        <v>66</v>
      </c>
      <c r="J3047" t="s">
        <v>276</v>
      </c>
      <c r="K3047" s="138">
        <v>2.25</v>
      </c>
      <c r="L3047" s="137">
        <v>0</v>
      </c>
    </row>
    <row r="3048" spans="7:12" x14ac:dyDescent="0.25">
      <c r="G3048" s="136">
        <v>43441</v>
      </c>
      <c r="H3048" t="s">
        <v>204</v>
      </c>
      <c r="I3048" t="s">
        <v>176</v>
      </c>
      <c r="J3048" t="s">
        <v>428</v>
      </c>
      <c r="K3048" s="138">
        <v>138.80000000000001</v>
      </c>
      <c r="L3048" s="137">
        <v>0</v>
      </c>
    </row>
    <row r="3049" spans="7:12" x14ac:dyDescent="0.25">
      <c r="G3049" s="136">
        <v>43441</v>
      </c>
      <c r="H3049" t="s">
        <v>203</v>
      </c>
      <c r="I3049" t="s">
        <v>176</v>
      </c>
      <c r="J3049" t="s">
        <v>428</v>
      </c>
      <c r="K3049" s="138">
        <v>654.45000000000005</v>
      </c>
      <c r="L3049" s="137">
        <v>0</v>
      </c>
    </row>
    <row r="3050" spans="7:12" x14ac:dyDescent="0.25">
      <c r="G3050" s="136">
        <v>43441</v>
      </c>
      <c r="H3050" t="s">
        <v>192</v>
      </c>
      <c r="I3050" t="s">
        <v>176</v>
      </c>
      <c r="J3050" t="s">
        <v>428</v>
      </c>
      <c r="K3050" s="138">
        <v>507.6</v>
      </c>
      <c r="L3050" s="137">
        <v>0</v>
      </c>
    </row>
    <row r="3051" spans="7:12" x14ac:dyDescent="0.25">
      <c r="G3051" s="136">
        <v>43441</v>
      </c>
      <c r="H3051" t="s">
        <v>198</v>
      </c>
      <c r="I3051" t="s">
        <v>175</v>
      </c>
      <c r="J3051" t="s">
        <v>428</v>
      </c>
      <c r="K3051" s="138">
        <v>100</v>
      </c>
      <c r="L3051" s="137">
        <v>0</v>
      </c>
    </row>
    <row r="3052" spans="7:12" x14ac:dyDescent="0.25">
      <c r="G3052" s="136">
        <v>43441</v>
      </c>
      <c r="H3052" t="s">
        <v>185</v>
      </c>
      <c r="I3052" t="s">
        <v>163</v>
      </c>
      <c r="J3052" t="s">
        <v>428</v>
      </c>
      <c r="K3052" s="138">
        <v>107.5</v>
      </c>
      <c r="L3052" s="137">
        <v>0</v>
      </c>
    </row>
    <row r="3053" spans="7:12" x14ac:dyDescent="0.25">
      <c r="G3053" s="136">
        <v>43441</v>
      </c>
      <c r="H3053" t="s">
        <v>185</v>
      </c>
      <c r="I3053" t="s">
        <v>42</v>
      </c>
      <c r="J3053" t="s">
        <v>428</v>
      </c>
      <c r="K3053" s="138">
        <v>80.66</v>
      </c>
      <c r="L3053" s="137">
        <v>0</v>
      </c>
    </row>
    <row r="3054" spans="7:12" x14ac:dyDescent="0.25">
      <c r="G3054" s="136">
        <v>43441</v>
      </c>
      <c r="H3054" t="s">
        <v>191</v>
      </c>
      <c r="I3054" t="s">
        <v>42</v>
      </c>
      <c r="J3054" t="s">
        <v>428</v>
      </c>
      <c r="K3054" s="138">
        <v>197</v>
      </c>
      <c r="L3054" s="137">
        <v>0</v>
      </c>
    </row>
    <row r="3055" spans="7:12" x14ac:dyDescent="0.25">
      <c r="G3055" s="136">
        <v>43441</v>
      </c>
      <c r="H3055" t="s">
        <v>188</v>
      </c>
      <c r="I3055" t="s">
        <v>42</v>
      </c>
      <c r="J3055" t="s">
        <v>428</v>
      </c>
      <c r="K3055" s="138">
        <v>362.32</v>
      </c>
      <c r="L3055" s="137">
        <v>0</v>
      </c>
    </row>
    <row r="3056" spans="7:12" x14ac:dyDescent="0.25">
      <c r="G3056" s="136">
        <v>43441</v>
      </c>
      <c r="H3056" t="s">
        <v>200</v>
      </c>
      <c r="I3056" t="s">
        <v>63</v>
      </c>
      <c r="J3056" t="s">
        <v>428</v>
      </c>
      <c r="K3056" s="138">
        <v>60.95</v>
      </c>
      <c r="L3056" s="137">
        <v>0</v>
      </c>
    </row>
    <row r="3057" spans="7:12" x14ac:dyDescent="0.25">
      <c r="G3057" s="136">
        <v>43441</v>
      </c>
      <c r="H3057" t="s">
        <v>201</v>
      </c>
      <c r="I3057" t="s">
        <v>176</v>
      </c>
      <c r="J3057" t="s">
        <v>428</v>
      </c>
      <c r="K3057" s="138">
        <v>89.7</v>
      </c>
      <c r="L3057" s="137">
        <v>0</v>
      </c>
    </row>
    <row r="3058" spans="7:12" x14ac:dyDescent="0.25">
      <c r="G3058" s="136">
        <v>43441</v>
      </c>
      <c r="H3058" t="s">
        <v>207</v>
      </c>
      <c r="I3058" t="s">
        <v>176</v>
      </c>
      <c r="J3058" t="s">
        <v>428</v>
      </c>
      <c r="K3058" s="138">
        <v>23</v>
      </c>
      <c r="L3058" s="137">
        <v>0</v>
      </c>
    </row>
    <row r="3059" spans="7:12" x14ac:dyDescent="0.25">
      <c r="G3059" s="136">
        <v>43441</v>
      </c>
      <c r="H3059" t="s">
        <v>197</v>
      </c>
      <c r="I3059" t="s">
        <v>112</v>
      </c>
      <c r="J3059" t="s">
        <v>428</v>
      </c>
      <c r="K3059" s="138">
        <v>194.17</v>
      </c>
      <c r="L3059" s="137">
        <v>0</v>
      </c>
    </row>
    <row r="3060" spans="7:12" x14ac:dyDescent="0.25">
      <c r="G3060" s="136">
        <v>43441</v>
      </c>
      <c r="H3060" t="s">
        <v>197</v>
      </c>
      <c r="I3060" t="s">
        <v>176</v>
      </c>
      <c r="J3060" t="s">
        <v>428</v>
      </c>
      <c r="K3060" s="138">
        <v>22</v>
      </c>
      <c r="L3060" s="137">
        <v>0</v>
      </c>
    </row>
    <row r="3061" spans="7:12" x14ac:dyDescent="0.25">
      <c r="G3061" s="136">
        <v>43441</v>
      </c>
      <c r="H3061" t="s">
        <v>196</v>
      </c>
      <c r="I3061" t="s">
        <v>42</v>
      </c>
      <c r="J3061" t="s">
        <v>428</v>
      </c>
      <c r="K3061" s="138">
        <v>122.77</v>
      </c>
      <c r="L3061" s="137">
        <v>0</v>
      </c>
    </row>
    <row r="3062" spans="7:12" x14ac:dyDescent="0.25">
      <c r="G3062" s="136">
        <v>43441</v>
      </c>
      <c r="H3062" t="s">
        <v>180</v>
      </c>
      <c r="I3062" t="s">
        <v>155</v>
      </c>
      <c r="J3062" t="s">
        <v>428</v>
      </c>
      <c r="K3062" s="138">
        <v>329.94</v>
      </c>
      <c r="L3062" s="137">
        <v>0</v>
      </c>
    </row>
    <row r="3063" spans="7:12" x14ac:dyDescent="0.25">
      <c r="G3063" s="136">
        <v>43441</v>
      </c>
      <c r="H3063" t="s">
        <v>180</v>
      </c>
      <c r="I3063" t="s">
        <v>176</v>
      </c>
      <c r="J3063" t="s">
        <v>428</v>
      </c>
      <c r="K3063" s="138">
        <v>324.14999999999998</v>
      </c>
      <c r="L3063" s="137">
        <v>0</v>
      </c>
    </row>
    <row r="3064" spans="7:12" x14ac:dyDescent="0.25">
      <c r="G3064" s="136">
        <v>43441</v>
      </c>
      <c r="H3064" t="s">
        <v>179</v>
      </c>
      <c r="I3064" t="s">
        <v>176</v>
      </c>
      <c r="J3064" t="s">
        <v>428</v>
      </c>
      <c r="K3064" s="138">
        <v>617.29999999999995</v>
      </c>
      <c r="L3064" s="137">
        <v>0</v>
      </c>
    </row>
    <row r="3065" spans="7:12" x14ac:dyDescent="0.25">
      <c r="G3065" s="136">
        <v>43441</v>
      </c>
      <c r="H3065" t="s">
        <v>28</v>
      </c>
      <c r="I3065" t="s">
        <v>112</v>
      </c>
      <c r="J3065" t="s">
        <v>428</v>
      </c>
      <c r="K3065" s="138">
        <v>25.67</v>
      </c>
      <c r="L3065" s="137">
        <v>0</v>
      </c>
    </row>
    <row r="3066" spans="7:12" x14ac:dyDescent="0.25">
      <c r="G3066" s="136">
        <v>43441</v>
      </c>
      <c r="H3066" t="s">
        <v>28</v>
      </c>
      <c r="I3066" t="s">
        <v>155</v>
      </c>
      <c r="J3066" t="s">
        <v>428</v>
      </c>
      <c r="K3066" s="138">
        <v>105.28</v>
      </c>
      <c r="L3066" s="137">
        <v>0</v>
      </c>
    </row>
    <row r="3067" spans="7:12" x14ac:dyDescent="0.25">
      <c r="G3067" s="136">
        <v>43441</v>
      </c>
      <c r="H3067" t="s">
        <v>28</v>
      </c>
      <c r="I3067" t="s">
        <v>155</v>
      </c>
      <c r="J3067" t="s">
        <v>428</v>
      </c>
      <c r="K3067" s="138">
        <v>79.73</v>
      </c>
      <c r="L3067" s="137">
        <v>0</v>
      </c>
    </row>
    <row r="3068" spans="7:12" x14ac:dyDescent="0.25">
      <c r="G3068" s="136">
        <v>43441</v>
      </c>
      <c r="H3068" t="s">
        <v>28</v>
      </c>
      <c r="I3068" t="s">
        <v>155</v>
      </c>
      <c r="J3068" t="s">
        <v>428</v>
      </c>
      <c r="K3068" s="138">
        <v>76.7</v>
      </c>
      <c r="L3068" s="137">
        <v>0</v>
      </c>
    </row>
    <row r="3069" spans="7:12" x14ac:dyDescent="0.25">
      <c r="G3069" s="136">
        <v>43441</v>
      </c>
      <c r="H3069" t="s">
        <v>28</v>
      </c>
      <c r="I3069" t="s">
        <v>155</v>
      </c>
      <c r="J3069" t="s">
        <v>428</v>
      </c>
      <c r="K3069" s="138">
        <v>48.56</v>
      </c>
      <c r="L3069" s="137">
        <v>0</v>
      </c>
    </row>
    <row r="3070" spans="7:12" x14ac:dyDescent="0.25">
      <c r="G3070" s="136">
        <v>43441</v>
      </c>
      <c r="H3070" t="s">
        <v>28</v>
      </c>
      <c r="I3070" t="s">
        <v>155</v>
      </c>
      <c r="J3070" t="s">
        <v>428</v>
      </c>
      <c r="K3070" s="138">
        <v>40.119999999999997</v>
      </c>
      <c r="L3070" s="137">
        <v>0</v>
      </c>
    </row>
    <row r="3071" spans="7:12" x14ac:dyDescent="0.25">
      <c r="G3071" s="136">
        <v>43441</v>
      </c>
      <c r="H3071" t="s">
        <v>28</v>
      </c>
      <c r="I3071" t="s">
        <v>155</v>
      </c>
      <c r="J3071" t="s">
        <v>428</v>
      </c>
      <c r="K3071" s="138">
        <v>36.380000000000003</v>
      </c>
      <c r="L3071" s="137">
        <v>0</v>
      </c>
    </row>
    <row r="3072" spans="7:12" x14ac:dyDescent="0.25">
      <c r="G3072" s="136">
        <v>43441</v>
      </c>
      <c r="H3072" t="s">
        <v>28</v>
      </c>
      <c r="I3072" t="s">
        <v>155</v>
      </c>
      <c r="J3072" t="s">
        <v>428</v>
      </c>
      <c r="K3072" s="138">
        <v>19.75</v>
      </c>
      <c r="L3072" s="137">
        <v>0</v>
      </c>
    </row>
    <row r="3073" spans="7:12" x14ac:dyDescent="0.25">
      <c r="G3073" s="136">
        <v>43441</v>
      </c>
      <c r="H3073" t="s">
        <v>28</v>
      </c>
      <c r="I3073" t="s">
        <v>42</v>
      </c>
      <c r="J3073" t="s">
        <v>428</v>
      </c>
      <c r="K3073" s="138">
        <v>19</v>
      </c>
      <c r="L3073" s="137">
        <v>0</v>
      </c>
    </row>
    <row r="3074" spans="7:12" x14ac:dyDescent="0.25">
      <c r="G3074" s="136">
        <v>43444</v>
      </c>
      <c r="H3074" t="s">
        <v>203</v>
      </c>
      <c r="I3074" t="s">
        <v>233</v>
      </c>
      <c r="J3074" t="s">
        <v>430</v>
      </c>
      <c r="K3074" s="138">
        <v>167.5</v>
      </c>
      <c r="L3074" s="137">
        <v>0</v>
      </c>
    </row>
    <row r="3075" spans="7:12" x14ac:dyDescent="0.25">
      <c r="G3075" s="136">
        <v>43444</v>
      </c>
      <c r="H3075" t="s">
        <v>192</v>
      </c>
      <c r="I3075" t="s">
        <v>233</v>
      </c>
      <c r="J3075" t="s">
        <v>430</v>
      </c>
      <c r="K3075" s="138">
        <v>93.43</v>
      </c>
      <c r="L3075" s="137">
        <v>0</v>
      </c>
    </row>
    <row r="3076" spans="7:12" x14ac:dyDescent="0.25">
      <c r="G3076" s="136">
        <v>43444</v>
      </c>
      <c r="H3076" t="s">
        <v>27</v>
      </c>
      <c r="I3076" t="s">
        <v>63</v>
      </c>
      <c r="J3076" t="s">
        <v>429</v>
      </c>
      <c r="K3076" s="138">
        <v>8</v>
      </c>
      <c r="L3076" s="137">
        <v>0</v>
      </c>
    </row>
    <row r="3077" spans="7:12" x14ac:dyDescent="0.25">
      <c r="G3077" s="136">
        <v>43444</v>
      </c>
      <c r="H3077" t="s">
        <v>27</v>
      </c>
      <c r="I3077" t="s">
        <v>233</v>
      </c>
      <c r="J3077" t="s">
        <v>430</v>
      </c>
      <c r="K3077" s="138">
        <v>74.66</v>
      </c>
      <c r="L3077" s="137">
        <v>0</v>
      </c>
    </row>
    <row r="3078" spans="7:12" x14ac:dyDescent="0.25">
      <c r="G3078" s="136">
        <v>43444</v>
      </c>
      <c r="H3078" t="s">
        <v>27</v>
      </c>
      <c r="I3078" t="s">
        <v>233</v>
      </c>
      <c r="J3078" t="s">
        <v>430</v>
      </c>
      <c r="K3078" s="138">
        <v>30.9</v>
      </c>
      <c r="L3078" s="137">
        <v>0</v>
      </c>
    </row>
    <row r="3079" spans="7:12" x14ac:dyDescent="0.25">
      <c r="G3079" s="136">
        <v>43444</v>
      </c>
      <c r="H3079" t="s">
        <v>27</v>
      </c>
      <c r="I3079" t="s">
        <v>233</v>
      </c>
      <c r="J3079" t="s">
        <v>430</v>
      </c>
      <c r="K3079" s="138">
        <v>29.88</v>
      </c>
      <c r="L3079" s="137">
        <v>0</v>
      </c>
    </row>
    <row r="3080" spans="7:12" x14ac:dyDescent="0.25">
      <c r="G3080" s="136">
        <v>43444</v>
      </c>
      <c r="H3080" t="s">
        <v>27</v>
      </c>
      <c r="I3080" t="s">
        <v>233</v>
      </c>
      <c r="J3080" t="s">
        <v>430</v>
      </c>
      <c r="K3080" s="138">
        <v>28.41</v>
      </c>
      <c r="L3080" s="137">
        <v>0</v>
      </c>
    </row>
    <row r="3081" spans="7:12" x14ac:dyDescent="0.25">
      <c r="G3081" s="136">
        <v>43444</v>
      </c>
      <c r="H3081" t="s">
        <v>27</v>
      </c>
      <c r="I3081" t="s">
        <v>233</v>
      </c>
      <c r="J3081" t="s">
        <v>430</v>
      </c>
      <c r="K3081" s="138">
        <v>27.64</v>
      </c>
      <c r="L3081" s="137">
        <v>0</v>
      </c>
    </row>
    <row r="3082" spans="7:12" x14ac:dyDescent="0.25">
      <c r="G3082" s="136">
        <v>43444</v>
      </c>
      <c r="H3082" t="s">
        <v>27</v>
      </c>
      <c r="I3082" t="s">
        <v>233</v>
      </c>
      <c r="J3082" t="s">
        <v>430</v>
      </c>
      <c r="K3082" s="138">
        <v>25.68</v>
      </c>
      <c r="L3082" s="137">
        <v>0</v>
      </c>
    </row>
    <row r="3083" spans="7:12" x14ac:dyDescent="0.25">
      <c r="G3083" s="136">
        <v>43444</v>
      </c>
      <c r="H3083" t="s">
        <v>27</v>
      </c>
      <c r="I3083" t="s">
        <v>233</v>
      </c>
      <c r="J3083" t="s">
        <v>430</v>
      </c>
      <c r="K3083" s="138">
        <v>14.5</v>
      </c>
      <c r="L3083" s="137">
        <v>0</v>
      </c>
    </row>
    <row r="3084" spans="7:12" x14ac:dyDescent="0.25">
      <c r="G3084" s="136">
        <v>43444</v>
      </c>
      <c r="H3084" t="s">
        <v>27</v>
      </c>
      <c r="I3084" t="s">
        <v>233</v>
      </c>
      <c r="J3084" t="s">
        <v>430</v>
      </c>
      <c r="K3084" s="138">
        <v>6.94</v>
      </c>
      <c r="L3084" s="137">
        <v>0</v>
      </c>
    </row>
    <row r="3085" spans="7:12" x14ac:dyDescent="0.25">
      <c r="G3085" s="136">
        <v>43444</v>
      </c>
      <c r="H3085" t="s">
        <v>212</v>
      </c>
      <c r="I3085" t="s">
        <v>171</v>
      </c>
      <c r="J3085" t="s">
        <v>429</v>
      </c>
      <c r="K3085" s="138">
        <v>280.37</v>
      </c>
      <c r="L3085" s="137">
        <v>0</v>
      </c>
    </row>
    <row r="3086" spans="7:12" x14ac:dyDescent="0.25">
      <c r="G3086" s="136">
        <v>43444</v>
      </c>
      <c r="H3086" t="s">
        <v>195</v>
      </c>
      <c r="I3086" t="s">
        <v>233</v>
      </c>
      <c r="J3086" t="s">
        <v>430</v>
      </c>
      <c r="K3086" s="138">
        <v>1091.26</v>
      </c>
      <c r="L3086" s="137">
        <v>0</v>
      </c>
    </row>
    <row r="3087" spans="7:12" x14ac:dyDescent="0.25">
      <c r="G3087" s="136">
        <v>43444</v>
      </c>
      <c r="H3087" t="s">
        <v>183</v>
      </c>
      <c r="I3087" t="s">
        <v>233</v>
      </c>
      <c r="J3087" t="s">
        <v>430</v>
      </c>
      <c r="K3087" s="138">
        <v>9024.7000000000007</v>
      </c>
      <c r="L3087" s="137">
        <v>0</v>
      </c>
    </row>
    <row r="3088" spans="7:12" x14ac:dyDescent="0.25">
      <c r="G3088" s="136">
        <v>43444</v>
      </c>
      <c r="H3088" t="s">
        <v>183</v>
      </c>
      <c r="I3088" t="s">
        <v>171</v>
      </c>
      <c r="J3088" t="s">
        <v>429</v>
      </c>
      <c r="K3088" s="138">
        <v>360</v>
      </c>
      <c r="L3088" s="137">
        <v>0</v>
      </c>
    </row>
    <row r="3089" spans="7:12" x14ac:dyDescent="0.25">
      <c r="G3089" s="136">
        <v>43444</v>
      </c>
      <c r="H3089" t="s">
        <v>189</v>
      </c>
      <c r="I3089" t="s">
        <v>233</v>
      </c>
      <c r="J3089" t="s">
        <v>430</v>
      </c>
      <c r="K3089" s="138">
        <v>3783.38</v>
      </c>
      <c r="L3089" s="137">
        <v>0</v>
      </c>
    </row>
    <row r="3090" spans="7:12" x14ac:dyDescent="0.25">
      <c r="G3090" s="136">
        <v>43444</v>
      </c>
      <c r="H3090" t="s">
        <v>193</v>
      </c>
      <c r="I3090" t="s">
        <v>233</v>
      </c>
      <c r="J3090" t="s">
        <v>430</v>
      </c>
      <c r="K3090" s="138">
        <v>116.6</v>
      </c>
      <c r="L3090" s="137">
        <v>0</v>
      </c>
    </row>
    <row r="3091" spans="7:12" x14ac:dyDescent="0.25">
      <c r="G3091" s="136">
        <v>43444</v>
      </c>
      <c r="H3091" t="s">
        <v>188</v>
      </c>
      <c r="I3091" t="s">
        <v>233</v>
      </c>
      <c r="J3091" t="s">
        <v>430</v>
      </c>
      <c r="K3091" s="138">
        <v>873.71</v>
      </c>
      <c r="L3091" s="137">
        <v>0</v>
      </c>
    </row>
    <row r="3092" spans="7:12" x14ac:dyDescent="0.25">
      <c r="G3092" s="136">
        <v>43444</v>
      </c>
      <c r="H3092" t="s">
        <v>188</v>
      </c>
      <c r="I3092" t="s">
        <v>175</v>
      </c>
      <c r="J3092" t="s">
        <v>429</v>
      </c>
      <c r="K3092" s="138">
        <v>124.53</v>
      </c>
      <c r="L3092" s="137">
        <v>0</v>
      </c>
    </row>
    <row r="3093" spans="7:12" x14ac:dyDescent="0.25">
      <c r="G3093" s="136">
        <v>43444</v>
      </c>
      <c r="H3093" t="s">
        <v>188</v>
      </c>
      <c r="I3093" t="s">
        <v>42</v>
      </c>
      <c r="J3093" t="s">
        <v>429</v>
      </c>
      <c r="K3093" s="138">
        <v>287</v>
      </c>
      <c r="L3093" s="137">
        <v>0</v>
      </c>
    </row>
    <row r="3094" spans="7:12" x14ac:dyDescent="0.25">
      <c r="G3094" s="136">
        <v>43444</v>
      </c>
      <c r="H3094" t="s">
        <v>188</v>
      </c>
      <c r="I3094" t="s">
        <v>171</v>
      </c>
      <c r="J3094" t="s">
        <v>429</v>
      </c>
      <c r="K3094" s="138">
        <v>1169.25</v>
      </c>
      <c r="L3094" s="137">
        <v>0</v>
      </c>
    </row>
    <row r="3095" spans="7:12" x14ac:dyDescent="0.25">
      <c r="G3095" s="136">
        <v>43444</v>
      </c>
      <c r="H3095" t="s">
        <v>200</v>
      </c>
      <c r="I3095" t="s">
        <v>233</v>
      </c>
      <c r="J3095" t="s">
        <v>430</v>
      </c>
      <c r="K3095" s="138">
        <v>90.61</v>
      </c>
      <c r="L3095" s="137">
        <v>0</v>
      </c>
    </row>
    <row r="3096" spans="7:12" x14ac:dyDescent="0.25">
      <c r="G3096" s="136">
        <v>43444</v>
      </c>
      <c r="H3096" t="s">
        <v>25</v>
      </c>
      <c r="I3096" t="s">
        <v>63</v>
      </c>
      <c r="J3096" t="s">
        <v>429</v>
      </c>
      <c r="K3096" s="138">
        <v>40</v>
      </c>
      <c r="L3096" s="137">
        <v>0</v>
      </c>
    </row>
    <row r="3097" spans="7:12" x14ac:dyDescent="0.25">
      <c r="G3097" s="136">
        <v>43444</v>
      </c>
      <c r="H3097" t="s">
        <v>25</v>
      </c>
      <c r="I3097" t="s">
        <v>63</v>
      </c>
      <c r="J3097" t="s">
        <v>429</v>
      </c>
      <c r="K3097" s="138">
        <v>24</v>
      </c>
      <c r="L3097" s="137">
        <v>0</v>
      </c>
    </row>
    <row r="3098" spans="7:12" x14ac:dyDescent="0.25">
      <c r="G3098" s="136">
        <v>43444</v>
      </c>
      <c r="H3098" t="s">
        <v>25</v>
      </c>
      <c r="I3098" t="s">
        <v>233</v>
      </c>
      <c r="J3098" t="s">
        <v>430</v>
      </c>
      <c r="K3098" s="138">
        <v>1421.56</v>
      </c>
      <c r="L3098" s="137">
        <v>0</v>
      </c>
    </row>
    <row r="3099" spans="7:12" x14ac:dyDescent="0.25">
      <c r="G3099" s="136">
        <v>43444</v>
      </c>
      <c r="H3099" t="s">
        <v>25</v>
      </c>
      <c r="I3099" t="s">
        <v>233</v>
      </c>
      <c r="J3099" t="s">
        <v>430</v>
      </c>
      <c r="K3099" s="138">
        <v>1091.8399999999999</v>
      </c>
      <c r="L3099" s="137">
        <v>0</v>
      </c>
    </row>
    <row r="3100" spans="7:12" x14ac:dyDescent="0.25">
      <c r="G3100" s="136">
        <v>43444</v>
      </c>
      <c r="H3100" t="s">
        <v>25</v>
      </c>
      <c r="I3100" t="s">
        <v>233</v>
      </c>
      <c r="J3100" t="s">
        <v>430</v>
      </c>
      <c r="K3100" s="138">
        <v>855.44</v>
      </c>
      <c r="L3100" s="137">
        <v>0</v>
      </c>
    </row>
    <row r="3101" spans="7:12" x14ac:dyDescent="0.25">
      <c r="G3101" s="136">
        <v>43444</v>
      </c>
      <c r="H3101" t="s">
        <v>25</v>
      </c>
      <c r="I3101" t="s">
        <v>233</v>
      </c>
      <c r="J3101" t="s">
        <v>430</v>
      </c>
      <c r="K3101" s="138">
        <v>853.72</v>
      </c>
      <c r="L3101" s="137">
        <v>0</v>
      </c>
    </row>
    <row r="3102" spans="7:12" x14ac:dyDescent="0.25">
      <c r="G3102" s="136">
        <v>43444</v>
      </c>
      <c r="H3102" t="s">
        <v>25</v>
      </c>
      <c r="I3102" t="s">
        <v>233</v>
      </c>
      <c r="J3102" t="s">
        <v>430</v>
      </c>
      <c r="K3102" s="138">
        <v>628.98</v>
      </c>
      <c r="L3102" s="137">
        <v>0</v>
      </c>
    </row>
    <row r="3103" spans="7:12" x14ac:dyDescent="0.25">
      <c r="G3103" s="136">
        <v>43444</v>
      </c>
      <c r="H3103" t="s">
        <v>25</v>
      </c>
      <c r="I3103" t="s">
        <v>233</v>
      </c>
      <c r="J3103" t="s">
        <v>430</v>
      </c>
      <c r="K3103" s="138">
        <v>525.66</v>
      </c>
      <c r="L3103" s="137">
        <v>0</v>
      </c>
    </row>
    <row r="3104" spans="7:12" x14ac:dyDescent="0.25">
      <c r="G3104" s="136">
        <v>43444</v>
      </c>
      <c r="H3104" t="s">
        <v>25</v>
      </c>
      <c r="I3104" t="s">
        <v>233</v>
      </c>
      <c r="J3104" t="s">
        <v>430</v>
      </c>
      <c r="K3104" s="138">
        <v>492.62</v>
      </c>
      <c r="L3104" s="137">
        <v>0</v>
      </c>
    </row>
    <row r="3105" spans="7:12" x14ac:dyDescent="0.25">
      <c r="G3105" s="136">
        <v>43444</v>
      </c>
      <c r="H3105" t="s">
        <v>25</v>
      </c>
      <c r="I3105" t="s">
        <v>233</v>
      </c>
      <c r="J3105" t="s">
        <v>430</v>
      </c>
      <c r="K3105" s="138">
        <v>348.54</v>
      </c>
      <c r="L3105" s="137">
        <v>0</v>
      </c>
    </row>
    <row r="3106" spans="7:12" x14ac:dyDescent="0.25">
      <c r="G3106" s="136">
        <v>43444</v>
      </c>
      <c r="H3106" t="s">
        <v>25</v>
      </c>
      <c r="I3106" t="s">
        <v>233</v>
      </c>
      <c r="J3106" t="s">
        <v>430</v>
      </c>
      <c r="K3106" s="138">
        <v>332.19</v>
      </c>
      <c r="L3106" s="137">
        <v>0</v>
      </c>
    </row>
    <row r="3107" spans="7:12" x14ac:dyDescent="0.25">
      <c r="G3107" s="136">
        <v>43444</v>
      </c>
      <c r="H3107" t="s">
        <v>25</v>
      </c>
      <c r="I3107" t="s">
        <v>233</v>
      </c>
      <c r="J3107" t="s">
        <v>430</v>
      </c>
      <c r="K3107" s="138">
        <v>318.16000000000003</v>
      </c>
      <c r="L3107" s="137">
        <v>0</v>
      </c>
    </row>
    <row r="3108" spans="7:12" x14ac:dyDescent="0.25">
      <c r="G3108" s="136">
        <v>43444</v>
      </c>
      <c r="H3108" t="s">
        <v>25</v>
      </c>
      <c r="I3108" t="s">
        <v>233</v>
      </c>
      <c r="J3108" t="s">
        <v>430</v>
      </c>
      <c r="K3108" s="138">
        <v>292.58</v>
      </c>
      <c r="L3108" s="137">
        <v>0</v>
      </c>
    </row>
    <row r="3109" spans="7:12" x14ac:dyDescent="0.25">
      <c r="G3109" s="136">
        <v>43444</v>
      </c>
      <c r="H3109" t="s">
        <v>25</v>
      </c>
      <c r="I3109" t="s">
        <v>233</v>
      </c>
      <c r="J3109" t="s">
        <v>430</v>
      </c>
      <c r="K3109" s="138">
        <v>284.25</v>
      </c>
      <c r="L3109" s="137">
        <v>0</v>
      </c>
    </row>
    <row r="3110" spans="7:12" x14ac:dyDescent="0.25">
      <c r="G3110" s="136">
        <v>43444</v>
      </c>
      <c r="H3110" t="s">
        <v>25</v>
      </c>
      <c r="I3110" t="s">
        <v>233</v>
      </c>
      <c r="J3110" t="s">
        <v>430</v>
      </c>
      <c r="K3110" s="138">
        <v>233.35</v>
      </c>
      <c r="L3110" s="137">
        <v>0</v>
      </c>
    </row>
    <row r="3111" spans="7:12" x14ac:dyDescent="0.25">
      <c r="G3111" s="136">
        <v>43444</v>
      </c>
      <c r="H3111" t="s">
        <v>25</v>
      </c>
      <c r="I3111" t="s">
        <v>233</v>
      </c>
      <c r="J3111" t="s">
        <v>430</v>
      </c>
      <c r="K3111" s="138">
        <v>224.67</v>
      </c>
      <c r="L3111" s="137">
        <v>0</v>
      </c>
    </row>
    <row r="3112" spans="7:12" x14ac:dyDescent="0.25">
      <c r="G3112" s="136">
        <v>43444</v>
      </c>
      <c r="H3112" t="s">
        <v>25</v>
      </c>
      <c r="I3112" t="s">
        <v>233</v>
      </c>
      <c r="J3112" t="s">
        <v>430</v>
      </c>
      <c r="K3112" s="138">
        <v>224.28</v>
      </c>
      <c r="L3112" s="137">
        <v>0</v>
      </c>
    </row>
    <row r="3113" spans="7:12" x14ac:dyDescent="0.25">
      <c r="G3113" s="136">
        <v>43444</v>
      </c>
      <c r="H3113" t="s">
        <v>25</v>
      </c>
      <c r="I3113" t="s">
        <v>233</v>
      </c>
      <c r="J3113" t="s">
        <v>430</v>
      </c>
      <c r="K3113" s="138">
        <v>204.94</v>
      </c>
      <c r="L3113" s="137">
        <v>0</v>
      </c>
    </row>
    <row r="3114" spans="7:12" x14ac:dyDescent="0.25">
      <c r="G3114" s="136">
        <v>43444</v>
      </c>
      <c r="H3114" t="s">
        <v>25</v>
      </c>
      <c r="I3114" t="s">
        <v>233</v>
      </c>
      <c r="J3114" t="s">
        <v>430</v>
      </c>
      <c r="K3114" s="138">
        <v>198.07</v>
      </c>
      <c r="L3114" s="137">
        <v>0</v>
      </c>
    </row>
    <row r="3115" spans="7:12" x14ac:dyDescent="0.25">
      <c r="G3115" s="136">
        <v>43444</v>
      </c>
      <c r="H3115" t="s">
        <v>25</v>
      </c>
      <c r="I3115" t="s">
        <v>233</v>
      </c>
      <c r="J3115" t="s">
        <v>430</v>
      </c>
      <c r="K3115" s="138">
        <v>176.55</v>
      </c>
      <c r="L3115" s="137">
        <v>0</v>
      </c>
    </row>
    <row r="3116" spans="7:12" x14ac:dyDescent="0.25">
      <c r="G3116" s="136">
        <v>43444</v>
      </c>
      <c r="H3116" t="s">
        <v>25</v>
      </c>
      <c r="I3116" t="s">
        <v>233</v>
      </c>
      <c r="J3116" t="s">
        <v>430</v>
      </c>
      <c r="K3116" s="138">
        <v>164.05</v>
      </c>
      <c r="L3116" s="137">
        <v>0</v>
      </c>
    </row>
    <row r="3117" spans="7:12" x14ac:dyDescent="0.25">
      <c r="G3117" s="136">
        <v>43444</v>
      </c>
      <c r="H3117" t="s">
        <v>25</v>
      </c>
      <c r="I3117" t="s">
        <v>233</v>
      </c>
      <c r="J3117" t="s">
        <v>430</v>
      </c>
      <c r="K3117" s="138">
        <v>40.72</v>
      </c>
      <c r="L3117" s="137">
        <v>0</v>
      </c>
    </row>
    <row r="3118" spans="7:12" x14ac:dyDescent="0.25">
      <c r="G3118" s="136">
        <v>43444</v>
      </c>
      <c r="H3118" t="s">
        <v>25</v>
      </c>
      <c r="I3118" t="s">
        <v>233</v>
      </c>
      <c r="J3118" t="s">
        <v>430</v>
      </c>
      <c r="K3118" s="138">
        <v>29.29</v>
      </c>
      <c r="L3118" s="137">
        <v>0</v>
      </c>
    </row>
    <row r="3119" spans="7:12" x14ac:dyDescent="0.25">
      <c r="G3119" s="136">
        <v>43444</v>
      </c>
      <c r="H3119" t="s">
        <v>25</v>
      </c>
      <c r="I3119" t="s">
        <v>233</v>
      </c>
      <c r="J3119" t="s">
        <v>430</v>
      </c>
      <c r="K3119" s="138">
        <v>26.02</v>
      </c>
      <c r="L3119" s="137">
        <v>0</v>
      </c>
    </row>
    <row r="3120" spans="7:12" x14ac:dyDescent="0.25">
      <c r="G3120" s="136">
        <v>43444</v>
      </c>
      <c r="H3120" t="s">
        <v>25</v>
      </c>
      <c r="I3120" t="s">
        <v>233</v>
      </c>
      <c r="J3120" t="s">
        <v>430</v>
      </c>
      <c r="K3120" s="138">
        <v>25.82</v>
      </c>
      <c r="L3120" s="137">
        <v>0</v>
      </c>
    </row>
    <row r="3121" spans="7:12" x14ac:dyDescent="0.25">
      <c r="G3121" s="136">
        <v>43444</v>
      </c>
      <c r="H3121" t="s">
        <v>25</v>
      </c>
      <c r="I3121" t="s">
        <v>233</v>
      </c>
      <c r="J3121" t="s">
        <v>430</v>
      </c>
      <c r="K3121" s="138">
        <v>24.74</v>
      </c>
      <c r="L3121" s="137">
        <v>0</v>
      </c>
    </row>
    <row r="3122" spans="7:12" x14ac:dyDescent="0.25">
      <c r="G3122" s="136">
        <v>43444</v>
      </c>
      <c r="H3122" t="s">
        <v>211</v>
      </c>
      <c r="I3122" t="s">
        <v>233</v>
      </c>
      <c r="J3122" t="s">
        <v>430</v>
      </c>
      <c r="K3122" s="138">
        <v>980.2</v>
      </c>
      <c r="L3122" s="137">
        <v>0</v>
      </c>
    </row>
    <row r="3123" spans="7:12" x14ac:dyDescent="0.25">
      <c r="G3123" s="136">
        <v>43444</v>
      </c>
      <c r="H3123" t="s">
        <v>196</v>
      </c>
      <c r="I3123" t="s">
        <v>171</v>
      </c>
      <c r="J3123" t="s">
        <v>429</v>
      </c>
      <c r="K3123" s="138">
        <v>1411</v>
      </c>
      <c r="L3123" s="137">
        <v>0</v>
      </c>
    </row>
    <row r="3124" spans="7:12" x14ac:dyDescent="0.25">
      <c r="G3124" s="136">
        <v>43444</v>
      </c>
      <c r="H3124" t="s">
        <v>180</v>
      </c>
      <c r="I3124" t="s">
        <v>233</v>
      </c>
      <c r="J3124" t="s">
        <v>430</v>
      </c>
      <c r="K3124" s="138">
        <v>367.27</v>
      </c>
      <c r="L3124" s="137">
        <v>0</v>
      </c>
    </row>
    <row r="3125" spans="7:12" x14ac:dyDescent="0.25">
      <c r="G3125" s="136">
        <v>43444</v>
      </c>
      <c r="H3125" t="s">
        <v>179</v>
      </c>
      <c r="I3125" t="s">
        <v>233</v>
      </c>
      <c r="J3125" t="s">
        <v>430</v>
      </c>
      <c r="K3125" s="138">
        <v>5973.76</v>
      </c>
      <c r="L3125" s="137">
        <v>0</v>
      </c>
    </row>
    <row r="3126" spans="7:12" x14ac:dyDescent="0.25">
      <c r="G3126" s="136">
        <v>43444</v>
      </c>
      <c r="H3126" t="s">
        <v>28</v>
      </c>
      <c r="I3126" t="s">
        <v>112</v>
      </c>
      <c r="J3126" t="s">
        <v>429</v>
      </c>
      <c r="K3126" s="138">
        <v>110</v>
      </c>
      <c r="L3126" s="137">
        <v>0</v>
      </c>
    </row>
    <row r="3127" spans="7:12" x14ac:dyDescent="0.25">
      <c r="G3127" s="136">
        <v>43444</v>
      </c>
      <c r="H3127" t="s">
        <v>28</v>
      </c>
      <c r="I3127" t="s">
        <v>112</v>
      </c>
      <c r="J3127" t="s">
        <v>429</v>
      </c>
      <c r="K3127" s="138">
        <v>86.97</v>
      </c>
      <c r="L3127" s="137">
        <v>0</v>
      </c>
    </row>
    <row r="3128" spans="7:12" x14ac:dyDescent="0.25">
      <c r="G3128" s="136">
        <v>43444</v>
      </c>
      <c r="H3128" t="s">
        <v>28</v>
      </c>
      <c r="I3128" t="s">
        <v>155</v>
      </c>
      <c r="J3128" t="s">
        <v>429</v>
      </c>
      <c r="K3128" s="138">
        <v>100</v>
      </c>
      <c r="L3128" s="137">
        <v>0</v>
      </c>
    </row>
    <row r="3129" spans="7:12" x14ac:dyDescent="0.25">
      <c r="G3129" s="136">
        <v>43444</v>
      </c>
      <c r="H3129" t="s">
        <v>28</v>
      </c>
      <c r="I3129" t="s">
        <v>155</v>
      </c>
      <c r="J3129" t="s">
        <v>429</v>
      </c>
      <c r="K3129" s="138">
        <v>47.06</v>
      </c>
      <c r="L3129" s="137">
        <v>0</v>
      </c>
    </row>
    <row r="3130" spans="7:12" x14ac:dyDescent="0.25">
      <c r="G3130" s="136">
        <v>43444</v>
      </c>
      <c r="H3130" t="s">
        <v>28</v>
      </c>
      <c r="I3130" t="s">
        <v>66</v>
      </c>
      <c r="J3130" t="s">
        <v>134</v>
      </c>
      <c r="K3130" s="138">
        <v>2.25</v>
      </c>
      <c r="L3130" s="137">
        <v>0</v>
      </c>
    </row>
    <row r="3131" spans="7:12" x14ac:dyDescent="0.25">
      <c r="G3131" s="136">
        <v>43444</v>
      </c>
      <c r="H3131" t="s">
        <v>28</v>
      </c>
      <c r="I3131" t="s">
        <v>66</v>
      </c>
      <c r="J3131" t="s">
        <v>125</v>
      </c>
      <c r="K3131" s="138">
        <v>6.85</v>
      </c>
      <c r="L3131" s="137">
        <v>0</v>
      </c>
    </row>
    <row r="3132" spans="7:12" x14ac:dyDescent="0.25">
      <c r="G3132" s="136">
        <v>43444</v>
      </c>
      <c r="H3132" t="s">
        <v>28</v>
      </c>
      <c r="I3132" t="s">
        <v>233</v>
      </c>
      <c r="J3132" t="s">
        <v>430</v>
      </c>
      <c r="K3132" s="138">
        <v>138.41</v>
      </c>
      <c r="L3132" s="137">
        <v>0</v>
      </c>
    </row>
    <row r="3133" spans="7:12" x14ac:dyDescent="0.25">
      <c r="G3133" s="136">
        <v>43444</v>
      </c>
      <c r="H3133" t="s">
        <v>28</v>
      </c>
      <c r="I3133" t="s">
        <v>233</v>
      </c>
      <c r="J3133" t="s">
        <v>430</v>
      </c>
      <c r="K3133" s="138">
        <v>55.36</v>
      </c>
      <c r="L3133" s="137">
        <v>0</v>
      </c>
    </row>
    <row r="3134" spans="7:12" x14ac:dyDescent="0.25">
      <c r="G3134" s="136">
        <v>43444</v>
      </c>
      <c r="H3134" t="s">
        <v>28</v>
      </c>
      <c r="I3134" t="s">
        <v>233</v>
      </c>
      <c r="J3134" t="s">
        <v>430</v>
      </c>
      <c r="K3134" s="138">
        <v>46.7</v>
      </c>
      <c r="L3134" s="137">
        <v>0</v>
      </c>
    </row>
    <row r="3135" spans="7:12" x14ac:dyDescent="0.25">
      <c r="G3135" s="136">
        <v>43444</v>
      </c>
      <c r="H3135" t="s">
        <v>28</v>
      </c>
      <c r="I3135" t="s">
        <v>233</v>
      </c>
      <c r="J3135" t="s">
        <v>430</v>
      </c>
      <c r="K3135" s="138">
        <v>42.42</v>
      </c>
      <c r="L3135" s="137">
        <v>0</v>
      </c>
    </row>
    <row r="3136" spans="7:12" x14ac:dyDescent="0.25">
      <c r="G3136" s="136">
        <v>43444</v>
      </c>
      <c r="H3136" t="s">
        <v>28</v>
      </c>
      <c r="I3136" t="s">
        <v>171</v>
      </c>
      <c r="J3136" t="s">
        <v>429</v>
      </c>
      <c r="K3136" s="138">
        <v>185.85</v>
      </c>
      <c r="L3136" s="137">
        <v>0</v>
      </c>
    </row>
    <row r="3137" spans="7:12" x14ac:dyDescent="0.25">
      <c r="G3137" s="136">
        <v>43445</v>
      </c>
      <c r="H3137" t="s">
        <v>27</v>
      </c>
      <c r="I3137" t="s">
        <v>63</v>
      </c>
      <c r="J3137" t="s">
        <v>431</v>
      </c>
      <c r="K3137" s="138">
        <v>8</v>
      </c>
      <c r="L3137" s="137">
        <v>0</v>
      </c>
    </row>
    <row r="3138" spans="7:12" x14ac:dyDescent="0.25">
      <c r="G3138" s="136">
        <v>43445</v>
      </c>
      <c r="H3138" t="s">
        <v>199</v>
      </c>
      <c r="I3138" t="s">
        <v>175</v>
      </c>
      <c r="J3138" t="s">
        <v>431</v>
      </c>
      <c r="K3138" s="138">
        <v>396</v>
      </c>
      <c r="L3138" s="137">
        <v>0</v>
      </c>
    </row>
    <row r="3139" spans="7:12" x14ac:dyDescent="0.25">
      <c r="G3139" s="136">
        <v>43445</v>
      </c>
      <c r="H3139" t="s">
        <v>25</v>
      </c>
      <c r="I3139" t="s">
        <v>63</v>
      </c>
      <c r="J3139" t="s">
        <v>431</v>
      </c>
      <c r="K3139" s="138">
        <v>48</v>
      </c>
      <c r="L3139" s="137">
        <v>0</v>
      </c>
    </row>
    <row r="3140" spans="7:12" x14ac:dyDescent="0.25">
      <c r="G3140" s="136">
        <v>43445</v>
      </c>
      <c r="H3140" t="s">
        <v>25</v>
      </c>
      <c r="I3140" t="s">
        <v>63</v>
      </c>
      <c r="J3140" t="s">
        <v>431</v>
      </c>
      <c r="K3140" s="138">
        <v>40</v>
      </c>
      <c r="L3140" s="137">
        <v>0</v>
      </c>
    </row>
    <row r="3141" spans="7:12" x14ac:dyDescent="0.25">
      <c r="G3141" s="136">
        <v>43445</v>
      </c>
      <c r="H3141" t="s">
        <v>25</v>
      </c>
      <c r="I3141" t="s">
        <v>63</v>
      </c>
      <c r="J3141" t="s">
        <v>431</v>
      </c>
      <c r="K3141" s="138">
        <v>32</v>
      </c>
      <c r="L3141" s="137">
        <v>0</v>
      </c>
    </row>
    <row r="3142" spans="7:12" x14ac:dyDescent="0.25">
      <c r="G3142" s="136">
        <v>43445</v>
      </c>
      <c r="H3142" t="s">
        <v>25</v>
      </c>
      <c r="I3142" t="s">
        <v>63</v>
      </c>
      <c r="J3142" t="s">
        <v>431</v>
      </c>
      <c r="K3142" s="138">
        <v>24</v>
      </c>
      <c r="L3142" s="137">
        <v>0</v>
      </c>
    </row>
    <row r="3143" spans="7:12" x14ac:dyDescent="0.25">
      <c r="G3143" s="136">
        <v>43445</v>
      </c>
      <c r="H3143" t="s">
        <v>25</v>
      </c>
      <c r="I3143" t="s">
        <v>63</v>
      </c>
      <c r="J3143" t="s">
        <v>431</v>
      </c>
      <c r="K3143" s="138">
        <v>8</v>
      </c>
      <c r="L3143" s="137">
        <v>0</v>
      </c>
    </row>
    <row r="3144" spans="7:12" x14ac:dyDescent="0.25">
      <c r="G3144" s="136">
        <v>43445</v>
      </c>
      <c r="H3144" t="s">
        <v>211</v>
      </c>
      <c r="I3144" t="s">
        <v>171</v>
      </c>
      <c r="J3144" t="s">
        <v>431</v>
      </c>
      <c r="K3144" s="138">
        <v>1185.1500000000001</v>
      </c>
      <c r="L3144" s="137">
        <v>0</v>
      </c>
    </row>
    <row r="3145" spans="7:12" x14ac:dyDescent="0.25">
      <c r="G3145" s="136">
        <v>43445</v>
      </c>
      <c r="H3145" t="s">
        <v>187</v>
      </c>
      <c r="I3145" t="s">
        <v>42</v>
      </c>
      <c r="J3145" t="s">
        <v>431</v>
      </c>
      <c r="K3145" s="138">
        <v>37</v>
      </c>
      <c r="L3145" s="137">
        <v>0</v>
      </c>
    </row>
    <row r="3146" spans="7:12" x14ac:dyDescent="0.25">
      <c r="G3146" s="136">
        <v>43445</v>
      </c>
      <c r="H3146" t="s">
        <v>28</v>
      </c>
      <c r="I3146" t="s">
        <v>66</v>
      </c>
      <c r="J3146" t="s">
        <v>134</v>
      </c>
      <c r="K3146" s="138">
        <v>4.5</v>
      </c>
      <c r="L3146" s="137">
        <v>0</v>
      </c>
    </row>
    <row r="3147" spans="7:12" x14ac:dyDescent="0.25">
      <c r="G3147" s="136">
        <v>43446</v>
      </c>
      <c r="H3147" t="s">
        <v>192</v>
      </c>
      <c r="I3147" t="s">
        <v>163</v>
      </c>
      <c r="J3147" t="s">
        <v>432</v>
      </c>
      <c r="K3147" s="138">
        <v>69.790000000000006</v>
      </c>
      <c r="L3147" s="137">
        <v>0</v>
      </c>
    </row>
    <row r="3148" spans="7:12" x14ac:dyDescent="0.25">
      <c r="G3148" s="136">
        <v>43446</v>
      </c>
      <c r="H3148" t="s">
        <v>183</v>
      </c>
      <c r="I3148" t="s">
        <v>163</v>
      </c>
      <c r="J3148" t="s">
        <v>432</v>
      </c>
      <c r="K3148" s="138">
        <v>99.43</v>
      </c>
      <c r="L3148" s="137">
        <v>0</v>
      </c>
    </row>
    <row r="3149" spans="7:12" x14ac:dyDescent="0.25">
      <c r="G3149" s="136">
        <v>43446</v>
      </c>
      <c r="H3149" t="s">
        <v>188</v>
      </c>
      <c r="I3149" t="s">
        <v>63</v>
      </c>
      <c r="J3149" t="s">
        <v>432</v>
      </c>
      <c r="K3149" s="138">
        <v>535.41</v>
      </c>
      <c r="L3149" s="137">
        <v>0</v>
      </c>
    </row>
    <row r="3150" spans="7:12" x14ac:dyDescent="0.25">
      <c r="G3150" s="136">
        <v>43446</v>
      </c>
      <c r="H3150" t="s">
        <v>188</v>
      </c>
      <c r="I3150" t="s">
        <v>178</v>
      </c>
      <c r="J3150" t="s">
        <v>432</v>
      </c>
      <c r="K3150" s="138">
        <v>69.930000000000007</v>
      </c>
      <c r="L3150" s="137">
        <v>0</v>
      </c>
    </row>
    <row r="3151" spans="7:12" x14ac:dyDescent="0.25">
      <c r="G3151" s="136">
        <v>43446</v>
      </c>
      <c r="H3151" t="s">
        <v>188</v>
      </c>
      <c r="I3151" t="s">
        <v>112</v>
      </c>
      <c r="J3151" t="s">
        <v>432</v>
      </c>
      <c r="K3151" s="138">
        <v>127.57</v>
      </c>
      <c r="L3151" s="137">
        <v>0</v>
      </c>
    </row>
    <row r="3152" spans="7:12" x14ac:dyDescent="0.25">
      <c r="G3152" s="136">
        <v>43446</v>
      </c>
      <c r="H3152" t="s">
        <v>25</v>
      </c>
      <c r="I3152" t="s">
        <v>63</v>
      </c>
      <c r="J3152" t="s">
        <v>432</v>
      </c>
      <c r="K3152" s="138">
        <v>40</v>
      </c>
      <c r="L3152" s="137">
        <v>0</v>
      </c>
    </row>
    <row r="3153" spans="7:12" x14ac:dyDescent="0.25">
      <c r="G3153" s="136">
        <v>43446</v>
      </c>
      <c r="H3153" t="s">
        <v>25</v>
      </c>
      <c r="I3153" t="s">
        <v>63</v>
      </c>
      <c r="J3153" t="s">
        <v>432</v>
      </c>
      <c r="K3153" s="138">
        <v>24</v>
      </c>
      <c r="L3153" s="137">
        <v>0</v>
      </c>
    </row>
    <row r="3154" spans="7:12" x14ac:dyDescent="0.25">
      <c r="G3154" s="136">
        <v>43446</v>
      </c>
      <c r="H3154" t="s">
        <v>201</v>
      </c>
      <c r="I3154" t="s">
        <v>163</v>
      </c>
      <c r="J3154" t="s">
        <v>432</v>
      </c>
      <c r="K3154" s="138">
        <v>70</v>
      </c>
      <c r="L3154" s="137">
        <v>0</v>
      </c>
    </row>
    <row r="3155" spans="7:12" x14ac:dyDescent="0.25">
      <c r="G3155" s="136">
        <v>43446</v>
      </c>
      <c r="H3155" t="s">
        <v>207</v>
      </c>
      <c r="I3155" t="s">
        <v>155</v>
      </c>
      <c r="J3155" t="s">
        <v>432</v>
      </c>
      <c r="K3155" s="138">
        <v>1876.36</v>
      </c>
      <c r="L3155" s="137">
        <v>0</v>
      </c>
    </row>
    <row r="3156" spans="7:12" x14ac:dyDescent="0.25">
      <c r="G3156" s="136">
        <v>43446</v>
      </c>
      <c r="H3156" t="s">
        <v>196</v>
      </c>
      <c r="I3156" t="s">
        <v>155</v>
      </c>
      <c r="J3156" t="s">
        <v>432</v>
      </c>
      <c r="K3156" s="138">
        <v>2693.42</v>
      </c>
      <c r="L3156" s="137">
        <v>0</v>
      </c>
    </row>
    <row r="3157" spans="7:12" x14ac:dyDescent="0.25">
      <c r="G3157" s="136">
        <v>43446</v>
      </c>
      <c r="H3157" t="s">
        <v>196</v>
      </c>
      <c r="I3157" t="s">
        <v>42</v>
      </c>
      <c r="J3157" t="s">
        <v>432</v>
      </c>
      <c r="K3157" s="138">
        <v>106.36</v>
      </c>
      <c r="L3157" s="137">
        <v>0</v>
      </c>
    </row>
    <row r="3158" spans="7:12" x14ac:dyDescent="0.25">
      <c r="G3158" s="136">
        <v>43446</v>
      </c>
      <c r="H3158" t="s">
        <v>28</v>
      </c>
      <c r="I3158" t="s">
        <v>178</v>
      </c>
      <c r="J3158" t="s">
        <v>432</v>
      </c>
      <c r="K3158" s="138">
        <v>70.819999999999993</v>
      </c>
      <c r="L3158" s="137">
        <v>0</v>
      </c>
    </row>
    <row r="3159" spans="7:12" x14ac:dyDescent="0.25">
      <c r="G3159" s="136">
        <v>43446</v>
      </c>
      <c r="H3159" t="s">
        <v>28</v>
      </c>
      <c r="I3159" t="s">
        <v>178</v>
      </c>
      <c r="J3159" t="s">
        <v>432</v>
      </c>
      <c r="K3159" s="138">
        <v>68.459999999999994</v>
      </c>
      <c r="L3159" s="137">
        <v>0</v>
      </c>
    </row>
    <row r="3160" spans="7:12" x14ac:dyDescent="0.25">
      <c r="G3160" s="136">
        <v>43446</v>
      </c>
      <c r="H3160" t="s">
        <v>28</v>
      </c>
      <c r="I3160" t="s">
        <v>178</v>
      </c>
      <c r="J3160" t="s">
        <v>432</v>
      </c>
      <c r="K3160" s="138">
        <v>29.37</v>
      </c>
      <c r="L3160" s="137">
        <v>0</v>
      </c>
    </row>
    <row r="3161" spans="7:12" x14ac:dyDescent="0.25">
      <c r="G3161" s="136">
        <v>43446</v>
      </c>
      <c r="H3161" t="s">
        <v>28</v>
      </c>
      <c r="I3161" t="s">
        <v>112</v>
      </c>
      <c r="J3161" t="s">
        <v>432</v>
      </c>
      <c r="K3161" s="138">
        <v>40.47</v>
      </c>
      <c r="L3161" s="137">
        <v>0</v>
      </c>
    </row>
    <row r="3162" spans="7:12" x14ac:dyDescent="0.25">
      <c r="G3162" s="136">
        <v>43446</v>
      </c>
      <c r="H3162" t="s">
        <v>28</v>
      </c>
      <c r="I3162" t="s">
        <v>112</v>
      </c>
      <c r="J3162" t="s">
        <v>432</v>
      </c>
      <c r="K3162" s="138">
        <v>26.97</v>
      </c>
      <c r="L3162" s="137">
        <v>0</v>
      </c>
    </row>
    <row r="3163" spans="7:12" x14ac:dyDescent="0.25">
      <c r="G3163" s="136">
        <v>43446</v>
      </c>
      <c r="H3163" t="s">
        <v>28</v>
      </c>
      <c r="I3163" t="s">
        <v>112</v>
      </c>
      <c r="J3163" t="s">
        <v>432</v>
      </c>
      <c r="K3163" s="138">
        <v>24.48</v>
      </c>
      <c r="L3163" s="137">
        <v>0</v>
      </c>
    </row>
    <row r="3164" spans="7:12" x14ac:dyDescent="0.25">
      <c r="G3164" s="136">
        <v>43446</v>
      </c>
      <c r="H3164" t="s">
        <v>28</v>
      </c>
      <c r="I3164" t="s">
        <v>155</v>
      </c>
      <c r="J3164" t="s">
        <v>432</v>
      </c>
      <c r="K3164" s="138">
        <v>151.84</v>
      </c>
      <c r="L3164" s="137">
        <v>0</v>
      </c>
    </row>
    <row r="3165" spans="7:12" x14ac:dyDescent="0.25">
      <c r="G3165" s="136">
        <v>43446</v>
      </c>
      <c r="H3165" t="s">
        <v>28</v>
      </c>
      <c r="I3165" t="s">
        <v>155</v>
      </c>
      <c r="J3165" t="s">
        <v>432</v>
      </c>
      <c r="K3165" s="138">
        <v>76.13</v>
      </c>
      <c r="L3165" s="137">
        <v>0</v>
      </c>
    </row>
    <row r="3166" spans="7:12" x14ac:dyDescent="0.25">
      <c r="G3166" s="136">
        <v>43446</v>
      </c>
      <c r="H3166" t="s">
        <v>28</v>
      </c>
      <c r="I3166" t="s">
        <v>155</v>
      </c>
      <c r="J3166" t="s">
        <v>432</v>
      </c>
      <c r="K3166" s="138">
        <v>35.04</v>
      </c>
      <c r="L3166" s="137">
        <v>0</v>
      </c>
    </row>
    <row r="3167" spans="7:12" x14ac:dyDescent="0.25">
      <c r="G3167" s="136">
        <v>43446</v>
      </c>
      <c r="H3167" t="s">
        <v>28</v>
      </c>
      <c r="I3167" t="s">
        <v>155</v>
      </c>
      <c r="J3167" t="s">
        <v>432</v>
      </c>
      <c r="K3167" s="138">
        <v>31.38</v>
      </c>
      <c r="L3167" s="137">
        <v>0</v>
      </c>
    </row>
    <row r="3168" spans="7:12" x14ac:dyDescent="0.25">
      <c r="G3168" s="136">
        <v>43446</v>
      </c>
      <c r="H3168" t="s">
        <v>28</v>
      </c>
      <c r="I3168" t="s">
        <v>155</v>
      </c>
      <c r="J3168" t="s">
        <v>432</v>
      </c>
      <c r="K3168" s="138">
        <v>19.95</v>
      </c>
      <c r="L3168" s="137">
        <v>0</v>
      </c>
    </row>
    <row r="3169" spans="7:12" x14ac:dyDescent="0.25">
      <c r="G3169" s="136">
        <v>43446</v>
      </c>
      <c r="H3169" t="s">
        <v>28</v>
      </c>
      <c r="I3169" t="s">
        <v>155</v>
      </c>
      <c r="J3169" t="s">
        <v>432</v>
      </c>
      <c r="K3169" s="138">
        <v>9.35</v>
      </c>
      <c r="L3169" s="137">
        <v>0</v>
      </c>
    </row>
    <row r="3170" spans="7:12" x14ac:dyDescent="0.25">
      <c r="G3170" s="136">
        <v>43446</v>
      </c>
      <c r="H3170" t="s">
        <v>28</v>
      </c>
      <c r="I3170" t="s">
        <v>66</v>
      </c>
      <c r="J3170" t="s">
        <v>320</v>
      </c>
      <c r="K3170" s="138">
        <v>1.1000000000000001</v>
      </c>
      <c r="L3170" s="137">
        <v>0</v>
      </c>
    </row>
    <row r="3171" spans="7:12" x14ac:dyDescent="0.25">
      <c r="G3171" s="136">
        <v>43446</v>
      </c>
      <c r="H3171" t="s">
        <v>28</v>
      </c>
      <c r="I3171" t="s">
        <v>66</v>
      </c>
      <c r="J3171" t="s">
        <v>139</v>
      </c>
      <c r="K3171" s="138">
        <v>6</v>
      </c>
      <c r="L3171" s="137">
        <v>0</v>
      </c>
    </row>
    <row r="3172" spans="7:12" x14ac:dyDescent="0.25">
      <c r="G3172" s="136">
        <v>43446</v>
      </c>
      <c r="H3172" t="s">
        <v>28</v>
      </c>
      <c r="I3172" t="s">
        <v>66</v>
      </c>
      <c r="J3172" t="s">
        <v>141</v>
      </c>
      <c r="K3172" s="138">
        <v>3.15</v>
      </c>
      <c r="L3172" s="137">
        <v>0</v>
      </c>
    </row>
    <row r="3173" spans="7:12" x14ac:dyDescent="0.25">
      <c r="G3173" s="136">
        <v>43446</v>
      </c>
      <c r="H3173" t="s">
        <v>28</v>
      </c>
      <c r="I3173" t="s">
        <v>66</v>
      </c>
      <c r="J3173" t="s">
        <v>142</v>
      </c>
      <c r="K3173" s="138">
        <v>22</v>
      </c>
      <c r="L3173" s="137">
        <v>0</v>
      </c>
    </row>
    <row r="3174" spans="7:12" x14ac:dyDescent="0.25">
      <c r="G3174" s="136">
        <v>43446</v>
      </c>
      <c r="H3174" t="s">
        <v>28</v>
      </c>
      <c r="I3174" t="s">
        <v>66</v>
      </c>
      <c r="J3174" t="s">
        <v>137</v>
      </c>
      <c r="K3174" s="138">
        <v>2.4</v>
      </c>
      <c r="L3174" s="137">
        <v>0</v>
      </c>
    </row>
    <row r="3175" spans="7:12" x14ac:dyDescent="0.25">
      <c r="G3175" s="136">
        <v>43446</v>
      </c>
      <c r="H3175" t="s">
        <v>28</v>
      </c>
      <c r="I3175" t="s">
        <v>66</v>
      </c>
      <c r="J3175" t="s">
        <v>276</v>
      </c>
      <c r="K3175" s="138">
        <v>1.8</v>
      </c>
      <c r="L3175" s="137">
        <v>0</v>
      </c>
    </row>
    <row r="3176" spans="7:12" x14ac:dyDescent="0.25">
      <c r="G3176" s="136">
        <v>43446</v>
      </c>
      <c r="H3176" t="s">
        <v>28</v>
      </c>
      <c r="I3176" t="s">
        <v>42</v>
      </c>
      <c r="J3176" t="s">
        <v>432</v>
      </c>
      <c r="K3176" s="138">
        <v>183.93</v>
      </c>
      <c r="L3176" s="137">
        <v>0</v>
      </c>
    </row>
    <row r="3177" spans="7:12" x14ac:dyDescent="0.25">
      <c r="G3177" s="136">
        <v>43446</v>
      </c>
      <c r="H3177" t="s">
        <v>28</v>
      </c>
      <c r="I3177" t="s">
        <v>42</v>
      </c>
      <c r="J3177" t="s">
        <v>432</v>
      </c>
      <c r="K3177" s="138">
        <v>3.15</v>
      </c>
      <c r="L3177" s="137">
        <v>0</v>
      </c>
    </row>
    <row r="3178" spans="7:12" x14ac:dyDescent="0.25">
      <c r="G3178" s="136">
        <v>43447</v>
      </c>
      <c r="H3178" t="s">
        <v>27</v>
      </c>
      <c r="I3178" t="s">
        <v>63</v>
      </c>
      <c r="J3178" t="s">
        <v>433</v>
      </c>
      <c r="K3178" s="138">
        <v>16</v>
      </c>
      <c r="L3178" s="137">
        <v>0</v>
      </c>
    </row>
    <row r="3179" spans="7:12" x14ac:dyDescent="0.25">
      <c r="G3179" s="136">
        <v>43447</v>
      </c>
      <c r="H3179" t="s">
        <v>27</v>
      </c>
      <c r="I3179" t="s">
        <v>42</v>
      </c>
      <c r="J3179" t="s">
        <v>433</v>
      </c>
      <c r="K3179" s="138">
        <v>286</v>
      </c>
      <c r="L3179" s="137">
        <v>0</v>
      </c>
    </row>
    <row r="3180" spans="7:12" x14ac:dyDescent="0.25">
      <c r="G3180" s="136">
        <v>43447</v>
      </c>
      <c r="H3180" t="s">
        <v>184</v>
      </c>
      <c r="I3180" t="s">
        <v>42</v>
      </c>
      <c r="J3180" t="s">
        <v>433</v>
      </c>
      <c r="K3180" s="138">
        <v>20</v>
      </c>
      <c r="L3180" s="137">
        <v>0</v>
      </c>
    </row>
    <row r="3181" spans="7:12" x14ac:dyDescent="0.25">
      <c r="G3181" s="136">
        <v>43447</v>
      </c>
      <c r="H3181" t="s">
        <v>183</v>
      </c>
      <c r="I3181" t="s">
        <v>42</v>
      </c>
      <c r="J3181" t="s">
        <v>433</v>
      </c>
      <c r="K3181" s="138">
        <v>210</v>
      </c>
      <c r="L3181" s="137">
        <v>0</v>
      </c>
    </row>
    <row r="3182" spans="7:12" x14ac:dyDescent="0.25">
      <c r="G3182" s="136">
        <v>43447</v>
      </c>
      <c r="H3182" t="s">
        <v>200</v>
      </c>
      <c r="I3182" t="s">
        <v>42</v>
      </c>
      <c r="J3182" t="s">
        <v>433</v>
      </c>
      <c r="K3182" s="138">
        <v>1.04</v>
      </c>
      <c r="L3182" s="137">
        <v>0</v>
      </c>
    </row>
    <row r="3183" spans="7:12" x14ac:dyDescent="0.25">
      <c r="G3183" s="136">
        <v>43447</v>
      </c>
      <c r="H3183" t="s">
        <v>25</v>
      </c>
      <c r="I3183" t="s">
        <v>63</v>
      </c>
      <c r="J3183" t="s">
        <v>433</v>
      </c>
      <c r="K3183" s="138">
        <v>32</v>
      </c>
      <c r="L3183" s="137">
        <v>0</v>
      </c>
    </row>
    <row r="3184" spans="7:12" x14ac:dyDescent="0.25">
      <c r="G3184" s="136">
        <v>43447</v>
      </c>
      <c r="H3184" t="s">
        <v>25</v>
      </c>
      <c r="I3184" t="s">
        <v>63</v>
      </c>
      <c r="J3184" t="s">
        <v>433</v>
      </c>
      <c r="K3184" s="138">
        <v>24</v>
      </c>
      <c r="L3184" s="137">
        <v>0</v>
      </c>
    </row>
    <row r="3185" spans="7:12" x14ac:dyDescent="0.25">
      <c r="G3185" s="136">
        <v>43447</v>
      </c>
      <c r="H3185" t="s">
        <v>25</v>
      </c>
      <c r="I3185" t="s">
        <v>63</v>
      </c>
      <c r="J3185" t="s">
        <v>433</v>
      </c>
      <c r="K3185" s="138">
        <v>16</v>
      </c>
      <c r="L3185" s="137">
        <v>0</v>
      </c>
    </row>
    <row r="3186" spans="7:12" x14ac:dyDescent="0.25">
      <c r="G3186" s="136">
        <v>43447</v>
      </c>
      <c r="H3186" t="s">
        <v>25</v>
      </c>
      <c r="I3186" t="s">
        <v>63</v>
      </c>
      <c r="J3186" t="s">
        <v>433</v>
      </c>
      <c r="K3186" s="138">
        <v>8</v>
      </c>
      <c r="L3186" s="137">
        <v>0</v>
      </c>
    </row>
    <row r="3187" spans="7:12" x14ac:dyDescent="0.25">
      <c r="G3187" s="136">
        <v>43447</v>
      </c>
      <c r="H3187" t="s">
        <v>180</v>
      </c>
      <c r="I3187" t="s">
        <v>63</v>
      </c>
      <c r="J3187" t="s">
        <v>433</v>
      </c>
      <c r="K3187" s="138">
        <v>39.340000000000003</v>
      </c>
      <c r="L3187" s="137">
        <v>0</v>
      </c>
    </row>
    <row r="3188" spans="7:12" x14ac:dyDescent="0.25">
      <c r="G3188" s="136">
        <v>43447</v>
      </c>
      <c r="H3188" t="s">
        <v>180</v>
      </c>
      <c r="I3188" t="s">
        <v>42</v>
      </c>
      <c r="J3188" t="s">
        <v>433</v>
      </c>
      <c r="K3188" s="138">
        <v>34.6</v>
      </c>
      <c r="L3188" s="137">
        <v>0</v>
      </c>
    </row>
    <row r="3189" spans="7:12" x14ac:dyDescent="0.25">
      <c r="G3189" s="136">
        <v>43447</v>
      </c>
      <c r="H3189" t="s">
        <v>179</v>
      </c>
      <c r="I3189" t="s">
        <v>163</v>
      </c>
      <c r="J3189" t="s">
        <v>433</v>
      </c>
      <c r="K3189" s="138">
        <v>221.25</v>
      </c>
      <c r="L3189" s="137">
        <v>0</v>
      </c>
    </row>
    <row r="3190" spans="7:12" x14ac:dyDescent="0.25">
      <c r="G3190" s="136">
        <v>43447</v>
      </c>
      <c r="H3190" t="s">
        <v>28</v>
      </c>
      <c r="I3190" t="s">
        <v>163</v>
      </c>
      <c r="J3190" t="s">
        <v>433</v>
      </c>
      <c r="K3190" s="138">
        <v>18</v>
      </c>
      <c r="L3190" s="137">
        <v>0</v>
      </c>
    </row>
    <row r="3191" spans="7:12" x14ac:dyDescent="0.25">
      <c r="G3191" s="136">
        <v>43447</v>
      </c>
      <c r="H3191" t="s">
        <v>28</v>
      </c>
      <c r="I3191" t="s">
        <v>66</v>
      </c>
      <c r="J3191" t="s">
        <v>140</v>
      </c>
      <c r="K3191" s="138">
        <v>12</v>
      </c>
      <c r="L3191" s="137">
        <v>0</v>
      </c>
    </row>
    <row r="3192" spans="7:12" x14ac:dyDescent="0.25">
      <c r="G3192" s="136">
        <v>43447</v>
      </c>
      <c r="H3192" t="s">
        <v>28</v>
      </c>
      <c r="I3192" t="s">
        <v>42</v>
      </c>
      <c r="J3192" t="s">
        <v>433</v>
      </c>
      <c r="K3192" s="138">
        <v>137.5</v>
      </c>
      <c r="L3192" s="137">
        <v>0</v>
      </c>
    </row>
    <row r="3193" spans="7:12" x14ac:dyDescent="0.25">
      <c r="G3193" s="136">
        <v>43448</v>
      </c>
      <c r="H3193" t="s">
        <v>203</v>
      </c>
      <c r="I3193" t="s">
        <v>112</v>
      </c>
      <c r="J3193" t="s">
        <v>434</v>
      </c>
      <c r="K3193" s="138">
        <v>83.97</v>
      </c>
      <c r="L3193" s="137">
        <v>0</v>
      </c>
    </row>
    <row r="3194" spans="7:12" x14ac:dyDescent="0.25">
      <c r="G3194" s="136">
        <v>43448</v>
      </c>
      <c r="H3194" t="s">
        <v>203</v>
      </c>
      <c r="I3194" t="s">
        <v>155</v>
      </c>
      <c r="J3194" t="s">
        <v>434</v>
      </c>
      <c r="K3194" s="138">
        <v>21.98</v>
      </c>
      <c r="L3194" s="137">
        <v>0</v>
      </c>
    </row>
    <row r="3195" spans="7:12" x14ac:dyDescent="0.25">
      <c r="G3195" s="136">
        <v>43448</v>
      </c>
      <c r="H3195" t="s">
        <v>203</v>
      </c>
      <c r="I3195" t="s">
        <v>176</v>
      </c>
      <c r="J3195" t="s">
        <v>434</v>
      </c>
      <c r="K3195" s="138">
        <v>256.83999999999997</v>
      </c>
      <c r="L3195" s="137">
        <v>0</v>
      </c>
    </row>
    <row r="3196" spans="7:12" x14ac:dyDescent="0.25">
      <c r="G3196" s="136">
        <v>43448</v>
      </c>
      <c r="H3196" t="s">
        <v>203</v>
      </c>
      <c r="I3196" t="s">
        <v>42</v>
      </c>
      <c r="J3196" t="s">
        <v>434</v>
      </c>
      <c r="K3196" s="138">
        <v>113.34</v>
      </c>
      <c r="L3196" s="137">
        <v>0</v>
      </c>
    </row>
    <row r="3197" spans="7:12" x14ac:dyDescent="0.25">
      <c r="G3197" s="136">
        <v>43448</v>
      </c>
      <c r="H3197" t="s">
        <v>192</v>
      </c>
      <c r="I3197" t="s">
        <v>155</v>
      </c>
      <c r="J3197" t="s">
        <v>434</v>
      </c>
      <c r="K3197" s="138">
        <v>424.76</v>
      </c>
      <c r="L3197" s="137">
        <v>0</v>
      </c>
    </row>
    <row r="3198" spans="7:12" x14ac:dyDescent="0.25">
      <c r="G3198" s="136">
        <v>43448</v>
      </c>
      <c r="H3198" t="s">
        <v>195</v>
      </c>
      <c r="I3198" t="s">
        <v>163</v>
      </c>
      <c r="J3198" t="s">
        <v>434</v>
      </c>
      <c r="K3198" s="138">
        <v>365.04</v>
      </c>
      <c r="L3198" s="137">
        <v>0</v>
      </c>
    </row>
    <row r="3199" spans="7:12" x14ac:dyDescent="0.25">
      <c r="G3199" s="136">
        <v>43448</v>
      </c>
      <c r="H3199" t="s">
        <v>183</v>
      </c>
      <c r="I3199" t="s">
        <v>155</v>
      </c>
      <c r="J3199" t="s">
        <v>434</v>
      </c>
      <c r="K3199" s="138">
        <v>1329.68</v>
      </c>
      <c r="L3199" s="137">
        <v>0</v>
      </c>
    </row>
    <row r="3200" spans="7:12" x14ac:dyDescent="0.25">
      <c r="G3200" s="136">
        <v>43448</v>
      </c>
      <c r="H3200" t="s">
        <v>183</v>
      </c>
      <c r="I3200" t="s">
        <v>42</v>
      </c>
      <c r="J3200" t="s">
        <v>434</v>
      </c>
      <c r="K3200" s="138">
        <v>42</v>
      </c>
      <c r="L3200" s="137">
        <v>0</v>
      </c>
    </row>
    <row r="3201" spans="7:12" x14ac:dyDescent="0.25">
      <c r="G3201" s="136">
        <v>43448</v>
      </c>
      <c r="H3201" t="s">
        <v>188</v>
      </c>
      <c r="I3201" t="s">
        <v>178</v>
      </c>
      <c r="J3201" t="s">
        <v>434</v>
      </c>
      <c r="K3201" s="138">
        <v>135.12</v>
      </c>
      <c r="L3201" s="137">
        <v>0</v>
      </c>
    </row>
    <row r="3202" spans="7:12" x14ac:dyDescent="0.25">
      <c r="G3202" s="136">
        <v>43448</v>
      </c>
      <c r="H3202" t="s">
        <v>188</v>
      </c>
      <c r="I3202" t="s">
        <v>112</v>
      </c>
      <c r="J3202" t="s">
        <v>434</v>
      </c>
      <c r="K3202" s="138">
        <v>76.5</v>
      </c>
      <c r="L3202" s="137">
        <v>0</v>
      </c>
    </row>
    <row r="3203" spans="7:12" x14ac:dyDescent="0.25">
      <c r="G3203" s="136">
        <v>43448</v>
      </c>
      <c r="H3203" t="s">
        <v>188</v>
      </c>
      <c r="I3203" t="s">
        <v>155</v>
      </c>
      <c r="J3203" t="s">
        <v>434</v>
      </c>
      <c r="K3203" s="138">
        <v>102.25</v>
      </c>
      <c r="L3203" s="137">
        <v>0</v>
      </c>
    </row>
    <row r="3204" spans="7:12" x14ac:dyDescent="0.25">
      <c r="G3204" s="136">
        <v>43448</v>
      </c>
      <c r="H3204" t="s">
        <v>200</v>
      </c>
      <c r="I3204" t="s">
        <v>63</v>
      </c>
      <c r="J3204" t="s">
        <v>434</v>
      </c>
      <c r="K3204" s="138">
        <v>79.8</v>
      </c>
      <c r="L3204" s="137">
        <v>0</v>
      </c>
    </row>
    <row r="3205" spans="7:12" x14ac:dyDescent="0.25">
      <c r="G3205" s="136">
        <v>43448</v>
      </c>
      <c r="H3205" t="s">
        <v>200</v>
      </c>
      <c r="I3205" t="s">
        <v>234</v>
      </c>
      <c r="J3205" t="s">
        <v>435</v>
      </c>
      <c r="K3205" s="138">
        <v>68.5</v>
      </c>
      <c r="L3205" s="137">
        <v>0</v>
      </c>
    </row>
    <row r="3206" spans="7:12" x14ac:dyDescent="0.25">
      <c r="G3206" s="136">
        <v>43448</v>
      </c>
      <c r="H3206" t="s">
        <v>25</v>
      </c>
      <c r="I3206" t="s">
        <v>63</v>
      </c>
      <c r="J3206" t="s">
        <v>434</v>
      </c>
      <c r="K3206" s="138">
        <v>32</v>
      </c>
      <c r="L3206" s="137">
        <v>0</v>
      </c>
    </row>
    <row r="3207" spans="7:12" x14ac:dyDescent="0.25">
      <c r="G3207" s="136">
        <v>43448</v>
      </c>
      <c r="H3207" t="s">
        <v>25</v>
      </c>
      <c r="I3207" t="s">
        <v>63</v>
      </c>
      <c r="J3207" t="s">
        <v>434</v>
      </c>
      <c r="K3207" s="138">
        <v>24</v>
      </c>
      <c r="L3207" s="137">
        <v>0</v>
      </c>
    </row>
    <row r="3208" spans="7:12" x14ac:dyDescent="0.25">
      <c r="G3208" s="136">
        <v>43448</v>
      </c>
      <c r="H3208" t="s">
        <v>25</v>
      </c>
      <c r="I3208" t="s">
        <v>63</v>
      </c>
      <c r="J3208" t="s">
        <v>434</v>
      </c>
      <c r="K3208" s="138">
        <v>16</v>
      </c>
      <c r="L3208" s="137">
        <v>0</v>
      </c>
    </row>
    <row r="3209" spans="7:12" x14ac:dyDescent="0.25">
      <c r="G3209" s="136">
        <v>43448</v>
      </c>
      <c r="H3209" t="s">
        <v>28</v>
      </c>
      <c r="I3209" t="s">
        <v>178</v>
      </c>
      <c r="J3209" t="s">
        <v>434</v>
      </c>
      <c r="K3209" s="138">
        <v>64.92</v>
      </c>
      <c r="L3209" s="137">
        <v>0</v>
      </c>
    </row>
    <row r="3210" spans="7:12" x14ac:dyDescent="0.25">
      <c r="G3210" s="136">
        <v>43448</v>
      </c>
      <c r="H3210" t="s">
        <v>28</v>
      </c>
      <c r="I3210" t="s">
        <v>178</v>
      </c>
      <c r="J3210" t="s">
        <v>434</v>
      </c>
      <c r="K3210" s="138">
        <v>48.48</v>
      </c>
      <c r="L3210" s="137">
        <v>0</v>
      </c>
    </row>
    <row r="3211" spans="7:12" x14ac:dyDescent="0.25">
      <c r="G3211" s="136">
        <v>43448</v>
      </c>
      <c r="H3211" t="s">
        <v>28</v>
      </c>
      <c r="I3211" t="s">
        <v>155</v>
      </c>
      <c r="J3211" t="s">
        <v>434</v>
      </c>
      <c r="K3211" s="138">
        <v>215.6</v>
      </c>
      <c r="L3211" s="137">
        <v>0</v>
      </c>
    </row>
    <row r="3212" spans="7:12" x14ac:dyDescent="0.25">
      <c r="G3212" s="136">
        <v>43448</v>
      </c>
      <c r="H3212" t="s">
        <v>28</v>
      </c>
      <c r="I3212" t="s">
        <v>155</v>
      </c>
      <c r="J3212" t="s">
        <v>434</v>
      </c>
      <c r="K3212" s="138">
        <v>90</v>
      </c>
      <c r="L3212" s="137">
        <v>0</v>
      </c>
    </row>
    <row r="3213" spans="7:12" x14ac:dyDescent="0.25">
      <c r="G3213" s="136">
        <v>43448</v>
      </c>
      <c r="H3213" t="s">
        <v>28</v>
      </c>
      <c r="I3213" t="s">
        <v>155</v>
      </c>
      <c r="J3213" t="s">
        <v>434</v>
      </c>
      <c r="K3213" s="138">
        <v>31.9</v>
      </c>
      <c r="L3213" s="137">
        <v>0</v>
      </c>
    </row>
    <row r="3214" spans="7:12" x14ac:dyDescent="0.25">
      <c r="G3214" s="136">
        <v>43448</v>
      </c>
      <c r="H3214" t="s">
        <v>28</v>
      </c>
      <c r="I3214" t="s">
        <v>66</v>
      </c>
      <c r="J3214" t="s">
        <v>142</v>
      </c>
      <c r="K3214" s="138">
        <v>22</v>
      </c>
      <c r="L3214" s="137">
        <v>0</v>
      </c>
    </row>
    <row r="3215" spans="7:12" x14ac:dyDescent="0.25">
      <c r="G3215" s="136">
        <v>43448</v>
      </c>
      <c r="H3215" t="s">
        <v>28</v>
      </c>
      <c r="I3215" t="s">
        <v>66</v>
      </c>
      <c r="J3215" t="s">
        <v>279</v>
      </c>
      <c r="K3215" s="138">
        <v>2.4</v>
      </c>
      <c r="L3215" s="137">
        <v>0</v>
      </c>
    </row>
    <row r="3216" spans="7:12" x14ac:dyDescent="0.25">
      <c r="G3216" s="136">
        <v>43448</v>
      </c>
      <c r="H3216" t="s">
        <v>28</v>
      </c>
      <c r="I3216" t="s">
        <v>66</v>
      </c>
      <c r="J3216" t="s">
        <v>115</v>
      </c>
      <c r="K3216" s="138">
        <v>2.25</v>
      </c>
      <c r="L3216" s="137">
        <v>0</v>
      </c>
    </row>
    <row r="3217" spans="7:12" x14ac:dyDescent="0.25">
      <c r="G3217" s="136">
        <v>43448</v>
      </c>
      <c r="H3217" t="s">
        <v>28</v>
      </c>
      <c r="I3217" t="s">
        <v>66</v>
      </c>
      <c r="J3217" t="s">
        <v>312</v>
      </c>
      <c r="K3217" s="138">
        <v>6.5</v>
      </c>
      <c r="L3217" s="137">
        <v>0</v>
      </c>
    </row>
    <row r="3218" spans="7:12" x14ac:dyDescent="0.25">
      <c r="G3218" s="136">
        <v>43451</v>
      </c>
      <c r="H3218" t="s">
        <v>27</v>
      </c>
      <c r="I3218" t="s">
        <v>63</v>
      </c>
      <c r="J3218" t="s">
        <v>436</v>
      </c>
      <c r="K3218" s="138">
        <v>8</v>
      </c>
      <c r="L3218" s="137">
        <v>0</v>
      </c>
    </row>
    <row r="3219" spans="7:12" x14ac:dyDescent="0.25">
      <c r="G3219" s="136">
        <v>43451</v>
      </c>
      <c r="H3219" t="s">
        <v>198</v>
      </c>
      <c r="I3219" t="s">
        <v>42</v>
      </c>
      <c r="J3219" t="s">
        <v>436</v>
      </c>
      <c r="K3219" s="138">
        <v>19.95</v>
      </c>
      <c r="L3219" s="137">
        <v>0</v>
      </c>
    </row>
    <row r="3220" spans="7:12" x14ac:dyDescent="0.25">
      <c r="G3220" s="136">
        <v>43451</v>
      </c>
      <c r="H3220" t="s">
        <v>183</v>
      </c>
      <c r="I3220" t="s">
        <v>42</v>
      </c>
      <c r="J3220" t="s">
        <v>436</v>
      </c>
      <c r="K3220" s="138">
        <v>24.03</v>
      </c>
      <c r="L3220" s="137">
        <v>0</v>
      </c>
    </row>
    <row r="3221" spans="7:12" x14ac:dyDescent="0.25">
      <c r="G3221" s="136">
        <v>43451</v>
      </c>
      <c r="H3221" t="s">
        <v>25</v>
      </c>
      <c r="I3221" t="s">
        <v>63</v>
      </c>
      <c r="J3221" t="s">
        <v>436</v>
      </c>
      <c r="K3221" s="138">
        <v>96</v>
      </c>
      <c r="L3221" s="137">
        <v>0</v>
      </c>
    </row>
    <row r="3222" spans="7:12" x14ac:dyDescent="0.25">
      <c r="G3222" s="136">
        <v>43451</v>
      </c>
      <c r="H3222" t="s">
        <v>25</v>
      </c>
      <c r="I3222" t="s">
        <v>63</v>
      </c>
      <c r="J3222" t="s">
        <v>436</v>
      </c>
      <c r="K3222" s="138">
        <v>72</v>
      </c>
      <c r="L3222" s="137">
        <v>0</v>
      </c>
    </row>
    <row r="3223" spans="7:12" x14ac:dyDescent="0.25">
      <c r="G3223" s="136">
        <v>43451</v>
      </c>
      <c r="H3223" t="s">
        <v>25</v>
      </c>
      <c r="I3223" t="s">
        <v>63</v>
      </c>
      <c r="J3223" t="s">
        <v>436</v>
      </c>
      <c r="K3223" s="138">
        <v>56</v>
      </c>
      <c r="L3223" s="137">
        <v>0</v>
      </c>
    </row>
    <row r="3224" spans="7:12" x14ac:dyDescent="0.25">
      <c r="G3224" s="136">
        <v>43451</v>
      </c>
      <c r="H3224" t="s">
        <v>25</v>
      </c>
      <c r="I3224" t="s">
        <v>63</v>
      </c>
      <c r="J3224" t="s">
        <v>436</v>
      </c>
      <c r="K3224" s="138">
        <v>40</v>
      </c>
      <c r="L3224" s="137">
        <v>0</v>
      </c>
    </row>
    <row r="3225" spans="7:12" x14ac:dyDescent="0.25">
      <c r="G3225" s="136">
        <v>43451</v>
      </c>
      <c r="H3225" t="s">
        <v>25</v>
      </c>
      <c r="I3225" t="s">
        <v>63</v>
      </c>
      <c r="J3225" t="s">
        <v>436</v>
      </c>
      <c r="K3225" s="138">
        <v>32</v>
      </c>
      <c r="L3225" s="137">
        <v>0</v>
      </c>
    </row>
    <row r="3226" spans="7:12" x14ac:dyDescent="0.25">
      <c r="G3226" s="136">
        <v>43451</v>
      </c>
      <c r="H3226" t="s">
        <v>25</v>
      </c>
      <c r="I3226" t="s">
        <v>63</v>
      </c>
      <c r="J3226" t="s">
        <v>436</v>
      </c>
      <c r="K3226" s="138">
        <v>8</v>
      </c>
      <c r="L3226" s="137">
        <v>0</v>
      </c>
    </row>
    <row r="3227" spans="7:12" x14ac:dyDescent="0.25">
      <c r="G3227" s="136">
        <v>43451</v>
      </c>
      <c r="H3227" t="s">
        <v>211</v>
      </c>
      <c r="I3227" t="s">
        <v>42</v>
      </c>
      <c r="J3227" t="s">
        <v>436</v>
      </c>
      <c r="K3227" s="138">
        <v>240.29</v>
      </c>
      <c r="L3227" s="137">
        <v>0</v>
      </c>
    </row>
    <row r="3228" spans="7:12" x14ac:dyDescent="0.25">
      <c r="G3228" s="136">
        <v>43451</v>
      </c>
      <c r="H3228" t="s">
        <v>181</v>
      </c>
      <c r="I3228" t="s">
        <v>42</v>
      </c>
      <c r="J3228" t="s">
        <v>436</v>
      </c>
      <c r="K3228" s="138">
        <v>47</v>
      </c>
      <c r="L3228" s="137">
        <v>0</v>
      </c>
    </row>
    <row r="3229" spans="7:12" x14ac:dyDescent="0.25">
      <c r="G3229" s="136">
        <v>43451</v>
      </c>
      <c r="H3229" t="s">
        <v>187</v>
      </c>
      <c r="I3229" t="s">
        <v>42</v>
      </c>
      <c r="J3229" t="s">
        <v>436</v>
      </c>
      <c r="K3229" s="138">
        <v>35</v>
      </c>
      <c r="L3229" s="137">
        <v>0</v>
      </c>
    </row>
    <row r="3230" spans="7:12" x14ac:dyDescent="0.25">
      <c r="G3230" s="136">
        <v>43451</v>
      </c>
      <c r="H3230" t="s">
        <v>179</v>
      </c>
      <c r="I3230" t="s">
        <v>163</v>
      </c>
      <c r="J3230" t="s">
        <v>436</v>
      </c>
      <c r="K3230" s="138">
        <v>138.66</v>
      </c>
      <c r="L3230" s="137">
        <v>0</v>
      </c>
    </row>
    <row r="3231" spans="7:12" x14ac:dyDescent="0.25">
      <c r="G3231" s="136">
        <v>43451</v>
      </c>
      <c r="H3231" t="s">
        <v>28</v>
      </c>
      <c r="I3231" t="s">
        <v>63</v>
      </c>
      <c r="J3231" t="s">
        <v>436</v>
      </c>
      <c r="K3231" s="138">
        <v>8</v>
      </c>
      <c r="L3231" s="137">
        <v>0</v>
      </c>
    </row>
    <row r="3232" spans="7:12" x14ac:dyDescent="0.25">
      <c r="G3232" s="136">
        <v>43451</v>
      </c>
      <c r="H3232" t="s">
        <v>28</v>
      </c>
      <c r="I3232" t="s">
        <v>163</v>
      </c>
      <c r="J3232" t="s">
        <v>436</v>
      </c>
      <c r="K3232" s="138">
        <v>15.95</v>
      </c>
      <c r="L3232" s="137">
        <v>0</v>
      </c>
    </row>
    <row r="3233" spans="7:12" x14ac:dyDescent="0.25">
      <c r="G3233" s="136">
        <v>43451</v>
      </c>
      <c r="H3233" t="s">
        <v>28</v>
      </c>
      <c r="I3233" t="s">
        <v>112</v>
      </c>
      <c r="J3233" t="s">
        <v>436</v>
      </c>
      <c r="K3233" s="138">
        <v>96</v>
      </c>
      <c r="L3233" s="137">
        <v>0</v>
      </c>
    </row>
    <row r="3234" spans="7:12" x14ac:dyDescent="0.25">
      <c r="G3234" s="136">
        <v>43451</v>
      </c>
      <c r="H3234" t="s">
        <v>28</v>
      </c>
      <c r="I3234" t="s">
        <v>66</v>
      </c>
      <c r="J3234" t="s">
        <v>390</v>
      </c>
      <c r="K3234" s="138">
        <v>3.6</v>
      </c>
      <c r="L3234" s="137">
        <v>0</v>
      </c>
    </row>
    <row r="3235" spans="7:12" x14ac:dyDescent="0.25">
      <c r="G3235" s="136">
        <v>43451</v>
      </c>
      <c r="H3235" t="s">
        <v>28</v>
      </c>
      <c r="I3235" t="s">
        <v>66</v>
      </c>
      <c r="J3235" t="s">
        <v>139</v>
      </c>
      <c r="K3235" s="138">
        <v>18</v>
      </c>
      <c r="L3235" s="137">
        <v>0</v>
      </c>
    </row>
    <row r="3236" spans="7:12" x14ac:dyDescent="0.25">
      <c r="G3236" s="136">
        <v>43451</v>
      </c>
      <c r="H3236" t="s">
        <v>28</v>
      </c>
      <c r="I3236" t="s">
        <v>66</v>
      </c>
      <c r="J3236" t="s">
        <v>137</v>
      </c>
      <c r="K3236" s="138">
        <v>3</v>
      </c>
      <c r="L3236" s="137">
        <v>0</v>
      </c>
    </row>
    <row r="3237" spans="7:12" x14ac:dyDescent="0.25">
      <c r="G3237" s="136">
        <v>43451</v>
      </c>
      <c r="H3237" t="s">
        <v>28</v>
      </c>
      <c r="I3237" t="s">
        <v>66</v>
      </c>
      <c r="J3237" t="s">
        <v>276</v>
      </c>
      <c r="K3237" s="138">
        <v>6.85</v>
      </c>
      <c r="L3237" s="137">
        <v>0</v>
      </c>
    </row>
    <row r="3238" spans="7:12" x14ac:dyDescent="0.25">
      <c r="G3238" s="136">
        <v>43452</v>
      </c>
      <c r="H3238" t="s">
        <v>203</v>
      </c>
      <c r="I3238" t="s">
        <v>42</v>
      </c>
      <c r="J3238" t="s">
        <v>437</v>
      </c>
      <c r="K3238" s="138">
        <v>10.25</v>
      </c>
      <c r="L3238" s="137">
        <v>0</v>
      </c>
    </row>
    <row r="3239" spans="7:12" x14ac:dyDescent="0.25">
      <c r="G3239" s="136">
        <v>43452</v>
      </c>
      <c r="H3239" t="s">
        <v>192</v>
      </c>
      <c r="I3239" t="s">
        <v>163</v>
      </c>
      <c r="J3239" t="s">
        <v>437</v>
      </c>
      <c r="K3239" s="138">
        <v>139.69</v>
      </c>
      <c r="L3239" s="137">
        <v>0</v>
      </c>
    </row>
    <row r="3240" spans="7:12" x14ac:dyDescent="0.25">
      <c r="G3240" s="136">
        <v>43452</v>
      </c>
      <c r="H3240" t="s">
        <v>199</v>
      </c>
      <c r="I3240" t="s">
        <v>163</v>
      </c>
      <c r="J3240" t="s">
        <v>437</v>
      </c>
      <c r="K3240" s="138">
        <v>30</v>
      </c>
      <c r="L3240" s="137">
        <v>0</v>
      </c>
    </row>
    <row r="3241" spans="7:12" x14ac:dyDescent="0.25">
      <c r="G3241" s="136">
        <v>43452</v>
      </c>
      <c r="H3241" t="s">
        <v>195</v>
      </c>
      <c r="I3241" t="s">
        <v>42</v>
      </c>
      <c r="J3241" t="s">
        <v>437</v>
      </c>
      <c r="K3241" s="138">
        <v>13.52</v>
      </c>
      <c r="L3241" s="137">
        <v>0</v>
      </c>
    </row>
    <row r="3242" spans="7:12" x14ac:dyDescent="0.25">
      <c r="G3242" s="136">
        <v>43452</v>
      </c>
      <c r="H3242" t="s">
        <v>25</v>
      </c>
      <c r="I3242" t="s">
        <v>63</v>
      </c>
      <c r="J3242" t="s">
        <v>437</v>
      </c>
      <c r="K3242" s="138">
        <v>8</v>
      </c>
      <c r="L3242" s="137">
        <v>0</v>
      </c>
    </row>
    <row r="3243" spans="7:12" x14ac:dyDescent="0.25">
      <c r="G3243" s="136">
        <v>43452</v>
      </c>
      <c r="H3243" t="s">
        <v>181</v>
      </c>
      <c r="I3243" t="s">
        <v>42</v>
      </c>
      <c r="J3243" t="s">
        <v>437</v>
      </c>
      <c r="K3243" s="138">
        <v>439.52</v>
      </c>
      <c r="L3243" s="137">
        <v>0</v>
      </c>
    </row>
    <row r="3244" spans="7:12" x14ac:dyDescent="0.25">
      <c r="G3244" s="136">
        <v>43452</v>
      </c>
      <c r="H3244" t="s">
        <v>196</v>
      </c>
      <c r="I3244" t="s">
        <v>42</v>
      </c>
      <c r="J3244" t="s">
        <v>437</v>
      </c>
      <c r="K3244" s="138">
        <v>40</v>
      </c>
      <c r="L3244" s="137">
        <v>0</v>
      </c>
    </row>
    <row r="3245" spans="7:12" x14ac:dyDescent="0.25">
      <c r="G3245" s="136">
        <v>43452</v>
      </c>
      <c r="H3245" t="s">
        <v>180</v>
      </c>
      <c r="I3245" t="s">
        <v>42</v>
      </c>
      <c r="J3245" t="s">
        <v>437</v>
      </c>
      <c r="K3245" s="138">
        <v>5.2</v>
      </c>
      <c r="L3245" s="137">
        <v>0</v>
      </c>
    </row>
    <row r="3246" spans="7:12" x14ac:dyDescent="0.25">
      <c r="G3246" s="136">
        <v>43452</v>
      </c>
      <c r="H3246" t="s">
        <v>179</v>
      </c>
      <c r="I3246" t="s">
        <v>63</v>
      </c>
      <c r="J3246" t="s">
        <v>437</v>
      </c>
      <c r="K3246" s="138">
        <v>78.650000000000006</v>
      </c>
      <c r="L3246" s="137">
        <v>0</v>
      </c>
    </row>
    <row r="3247" spans="7:12" x14ac:dyDescent="0.25">
      <c r="G3247" s="136">
        <v>43452</v>
      </c>
      <c r="H3247" t="s">
        <v>28</v>
      </c>
      <c r="I3247" t="s">
        <v>163</v>
      </c>
      <c r="J3247" t="s">
        <v>437</v>
      </c>
      <c r="K3247" s="138">
        <v>195</v>
      </c>
      <c r="L3247" s="137">
        <v>0</v>
      </c>
    </row>
    <row r="3248" spans="7:12" x14ac:dyDescent="0.25">
      <c r="G3248" s="136">
        <v>43452</v>
      </c>
      <c r="H3248" t="s">
        <v>28</v>
      </c>
      <c r="I3248" t="s">
        <v>66</v>
      </c>
      <c r="J3248" t="s">
        <v>320</v>
      </c>
      <c r="K3248" s="138">
        <v>1.8</v>
      </c>
      <c r="L3248" s="137">
        <v>0</v>
      </c>
    </row>
    <row r="3249" spans="7:12" x14ac:dyDescent="0.25">
      <c r="G3249" s="136">
        <v>43452</v>
      </c>
      <c r="H3249" t="s">
        <v>28</v>
      </c>
      <c r="I3249" t="s">
        <v>66</v>
      </c>
      <c r="J3249" t="s">
        <v>116</v>
      </c>
      <c r="K3249" s="138">
        <v>6.5</v>
      </c>
      <c r="L3249" s="137">
        <v>0</v>
      </c>
    </row>
    <row r="3250" spans="7:12" x14ac:dyDescent="0.25">
      <c r="G3250" s="136">
        <v>43452</v>
      </c>
      <c r="H3250" t="s">
        <v>28</v>
      </c>
      <c r="I3250" t="s">
        <v>66</v>
      </c>
      <c r="J3250" t="s">
        <v>362</v>
      </c>
      <c r="K3250" s="138">
        <v>2.4</v>
      </c>
      <c r="L3250" s="137">
        <v>0</v>
      </c>
    </row>
    <row r="3251" spans="7:12" x14ac:dyDescent="0.25">
      <c r="G3251" s="136">
        <v>43452</v>
      </c>
      <c r="H3251" t="s">
        <v>28</v>
      </c>
      <c r="I3251" t="s">
        <v>42</v>
      </c>
      <c r="J3251" t="s">
        <v>437</v>
      </c>
      <c r="K3251" s="138">
        <v>86.8</v>
      </c>
      <c r="L3251" s="137">
        <v>0</v>
      </c>
    </row>
    <row r="3252" spans="7:12" x14ac:dyDescent="0.25">
      <c r="G3252" s="136">
        <v>43452</v>
      </c>
      <c r="H3252" t="s">
        <v>28</v>
      </c>
      <c r="I3252" t="s">
        <v>42</v>
      </c>
      <c r="J3252" t="s">
        <v>437</v>
      </c>
      <c r="K3252" s="138">
        <v>41.6</v>
      </c>
      <c r="L3252" s="137">
        <v>0</v>
      </c>
    </row>
    <row r="3253" spans="7:12" x14ac:dyDescent="0.25">
      <c r="G3253" s="136">
        <v>43453</v>
      </c>
      <c r="H3253" t="s">
        <v>203</v>
      </c>
      <c r="I3253" t="s">
        <v>235</v>
      </c>
      <c r="J3253" t="s">
        <v>438</v>
      </c>
      <c r="K3253" s="138">
        <v>205.24</v>
      </c>
      <c r="L3253" s="137">
        <v>0</v>
      </c>
    </row>
    <row r="3254" spans="7:12" x14ac:dyDescent="0.25">
      <c r="G3254" s="136">
        <v>43453</v>
      </c>
      <c r="H3254" t="s">
        <v>192</v>
      </c>
      <c r="I3254" t="s">
        <v>235</v>
      </c>
      <c r="J3254" t="s">
        <v>438</v>
      </c>
      <c r="K3254" s="138">
        <v>128.75</v>
      </c>
      <c r="L3254" s="137">
        <v>0</v>
      </c>
    </row>
    <row r="3255" spans="7:12" x14ac:dyDescent="0.25">
      <c r="G3255" s="136">
        <v>43453</v>
      </c>
      <c r="H3255" t="s">
        <v>27</v>
      </c>
      <c r="I3255" t="s">
        <v>63</v>
      </c>
      <c r="J3255" t="s">
        <v>439</v>
      </c>
      <c r="K3255" s="138">
        <v>8</v>
      </c>
      <c r="L3255" s="137">
        <v>0</v>
      </c>
    </row>
    <row r="3256" spans="7:12" x14ac:dyDescent="0.25">
      <c r="G3256" s="136">
        <v>43453</v>
      </c>
      <c r="H3256" t="s">
        <v>27</v>
      </c>
      <c r="I3256" t="s">
        <v>235</v>
      </c>
      <c r="J3256" t="s">
        <v>438</v>
      </c>
      <c r="K3256" s="138">
        <v>102.33</v>
      </c>
      <c r="L3256" s="137">
        <v>0</v>
      </c>
    </row>
    <row r="3257" spans="7:12" x14ac:dyDescent="0.25">
      <c r="G3257" s="136">
        <v>43453</v>
      </c>
      <c r="H3257" t="s">
        <v>27</v>
      </c>
      <c r="I3257" t="s">
        <v>235</v>
      </c>
      <c r="J3257" t="s">
        <v>438</v>
      </c>
      <c r="K3257" s="138">
        <v>66.94</v>
      </c>
      <c r="L3257" s="137">
        <v>0</v>
      </c>
    </row>
    <row r="3258" spans="7:12" x14ac:dyDescent="0.25">
      <c r="G3258" s="136">
        <v>43453</v>
      </c>
      <c r="H3258" t="s">
        <v>27</v>
      </c>
      <c r="I3258" t="s">
        <v>235</v>
      </c>
      <c r="J3258" t="s">
        <v>438</v>
      </c>
      <c r="K3258" s="138">
        <v>53.34</v>
      </c>
      <c r="L3258" s="137">
        <v>0</v>
      </c>
    </row>
    <row r="3259" spans="7:12" x14ac:dyDescent="0.25">
      <c r="G3259" s="136">
        <v>43453</v>
      </c>
      <c r="H3259" t="s">
        <v>27</v>
      </c>
      <c r="I3259" t="s">
        <v>235</v>
      </c>
      <c r="J3259" t="s">
        <v>438</v>
      </c>
      <c r="K3259" s="138">
        <v>41.82</v>
      </c>
      <c r="L3259" s="137">
        <v>0</v>
      </c>
    </row>
    <row r="3260" spans="7:12" x14ac:dyDescent="0.25">
      <c r="G3260" s="136">
        <v>43453</v>
      </c>
      <c r="H3260" t="s">
        <v>27</v>
      </c>
      <c r="I3260" t="s">
        <v>235</v>
      </c>
      <c r="J3260" t="s">
        <v>438</v>
      </c>
      <c r="K3260" s="138">
        <v>31.68</v>
      </c>
      <c r="L3260" s="137">
        <v>0</v>
      </c>
    </row>
    <row r="3261" spans="7:12" x14ac:dyDescent="0.25">
      <c r="G3261" s="136">
        <v>43453</v>
      </c>
      <c r="H3261" t="s">
        <v>27</v>
      </c>
      <c r="I3261" t="s">
        <v>235</v>
      </c>
      <c r="J3261" t="s">
        <v>438</v>
      </c>
      <c r="K3261" s="138">
        <v>27.72</v>
      </c>
      <c r="L3261" s="137">
        <v>0</v>
      </c>
    </row>
    <row r="3262" spans="7:12" x14ac:dyDescent="0.25">
      <c r="G3262" s="136">
        <v>43453</v>
      </c>
      <c r="H3262" t="s">
        <v>27</v>
      </c>
      <c r="I3262" t="s">
        <v>235</v>
      </c>
      <c r="J3262" t="s">
        <v>438</v>
      </c>
      <c r="K3262" s="138">
        <v>26.62</v>
      </c>
      <c r="L3262" s="137">
        <v>0</v>
      </c>
    </row>
    <row r="3263" spans="7:12" x14ac:dyDescent="0.25">
      <c r="G3263" s="136">
        <v>43453</v>
      </c>
      <c r="H3263" t="s">
        <v>27</v>
      </c>
      <c r="I3263" t="s">
        <v>235</v>
      </c>
      <c r="J3263" t="s">
        <v>438</v>
      </c>
      <c r="K3263" s="138">
        <v>24.9</v>
      </c>
      <c r="L3263" s="137">
        <v>0</v>
      </c>
    </row>
    <row r="3264" spans="7:12" x14ac:dyDescent="0.25">
      <c r="G3264" s="136">
        <v>43453</v>
      </c>
      <c r="H3264" t="s">
        <v>27</v>
      </c>
      <c r="I3264" t="s">
        <v>235</v>
      </c>
      <c r="J3264" t="s">
        <v>438</v>
      </c>
      <c r="K3264" s="138">
        <v>17.63</v>
      </c>
      <c r="L3264" s="137">
        <v>0</v>
      </c>
    </row>
    <row r="3265" spans="7:12" x14ac:dyDescent="0.25">
      <c r="G3265" s="136">
        <v>43453</v>
      </c>
      <c r="H3265" t="s">
        <v>27</v>
      </c>
      <c r="I3265" t="s">
        <v>235</v>
      </c>
      <c r="J3265" t="s">
        <v>438</v>
      </c>
      <c r="K3265" s="138">
        <v>16.13</v>
      </c>
      <c r="L3265" s="137">
        <v>0</v>
      </c>
    </row>
    <row r="3266" spans="7:12" x14ac:dyDescent="0.25">
      <c r="G3266" s="136">
        <v>43453</v>
      </c>
      <c r="H3266" t="s">
        <v>27</v>
      </c>
      <c r="I3266" t="s">
        <v>235</v>
      </c>
      <c r="J3266" t="s">
        <v>438</v>
      </c>
      <c r="K3266" s="138">
        <v>15.55</v>
      </c>
      <c r="L3266" s="137">
        <v>0</v>
      </c>
    </row>
    <row r="3267" spans="7:12" x14ac:dyDescent="0.25">
      <c r="G3267" s="136">
        <v>43453</v>
      </c>
      <c r="H3267" t="s">
        <v>27</v>
      </c>
      <c r="I3267" t="s">
        <v>235</v>
      </c>
      <c r="J3267" t="s">
        <v>438</v>
      </c>
      <c r="K3267" s="138">
        <v>15.38</v>
      </c>
      <c r="L3267" s="137">
        <v>0</v>
      </c>
    </row>
    <row r="3268" spans="7:12" x14ac:dyDescent="0.25">
      <c r="G3268" s="136">
        <v>43453</v>
      </c>
      <c r="H3268" t="s">
        <v>27</v>
      </c>
      <c r="I3268" t="s">
        <v>235</v>
      </c>
      <c r="J3268" t="s">
        <v>438</v>
      </c>
      <c r="K3268" s="138">
        <v>11.99</v>
      </c>
      <c r="L3268" s="137">
        <v>0</v>
      </c>
    </row>
    <row r="3269" spans="7:12" x14ac:dyDescent="0.25">
      <c r="G3269" s="136">
        <v>43453</v>
      </c>
      <c r="H3269" t="s">
        <v>27</v>
      </c>
      <c r="I3269" t="s">
        <v>235</v>
      </c>
      <c r="J3269" t="s">
        <v>438</v>
      </c>
      <c r="K3269" s="138">
        <v>8.17</v>
      </c>
      <c r="L3269" s="137">
        <v>0</v>
      </c>
    </row>
    <row r="3270" spans="7:12" x14ac:dyDescent="0.25">
      <c r="G3270" s="136">
        <v>43453</v>
      </c>
      <c r="H3270" t="s">
        <v>195</v>
      </c>
      <c r="I3270" t="s">
        <v>235</v>
      </c>
      <c r="J3270" t="s">
        <v>438</v>
      </c>
      <c r="K3270" s="138">
        <v>783.85</v>
      </c>
      <c r="L3270" s="137">
        <v>0</v>
      </c>
    </row>
    <row r="3271" spans="7:12" x14ac:dyDescent="0.25">
      <c r="G3271" s="136">
        <v>43453</v>
      </c>
      <c r="H3271" t="s">
        <v>183</v>
      </c>
      <c r="I3271" t="s">
        <v>235</v>
      </c>
      <c r="J3271" t="s">
        <v>438</v>
      </c>
      <c r="K3271" s="138">
        <v>8494.94</v>
      </c>
      <c r="L3271" s="137">
        <v>0</v>
      </c>
    </row>
    <row r="3272" spans="7:12" x14ac:dyDescent="0.25">
      <c r="G3272" s="136">
        <v>43453</v>
      </c>
      <c r="H3272" t="s">
        <v>183</v>
      </c>
      <c r="I3272" t="s">
        <v>42</v>
      </c>
      <c r="J3272" t="s">
        <v>439</v>
      </c>
      <c r="K3272" s="138">
        <v>11.03</v>
      </c>
      <c r="L3272" s="137">
        <v>0</v>
      </c>
    </row>
    <row r="3273" spans="7:12" x14ac:dyDescent="0.25">
      <c r="G3273" s="136">
        <v>43453</v>
      </c>
      <c r="H3273" t="s">
        <v>189</v>
      </c>
      <c r="I3273" t="s">
        <v>163</v>
      </c>
      <c r="J3273" t="s">
        <v>439</v>
      </c>
      <c r="K3273" s="138">
        <v>144</v>
      </c>
      <c r="L3273" s="137">
        <v>0</v>
      </c>
    </row>
    <row r="3274" spans="7:12" x14ac:dyDescent="0.25">
      <c r="G3274" s="136">
        <v>43453</v>
      </c>
      <c r="H3274" t="s">
        <v>189</v>
      </c>
      <c r="I3274" t="s">
        <v>235</v>
      </c>
      <c r="J3274" t="s">
        <v>438</v>
      </c>
      <c r="K3274" s="138">
        <v>3298.03</v>
      </c>
      <c r="L3274" s="137">
        <v>0</v>
      </c>
    </row>
    <row r="3275" spans="7:12" x14ac:dyDescent="0.25">
      <c r="G3275" s="136">
        <v>43453</v>
      </c>
      <c r="H3275" t="s">
        <v>193</v>
      </c>
      <c r="I3275" t="s">
        <v>235</v>
      </c>
      <c r="J3275" t="s">
        <v>438</v>
      </c>
      <c r="K3275" s="138">
        <v>117.78</v>
      </c>
      <c r="L3275" s="137">
        <v>0</v>
      </c>
    </row>
    <row r="3276" spans="7:12" x14ac:dyDescent="0.25">
      <c r="G3276" s="136">
        <v>43453</v>
      </c>
      <c r="H3276" t="s">
        <v>188</v>
      </c>
      <c r="I3276" t="s">
        <v>235</v>
      </c>
      <c r="J3276" t="s">
        <v>438</v>
      </c>
      <c r="K3276" s="138">
        <v>1744.43</v>
      </c>
      <c r="L3276" s="137">
        <v>0</v>
      </c>
    </row>
    <row r="3277" spans="7:12" x14ac:dyDescent="0.25">
      <c r="G3277" s="136">
        <v>43453</v>
      </c>
      <c r="H3277" t="s">
        <v>188</v>
      </c>
      <c r="I3277" t="s">
        <v>42</v>
      </c>
      <c r="J3277" t="s">
        <v>439</v>
      </c>
      <c r="K3277" s="138">
        <v>85</v>
      </c>
      <c r="L3277" s="137">
        <v>0</v>
      </c>
    </row>
    <row r="3278" spans="7:12" x14ac:dyDescent="0.25">
      <c r="G3278" s="136">
        <v>43453</v>
      </c>
      <c r="H3278" t="s">
        <v>25</v>
      </c>
      <c r="I3278" t="s">
        <v>63</v>
      </c>
      <c r="J3278" t="s">
        <v>439</v>
      </c>
      <c r="K3278" s="138">
        <v>72</v>
      </c>
      <c r="L3278" s="137">
        <v>0</v>
      </c>
    </row>
    <row r="3279" spans="7:12" x14ac:dyDescent="0.25">
      <c r="G3279" s="136">
        <v>43453</v>
      </c>
      <c r="H3279" t="s">
        <v>25</v>
      </c>
      <c r="I3279" t="s">
        <v>63</v>
      </c>
      <c r="J3279" t="s">
        <v>439</v>
      </c>
      <c r="K3279" s="138">
        <v>16</v>
      </c>
      <c r="L3279" s="137">
        <v>0</v>
      </c>
    </row>
    <row r="3280" spans="7:12" x14ac:dyDescent="0.25">
      <c r="G3280" s="136">
        <v>43453</v>
      </c>
      <c r="H3280" t="s">
        <v>25</v>
      </c>
      <c r="I3280" t="s">
        <v>63</v>
      </c>
      <c r="J3280" t="s">
        <v>439</v>
      </c>
      <c r="K3280" s="138">
        <v>8</v>
      </c>
      <c r="L3280" s="137">
        <v>0</v>
      </c>
    </row>
    <row r="3281" spans="7:12" x14ac:dyDescent="0.25">
      <c r="G3281" s="136">
        <v>43453</v>
      </c>
      <c r="H3281" t="s">
        <v>25</v>
      </c>
      <c r="I3281" t="s">
        <v>235</v>
      </c>
      <c r="J3281" t="s">
        <v>438</v>
      </c>
      <c r="K3281" s="138">
        <v>1708.76</v>
      </c>
      <c r="L3281" s="137">
        <v>0</v>
      </c>
    </row>
    <row r="3282" spans="7:12" x14ac:dyDescent="0.25">
      <c r="G3282" s="136">
        <v>43453</v>
      </c>
      <c r="H3282" t="s">
        <v>25</v>
      </c>
      <c r="I3282" t="s">
        <v>235</v>
      </c>
      <c r="J3282" t="s">
        <v>438</v>
      </c>
      <c r="K3282" s="138">
        <v>823.91</v>
      </c>
      <c r="L3282" s="137">
        <v>0</v>
      </c>
    </row>
    <row r="3283" spans="7:12" x14ac:dyDescent="0.25">
      <c r="G3283" s="136">
        <v>43453</v>
      </c>
      <c r="H3283" t="s">
        <v>25</v>
      </c>
      <c r="I3283" t="s">
        <v>235</v>
      </c>
      <c r="J3283" t="s">
        <v>438</v>
      </c>
      <c r="K3283" s="138">
        <v>816.62</v>
      </c>
      <c r="L3283" s="137">
        <v>0</v>
      </c>
    </row>
    <row r="3284" spans="7:12" x14ac:dyDescent="0.25">
      <c r="G3284" s="136">
        <v>43453</v>
      </c>
      <c r="H3284" t="s">
        <v>25</v>
      </c>
      <c r="I3284" t="s">
        <v>235</v>
      </c>
      <c r="J3284" t="s">
        <v>438</v>
      </c>
      <c r="K3284" s="138">
        <v>780.23</v>
      </c>
      <c r="L3284" s="137">
        <v>0</v>
      </c>
    </row>
    <row r="3285" spans="7:12" x14ac:dyDescent="0.25">
      <c r="G3285" s="136">
        <v>43453</v>
      </c>
      <c r="H3285" t="s">
        <v>25</v>
      </c>
      <c r="I3285" t="s">
        <v>235</v>
      </c>
      <c r="J3285" t="s">
        <v>438</v>
      </c>
      <c r="K3285" s="138">
        <v>728.85</v>
      </c>
      <c r="L3285" s="137">
        <v>0</v>
      </c>
    </row>
    <row r="3286" spans="7:12" x14ac:dyDescent="0.25">
      <c r="G3286" s="136">
        <v>43453</v>
      </c>
      <c r="H3286" t="s">
        <v>25</v>
      </c>
      <c r="I3286" t="s">
        <v>235</v>
      </c>
      <c r="J3286" t="s">
        <v>438</v>
      </c>
      <c r="K3286" s="138">
        <v>685.88</v>
      </c>
      <c r="L3286" s="137">
        <v>0</v>
      </c>
    </row>
    <row r="3287" spans="7:12" x14ac:dyDescent="0.25">
      <c r="G3287" s="136">
        <v>43453</v>
      </c>
      <c r="H3287" t="s">
        <v>25</v>
      </c>
      <c r="I3287" t="s">
        <v>235</v>
      </c>
      <c r="J3287" t="s">
        <v>438</v>
      </c>
      <c r="K3287" s="138">
        <v>659.88</v>
      </c>
      <c r="L3287" s="137">
        <v>0</v>
      </c>
    </row>
    <row r="3288" spans="7:12" x14ac:dyDescent="0.25">
      <c r="G3288" s="136">
        <v>43453</v>
      </c>
      <c r="H3288" t="s">
        <v>25</v>
      </c>
      <c r="I3288" t="s">
        <v>235</v>
      </c>
      <c r="J3288" t="s">
        <v>438</v>
      </c>
      <c r="K3288" s="138">
        <v>498.38</v>
      </c>
      <c r="L3288" s="137">
        <v>0</v>
      </c>
    </row>
    <row r="3289" spans="7:12" x14ac:dyDescent="0.25">
      <c r="G3289" s="136">
        <v>43453</v>
      </c>
      <c r="H3289" t="s">
        <v>25</v>
      </c>
      <c r="I3289" t="s">
        <v>235</v>
      </c>
      <c r="J3289" t="s">
        <v>438</v>
      </c>
      <c r="K3289" s="138">
        <v>438.4</v>
      </c>
      <c r="L3289" s="137">
        <v>0</v>
      </c>
    </row>
    <row r="3290" spans="7:12" x14ac:dyDescent="0.25">
      <c r="G3290" s="136">
        <v>43453</v>
      </c>
      <c r="H3290" t="s">
        <v>25</v>
      </c>
      <c r="I3290" t="s">
        <v>235</v>
      </c>
      <c r="J3290" t="s">
        <v>438</v>
      </c>
      <c r="K3290" s="138">
        <v>420.08</v>
      </c>
      <c r="L3290" s="137">
        <v>0</v>
      </c>
    </row>
    <row r="3291" spans="7:12" x14ac:dyDescent="0.25">
      <c r="G3291" s="136">
        <v>43453</v>
      </c>
      <c r="H3291" t="s">
        <v>25</v>
      </c>
      <c r="I3291" t="s">
        <v>235</v>
      </c>
      <c r="J3291" t="s">
        <v>438</v>
      </c>
      <c r="K3291" s="138">
        <v>414.55</v>
      </c>
      <c r="L3291" s="137">
        <v>0</v>
      </c>
    </row>
    <row r="3292" spans="7:12" x14ac:dyDescent="0.25">
      <c r="G3292" s="136">
        <v>43453</v>
      </c>
      <c r="H3292" t="s">
        <v>25</v>
      </c>
      <c r="I3292" t="s">
        <v>235</v>
      </c>
      <c r="J3292" t="s">
        <v>438</v>
      </c>
      <c r="K3292" s="138">
        <v>410.5</v>
      </c>
      <c r="L3292" s="137">
        <v>0</v>
      </c>
    </row>
    <row r="3293" spans="7:12" x14ac:dyDescent="0.25">
      <c r="G3293" s="136">
        <v>43453</v>
      </c>
      <c r="H3293" t="s">
        <v>25</v>
      </c>
      <c r="I3293" t="s">
        <v>235</v>
      </c>
      <c r="J3293" t="s">
        <v>438</v>
      </c>
      <c r="K3293" s="138">
        <v>381.53</v>
      </c>
      <c r="L3293" s="137">
        <v>0</v>
      </c>
    </row>
    <row r="3294" spans="7:12" x14ac:dyDescent="0.25">
      <c r="G3294" s="136">
        <v>43453</v>
      </c>
      <c r="H3294" t="s">
        <v>25</v>
      </c>
      <c r="I3294" t="s">
        <v>235</v>
      </c>
      <c r="J3294" t="s">
        <v>438</v>
      </c>
      <c r="K3294" s="138">
        <v>283.88</v>
      </c>
      <c r="L3294" s="137">
        <v>0</v>
      </c>
    </row>
    <row r="3295" spans="7:12" x14ac:dyDescent="0.25">
      <c r="G3295" s="136">
        <v>43453</v>
      </c>
      <c r="H3295" t="s">
        <v>25</v>
      </c>
      <c r="I3295" t="s">
        <v>235</v>
      </c>
      <c r="J3295" t="s">
        <v>438</v>
      </c>
      <c r="K3295" s="138">
        <v>268.98</v>
      </c>
      <c r="L3295" s="137">
        <v>0</v>
      </c>
    </row>
    <row r="3296" spans="7:12" x14ac:dyDescent="0.25">
      <c r="G3296" s="136">
        <v>43453</v>
      </c>
      <c r="H3296" t="s">
        <v>25</v>
      </c>
      <c r="I3296" t="s">
        <v>235</v>
      </c>
      <c r="J3296" t="s">
        <v>438</v>
      </c>
      <c r="K3296" s="138">
        <v>244.87</v>
      </c>
      <c r="L3296" s="137">
        <v>0</v>
      </c>
    </row>
    <row r="3297" spans="7:12" x14ac:dyDescent="0.25">
      <c r="G3297" s="136">
        <v>43453</v>
      </c>
      <c r="H3297" t="s">
        <v>25</v>
      </c>
      <c r="I3297" t="s">
        <v>235</v>
      </c>
      <c r="J3297" t="s">
        <v>438</v>
      </c>
      <c r="K3297" s="138">
        <v>195.92</v>
      </c>
      <c r="L3297" s="137">
        <v>0</v>
      </c>
    </row>
    <row r="3298" spans="7:12" x14ac:dyDescent="0.25">
      <c r="G3298" s="136">
        <v>43453</v>
      </c>
      <c r="H3298" t="s">
        <v>25</v>
      </c>
      <c r="I3298" t="s">
        <v>235</v>
      </c>
      <c r="J3298" t="s">
        <v>438</v>
      </c>
      <c r="K3298" s="138">
        <v>174.44</v>
      </c>
      <c r="L3298" s="137">
        <v>0</v>
      </c>
    </row>
    <row r="3299" spans="7:12" x14ac:dyDescent="0.25">
      <c r="G3299" s="136">
        <v>43453</v>
      </c>
      <c r="H3299" t="s">
        <v>25</v>
      </c>
      <c r="I3299" t="s">
        <v>235</v>
      </c>
      <c r="J3299" t="s">
        <v>438</v>
      </c>
      <c r="K3299" s="138">
        <v>160.21</v>
      </c>
      <c r="L3299" s="137">
        <v>0</v>
      </c>
    </row>
    <row r="3300" spans="7:12" x14ac:dyDescent="0.25">
      <c r="G3300" s="136">
        <v>43453</v>
      </c>
      <c r="H3300" t="s">
        <v>25</v>
      </c>
      <c r="I3300" t="s">
        <v>235</v>
      </c>
      <c r="J3300" t="s">
        <v>438</v>
      </c>
      <c r="K3300" s="138">
        <v>151.01</v>
      </c>
      <c r="L3300" s="137">
        <v>0</v>
      </c>
    </row>
    <row r="3301" spans="7:12" x14ac:dyDescent="0.25">
      <c r="G3301" s="136">
        <v>43453</v>
      </c>
      <c r="H3301" t="s">
        <v>25</v>
      </c>
      <c r="I3301" t="s">
        <v>235</v>
      </c>
      <c r="J3301" t="s">
        <v>438</v>
      </c>
      <c r="K3301" s="138">
        <v>132.25</v>
      </c>
      <c r="L3301" s="137">
        <v>0</v>
      </c>
    </row>
    <row r="3302" spans="7:12" x14ac:dyDescent="0.25">
      <c r="G3302" s="136">
        <v>43453</v>
      </c>
      <c r="H3302" t="s">
        <v>25</v>
      </c>
      <c r="I3302" t="s">
        <v>235</v>
      </c>
      <c r="J3302" t="s">
        <v>438</v>
      </c>
      <c r="K3302" s="138">
        <v>116.28</v>
      </c>
      <c r="L3302" s="137">
        <v>0</v>
      </c>
    </row>
    <row r="3303" spans="7:12" x14ac:dyDescent="0.25">
      <c r="G3303" s="136">
        <v>43453</v>
      </c>
      <c r="H3303" t="s">
        <v>25</v>
      </c>
      <c r="I3303" t="s">
        <v>235</v>
      </c>
      <c r="J3303" t="s">
        <v>438</v>
      </c>
      <c r="K3303" s="138">
        <v>18.77</v>
      </c>
      <c r="L3303" s="137">
        <v>0</v>
      </c>
    </row>
    <row r="3304" spans="7:12" x14ac:dyDescent="0.25">
      <c r="G3304" s="136">
        <v>43453</v>
      </c>
      <c r="H3304" t="s">
        <v>211</v>
      </c>
      <c r="I3304" t="s">
        <v>235</v>
      </c>
      <c r="J3304" t="s">
        <v>438</v>
      </c>
      <c r="K3304" s="138">
        <v>467.52</v>
      </c>
      <c r="L3304" s="137">
        <v>0</v>
      </c>
    </row>
    <row r="3305" spans="7:12" x14ac:dyDescent="0.25">
      <c r="G3305" s="136">
        <v>43453</v>
      </c>
      <c r="H3305" t="s">
        <v>207</v>
      </c>
      <c r="I3305" t="s">
        <v>63</v>
      </c>
      <c r="J3305" t="s">
        <v>439</v>
      </c>
      <c r="K3305" s="138">
        <v>77.900000000000006</v>
      </c>
      <c r="L3305" s="137">
        <v>0</v>
      </c>
    </row>
    <row r="3306" spans="7:12" x14ac:dyDescent="0.25">
      <c r="G3306" s="136">
        <v>43453</v>
      </c>
      <c r="H3306" t="s">
        <v>180</v>
      </c>
      <c r="I3306" t="s">
        <v>42</v>
      </c>
      <c r="J3306" t="s">
        <v>439</v>
      </c>
      <c r="K3306" s="138">
        <v>14.6</v>
      </c>
      <c r="L3306" s="137">
        <v>0</v>
      </c>
    </row>
    <row r="3307" spans="7:12" x14ac:dyDescent="0.25">
      <c r="G3307" s="136">
        <v>43453</v>
      </c>
      <c r="H3307" t="s">
        <v>179</v>
      </c>
      <c r="I3307" t="s">
        <v>235</v>
      </c>
      <c r="J3307" t="s">
        <v>438</v>
      </c>
      <c r="K3307" s="138">
        <v>3585</v>
      </c>
      <c r="L3307" s="137">
        <v>0</v>
      </c>
    </row>
    <row r="3308" spans="7:12" x14ac:dyDescent="0.25">
      <c r="G3308" s="136">
        <v>43453</v>
      </c>
      <c r="H3308" t="s">
        <v>28</v>
      </c>
      <c r="I3308" t="s">
        <v>66</v>
      </c>
      <c r="J3308" t="s">
        <v>110</v>
      </c>
      <c r="K3308" s="138">
        <v>14.55</v>
      </c>
      <c r="L3308" s="137">
        <v>0</v>
      </c>
    </row>
    <row r="3309" spans="7:12" x14ac:dyDescent="0.25">
      <c r="G3309" s="136">
        <v>43453</v>
      </c>
      <c r="H3309" t="s">
        <v>28</v>
      </c>
      <c r="I3309" t="s">
        <v>66</v>
      </c>
      <c r="J3309" t="s">
        <v>105</v>
      </c>
      <c r="K3309" s="138">
        <v>15</v>
      </c>
      <c r="L3309" s="137">
        <v>0</v>
      </c>
    </row>
    <row r="3310" spans="7:12" x14ac:dyDescent="0.25">
      <c r="G3310" s="136">
        <v>43453</v>
      </c>
      <c r="H3310" t="s">
        <v>28</v>
      </c>
      <c r="I3310" t="s">
        <v>66</v>
      </c>
      <c r="J3310" t="s">
        <v>266</v>
      </c>
      <c r="K3310" s="138">
        <v>2.9</v>
      </c>
      <c r="L3310" s="137">
        <v>0</v>
      </c>
    </row>
    <row r="3311" spans="7:12" x14ac:dyDescent="0.25">
      <c r="G3311" s="136">
        <v>43453</v>
      </c>
      <c r="H3311" t="s">
        <v>28</v>
      </c>
      <c r="I3311" t="s">
        <v>66</v>
      </c>
      <c r="J3311" t="s">
        <v>276</v>
      </c>
      <c r="K3311" s="138">
        <v>6.85</v>
      </c>
      <c r="L3311" s="137">
        <v>0</v>
      </c>
    </row>
    <row r="3312" spans="7:12" x14ac:dyDescent="0.25">
      <c r="G3312" s="136">
        <v>43453</v>
      </c>
      <c r="H3312" t="s">
        <v>28</v>
      </c>
      <c r="I3312" t="s">
        <v>235</v>
      </c>
      <c r="J3312" t="s">
        <v>438</v>
      </c>
      <c r="K3312" s="138">
        <v>150.84</v>
      </c>
      <c r="L3312" s="137">
        <v>0</v>
      </c>
    </row>
    <row r="3313" spans="7:12" x14ac:dyDescent="0.25">
      <c r="G3313" s="136">
        <v>43453</v>
      </c>
      <c r="H3313" t="s">
        <v>28</v>
      </c>
      <c r="I3313" t="s">
        <v>235</v>
      </c>
      <c r="J3313" t="s">
        <v>438</v>
      </c>
      <c r="K3313" s="138">
        <v>23.76</v>
      </c>
      <c r="L3313" s="137">
        <v>0</v>
      </c>
    </row>
    <row r="3314" spans="7:12" x14ac:dyDescent="0.25">
      <c r="G3314" s="136">
        <v>43453</v>
      </c>
      <c r="H3314" t="s">
        <v>28</v>
      </c>
      <c r="I3314" t="s">
        <v>235</v>
      </c>
      <c r="J3314" t="s">
        <v>438</v>
      </c>
      <c r="K3314" s="138">
        <v>17.47</v>
      </c>
      <c r="L3314" s="137">
        <v>0</v>
      </c>
    </row>
    <row r="3315" spans="7:12" x14ac:dyDescent="0.25">
      <c r="G3315" s="136">
        <v>43454</v>
      </c>
      <c r="H3315" t="s">
        <v>27</v>
      </c>
      <c r="I3315" t="s">
        <v>63</v>
      </c>
      <c r="J3315" t="s">
        <v>440</v>
      </c>
      <c r="K3315" s="138">
        <v>8</v>
      </c>
      <c r="L3315" s="137">
        <v>0</v>
      </c>
    </row>
    <row r="3316" spans="7:12" x14ac:dyDescent="0.25">
      <c r="G3316" s="136">
        <v>43454</v>
      </c>
      <c r="H3316" t="s">
        <v>198</v>
      </c>
      <c r="I3316" t="s">
        <v>175</v>
      </c>
      <c r="J3316" t="s">
        <v>440</v>
      </c>
      <c r="K3316" s="138">
        <v>133.30000000000001</v>
      </c>
      <c r="L3316" s="137">
        <v>0</v>
      </c>
    </row>
    <row r="3317" spans="7:12" x14ac:dyDescent="0.25">
      <c r="G3317" s="136">
        <v>43454</v>
      </c>
      <c r="H3317" t="s">
        <v>212</v>
      </c>
      <c r="I3317" t="s">
        <v>155</v>
      </c>
      <c r="J3317" t="s">
        <v>440</v>
      </c>
      <c r="K3317" s="138">
        <v>448.21</v>
      </c>
      <c r="L3317" s="137">
        <v>0</v>
      </c>
    </row>
    <row r="3318" spans="7:12" x14ac:dyDescent="0.25">
      <c r="G3318" s="136">
        <v>43454</v>
      </c>
      <c r="H3318" t="s">
        <v>209</v>
      </c>
      <c r="I3318" t="s">
        <v>155</v>
      </c>
      <c r="J3318" t="s">
        <v>440</v>
      </c>
      <c r="K3318" s="138">
        <v>154.43</v>
      </c>
      <c r="L3318" s="137">
        <v>0</v>
      </c>
    </row>
    <row r="3319" spans="7:12" x14ac:dyDescent="0.25">
      <c r="G3319" s="136">
        <v>43454</v>
      </c>
      <c r="H3319" t="s">
        <v>188</v>
      </c>
      <c r="I3319" t="s">
        <v>178</v>
      </c>
      <c r="J3319" t="s">
        <v>440</v>
      </c>
      <c r="K3319" s="138">
        <v>11</v>
      </c>
      <c r="L3319" s="137">
        <v>0</v>
      </c>
    </row>
    <row r="3320" spans="7:12" x14ac:dyDescent="0.25">
      <c r="G3320" s="136">
        <v>43454</v>
      </c>
      <c r="H3320" t="s">
        <v>188</v>
      </c>
      <c r="I3320" t="s">
        <v>155</v>
      </c>
      <c r="J3320" t="s">
        <v>440</v>
      </c>
      <c r="K3320" s="138">
        <v>112.11</v>
      </c>
      <c r="L3320" s="137">
        <v>0</v>
      </c>
    </row>
    <row r="3321" spans="7:12" x14ac:dyDescent="0.25">
      <c r="G3321" s="136">
        <v>43454</v>
      </c>
      <c r="H3321" t="s">
        <v>25</v>
      </c>
      <c r="I3321" t="s">
        <v>63</v>
      </c>
      <c r="J3321" t="s">
        <v>440</v>
      </c>
      <c r="K3321" s="138">
        <v>56</v>
      </c>
      <c r="L3321" s="137">
        <v>0</v>
      </c>
    </row>
    <row r="3322" spans="7:12" x14ac:dyDescent="0.25">
      <c r="G3322" s="136">
        <v>43454</v>
      </c>
      <c r="H3322" t="s">
        <v>25</v>
      </c>
      <c r="I3322" t="s">
        <v>63</v>
      </c>
      <c r="J3322" t="s">
        <v>440</v>
      </c>
      <c r="K3322" s="138">
        <v>40</v>
      </c>
      <c r="L3322" s="137">
        <v>0</v>
      </c>
    </row>
    <row r="3323" spans="7:12" x14ac:dyDescent="0.25">
      <c r="G3323" s="136">
        <v>43454</v>
      </c>
      <c r="H3323" t="s">
        <v>25</v>
      </c>
      <c r="I3323" t="s">
        <v>63</v>
      </c>
      <c r="J3323" t="s">
        <v>440</v>
      </c>
      <c r="K3323" s="138">
        <v>24</v>
      </c>
      <c r="L3323" s="137">
        <v>0</v>
      </c>
    </row>
    <row r="3324" spans="7:12" x14ac:dyDescent="0.25">
      <c r="G3324" s="136">
        <v>43454</v>
      </c>
      <c r="H3324" t="s">
        <v>25</v>
      </c>
      <c r="I3324" t="s">
        <v>63</v>
      </c>
      <c r="J3324" t="s">
        <v>440</v>
      </c>
      <c r="K3324" s="138">
        <v>16</v>
      </c>
      <c r="L3324" s="137">
        <v>0</v>
      </c>
    </row>
    <row r="3325" spans="7:12" x14ac:dyDescent="0.25">
      <c r="G3325" s="136">
        <v>43454</v>
      </c>
      <c r="H3325" t="s">
        <v>25</v>
      </c>
      <c r="I3325" t="s">
        <v>63</v>
      </c>
      <c r="J3325" t="s">
        <v>440</v>
      </c>
      <c r="K3325" s="138">
        <v>8</v>
      </c>
      <c r="L3325" s="137">
        <v>0</v>
      </c>
    </row>
    <row r="3326" spans="7:12" x14ac:dyDescent="0.25">
      <c r="G3326" s="136">
        <v>43454</v>
      </c>
      <c r="H3326" t="s">
        <v>201</v>
      </c>
      <c r="I3326" t="s">
        <v>155</v>
      </c>
      <c r="J3326" t="s">
        <v>440</v>
      </c>
      <c r="K3326" s="138">
        <v>2200</v>
      </c>
      <c r="L3326" s="137">
        <v>0</v>
      </c>
    </row>
    <row r="3327" spans="7:12" x14ac:dyDescent="0.25">
      <c r="G3327" s="136">
        <v>43454</v>
      </c>
      <c r="H3327" t="s">
        <v>207</v>
      </c>
      <c r="I3327" t="s">
        <v>112</v>
      </c>
      <c r="J3327" t="s">
        <v>440</v>
      </c>
      <c r="K3327" s="138">
        <v>10.75</v>
      </c>
      <c r="L3327" s="137">
        <v>0</v>
      </c>
    </row>
    <row r="3328" spans="7:12" x14ac:dyDescent="0.25">
      <c r="G3328" s="136">
        <v>43454</v>
      </c>
      <c r="H3328" t="s">
        <v>180</v>
      </c>
      <c r="I3328" t="s">
        <v>63</v>
      </c>
      <c r="J3328" t="s">
        <v>440</v>
      </c>
      <c r="K3328" s="138">
        <v>10</v>
      </c>
      <c r="L3328" s="137">
        <v>0</v>
      </c>
    </row>
    <row r="3329" spans="7:12" x14ac:dyDescent="0.25">
      <c r="G3329" s="136">
        <v>43454</v>
      </c>
      <c r="H3329" t="s">
        <v>179</v>
      </c>
      <c r="I3329" t="s">
        <v>155</v>
      </c>
      <c r="J3329" t="s">
        <v>440</v>
      </c>
      <c r="K3329" s="138">
        <v>56.5</v>
      </c>
      <c r="L3329" s="137">
        <v>0</v>
      </c>
    </row>
    <row r="3330" spans="7:12" x14ac:dyDescent="0.25">
      <c r="G3330" s="136">
        <v>43454</v>
      </c>
      <c r="H3330" t="s">
        <v>28</v>
      </c>
      <c r="I3330" t="s">
        <v>178</v>
      </c>
      <c r="J3330" t="s">
        <v>440</v>
      </c>
      <c r="K3330" s="138">
        <v>17.5</v>
      </c>
      <c r="L3330" s="137">
        <v>0</v>
      </c>
    </row>
    <row r="3331" spans="7:12" x14ac:dyDescent="0.25">
      <c r="G3331" s="136">
        <v>43454</v>
      </c>
      <c r="H3331" t="s">
        <v>28</v>
      </c>
      <c r="I3331" t="s">
        <v>112</v>
      </c>
      <c r="J3331" t="s">
        <v>440</v>
      </c>
      <c r="K3331" s="138">
        <v>99.5</v>
      </c>
      <c r="L3331" s="137">
        <v>0</v>
      </c>
    </row>
    <row r="3332" spans="7:12" x14ac:dyDescent="0.25">
      <c r="G3332" s="136">
        <v>43454</v>
      </c>
      <c r="H3332" t="s">
        <v>28</v>
      </c>
      <c r="I3332" t="s">
        <v>155</v>
      </c>
      <c r="J3332" t="s">
        <v>440</v>
      </c>
      <c r="K3332" s="138">
        <v>389</v>
      </c>
      <c r="L3332" s="137">
        <v>0</v>
      </c>
    </row>
    <row r="3333" spans="7:12" x14ac:dyDescent="0.25">
      <c r="G3333" s="136">
        <v>43454</v>
      </c>
      <c r="H3333" t="s">
        <v>28</v>
      </c>
      <c r="I3333" t="s">
        <v>155</v>
      </c>
      <c r="J3333" t="s">
        <v>440</v>
      </c>
      <c r="K3333" s="138">
        <v>263.25</v>
      </c>
      <c r="L3333" s="137">
        <v>0</v>
      </c>
    </row>
    <row r="3334" spans="7:12" x14ac:dyDescent="0.25">
      <c r="G3334" s="136">
        <v>43454</v>
      </c>
      <c r="H3334" t="s">
        <v>28</v>
      </c>
      <c r="I3334" t="s">
        <v>155</v>
      </c>
      <c r="J3334" t="s">
        <v>440</v>
      </c>
      <c r="K3334" s="138">
        <v>232.38</v>
      </c>
      <c r="L3334" s="137">
        <v>0</v>
      </c>
    </row>
    <row r="3335" spans="7:12" x14ac:dyDescent="0.25">
      <c r="G3335" s="136">
        <v>43454</v>
      </c>
      <c r="H3335" t="s">
        <v>28</v>
      </c>
      <c r="I3335" t="s">
        <v>155</v>
      </c>
      <c r="J3335" t="s">
        <v>440</v>
      </c>
      <c r="K3335" s="138">
        <v>200</v>
      </c>
      <c r="L3335" s="137">
        <v>0</v>
      </c>
    </row>
    <row r="3336" spans="7:12" x14ac:dyDescent="0.25">
      <c r="G3336" s="136">
        <v>43454</v>
      </c>
      <c r="H3336" t="s">
        <v>28</v>
      </c>
      <c r="I3336" t="s">
        <v>155</v>
      </c>
      <c r="J3336" t="s">
        <v>440</v>
      </c>
      <c r="K3336" s="138">
        <v>187.25</v>
      </c>
      <c r="L3336" s="137">
        <v>0</v>
      </c>
    </row>
    <row r="3337" spans="7:12" x14ac:dyDescent="0.25">
      <c r="G3337" s="136">
        <v>43454</v>
      </c>
      <c r="H3337" t="s">
        <v>28</v>
      </c>
      <c r="I3337" t="s">
        <v>155</v>
      </c>
      <c r="J3337" t="s">
        <v>440</v>
      </c>
      <c r="K3337" s="138">
        <v>175</v>
      </c>
      <c r="L3337" s="137">
        <v>0</v>
      </c>
    </row>
    <row r="3338" spans="7:12" x14ac:dyDescent="0.25">
      <c r="G3338" s="136">
        <v>43454</v>
      </c>
      <c r="H3338" t="s">
        <v>28</v>
      </c>
      <c r="I3338" t="s">
        <v>155</v>
      </c>
      <c r="J3338" t="s">
        <v>440</v>
      </c>
      <c r="K3338" s="138">
        <v>118</v>
      </c>
      <c r="L3338" s="137">
        <v>0</v>
      </c>
    </row>
    <row r="3339" spans="7:12" x14ac:dyDescent="0.25">
      <c r="G3339" s="136">
        <v>43454</v>
      </c>
      <c r="H3339" t="s">
        <v>28</v>
      </c>
      <c r="I3339" t="s">
        <v>155</v>
      </c>
      <c r="J3339" t="s">
        <v>440</v>
      </c>
      <c r="K3339" s="138">
        <v>107</v>
      </c>
      <c r="L3339" s="137">
        <v>0</v>
      </c>
    </row>
    <row r="3340" spans="7:12" x14ac:dyDescent="0.25">
      <c r="G3340" s="136">
        <v>43454</v>
      </c>
      <c r="H3340" t="s">
        <v>28</v>
      </c>
      <c r="I3340" t="s">
        <v>155</v>
      </c>
      <c r="J3340" t="s">
        <v>440</v>
      </c>
      <c r="K3340" s="138">
        <v>86</v>
      </c>
      <c r="L3340" s="137">
        <v>0</v>
      </c>
    </row>
    <row r="3341" spans="7:12" x14ac:dyDescent="0.25">
      <c r="G3341" s="136">
        <v>43454</v>
      </c>
      <c r="H3341" t="s">
        <v>28</v>
      </c>
      <c r="I3341" t="s">
        <v>155</v>
      </c>
      <c r="J3341" t="s">
        <v>440</v>
      </c>
      <c r="K3341" s="138">
        <v>20.94</v>
      </c>
      <c r="L3341" s="137">
        <v>0</v>
      </c>
    </row>
    <row r="3342" spans="7:12" x14ac:dyDescent="0.25">
      <c r="G3342" s="136">
        <v>43454</v>
      </c>
      <c r="H3342" t="s">
        <v>28</v>
      </c>
      <c r="I3342" t="s">
        <v>155</v>
      </c>
      <c r="J3342" t="s">
        <v>440</v>
      </c>
      <c r="K3342" s="138">
        <v>18.27</v>
      </c>
      <c r="L3342" s="137">
        <v>0</v>
      </c>
    </row>
    <row r="3343" spans="7:12" x14ac:dyDescent="0.25">
      <c r="G3343" s="136">
        <v>43454</v>
      </c>
      <c r="H3343" t="s">
        <v>28</v>
      </c>
      <c r="I3343" t="s">
        <v>66</v>
      </c>
      <c r="J3343" t="s">
        <v>99</v>
      </c>
      <c r="K3343" s="138">
        <v>14.55</v>
      </c>
      <c r="L3343" s="137">
        <v>0</v>
      </c>
    </row>
    <row r="3344" spans="7:12" x14ac:dyDescent="0.25">
      <c r="G3344" s="136">
        <v>43454</v>
      </c>
      <c r="H3344" t="s">
        <v>28</v>
      </c>
      <c r="I3344" t="s">
        <v>66</v>
      </c>
      <c r="J3344" t="s">
        <v>115</v>
      </c>
      <c r="K3344" s="138">
        <v>2.25</v>
      </c>
      <c r="L3344" s="137">
        <v>0</v>
      </c>
    </row>
    <row r="3345" spans="7:12" x14ac:dyDescent="0.25">
      <c r="G3345" s="136">
        <v>43454</v>
      </c>
      <c r="H3345" t="s">
        <v>28</v>
      </c>
      <c r="I3345" t="s">
        <v>66</v>
      </c>
      <c r="J3345" t="s">
        <v>107</v>
      </c>
      <c r="K3345" s="138">
        <v>2</v>
      </c>
      <c r="L3345" s="137">
        <v>0</v>
      </c>
    </row>
    <row r="3346" spans="7:12" x14ac:dyDescent="0.25">
      <c r="G3346" s="136">
        <v>43455</v>
      </c>
      <c r="H3346" t="s">
        <v>203</v>
      </c>
      <c r="I3346" t="s">
        <v>155</v>
      </c>
      <c r="J3346" t="s">
        <v>441</v>
      </c>
      <c r="K3346" s="138">
        <v>555.79999999999995</v>
      </c>
      <c r="L3346" s="137">
        <v>0</v>
      </c>
    </row>
    <row r="3347" spans="7:12" x14ac:dyDescent="0.25">
      <c r="G3347" s="136">
        <v>43455</v>
      </c>
      <c r="H3347" t="s">
        <v>27</v>
      </c>
      <c r="I3347" t="s">
        <v>63</v>
      </c>
      <c r="J3347" t="s">
        <v>441</v>
      </c>
      <c r="K3347" s="138">
        <v>8</v>
      </c>
      <c r="L3347" s="137">
        <v>0</v>
      </c>
    </row>
    <row r="3348" spans="7:12" x14ac:dyDescent="0.25">
      <c r="G3348" s="136">
        <v>43455</v>
      </c>
      <c r="H3348" t="s">
        <v>199</v>
      </c>
      <c r="I3348" t="s">
        <v>176</v>
      </c>
      <c r="J3348" t="s">
        <v>441</v>
      </c>
      <c r="K3348" s="138">
        <v>1385.75</v>
      </c>
      <c r="L3348" s="137">
        <v>0</v>
      </c>
    </row>
    <row r="3349" spans="7:12" x14ac:dyDescent="0.25">
      <c r="G3349" s="136">
        <v>43455</v>
      </c>
      <c r="H3349" t="s">
        <v>183</v>
      </c>
      <c r="I3349" t="s">
        <v>42</v>
      </c>
      <c r="J3349" t="s">
        <v>441</v>
      </c>
      <c r="K3349" s="138">
        <v>10.49</v>
      </c>
      <c r="L3349" s="137">
        <v>0</v>
      </c>
    </row>
    <row r="3350" spans="7:12" x14ac:dyDescent="0.25">
      <c r="G3350" s="136">
        <v>43455</v>
      </c>
      <c r="H3350" t="s">
        <v>193</v>
      </c>
      <c r="I3350" t="s">
        <v>155</v>
      </c>
      <c r="J3350" t="s">
        <v>441</v>
      </c>
      <c r="K3350" s="138">
        <v>0</v>
      </c>
      <c r="L3350" s="137">
        <v>555.79999999999995</v>
      </c>
    </row>
    <row r="3351" spans="7:12" x14ac:dyDescent="0.25">
      <c r="G3351" s="136">
        <v>43455</v>
      </c>
      <c r="H3351" t="s">
        <v>190</v>
      </c>
      <c r="I3351" t="s">
        <v>163</v>
      </c>
      <c r="J3351" t="s">
        <v>441</v>
      </c>
      <c r="K3351" s="138">
        <v>39.5</v>
      </c>
      <c r="L3351" s="137">
        <v>0</v>
      </c>
    </row>
    <row r="3352" spans="7:12" x14ac:dyDescent="0.25">
      <c r="G3352" s="136">
        <v>43455</v>
      </c>
      <c r="H3352" t="s">
        <v>188</v>
      </c>
      <c r="I3352" t="s">
        <v>178</v>
      </c>
      <c r="J3352" t="s">
        <v>441</v>
      </c>
      <c r="K3352" s="138">
        <v>44.97</v>
      </c>
      <c r="L3352" s="137">
        <v>0</v>
      </c>
    </row>
    <row r="3353" spans="7:12" x14ac:dyDescent="0.25">
      <c r="G3353" s="136">
        <v>43455</v>
      </c>
      <c r="H3353" t="s">
        <v>25</v>
      </c>
      <c r="I3353" t="s">
        <v>63</v>
      </c>
      <c r="J3353" t="s">
        <v>441</v>
      </c>
      <c r="K3353" s="138">
        <v>72</v>
      </c>
      <c r="L3353" s="137">
        <v>0</v>
      </c>
    </row>
    <row r="3354" spans="7:12" x14ac:dyDescent="0.25">
      <c r="G3354" s="136">
        <v>43455</v>
      </c>
      <c r="H3354" t="s">
        <v>25</v>
      </c>
      <c r="I3354" t="s">
        <v>63</v>
      </c>
      <c r="J3354" t="s">
        <v>441</v>
      </c>
      <c r="K3354" s="138">
        <v>64</v>
      </c>
      <c r="L3354" s="137">
        <v>0</v>
      </c>
    </row>
    <row r="3355" spans="7:12" x14ac:dyDescent="0.25">
      <c r="G3355" s="136">
        <v>43455</v>
      </c>
      <c r="H3355" t="s">
        <v>25</v>
      </c>
      <c r="I3355" t="s">
        <v>63</v>
      </c>
      <c r="J3355" t="s">
        <v>441</v>
      </c>
      <c r="K3355" s="138">
        <v>16</v>
      </c>
      <c r="L3355" s="137">
        <v>0</v>
      </c>
    </row>
    <row r="3356" spans="7:12" x14ac:dyDescent="0.25">
      <c r="G3356" s="136">
        <v>43455</v>
      </c>
      <c r="H3356" t="s">
        <v>25</v>
      </c>
      <c r="I3356" t="s">
        <v>63</v>
      </c>
      <c r="J3356" t="s">
        <v>441</v>
      </c>
      <c r="K3356" s="138">
        <v>8</v>
      </c>
      <c r="L3356" s="137">
        <v>0</v>
      </c>
    </row>
    <row r="3357" spans="7:12" x14ac:dyDescent="0.25">
      <c r="G3357" s="136">
        <v>43455</v>
      </c>
      <c r="H3357" t="s">
        <v>201</v>
      </c>
      <c r="I3357" t="s">
        <v>42</v>
      </c>
      <c r="J3357" t="s">
        <v>441</v>
      </c>
      <c r="K3357" s="138">
        <v>589.76</v>
      </c>
      <c r="L3357" s="137">
        <v>0</v>
      </c>
    </row>
    <row r="3358" spans="7:12" x14ac:dyDescent="0.25">
      <c r="G3358" s="136">
        <v>43455</v>
      </c>
      <c r="H3358" t="s">
        <v>207</v>
      </c>
      <c r="I3358" t="s">
        <v>155</v>
      </c>
      <c r="J3358" t="s">
        <v>441</v>
      </c>
      <c r="K3358" s="138">
        <v>684.29</v>
      </c>
      <c r="L3358" s="137">
        <v>0</v>
      </c>
    </row>
    <row r="3359" spans="7:12" x14ac:dyDescent="0.25">
      <c r="G3359" s="136">
        <v>43455</v>
      </c>
      <c r="H3359" t="s">
        <v>180</v>
      </c>
      <c r="I3359" t="s">
        <v>42</v>
      </c>
      <c r="J3359" t="s">
        <v>441</v>
      </c>
      <c r="K3359" s="138">
        <v>14.6</v>
      </c>
      <c r="L3359" s="137">
        <v>0</v>
      </c>
    </row>
    <row r="3360" spans="7:12" x14ac:dyDescent="0.25">
      <c r="G3360" s="136">
        <v>43455</v>
      </c>
      <c r="H3360" t="s">
        <v>28</v>
      </c>
      <c r="I3360" t="s">
        <v>63</v>
      </c>
      <c r="J3360" t="s">
        <v>441</v>
      </c>
      <c r="K3360" s="138">
        <v>8</v>
      </c>
      <c r="L3360" s="137">
        <v>0</v>
      </c>
    </row>
    <row r="3361" spans="7:12" x14ac:dyDescent="0.25">
      <c r="G3361" s="136">
        <v>43455</v>
      </c>
      <c r="H3361" t="s">
        <v>28</v>
      </c>
      <c r="I3361" t="s">
        <v>163</v>
      </c>
      <c r="J3361" t="s">
        <v>441</v>
      </c>
      <c r="K3361" s="138">
        <v>168</v>
      </c>
      <c r="L3361" s="137">
        <v>0</v>
      </c>
    </row>
    <row r="3362" spans="7:12" x14ac:dyDescent="0.25">
      <c r="G3362" s="136">
        <v>43455</v>
      </c>
      <c r="H3362" t="s">
        <v>28</v>
      </c>
      <c r="I3362" t="s">
        <v>163</v>
      </c>
      <c r="J3362" t="s">
        <v>441</v>
      </c>
      <c r="K3362" s="138">
        <v>160.63</v>
      </c>
      <c r="L3362" s="137">
        <v>0</v>
      </c>
    </row>
    <row r="3363" spans="7:12" x14ac:dyDescent="0.25">
      <c r="G3363" s="136">
        <v>43455</v>
      </c>
      <c r="H3363" t="s">
        <v>28</v>
      </c>
      <c r="I3363" t="s">
        <v>163</v>
      </c>
      <c r="J3363" t="s">
        <v>441</v>
      </c>
      <c r="K3363" s="138">
        <v>27.96</v>
      </c>
      <c r="L3363" s="137">
        <v>0</v>
      </c>
    </row>
    <row r="3364" spans="7:12" x14ac:dyDescent="0.25">
      <c r="G3364" s="136">
        <v>43455</v>
      </c>
      <c r="H3364" t="s">
        <v>28</v>
      </c>
      <c r="I3364" t="s">
        <v>178</v>
      </c>
      <c r="J3364" t="s">
        <v>441</v>
      </c>
      <c r="K3364" s="138">
        <v>42.97</v>
      </c>
      <c r="L3364" s="137">
        <v>0</v>
      </c>
    </row>
    <row r="3365" spans="7:12" x14ac:dyDescent="0.25">
      <c r="G3365" s="136">
        <v>43455</v>
      </c>
      <c r="H3365" t="s">
        <v>28</v>
      </c>
      <c r="I3365" t="s">
        <v>178</v>
      </c>
      <c r="J3365" t="s">
        <v>441</v>
      </c>
      <c r="K3365" s="138">
        <v>21.21</v>
      </c>
      <c r="L3365" s="137">
        <v>0</v>
      </c>
    </row>
    <row r="3366" spans="7:12" x14ac:dyDescent="0.25">
      <c r="G3366" s="136">
        <v>43455</v>
      </c>
      <c r="H3366" t="s">
        <v>28</v>
      </c>
      <c r="I3366" t="s">
        <v>112</v>
      </c>
      <c r="J3366" t="s">
        <v>441</v>
      </c>
      <c r="K3366" s="138">
        <v>97.9</v>
      </c>
      <c r="L3366" s="137">
        <v>0</v>
      </c>
    </row>
    <row r="3367" spans="7:12" x14ac:dyDescent="0.25">
      <c r="G3367" s="136">
        <v>43455</v>
      </c>
      <c r="H3367" t="s">
        <v>28</v>
      </c>
      <c r="I3367" t="s">
        <v>112</v>
      </c>
      <c r="J3367" t="s">
        <v>441</v>
      </c>
      <c r="K3367" s="138">
        <v>36.950000000000003</v>
      </c>
      <c r="L3367" s="137">
        <v>0</v>
      </c>
    </row>
    <row r="3368" spans="7:12" x14ac:dyDescent="0.25">
      <c r="G3368" s="136">
        <v>43455</v>
      </c>
      <c r="H3368" t="s">
        <v>28</v>
      </c>
      <c r="I3368" t="s">
        <v>155</v>
      </c>
      <c r="J3368" t="s">
        <v>441</v>
      </c>
      <c r="K3368" s="138">
        <v>75</v>
      </c>
      <c r="L3368" s="137">
        <v>0</v>
      </c>
    </row>
    <row r="3369" spans="7:12" x14ac:dyDescent="0.25">
      <c r="G3369" s="136">
        <v>43455</v>
      </c>
      <c r="H3369" t="s">
        <v>28</v>
      </c>
      <c r="I3369" t="s">
        <v>155</v>
      </c>
      <c r="J3369" t="s">
        <v>441</v>
      </c>
      <c r="K3369" s="138">
        <v>44</v>
      </c>
      <c r="L3369" s="137">
        <v>0</v>
      </c>
    </row>
    <row r="3370" spans="7:12" x14ac:dyDescent="0.25">
      <c r="G3370" s="136">
        <v>43455</v>
      </c>
      <c r="H3370" t="s">
        <v>28</v>
      </c>
      <c r="I3370" t="s">
        <v>66</v>
      </c>
      <c r="J3370" t="s">
        <v>139</v>
      </c>
      <c r="K3370" s="138">
        <v>24</v>
      </c>
      <c r="L3370" s="137">
        <v>0</v>
      </c>
    </row>
    <row r="3371" spans="7:12" x14ac:dyDescent="0.25">
      <c r="G3371" s="136">
        <v>43455</v>
      </c>
      <c r="H3371" t="s">
        <v>28</v>
      </c>
      <c r="I3371" t="s">
        <v>66</v>
      </c>
      <c r="J3371" t="s">
        <v>98</v>
      </c>
      <c r="K3371" s="138">
        <v>10</v>
      </c>
      <c r="L3371" s="137">
        <v>0</v>
      </c>
    </row>
    <row r="3372" spans="7:12" x14ac:dyDescent="0.25">
      <c r="G3372" s="136">
        <v>43455</v>
      </c>
      <c r="H3372" t="s">
        <v>28</v>
      </c>
      <c r="I3372" t="s">
        <v>66</v>
      </c>
      <c r="J3372" t="s">
        <v>104</v>
      </c>
      <c r="K3372" s="138">
        <v>2.4</v>
      </c>
      <c r="L3372" s="137">
        <v>0</v>
      </c>
    </row>
    <row r="3373" spans="7:12" x14ac:dyDescent="0.25">
      <c r="G3373" s="136">
        <v>43456</v>
      </c>
      <c r="H3373" t="s">
        <v>27</v>
      </c>
      <c r="I3373" t="s">
        <v>63</v>
      </c>
      <c r="J3373" t="s">
        <v>442</v>
      </c>
      <c r="K3373" s="138">
        <v>8</v>
      </c>
      <c r="L3373" s="137">
        <v>0</v>
      </c>
    </row>
    <row r="3374" spans="7:12" x14ac:dyDescent="0.25">
      <c r="G3374" s="136">
        <v>43456</v>
      </c>
      <c r="H3374" t="s">
        <v>25</v>
      </c>
      <c r="I3374" t="s">
        <v>63</v>
      </c>
      <c r="J3374" t="s">
        <v>442</v>
      </c>
      <c r="K3374" s="138">
        <v>40</v>
      </c>
      <c r="L3374" s="137">
        <v>0</v>
      </c>
    </row>
    <row r="3375" spans="7:12" x14ac:dyDescent="0.25">
      <c r="G3375" s="136">
        <v>43456</v>
      </c>
      <c r="H3375" t="s">
        <v>25</v>
      </c>
      <c r="I3375" t="s">
        <v>63</v>
      </c>
      <c r="J3375" t="s">
        <v>442</v>
      </c>
      <c r="K3375" s="138">
        <v>32</v>
      </c>
      <c r="L3375" s="137">
        <v>0</v>
      </c>
    </row>
    <row r="3376" spans="7:12" x14ac:dyDescent="0.25">
      <c r="G3376" s="136">
        <v>43456</v>
      </c>
      <c r="H3376" t="s">
        <v>25</v>
      </c>
      <c r="I3376" t="s">
        <v>63</v>
      </c>
      <c r="J3376" t="s">
        <v>442</v>
      </c>
      <c r="K3376" s="138">
        <v>24</v>
      </c>
      <c r="L3376" s="137">
        <v>0</v>
      </c>
    </row>
    <row r="3377" spans="7:12" x14ac:dyDescent="0.25">
      <c r="G3377" s="136">
        <v>43456</v>
      </c>
      <c r="H3377" t="s">
        <v>25</v>
      </c>
      <c r="I3377" t="s">
        <v>63</v>
      </c>
      <c r="J3377" t="s">
        <v>442</v>
      </c>
      <c r="K3377" s="138">
        <v>16</v>
      </c>
      <c r="L3377" s="137">
        <v>0</v>
      </c>
    </row>
    <row r="3378" spans="7:12" x14ac:dyDescent="0.25">
      <c r="G3378" s="136">
        <v>43456</v>
      </c>
      <c r="H3378" t="s">
        <v>180</v>
      </c>
      <c r="I3378" t="s">
        <v>42</v>
      </c>
      <c r="J3378" t="s">
        <v>442</v>
      </c>
      <c r="K3378" s="138">
        <v>10</v>
      </c>
      <c r="L3378" s="137">
        <v>0</v>
      </c>
    </row>
    <row r="3379" spans="7:12" x14ac:dyDescent="0.25">
      <c r="G3379" s="136">
        <v>43456</v>
      </c>
      <c r="H3379" t="s">
        <v>28</v>
      </c>
      <c r="I3379" t="s">
        <v>66</v>
      </c>
      <c r="J3379" t="s">
        <v>143</v>
      </c>
      <c r="K3379" s="138">
        <v>104</v>
      </c>
      <c r="L3379" s="137">
        <v>0</v>
      </c>
    </row>
    <row r="3380" spans="7:12" x14ac:dyDescent="0.25">
      <c r="G3380" s="136">
        <v>43456</v>
      </c>
      <c r="H3380" t="s">
        <v>28</v>
      </c>
      <c r="I3380" t="s">
        <v>66</v>
      </c>
      <c r="J3380" t="s">
        <v>124</v>
      </c>
      <c r="K3380" s="138">
        <v>3.15</v>
      </c>
      <c r="L3380" s="137">
        <v>0</v>
      </c>
    </row>
    <row r="3381" spans="7:12" x14ac:dyDescent="0.25">
      <c r="G3381" s="136">
        <v>43458</v>
      </c>
      <c r="H3381" t="s">
        <v>203</v>
      </c>
      <c r="I3381" t="s">
        <v>155</v>
      </c>
      <c r="J3381" t="s">
        <v>443</v>
      </c>
      <c r="K3381" s="138">
        <v>1008.31</v>
      </c>
      <c r="L3381" s="137">
        <v>0</v>
      </c>
    </row>
    <row r="3382" spans="7:12" x14ac:dyDescent="0.25">
      <c r="G3382" s="136">
        <v>43458</v>
      </c>
      <c r="H3382" t="s">
        <v>27</v>
      </c>
      <c r="I3382" t="s">
        <v>63</v>
      </c>
      <c r="J3382" t="s">
        <v>443</v>
      </c>
      <c r="K3382" s="138">
        <v>8</v>
      </c>
      <c r="L3382" s="137">
        <v>0</v>
      </c>
    </row>
    <row r="3383" spans="7:12" x14ac:dyDescent="0.25">
      <c r="G3383" s="136">
        <v>43458</v>
      </c>
      <c r="H3383" t="s">
        <v>209</v>
      </c>
      <c r="I3383" t="s">
        <v>155</v>
      </c>
      <c r="J3383" t="s">
        <v>443</v>
      </c>
      <c r="K3383" s="138">
        <v>475</v>
      </c>
      <c r="L3383" s="137">
        <v>0</v>
      </c>
    </row>
    <row r="3384" spans="7:12" x14ac:dyDescent="0.25">
      <c r="G3384" s="136">
        <v>43458</v>
      </c>
      <c r="H3384" t="s">
        <v>183</v>
      </c>
      <c r="I3384" t="s">
        <v>163</v>
      </c>
      <c r="J3384" t="s">
        <v>443</v>
      </c>
      <c r="K3384" s="138">
        <v>362.5</v>
      </c>
      <c r="L3384" s="137">
        <v>0</v>
      </c>
    </row>
    <row r="3385" spans="7:12" x14ac:dyDescent="0.25">
      <c r="G3385" s="136">
        <v>43458</v>
      </c>
      <c r="H3385" t="s">
        <v>183</v>
      </c>
      <c r="I3385" t="s">
        <v>155</v>
      </c>
      <c r="J3385" t="s">
        <v>443</v>
      </c>
      <c r="K3385" s="138">
        <v>113.14</v>
      </c>
      <c r="L3385" s="137">
        <v>0</v>
      </c>
    </row>
    <row r="3386" spans="7:12" x14ac:dyDescent="0.25">
      <c r="G3386" s="136">
        <v>43458</v>
      </c>
      <c r="H3386" t="s">
        <v>183</v>
      </c>
      <c r="I3386" t="s">
        <v>42</v>
      </c>
      <c r="J3386" t="s">
        <v>443</v>
      </c>
      <c r="K3386" s="138">
        <v>38.799999999999997</v>
      </c>
      <c r="L3386" s="137">
        <v>0</v>
      </c>
    </row>
    <row r="3387" spans="7:12" x14ac:dyDescent="0.25">
      <c r="G3387" s="136">
        <v>43458</v>
      </c>
      <c r="H3387" t="s">
        <v>193</v>
      </c>
      <c r="I3387" t="s">
        <v>163</v>
      </c>
      <c r="J3387" t="s">
        <v>443</v>
      </c>
      <c r="K3387" s="138">
        <v>693.93</v>
      </c>
      <c r="L3387" s="137">
        <v>0</v>
      </c>
    </row>
    <row r="3388" spans="7:12" x14ac:dyDescent="0.25">
      <c r="G3388" s="136">
        <v>43458</v>
      </c>
      <c r="H3388" t="s">
        <v>193</v>
      </c>
      <c r="I3388" t="s">
        <v>176</v>
      </c>
      <c r="J3388" t="s">
        <v>443</v>
      </c>
      <c r="K3388" s="138">
        <v>0</v>
      </c>
      <c r="L3388" s="137">
        <v>1400.56</v>
      </c>
    </row>
    <row r="3389" spans="7:12" x14ac:dyDescent="0.25">
      <c r="G3389" s="136">
        <v>43458</v>
      </c>
      <c r="H3389" t="s">
        <v>200</v>
      </c>
      <c r="I3389" t="s">
        <v>163</v>
      </c>
      <c r="J3389" t="s">
        <v>443</v>
      </c>
      <c r="K3389" s="138">
        <v>629.41</v>
      </c>
      <c r="L3389" s="137">
        <v>0</v>
      </c>
    </row>
    <row r="3390" spans="7:12" x14ac:dyDescent="0.25">
      <c r="G3390" s="136">
        <v>43458</v>
      </c>
      <c r="H3390" t="s">
        <v>25</v>
      </c>
      <c r="I3390" t="s">
        <v>63</v>
      </c>
      <c r="J3390" t="s">
        <v>443</v>
      </c>
      <c r="K3390" s="138">
        <v>40</v>
      </c>
      <c r="L3390" s="137">
        <v>0</v>
      </c>
    </row>
    <row r="3391" spans="7:12" x14ac:dyDescent="0.25">
      <c r="G3391" s="136">
        <v>43458</v>
      </c>
      <c r="H3391" t="s">
        <v>25</v>
      </c>
      <c r="I3391" t="s">
        <v>63</v>
      </c>
      <c r="J3391" t="s">
        <v>443</v>
      </c>
      <c r="K3391" s="138">
        <v>24</v>
      </c>
      <c r="L3391" s="137">
        <v>0</v>
      </c>
    </row>
    <row r="3392" spans="7:12" x14ac:dyDescent="0.25">
      <c r="G3392" s="136">
        <v>43458</v>
      </c>
      <c r="H3392" t="s">
        <v>25</v>
      </c>
      <c r="I3392" t="s">
        <v>63</v>
      </c>
      <c r="J3392" t="s">
        <v>443</v>
      </c>
      <c r="K3392" s="138">
        <v>16</v>
      </c>
      <c r="L3392" s="137">
        <v>0</v>
      </c>
    </row>
    <row r="3393" spans="7:12" x14ac:dyDescent="0.25">
      <c r="G3393" s="136">
        <v>43458</v>
      </c>
      <c r="H3393" t="s">
        <v>25</v>
      </c>
      <c r="I3393" t="s">
        <v>63</v>
      </c>
      <c r="J3393" t="s">
        <v>443</v>
      </c>
      <c r="K3393" s="138">
        <v>8</v>
      </c>
      <c r="L3393" s="137">
        <v>0</v>
      </c>
    </row>
    <row r="3394" spans="7:12" x14ac:dyDescent="0.25">
      <c r="G3394" s="136">
        <v>43458</v>
      </c>
      <c r="H3394" t="s">
        <v>187</v>
      </c>
      <c r="I3394" t="s">
        <v>42</v>
      </c>
      <c r="J3394" t="s">
        <v>443</v>
      </c>
      <c r="K3394" s="138">
        <v>48.5</v>
      </c>
      <c r="L3394" s="137">
        <v>0</v>
      </c>
    </row>
    <row r="3395" spans="7:12" x14ac:dyDescent="0.25">
      <c r="G3395" s="136">
        <v>43458</v>
      </c>
      <c r="H3395" t="s">
        <v>28</v>
      </c>
      <c r="I3395" t="s">
        <v>163</v>
      </c>
      <c r="J3395" t="s">
        <v>443</v>
      </c>
      <c r="K3395" s="138">
        <v>57.08</v>
      </c>
      <c r="L3395" s="137">
        <v>0</v>
      </c>
    </row>
    <row r="3396" spans="7:12" x14ac:dyDescent="0.25">
      <c r="G3396" s="136">
        <v>43458</v>
      </c>
      <c r="H3396" t="s">
        <v>28</v>
      </c>
      <c r="I3396" t="s">
        <v>155</v>
      </c>
      <c r="J3396" t="s">
        <v>443</v>
      </c>
      <c r="K3396" s="138">
        <v>246.72</v>
      </c>
      <c r="L3396" s="137">
        <v>0</v>
      </c>
    </row>
    <row r="3397" spans="7:12" x14ac:dyDescent="0.25">
      <c r="G3397" s="136">
        <v>43458</v>
      </c>
      <c r="H3397" t="s">
        <v>28</v>
      </c>
      <c r="I3397" t="s">
        <v>155</v>
      </c>
      <c r="J3397" t="s">
        <v>443</v>
      </c>
      <c r="K3397" s="138">
        <v>149.85</v>
      </c>
      <c r="L3397" s="137">
        <v>0</v>
      </c>
    </row>
    <row r="3398" spans="7:12" x14ac:dyDescent="0.25">
      <c r="G3398" s="136">
        <v>43458</v>
      </c>
      <c r="H3398" t="s">
        <v>28</v>
      </c>
      <c r="I3398" t="s">
        <v>155</v>
      </c>
      <c r="J3398" t="s">
        <v>443</v>
      </c>
      <c r="K3398" s="138">
        <v>93.92</v>
      </c>
      <c r="L3398" s="137">
        <v>0</v>
      </c>
    </row>
    <row r="3399" spans="7:12" x14ac:dyDescent="0.25">
      <c r="G3399" s="136">
        <v>43458</v>
      </c>
      <c r="H3399" t="s">
        <v>28</v>
      </c>
      <c r="I3399" t="s">
        <v>66</v>
      </c>
      <c r="J3399" t="s">
        <v>110</v>
      </c>
      <c r="K3399" s="138">
        <v>25</v>
      </c>
      <c r="L3399" s="137">
        <v>0</v>
      </c>
    </row>
    <row r="3400" spans="7:12" x14ac:dyDescent="0.25">
      <c r="G3400" s="136">
        <v>43460</v>
      </c>
      <c r="H3400" t="s">
        <v>183</v>
      </c>
      <c r="I3400" t="s">
        <v>155</v>
      </c>
      <c r="J3400" t="s">
        <v>444</v>
      </c>
      <c r="K3400" s="138">
        <v>826.3</v>
      </c>
      <c r="L3400" s="137">
        <v>0</v>
      </c>
    </row>
    <row r="3401" spans="7:12" x14ac:dyDescent="0.25">
      <c r="G3401" s="136">
        <v>43460</v>
      </c>
      <c r="H3401" t="s">
        <v>191</v>
      </c>
      <c r="I3401" t="s">
        <v>63</v>
      </c>
      <c r="J3401" t="s">
        <v>444</v>
      </c>
      <c r="K3401" s="138">
        <v>331</v>
      </c>
      <c r="L3401" s="137">
        <v>0</v>
      </c>
    </row>
    <row r="3402" spans="7:12" x14ac:dyDescent="0.25">
      <c r="G3402" s="136">
        <v>43460</v>
      </c>
      <c r="H3402" t="s">
        <v>193</v>
      </c>
      <c r="I3402" t="s">
        <v>163</v>
      </c>
      <c r="J3402" t="s">
        <v>444</v>
      </c>
      <c r="K3402" s="138">
        <v>983.06</v>
      </c>
      <c r="L3402" s="137">
        <v>0</v>
      </c>
    </row>
    <row r="3403" spans="7:12" x14ac:dyDescent="0.25">
      <c r="G3403" s="136">
        <v>43460</v>
      </c>
      <c r="H3403" t="s">
        <v>188</v>
      </c>
      <c r="I3403" t="s">
        <v>42</v>
      </c>
      <c r="J3403" t="s">
        <v>444</v>
      </c>
      <c r="K3403" s="138">
        <v>340</v>
      </c>
      <c r="L3403" s="137">
        <v>0</v>
      </c>
    </row>
    <row r="3404" spans="7:12" x14ac:dyDescent="0.25">
      <c r="G3404" s="136">
        <v>43460</v>
      </c>
      <c r="H3404" t="s">
        <v>197</v>
      </c>
      <c r="I3404" t="s">
        <v>155</v>
      </c>
      <c r="J3404" t="s">
        <v>444</v>
      </c>
      <c r="K3404" s="138">
        <v>10</v>
      </c>
      <c r="L3404" s="137">
        <v>0</v>
      </c>
    </row>
    <row r="3405" spans="7:12" x14ac:dyDescent="0.25">
      <c r="G3405" s="136">
        <v>43460</v>
      </c>
      <c r="H3405" t="s">
        <v>197</v>
      </c>
      <c r="I3405" t="s">
        <v>176</v>
      </c>
      <c r="J3405" t="s">
        <v>444</v>
      </c>
      <c r="K3405" s="138">
        <v>33</v>
      </c>
      <c r="L3405" s="137">
        <v>0</v>
      </c>
    </row>
    <row r="3406" spans="7:12" x14ac:dyDescent="0.25">
      <c r="G3406" s="136">
        <v>43460</v>
      </c>
      <c r="H3406" t="s">
        <v>179</v>
      </c>
      <c r="I3406" t="s">
        <v>63</v>
      </c>
      <c r="J3406" t="s">
        <v>444</v>
      </c>
      <c r="K3406" s="138">
        <v>111.91</v>
      </c>
      <c r="L3406" s="137">
        <v>0</v>
      </c>
    </row>
    <row r="3407" spans="7:12" x14ac:dyDescent="0.25">
      <c r="G3407" s="136">
        <v>43460</v>
      </c>
      <c r="H3407" t="s">
        <v>179</v>
      </c>
      <c r="I3407" t="s">
        <v>163</v>
      </c>
      <c r="J3407" t="s">
        <v>444</v>
      </c>
      <c r="K3407" s="138">
        <v>498</v>
      </c>
      <c r="L3407" s="137">
        <v>0</v>
      </c>
    </row>
    <row r="3408" spans="7:12" x14ac:dyDescent="0.25">
      <c r="G3408" s="136">
        <v>43460</v>
      </c>
      <c r="H3408" t="s">
        <v>28</v>
      </c>
      <c r="I3408" t="s">
        <v>178</v>
      </c>
      <c r="J3408" t="s">
        <v>444</v>
      </c>
      <c r="K3408" s="138">
        <v>57</v>
      </c>
      <c r="L3408" s="137">
        <v>0</v>
      </c>
    </row>
    <row r="3409" spans="7:12" x14ac:dyDescent="0.25">
      <c r="G3409" s="136">
        <v>43460</v>
      </c>
      <c r="H3409" t="s">
        <v>28</v>
      </c>
      <c r="I3409" t="s">
        <v>155</v>
      </c>
      <c r="J3409" t="s">
        <v>444</v>
      </c>
      <c r="K3409" s="138">
        <v>333.62</v>
      </c>
      <c r="L3409" s="137">
        <v>0</v>
      </c>
    </row>
    <row r="3410" spans="7:12" x14ac:dyDescent="0.25">
      <c r="G3410" s="136">
        <v>43460</v>
      </c>
      <c r="H3410" t="s">
        <v>28</v>
      </c>
      <c r="I3410" t="s">
        <v>155</v>
      </c>
      <c r="J3410" t="s">
        <v>444</v>
      </c>
      <c r="K3410" s="138">
        <v>95.63</v>
      </c>
      <c r="L3410" s="137">
        <v>0</v>
      </c>
    </row>
    <row r="3411" spans="7:12" x14ac:dyDescent="0.25">
      <c r="G3411" s="136">
        <v>43460</v>
      </c>
      <c r="H3411" t="s">
        <v>28</v>
      </c>
      <c r="I3411" t="s">
        <v>155</v>
      </c>
      <c r="J3411" t="s">
        <v>444</v>
      </c>
      <c r="K3411" s="138">
        <v>85.02</v>
      </c>
      <c r="L3411" s="137">
        <v>0</v>
      </c>
    </row>
    <row r="3412" spans="7:12" x14ac:dyDescent="0.25">
      <c r="G3412" s="136">
        <v>43460</v>
      </c>
      <c r="H3412" t="s">
        <v>28</v>
      </c>
      <c r="I3412" t="s">
        <v>155</v>
      </c>
      <c r="J3412" t="s">
        <v>444</v>
      </c>
      <c r="K3412" s="138">
        <v>13.53</v>
      </c>
      <c r="L3412" s="137">
        <v>0</v>
      </c>
    </row>
    <row r="3413" spans="7:12" x14ac:dyDescent="0.25">
      <c r="G3413" s="136">
        <v>43460</v>
      </c>
      <c r="H3413" t="s">
        <v>28</v>
      </c>
      <c r="I3413" t="s">
        <v>66</v>
      </c>
      <c r="J3413" t="s">
        <v>110</v>
      </c>
      <c r="K3413" s="138">
        <v>3.6</v>
      </c>
      <c r="L3413" s="137">
        <v>0</v>
      </c>
    </row>
    <row r="3414" spans="7:12" x14ac:dyDescent="0.25">
      <c r="G3414" s="136">
        <v>43460</v>
      </c>
      <c r="H3414" t="s">
        <v>28</v>
      </c>
      <c r="I3414" t="s">
        <v>66</v>
      </c>
      <c r="J3414" t="s">
        <v>131</v>
      </c>
      <c r="K3414" s="138">
        <v>1.8</v>
      </c>
      <c r="L3414" s="137">
        <v>0</v>
      </c>
    </row>
    <row r="3415" spans="7:12" x14ac:dyDescent="0.25">
      <c r="G3415" s="136">
        <v>43461</v>
      </c>
      <c r="H3415" t="s">
        <v>192</v>
      </c>
      <c r="I3415" t="s">
        <v>155</v>
      </c>
      <c r="J3415" t="s">
        <v>445</v>
      </c>
      <c r="K3415" s="138">
        <v>1020</v>
      </c>
      <c r="L3415" s="137">
        <v>0</v>
      </c>
    </row>
    <row r="3416" spans="7:12" x14ac:dyDescent="0.25">
      <c r="G3416" s="136">
        <v>43461</v>
      </c>
      <c r="H3416" t="s">
        <v>27</v>
      </c>
      <c r="I3416" t="s">
        <v>63</v>
      </c>
      <c r="J3416" t="s">
        <v>445</v>
      </c>
      <c r="K3416" s="138">
        <v>8</v>
      </c>
      <c r="L3416" s="137">
        <v>0</v>
      </c>
    </row>
    <row r="3417" spans="7:12" x14ac:dyDescent="0.25">
      <c r="G3417" s="136">
        <v>43461</v>
      </c>
      <c r="H3417" t="s">
        <v>199</v>
      </c>
      <c r="I3417" t="s">
        <v>155</v>
      </c>
      <c r="J3417" t="s">
        <v>445</v>
      </c>
      <c r="K3417" s="138">
        <v>245</v>
      </c>
      <c r="L3417" s="137">
        <v>0</v>
      </c>
    </row>
    <row r="3418" spans="7:12" x14ac:dyDescent="0.25">
      <c r="G3418" s="136">
        <v>43461</v>
      </c>
      <c r="H3418" t="s">
        <v>212</v>
      </c>
      <c r="I3418" t="s">
        <v>63</v>
      </c>
      <c r="J3418" t="s">
        <v>445</v>
      </c>
      <c r="K3418" s="138">
        <v>40</v>
      </c>
      <c r="L3418" s="137">
        <v>0</v>
      </c>
    </row>
    <row r="3419" spans="7:12" x14ac:dyDescent="0.25">
      <c r="G3419" s="136">
        <v>43461</v>
      </c>
      <c r="H3419" t="s">
        <v>209</v>
      </c>
      <c r="I3419" t="s">
        <v>155</v>
      </c>
      <c r="J3419" t="s">
        <v>445</v>
      </c>
      <c r="K3419" s="138">
        <v>101.26</v>
      </c>
      <c r="L3419" s="137">
        <v>0</v>
      </c>
    </row>
    <row r="3420" spans="7:12" x14ac:dyDescent="0.25">
      <c r="G3420" s="136">
        <v>43461</v>
      </c>
      <c r="H3420" t="s">
        <v>190</v>
      </c>
      <c r="I3420" t="s">
        <v>163</v>
      </c>
      <c r="J3420" t="s">
        <v>445</v>
      </c>
      <c r="K3420" s="138">
        <v>283.58</v>
      </c>
      <c r="L3420" s="137">
        <v>0</v>
      </c>
    </row>
    <row r="3421" spans="7:12" x14ac:dyDescent="0.25">
      <c r="G3421" s="136">
        <v>43461</v>
      </c>
      <c r="H3421" t="s">
        <v>188</v>
      </c>
      <c r="I3421" t="s">
        <v>163</v>
      </c>
      <c r="J3421" t="s">
        <v>445</v>
      </c>
      <c r="K3421" s="138">
        <v>440</v>
      </c>
      <c r="L3421" s="137">
        <v>0</v>
      </c>
    </row>
    <row r="3422" spans="7:12" x14ac:dyDescent="0.25">
      <c r="G3422" s="136">
        <v>43461</v>
      </c>
      <c r="H3422" t="s">
        <v>188</v>
      </c>
      <c r="I3422" t="s">
        <v>112</v>
      </c>
      <c r="J3422" t="s">
        <v>445</v>
      </c>
      <c r="K3422" s="138">
        <v>38.5</v>
      </c>
      <c r="L3422" s="137">
        <v>0</v>
      </c>
    </row>
    <row r="3423" spans="7:12" x14ac:dyDescent="0.25">
      <c r="G3423" s="136">
        <v>43461</v>
      </c>
      <c r="H3423" t="s">
        <v>200</v>
      </c>
      <c r="I3423" t="s">
        <v>63</v>
      </c>
      <c r="J3423" t="s">
        <v>445</v>
      </c>
      <c r="K3423" s="138">
        <v>52.55</v>
      </c>
      <c r="L3423" s="137">
        <v>0</v>
      </c>
    </row>
    <row r="3424" spans="7:12" x14ac:dyDescent="0.25">
      <c r="G3424" s="136">
        <v>43461</v>
      </c>
      <c r="H3424" t="s">
        <v>200</v>
      </c>
      <c r="I3424" t="s">
        <v>42</v>
      </c>
      <c r="J3424" t="s">
        <v>445</v>
      </c>
      <c r="K3424" s="138">
        <v>26.78</v>
      </c>
      <c r="L3424" s="137">
        <v>0</v>
      </c>
    </row>
    <row r="3425" spans="7:12" x14ac:dyDescent="0.25">
      <c r="G3425" s="136">
        <v>43461</v>
      </c>
      <c r="H3425" t="s">
        <v>25</v>
      </c>
      <c r="I3425" t="s">
        <v>63</v>
      </c>
      <c r="J3425" t="s">
        <v>445</v>
      </c>
      <c r="K3425" s="138">
        <v>40</v>
      </c>
      <c r="L3425" s="137">
        <v>0</v>
      </c>
    </row>
    <row r="3426" spans="7:12" x14ac:dyDescent="0.25">
      <c r="G3426" s="136">
        <v>43461</v>
      </c>
      <c r="H3426" t="s">
        <v>25</v>
      </c>
      <c r="I3426" t="s">
        <v>63</v>
      </c>
      <c r="J3426" t="s">
        <v>445</v>
      </c>
      <c r="K3426" s="138">
        <v>24</v>
      </c>
      <c r="L3426" s="137">
        <v>0</v>
      </c>
    </row>
    <row r="3427" spans="7:12" x14ac:dyDescent="0.25">
      <c r="G3427" s="136">
        <v>43461</v>
      </c>
      <c r="H3427" t="s">
        <v>25</v>
      </c>
      <c r="I3427" t="s">
        <v>63</v>
      </c>
      <c r="J3427" t="s">
        <v>445</v>
      </c>
      <c r="K3427" s="138">
        <v>8</v>
      </c>
      <c r="L3427" s="137">
        <v>0</v>
      </c>
    </row>
    <row r="3428" spans="7:12" x14ac:dyDescent="0.25">
      <c r="G3428" s="136">
        <v>43461</v>
      </c>
      <c r="H3428" t="s">
        <v>201</v>
      </c>
      <c r="I3428" t="s">
        <v>163</v>
      </c>
      <c r="J3428" t="s">
        <v>445</v>
      </c>
      <c r="K3428" s="138">
        <v>86.5</v>
      </c>
      <c r="L3428" s="137">
        <v>0</v>
      </c>
    </row>
    <row r="3429" spans="7:12" x14ac:dyDescent="0.25">
      <c r="G3429" s="136">
        <v>43461</v>
      </c>
      <c r="H3429" t="s">
        <v>201</v>
      </c>
      <c r="I3429" t="s">
        <v>112</v>
      </c>
      <c r="J3429" t="s">
        <v>445</v>
      </c>
      <c r="K3429" s="138">
        <v>130.75</v>
      </c>
      <c r="L3429" s="137">
        <v>0</v>
      </c>
    </row>
    <row r="3430" spans="7:12" x14ac:dyDescent="0.25">
      <c r="G3430" s="136">
        <v>43461</v>
      </c>
      <c r="H3430" t="s">
        <v>201</v>
      </c>
      <c r="I3430" t="s">
        <v>155</v>
      </c>
      <c r="J3430" t="s">
        <v>445</v>
      </c>
      <c r="K3430" s="138">
        <v>363.13</v>
      </c>
      <c r="L3430" s="137">
        <v>0</v>
      </c>
    </row>
    <row r="3431" spans="7:12" x14ac:dyDescent="0.25">
      <c r="G3431" s="136">
        <v>43461</v>
      </c>
      <c r="H3431" t="s">
        <v>201</v>
      </c>
      <c r="I3431" t="s">
        <v>176</v>
      </c>
      <c r="J3431" t="s">
        <v>445</v>
      </c>
      <c r="K3431" s="138">
        <v>0</v>
      </c>
      <c r="L3431" s="137">
        <v>170</v>
      </c>
    </row>
    <row r="3432" spans="7:12" x14ac:dyDescent="0.25">
      <c r="G3432" s="136">
        <v>43461</v>
      </c>
      <c r="H3432" t="s">
        <v>211</v>
      </c>
      <c r="I3432" t="s">
        <v>163</v>
      </c>
      <c r="J3432" t="s">
        <v>445</v>
      </c>
      <c r="K3432" s="138">
        <v>376.89</v>
      </c>
      <c r="L3432" s="137">
        <v>0</v>
      </c>
    </row>
    <row r="3433" spans="7:12" x14ac:dyDescent="0.25">
      <c r="G3433" s="136">
        <v>43461</v>
      </c>
      <c r="H3433" t="s">
        <v>197</v>
      </c>
      <c r="I3433" t="s">
        <v>112</v>
      </c>
      <c r="J3433" t="s">
        <v>445</v>
      </c>
      <c r="K3433" s="138">
        <v>131.99</v>
      </c>
      <c r="L3433" s="137">
        <v>0</v>
      </c>
    </row>
    <row r="3434" spans="7:12" x14ac:dyDescent="0.25">
      <c r="G3434" s="136">
        <v>43461</v>
      </c>
      <c r="H3434" t="s">
        <v>197</v>
      </c>
      <c r="I3434" t="s">
        <v>155</v>
      </c>
      <c r="J3434" t="s">
        <v>445</v>
      </c>
      <c r="K3434" s="138">
        <v>319.27</v>
      </c>
      <c r="L3434" s="137">
        <v>0</v>
      </c>
    </row>
    <row r="3435" spans="7:12" x14ac:dyDescent="0.25">
      <c r="G3435" s="136">
        <v>43461</v>
      </c>
      <c r="H3435" t="s">
        <v>187</v>
      </c>
      <c r="I3435" t="s">
        <v>42</v>
      </c>
      <c r="J3435" t="s">
        <v>445</v>
      </c>
      <c r="K3435" s="138">
        <v>56.8</v>
      </c>
      <c r="L3435" s="137">
        <v>0</v>
      </c>
    </row>
    <row r="3436" spans="7:12" x14ac:dyDescent="0.25">
      <c r="G3436" s="136">
        <v>43461</v>
      </c>
      <c r="H3436" t="s">
        <v>179</v>
      </c>
      <c r="I3436" t="s">
        <v>63</v>
      </c>
      <c r="J3436" t="s">
        <v>445</v>
      </c>
      <c r="K3436" s="138">
        <v>26.65</v>
      </c>
      <c r="L3436" s="137">
        <v>0</v>
      </c>
    </row>
    <row r="3437" spans="7:12" x14ac:dyDescent="0.25">
      <c r="G3437" s="136">
        <v>43461</v>
      </c>
      <c r="H3437" t="s">
        <v>28</v>
      </c>
      <c r="I3437" t="s">
        <v>178</v>
      </c>
      <c r="J3437" t="s">
        <v>445</v>
      </c>
      <c r="K3437" s="138">
        <v>40</v>
      </c>
      <c r="L3437" s="137">
        <v>0</v>
      </c>
    </row>
    <row r="3438" spans="7:12" x14ac:dyDescent="0.25">
      <c r="G3438" s="136">
        <v>43461</v>
      </c>
      <c r="H3438" t="s">
        <v>28</v>
      </c>
      <c r="I3438" t="s">
        <v>178</v>
      </c>
      <c r="J3438" t="s">
        <v>445</v>
      </c>
      <c r="K3438" s="138">
        <v>31.98</v>
      </c>
      <c r="L3438" s="137">
        <v>0</v>
      </c>
    </row>
    <row r="3439" spans="7:12" x14ac:dyDescent="0.25">
      <c r="G3439" s="136">
        <v>43461</v>
      </c>
      <c r="H3439" t="s">
        <v>28</v>
      </c>
      <c r="I3439" t="s">
        <v>155</v>
      </c>
      <c r="J3439" t="s">
        <v>445</v>
      </c>
      <c r="K3439" s="138">
        <v>242.83</v>
      </c>
      <c r="L3439" s="137">
        <v>0</v>
      </c>
    </row>
    <row r="3440" spans="7:12" x14ac:dyDescent="0.25">
      <c r="G3440" s="136">
        <v>43461</v>
      </c>
      <c r="H3440" t="s">
        <v>28</v>
      </c>
      <c r="I3440" t="s">
        <v>155</v>
      </c>
      <c r="J3440" t="s">
        <v>445</v>
      </c>
      <c r="K3440" s="138">
        <v>188.37</v>
      </c>
      <c r="L3440" s="137">
        <v>0</v>
      </c>
    </row>
    <row r="3441" spans="7:12" x14ac:dyDescent="0.25">
      <c r="G3441" s="136">
        <v>43461</v>
      </c>
      <c r="H3441" t="s">
        <v>28</v>
      </c>
      <c r="I3441" t="s">
        <v>155</v>
      </c>
      <c r="J3441" t="s">
        <v>445</v>
      </c>
      <c r="K3441" s="138">
        <v>132.9</v>
      </c>
      <c r="L3441" s="137">
        <v>0</v>
      </c>
    </row>
    <row r="3442" spans="7:12" x14ac:dyDescent="0.25">
      <c r="G3442" s="136">
        <v>43461</v>
      </c>
      <c r="H3442" t="s">
        <v>28</v>
      </c>
      <c r="I3442" t="s">
        <v>155</v>
      </c>
      <c r="J3442" t="s">
        <v>445</v>
      </c>
      <c r="K3442" s="138">
        <v>130.5</v>
      </c>
      <c r="L3442" s="137">
        <v>0</v>
      </c>
    </row>
    <row r="3443" spans="7:12" x14ac:dyDescent="0.25">
      <c r="G3443" s="136">
        <v>43461</v>
      </c>
      <c r="H3443" t="s">
        <v>28</v>
      </c>
      <c r="I3443" t="s">
        <v>155</v>
      </c>
      <c r="J3443" t="s">
        <v>445</v>
      </c>
      <c r="K3443" s="138">
        <v>115.38</v>
      </c>
      <c r="L3443" s="137">
        <v>0</v>
      </c>
    </row>
    <row r="3444" spans="7:12" x14ac:dyDescent="0.25">
      <c r="G3444" s="136">
        <v>43461</v>
      </c>
      <c r="H3444" t="s">
        <v>28</v>
      </c>
      <c r="I3444" t="s">
        <v>155</v>
      </c>
      <c r="J3444" t="s">
        <v>445</v>
      </c>
      <c r="K3444" s="138">
        <v>107.59</v>
      </c>
      <c r="L3444" s="137">
        <v>0</v>
      </c>
    </row>
    <row r="3445" spans="7:12" x14ac:dyDescent="0.25">
      <c r="G3445" s="136">
        <v>43461</v>
      </c>
      <c r="H3445" t="s">
        <v>28</v>
      </c>
      <c r="I3445" t="s">
        <v>155</v>
      </c>
      <c r="J3445" t="s">
        <v>445</v>
      </c>
      <c r="K3445" s="138">
        <v>107.45</v>
      </c>
      <c r="L3445" s="137">
        <v>0</v>
      </c>
    </row>
    <row r="3446" spans="7:12" x14ac:dyDescent="0.25">
      <c r="G3446" s="136">
        <v>43461</v>
      </c>
      <c r="H3446" t="s">
        <v>28</v>
      </c>
      <c r="I3446" t="s">
        <v>155</v>
      </c>
      <c r="J3446" t="s">
        <v>445</v>
      </c>
      <c r="K3446" s="138">
        <v>96</v>
      </c>
      <c r="L3446" s="137">
        <v>0</v>
      </c>
    </row>
    <row r="3447" spans="7:12" x14ac:dyDescent="0.25">
      <c r="G3447" s="136">
        <v>43461</v>
      </c>
      <c r="H3447" t="s">
        <v>28</v>
      </c>
      <c r="I3447" t="s">
        <v>155</v>
      </c>
      <c r="J3447" t="s">
        <v>445</v>
      </c>
      <c r="K3447" s="138">
        <v>68</v>
      </c>
      <c r="L3447" s="137">
        <v>0</v>
      </c>
    </row>
    <row r="3448" spans="7:12" x14ac:dyDescent="0.25">
      <c r="G3448" s="136">
        <v>43461</v>
      </c>
      <c r="H3448" t="s">
        <v>28</v>
      </c>
      <c r="I3448" t="s">
        <v>155</v>
      </c>
      <c r="J3448" t="s">
        <v>445</v>
      </c>
      <c r="K3448" s="138">
        <v>23.38</v>
      </c>
      <c r="L3448" s="137">
        <v>0</v>
      </c>
    </row>
    <row r="3449" spans="7:12" x14ac:dyDescent="0.25">
      <c r="G3449" s="136">
        <v>43461</v>
      </c>
      <c r="H3449" t="s">
        <v>28</v>
      </c>
      <c r="I3449" t="s">
        <v>66</v>
      </c>
      <c r="J3449" t="s">
        <v>266</v>
      </c>
      <c r="K3449" s="138">
        <v>2.1</v>
      </c>
      <c r="L3449" s="137">
        <v>0</v>
      </c>
    </row>
    <row r="3450" spans="7:12" x14ac:dyDescent="0.25">
      <c r="G3450" s="136">
        <v>43461</v>
      </c>
      <c r="H3450" t="s">
        <v>28</v>
      </c>
      <c r="I3450" t="s">
        <v>66</v>
      </c>
      <c r="J3450" t="s">
        <v>114</v>
      </c>
      <c r="K3450" s="138">
        <v>16.399999999999999</v>
      </c>
      <c r="L3450" s="137">
        <v>0</v>
      </c>
    </row>
    <row r="3451" spans="7:12" x14ac:dyDescent="0.25">
      <c r="G3451" s="136">
        <v>43462</v>
      </c>
      <c r="H3451" t="s">
        <v>203</v>
      </c>
      <c r="I3451" t="s">
        <v>163</v>
      </c>
      <c r="J3451" t="s">
        <v>446</v>
      </c>
      <c r="K3451" s="138">
        <v>70</v>
      </c>
      <c r="L3451" s="137">
        <v>0</v>
      </c>
    </row>
    <row r="3452" spans="7:12" x14ac:dyDescent="0.25">
      <c r="G3452" s="136">
        <v>43462</v>
      </c>
      <c r="H3452" t="s">
        <v>192</v>
      </c>
      <c r="I3452" t="s">
        <v>163</v>
      </c>
      <c r="J3452" t="s">
        <v>446</v>
      </c>
      <c r="K3452" s="138">
        <v>75.260000000000005</v>
      </c>
      <c r="L3452" s="137">
        <v>0</v>
      </c>
    </row>
    <row r="3453" spans="7:12" x14ac:dyDescent="0.25">
      <c r="G3453" s="136">
        <v>43462</v>
      </c>
      <c r="H3453" t="s">
        <v>192</v>
      </c>
      <c r="I3453" t="s">
        <v>155</v>
      </c>
      <c r="J3453" t="s">
        <v>446</v>
      </c>
      <c r="K3453" s="138">
        <v>130.16</v>
      </c>
      <c r="L3453" s="137">
        <v>0</v>
      </c>
    </row>
    <row r="3454" spans="7:12" x14ac:dyDescent="0.25">
      <c r="G3454" s="136">
        <v>43462</v>
      </c>
      <c r="H3454" t="s">
        <v>27</v>
      </c>
      <c r="I3454" t="s">
        <v>63</v>
      </c>
      <c r="J3454" t="s">
        <v>446</v>
      </c>
      <c r="K3454" s="138">
        <v>8</v>
      </c>
      <c r="L3454" s="137">
        <v>0</v>
      </c>
    </row>
    <row r="3455" spans="7:12" x14ac:dyDescent="0.25">
      <c r="G3455" s="136">
        <v>43462</v>
      </c>
      <c r="H3455" t="s">
        <v>195</v>
      </c>
      <c r="I3455" t="s">
        <v>163</v>
      </c>
      <c r="J3455" t="s">
        <v>446</v>
      </c>
      <c r="K3455" s="138">
        <v>391.87</v>
      </c>
      <c r="L3455" s="137">
        <v>0</v>
      </c>
    </row>
    <row r="3456" spans="7:12" x14ac:dyDescent="0.25">
      <c r="G3456" s="136">
        <v>43462</v>
      </c>
      <c r="H3456" t="s">
        <v>195</v>
      </c>
      <c r="I3456" t="s">
        <v>42</v>
      </c>
      <c r="J3456" t="s">
        <v>446</v>
      </c>
      <c r="K3456" s="138">
        <v>23.55</v>
      </c>
      <c r="L3456" s="137">
        <v>0</v>
      </c>
    </row>
    <row r="3457" spans="7:12" x14ac:dyDescent="0.25">
      <c r="G3457" s="136">
        <v>43462</v>
      </c>
      <c r="H3457" t="s">
        <v>183</v>
      </c>
      <c r="I3457" t="s">
        <v>163</v>
      </c>
      <c r="J3457" t="s">
        <v>446</v>
      </c>
      <c r="K3457" s="138">
        <v>474</v>
      </c>
      <c r="L3457" s="137">
        <v>0</v>
      </c>
    </row>
    <row r="3458" spans="7:12" x14ac:dyDescent="0.25">
      <c r="G3458" s="136">
        <v>43462</v>
      </c>
      <c r="H3458" t="s">
        <v>189</v>
      </c>
      <c r="I3458" t="s">
        <v>163</v>
      </c>
      <c r="J3458" t="s">
        <v>446</v>
      </c>
      <c r="K3458" s="138">
        <v>84</v>
      </c>
      <c r="L3458" s="137">
        <v>0</v>
      </c>
    </row>
    <row r="3459" spans="7:12" x14ac:dyDescent="0.25">
      <c r="G3459" s="136">
        <v>43462</v>
      </c>
      <c r="H3459" t="s">
        <v>193</v>
      </c>
      <c r="I3459" t="s">
        <v>163</v>
      </c>
      <c r="J3459" t="s">
        <v>446</v>
      </c>
      <c r="K3459" s="138">
        <v>103.74</v>
      </c>
      <c r="L3459" s="137">
        <v>0</v>
      </c>
    </row>
    <row r="3460" spans="7:12" x14ac:dyDescent="0.25">
      <c r="G3460" s="136">
        <v>43462</v>
      </c>
      <c r="H3460" t="s">
        <v>200</v>
      </c>
      <c r="I3460" t="s">
        <v>163</v>
      </c>
      <c r="J3460" t="s">
        <v>446</v>
      </c>
      <c r="K3460" s="138">
        <v>140.93</v>
      </c>
      <c r="L3460" s="137">
        <v>0</v>
      </c>
    </row>
    <row r="3461" spans="7:12" x14ac:dyDescent="0.25">
      <c r="G3461" s="136">
        <v>43462</v>
      </c>
      <c r="H3461" t="s">
        <v>25</v>
      </c>
      <c r="I3461" t="s">
        <v>63</v>
      </c>
      <c r="J3461" t="s">
        <v>446</v>
      </c>
      <c r="K3461" s="138">
        <v>72</v>
      </c>
      <c r="L3461" s="137">
        <v>0</v>
      </c>
    </row>
    <row r="3462" spans="7:12" x14ac:dyDescent="0.25">
      <c r="G3462" s="136">
        <v>43462</v>
      </c>
      <c r="H3462" t="s">
        <v>25</v>
      </c>
      <c r="I3462" t="s">
        <v>63</v>
      </c>
      <c r="J3462" t="s">
        <v>446</v>
      </c>
      <c r="K3462" s="138">
        <v>40</v>
      </c>
      <c r="L3462" s="137">
        <v>0</v>
      </c>
    </row>
    <row r="3463" spans="7:12" x14ac:dyDescent="0.25">
      <c r="G3463" s="136">
        <v>43462</v>
      </c>
      <c r="H3463" t="s">
        <v>25</v>
      </c>
      <c r="I3463" t="s">
        <v>63</v>
      </c>
      <c r="J3463" t="s">
        <v>446</v>
      </c>
      <c r="K3463" s="138">
        <v>32</v>
      </c>
      <c r="L3463" s="137">
        <v>0</v>
      </c>
    </row>
    <row r="3464" spans="7:12" x14ac:dyDescent="0.25">
      <c r="G3464" s="136">
        <v>43462</v>
      </c>
      <c r="H3464" t="s">
        <v>25</v>
      </c>
      <c r="I3464" t="s">
        <v>63</v>
      </c>
      <c r="J3464" t="s">
        <v>446</v>
      </c>
      <c r="K3464" s="138">
        <v>16</v>
      </c>
      <c r="L3464" s="137">
        <v>0</v>
      </c>
    </row>
    <row r="3465" spans="7:12" x14ac:dyDescent="0.25">
      <c r="G3465" s="136">
        <v>43462</v>
      </c>
      <c r="H3465" t="s">
        <v>25</v>
      </c>
      <c r="I3465" t="s">
        <v>63</v>
      </c>
      <c r="J3465" t="s">
        <v>446</v>
      </c>
      <c r="K3465" s="138">
        <v>8</v>
      </c>
      <c r="L3465" s="137">
        <v>0</v>
      </c>
    </row>
    <row r="3466" spans="7:12" x14ac:dyDescent="0.25">
      <c r="G3466" s="136">
        <v>43462</v>
      </c>
      <c r="H3466" t="s">
        <v>181</v>
      </c>
      <c r="I3466" t="s">
        <v>42</v>
      </c>
      <c r="J3466" t="s">
        <v>446</v>
      </c>
      <c r="K3466" s="138">
        <v>32</v>
      </c>
      <c r="L3466" s="137">
        <v>0</v>
      </c>
    </row>
    <row r="3467" spans="7:12" x14ac:dyDescent="0.25">
      <c r="G3467" s="136">
        <v>43462</v>
      </c>
      <c r="H3467" t="s">
        <v>197</v>
      </c>
      <c r="I3467" t="s">
        <v>155</v>
      </c>
      <c r="J3467" t="s">
        <v>446</v>
      </c>
      <c r="K3467" s="138">
        <v>1100</v>
      </c>
      <c r="L3467" s="137">
        <v>0</v>
      </c>
    </row>
    <row r="3468" spans="7:12" x14ac:dyDescent="0.25">
      <c r="G3468" s="136">
        <v>43462</v>
      </c>
      <c r="H3468" t="s">
        <v>187</v>
      </c>
      <c r="I3468" t="s">
        <v>42</v>
      </c>
      <c r="J3468" t="s">
        <v>446</v>
      </c>
      <c r="K3468" s="138">
        <v>103.2</v>
      </c>
      <c r="L3468" s="137">
        <v>0</v>
      </c>
    </row>
    <row r="3469" spans="7:12" x14ac:dyDescent="0.25">
      <c r="G3469" s="136">
        <v>43462</v>
      </c>
      <c r="H3469" t="s">
        <v>179</v>
      </c>
      <c r="I3469" t="s">
        <v>163</v>
      </c>
      <c r="J3469" t="s">
        <v>446</v>
      </c>
      <c r="K3469" s="138">
        <v>66.86</v>
      </c>
      <c r="L3469" s="137">
        <v>0</v>
      </c>
    </row>
    <row r="3470" spans="7:12" x14ac:dyDescent="0.25">
      <c r="G3470" s="136">
        <v>43462</v>
      </c>
      <c r="H3470" t="s">
        <v>28</v>
      </c>
      <c r="I3470" t="s">
        <v>63</v>
      </c>
      <c r="J3470" t="s">
        <v>446</v>
      </c>
      <c r="K3470" s="138">
        <v>8</v>
      </c>
      <c r="L3470" s="137">
        <v>0</v>
      </c>
    </row>
    <row r="3471" spans="7:12" x14ac:dyDescent="0.25">
      <c r="G3471" s="136">
        <v>43462</v>
      </c>
      <c r="H3471" t="s">
        <v>28</v>
      </c>
      <c r="I3471" t="s">
        <v>163</v>
      </c>
      <c r="J3471" t="s">
        <v>446</v>
      </c>
      <c r="K3471" s="138">
        <v>196</v>
      </c>
      <c r="L3471" s="137">
        <v>0</v>
      </c>
    </row>
    <row r="3472" spans="7:12" x14ac:dyDescent="0.25">
      <c r="G3472" s="136">
        <v>43462</v>
      </c>
      <c r="H3472" t="s">
        <v>28</v>
      </c>
      <c r="I3472" t="s">
        <v>163</v>
      </c>
      <c r="J3472" t="s">
        <v>446</v>
      </c>
      <c r="K3472" s="138">
        <v>89</v>
      </c>
      <c r="L3472" s="137">
        <v>0</v>
      </c>
    </row>
    <row r="3473" spans="7:12" x14ac:dyDescent="0.25">
      <c r="G3473" s="136">
        <v>43462</v>
      </c>
      <c r="H3473" t="s">
        <v>28</v>
      </c>
      <c r="I3473" t="s">
        <v>178</v>
      </c>
      <c r="J3473" t="s">
        <v>446</v>
      </c>
      <c r="K3473" s="138">
        <v>81.260000000000005</v>
      </c>
      <c r="L3473" s="137">
        <v>0</v>
      </c>
    </row>
    <row r="3474" spans="7:12" x14ac:dyDescent="0.25">
      <c r="G3474" s="136">
        <v>43462</v>
      </c>
      <c r="H3474" t="s">
        <v>28</v>
      </c>
      <c r="I3474" t="s">
        <v>178</v>
      </c>
      <c r="J3474" t="s">
        <v>446</v>
      </c>
      <c r="K3474" s="138">
        <v>60</v>
      </c>
      <c r="L3474" s="137">
        <v>0</v>
      </c>
    </row>
    <row r="3475" spans="7:12" x14ac:dyDescent="0.25">
      <c r="G3475" s="136">
        <v>43462</v>
      </c>
      <c r="H3475" t="s">
        <v>28</v>
      </c>
      <c r="I3475" t="s">
        <v>112</v>
      </c>
      <c r="J3475" t="s">
        <v>446</v>
      </c>
      <c r="K3475" s="138">
        <v>77.040000000000006</v>
      </c>
      <c r="L3475" s="137">
        <v>0</v>
      </c>
    </row>
    <row r="3476" spans="7:12" x14ac:dyDescent="0.25">
      <c r="G3476" s="136">
        <v>43462</v>
      </c>
      <c r="H3476" t="s">
        <v>28</v>
      </c>
      <c r="I3476" t="s">
        <v>155</v>
      </c>
      <c r="J3476" t="s">
        <v>446</v>
      </c>
      <c r="K3476" s="138">
        <v>305.58999999999997</v>
      </c>
      <c r="L3476" s="137">
        <v>0</v>
      </c>
    </row>
    <row r="3477" spans="7:12" x14ac:dyDescent="0.25">
      <c r="G3477" s="136">
        <v>43462</v>
      </c>
      <c r="H3477" t="s">
        <v>28</v>
      </c>
      <c r="I3477" t="s">
        <v>155</v>
      </c>
      <c r="J3477" t="s">
        <v>446</v>
      </c>
      <c r="K3477" s="138">
        <v>207</v>
      </c>
      <c r="L3477" s="137">
        <v>0</v>
      </c>
    </row>
    <row r="3478" spans="7:12" x14ac:dyDescent="0.25">
      <c r="G3478" s="136">
        <v>43462</v>
      </c>
      <c r="H3478" t="s">
        <v>28</v>
      </c>
      <c r="I3478" t="s">
        <v>155</v>
      </c>
      <c r="J3478" t="s">
        <v>446</v>
      </c>
      <c r="K3478" s="138">
        <v>203</v>
      </c>
      <c r="L3478" s="137">
        <v>0</v>
      </c>
    </row>
    <row r="3479" spans="7:12" x14ac:dyDescent="0.25">
      <c r="G3479" s="136">
        <v>43462</v>
      </c>
      <c r="H3479" t="s">
        <v>28</v>
      </c>
      <c r="I3479" t="s">
        <v>155</v>
      </c>
      <c r="J3479" t="s">
        <v>446</v>
      </c>
      <c r="K3479" s="138">
        <v>187.14</v>
      </c>
      <c r="L3479" s="137">
        <v>0</v>
      </c>
    </row>
    <row r="3480" spans="7:12" x14ac:dyDescent="0.25">
      <c r="G3480" s="136">
        <v>43462</v>
      </c>
      <c r="H3480" t="s">
        <v>28</v>
      </c>
      <c r="I3480" t="s">
        <v>155</v>
      </c>
      <c r="J3480" t="s">
        <v>446</v>
      </c>
      <c r="K3480" s="138">
        <v>163.36000000000001</v>
      </c>
      <c r="L3480" s="137">
        <v>0</v>
      </c>
    </row>
    <row r="3481" spans="7:12" x14ac:dyDescent="0.25">
      <c r="G3481" s="136">
        <v>43462</v>
      </c>
      <c r="H3481" t="s">
        <v>28</v>
      </c>
      <c r="I3481" t="s">
        <v>155</v>
      </c>
      <c r="J3481" t="s">
        <v>446</v>
      </c>
      <c r="K3481" s="138">
        <v>123</v>
      </c>
      <c r="L3481" s="137">
        <v>0</v>
      </c>
    </row>
    <row r="3482" spans="7:12" x14ac:dyDescent="0.25">
      <c r="G3482" s="136">
        <v>43462</v>
      </c>
      <c r="H3482" t="s">
        <v>28</v>
      </c>
      <c r="I3482" t="s">
        <v>155</v>
      </c>
      <c r="J3482" t="s">
        <v>446</v>
      </c>
      <c r="K3482" s="138">
        <v>121.45</v>
      </c>
      <c r="L3482" s="137">
        <v>0</v>
      </c>
    </row>
    <row r="3483" spans="7:12" x14ac:dyDescent="0.25">
      <c r="G3483" s="136">
        <v>43462</v>
      </c>
      <c r="H3483" t="s">
        <v>28</v>
      </c>
      <c r="I3483" t="s">
        <v>155</v>
      </c>
      <c r="J3483" t="s">
        <v>446</v>
      </c>
      <c r="K3483" s="138">
        <v>120.4</v>
      </c>
      <c r="L3483" s="137">
        <v>0</v>
      </c>
    </row>
    <row r="3484" spans="7:12" x14ac:dyDescent="0.25">
      <c r="G3484" s="136">
        <v>43462</v>
      </c>
      <c r="H3484" t="s">
        <v>28</v>
      </c>
      <c r="I3484" t="s">
        <v>155</v>
      </c>
      <c r="J3484" t="s">
        <v>446</v>
      </c>
      <c r="K3484" s="138">
        <v>104.68</v>
      </c>
      <c r="L3484" s="137">
        <v>0</v>
      </c>
    </row>
    <row r="3485" spans="7:12" x14ac:dyDescent="0.25">
      <c r="G3485" s="136">
        <v>43462</v>
      </c>
      <c r="H3485" t="s">
        <v>28</v>
      </c>
      <c r="I3485" t="s">
        <v>155</v>
      </c>
      <c r="J3485" t="s">
        <v>446</v>
      </c>
      <c r="K3485" s="138">
        <v>90.4</v>
      </c>
      <c r="L3485" s="137">
        <v>0</v>
      </c>
    </row>
    <row r="3486" spans="7:12" x14ac:dyDescent="0.25">
      <c r="G3486" s="136">
        <v>43462</v>
      </c>
      <c r="H3486" t="s">
        <v>28</v>
      </c>
      <c r="I3486" t="s">
        <v>155</v>
      </c>
      <c r="J3486" t="s">
        <v>446</v>
      </c>
      <c r="K3486" s="138">
        <v>75</v>
      </c>
      <c r="L3486" s="137">
        <v>0</v>
      </c>
    </row>
    <row r="3487" spans="7:12" x14ac:dyDescent="0.25">
      <c r="G3487" s="136">
        <v>43462</v>
      </c>
      <c r="H3487" t="s">
        <v>28</v>
      </c>
      <c r="I3487" t="s">
        <v>155</v>
      </c>
      <c r="J3487" t="s">
        <v>446</v>
      </c>
      <c r="K3487" s="138">
        <v>64.2</v>
      </c>
      <c r="L3487" s="137">
        <v>0</v>
      </c>
    </row>
    <row r="3488" spans="7:12" x14ac:dyDescent="0.25">
      <c r="G3488" s="136">
        <v>43462</v>
      </c>
      <c r="H3488" t="s">
        <v>28</v>
      </c>
      <c r="I3488" t="s">
        <v>155</v>
      </c>
      <c r="J3488" t="s">
        <v>446</v>
      </c>
      <c r="K3488" s="138">
        <v>49.95</v>
      </c>
      <c r="L3488" s="137">
        <v>0</v>
      </c>
    </row>
    <row r="3489" spans="7:12" x14ac:dyDescent="0.25">
      <c r="G3489" s="136">
        <v>43462</v>
      </c>
      <c r="H3489" t="s">
        <v>28</v>
      </c>
      <c r="I3489" t="s">
        <v>155</v>
      </c>
      <c r="J3489" t="s">
        <v>446</v>
      </c>
      <c r="K3489" s="138">
        <v>41</v>
      </c>
      <c r="L3489" s="137">
        <v>0</v>
      </c>
    </row>
    <row r="3490" spans="7:12" x14ac:dyDescent="0.25">
      <c r="G3490" s="136">
        <v>43462</v>
      </c>
      <c r="H3490" t="s">
        <v>28</v>
      </c>
      <c r="I3490" t="s">
        <v>155</v>
      </c>
      <c r="J3490" t="s">
        <v>446</v>
      </c>
      <c r="K3490" s="138">
        <v>9.2899999999999991</v>
      </c>
      <c r="L3490" s="137">
        <v>0</v>
      </c>
    </row>
    <row r="3491" spans="7:12" x14ac:dyDescent="0.25">
      <c r="G3491" s="136">
        <v>43462</v>
      </c>
      <c r="H3491" t="s">
        <v>28</v>
      </c>
      <c r="I3491" t="s">
        <v>66</v>
      </c>
      <c r="J3491" t="s">
        <v>138</v>
      </c>
      <c r="K3491" s="138">
        <v>2.4</v>
      </c>
      <c r="L3491" s="137">
        <v>0</v>
      </c>
    </row>
    <row r="3492" spans="7:12" x14ac:dyDescent="0.25">
      <c r="G3492" s="136">
        <v>43462</v>
      </c>
      <c r="H3492" t="s">
        <v>28</v>
      </c>
      <c r="I3492" t="s">
        <v>66</v>
      </c>
      <c r="J3492" t="s">
        <v>114</v>
      </c>
      <c r="K3492" s="138">
        <v>3.6</v>
      </c>
      <c r="L3492" s="137">
        <v>0</v>
      </c>
    </row>
    <row r="3493" spans="7:12" x14ac:dyDescent="0.25">
      <c r="G3493" s="136">
        <v>43463</v>
      </c>
      <c r="H3493" t="s">
        <v>28</v>
      </c>
      <c r="I3493" t="s">
        <v>66</v>
      </c>
      <c r="J3493" t="s">
        <v>98</v>
      </c>
      <c r="K3493" s="138">
        <v>30</v>
      </c>
      <c r="L3493" s="137">
        <v>0</v>
      </c>
    </row>
    <row r="3494" spans="7:12" x14ac:dyDescent="0.25">
      <c r="G3494" s="136">
        <v>43465</v>
      </c>
      <c r="H3494" t="s">
        <v>204</v>
      </c>
      <c r="I3494" t="s">
        <v>236</v>
      </c>
      <c r="J3494" t="s">
        <v>447</v>
      </c>
      <c r="K3494" s="138">
        <v>0</v>
      </c>
      <c r="L3494" s="137">
        <v>1629.28</v>
      </c>
    </row>
    <row r="3495" spans="7:12" x14ac:dyDescent="0.25">
      <c r="G3495" s="136">
        <v>43465</v>
      </c>
      <c r="H3495" t="s">
        <v>204</v>
      </c>
      <c r="I3495" t="s">
        <v>236</v>
      </c>
      <c r="J3495" t="s">
        <v>447</v>
      </c>
      <c r="L3495" s="137">
        <v>195.02</v>
      </c>
    </row>
    <row r="3496" spans="7:12" x14ac:dyDescent="0.25">
      <c r="G3496" s="136">
        <v>43465</v>
      </c>
      <c r="H3496" t="s">
        <v>203</v>
      </c>
      <c r="I3496" t="s">
        <v>236</v>
      </c>
      <c r="J3496" t="s">
        <v>447</v>
      </c>
      <c r="K3496" s="138">
        <v>0</v>
      </c>
      <c r="L3496" s="137">
        <v>8435.5400000000009</v>
      </c>
    </row>
    <row r="3497" spans="7:12" x14ac:dyDescent="0.25">
      <c r="G3497" s="136">
        <v>43465</v>
      </c>
      <c r="H3497" t="s">
        <v>203</v>
      </c>
      <c r="I3497" t="s">
        <v>236</v>
      </c>
      <c r="J3497" t="s">
        <v>447</v>
      </c>
      <c r="L3497" s="137">
        <v>4787.0600000000004</v>
      </c>
    </row>
    <row r="3498" spans="7:12" x14ac:dyDescent="0.25">
      <c r="G3498" s="136">
        <v>43465</v>
      </c>
      <c r="H3498" t="s">
        <v>203</v>
      </c>
      <c r="I3498" t="s">
        <v>236</v>
      </c>
      <c r="J3498" t="s">
        <v>447</v>
      </c>
      <c r="L3498" s="137">
        <v>3084.31</v>
      </c>
    </row>
    <row r="3499" spans="7:12" x14ac:dyDescent="0.25">
      <c r="G3499" s="136">
        <v>43465</v>
      </c>
      <c r="H3499" t="s">
        <v>203</v>
      </c>
      <c r="I3499" t="s">
        <v>236</v>
      </c>
      <c r="J3499" t="s">
        <v>447</v>
      </c>
      <c r="L3499" s="137">
        <v>333.68</v>
      </c>
    </row>
    <row r="3500" spans="7:12" x14ac:dyDescent="0.25">
      <c r="G3500" s="136">
        <v>43465</v>
      </c>
      <c r="H3500" t="s">
        <v>203</v>
      </c>
      <c r="I3500" t="s">
        <v>236</v>
      </c>
      <c r="J3500" t="s">
        <v>447</v>
      </c>
      <c r="L3500" s="137">
        <v>178.85</v>
      </c>
    </row>
    <row r="3501" spans="7:12" x14ac:dyDescent="0.25">
      <c r="G3501" s="136">
        <v>43465</v>
      </c>
      <c r="H3501" t="s">
        <v>192</v>
      </c>
      <c r="I3501" t="s">
        <v>236</v>
      </c>
      <c r="J3501" t="s">
        <v>447</v>
      </c>
      <c r="K3501" s="138">
        <v>0</v>
      </c>
      <c r="L3501" s="137">
        <v>6820.24</v>
      </c>
    </row>
    <row r="3502" spans="7:12" x14ac:dyDescent="0.25">
      <c r="G3502" s="136">
        <v>43465</v>
      </c>
      <c r="H3502" t="s">
        <v>192</v>
      </c>
      <c r="I3502" t="s">
        <v>236</v>
      </c>
      <c r="J3502" t="s">
        <v>447</v>
      </c>
      <c r="L3502" s="137">
        <v>5347.21</v>
      </c>
    </row>
    <row r="3503" spans="7:12" x14ac:dyDescent="0.25">
      <c r="G3503" s="136">
        <v>43465</v>
      </c>
      <c r="H3503" t="s">
        <v>192</v>
      </c>
      <c r="I3503" t="s">
        <v>236</v>
      </c>
      <c r="J3503" t="s">
        <v>447</v>
      </c>
      <c r="L3503" s="137">
        <v>4275.12</v>
      </c>
    </row>
    <row r="3504" spans="7:12" x14ac:dyDescent="0.25">
      <c r="G3504" s="136">
        <v>43465</v>
      </c>
      <c r="H3504" t="s">
        <v>192</v>
      </c>
      <c r="I3504" t="s">
        <v>236</v>
      </c>
      <c r="J3504" t="s">
        <v>447</v>
      </c>
      <c r="L3504" s="137">
        <v>2496.35</v>
      </c>
    </row>
    <row r="3505" spans="7:12" x14ac:dyDescent="0.25">
      <c r="G3505" s="136">
        <v>43465</v>
      </c>
      <c r="H3505" t="s">
        <v>192</v>
      </c>
      <c r="I3505" t="s">
        <v>236</v>
      </c>
      <c r="J3505" t="s">
        <v>447</v>
      </c>
      <c r="L3505" s="137">
        <v>1304.6199999999999</v>
      </c>
    </row>
    <row r="3506" spans="7:12" x14ac:dyDescent="0.25">
      <c r="G3506" s="136">
        <v>43465</v>
      </c>
      <c r="H3506" t="s">
        <v>27</v>
      </c>
      <c r="I3506" t="s">
        <v>236</v>
      </c>
      <c r="J3506" t="s">
        <v>447</v>
      </c>
      <c r="K3506" s="138">
        <v>0</v>
      </c>
      <c r="L3506" s="137">
        <v>3667.4</v>
      </c>
    </row>
    <row r="3507" spans="7:12" x14ac:dyDescent="0.25">
      <c r="G3507" s="136">
        <v>43465</v>
      </c>
      <c r="H3507" t="s">
        <v>27</v>
      </c>
      <c r="I3507" t="s">
        <v>236</v>
      </c>
      <c r="J3507" t="s">
        <v>447</v>
      </c>
      <c r="L3507" s="137">
        <v>2827.76</v>
      </c>
    </row>
    <row r="3508" spans="7:12" x14ac:dyDescent="0.25">
      <c r="G3508" s="136">
        <v>43465</v>
      </c>
      <c r="H3508" t="s">
        <v>27</v>
      </c>
      <c r="I3508" t="s">
        <v>236</v>
      </c>
      <c r="J3508" t="s">
        <v>447</v>
      </c>
      <c r="L3508" s="137">
        <v>1224</v>
      </c>
    </row>
    <row r="3509" spans="7:12" x14ac:dyDescent="0.25">
      <c r="G3509" s="136">
        <v>43465</v>
      </c>
      <c r="H3509" t="s">
        <v>27</v>
      </c>
      <c r="I3509" t="s">
        <v>236</v>
      </c>
      <c r="J3509" t="s">
        <v>447</v>
      </c>
      <c r="L3509" s="137">
        <v>1144</v>
      </c>
    </row>
    <row r="3510" spans="7:12" x14ac:dyDescent="0.25">
      <c r="G3510" s="136">
        <v>43465</v>
      </c>
      <c r="H3510" t="s">
        <v>27</v>
      </c>
      <c r="I3510" t="s">
        <v>236</v>
      </c>
      <c r="J3510" t="s">
        <v>447</v>
      </c>
      <c r="L3510" s="137">
        <v>943.52</v>
      </c>
    </row>
    <row r="3511" spans="7:12" x14ac:dyDescent="0.25">
      <c r="G3511" s="136">
        <v>43465</v>
      </c>
      <c r="H3511" t="s">
        <v>27</v>
      </c>
      <c r="I3511" t="s">
        <v>236</v>
      </c>
      <c r="J3511" t="s">
        <v>447</v>
      </c>
      <c r="L3511" s="137">
        <v>860.31</v>
      </c>
    </row>
    <row r="3512" spans="7:12" x14ac:dyDescent="0.25">
      <c r="G3512" s="136">
        <v>43465</v>
      </c>
      <c r="H3512" t="s">
        <v>27</v>
      </c>
      <c r="I3512" t="s">
        <v>236</v>
      </c>
      <c r="J3512" t="s">
        <v>447</v>
      </c>
      <c r="L3512" s="137">
        <v>839.97</v>
      </c>
    </row>
    <row r="3513" spans="7:12" x14ac:dyDescent="0.25">
      <c r="G3513" s="136">
        <v>43465</v>
      </c>
      <c r="H3513" t="s">
        <v>27</v>
      </c>
      <c r="I3513" t="s">
        <v>236</v>
      </c>
      <c r="J3513" t="s">
        <v>447</v>
      </c>
      <c r="L3513" s="137">
        <v>718</v>
      </c>
    </row>
    <row r="3514" spans="7:12" x14ac:dyDescent="0.25">
      <c r="G3514" s="136">
        <v>43465</v>
      </c>
      <c r="H3514" t="s">
        <v>27</v>
      </c>
      <c r="I3514" t="s">
        <v>236</v>
      </c>
      <c r="J3514" t="s">
        <v>447</v>
      </c>
      <c r="L3514" s="137">
        <v>716.46</v>
      </c>
    </row>
    <row r="3515" spans="7:12" x14ac:dyDescent="0.25">
      <c r="G3515" s="136">
        <v>43465</v>
      </c>
      <c r="H3515" t="s">
        <v>27</v>
      </c>
      <c r="I3515" t="s">
        <v>236</v>
      </c>
      <c r="J3515" t="s">
        <v>447</v>
      </c>
      <c r="L3515" s="137">
        <v>648.05999999999995</v>
      </c>
    </row>
    <row r="3516" spans="7:12" x14ac:dyDescent="0.25">
      <c r="G3516" s="136">
        <v>43465</v>
      </c>
      <c r="H3516" t="s">
        <v>27</v>
      </c>
      <c r="I3516" t="s">
        <v>236</v>
      </c>
      <c r="J3516" t="s">
        <v>447</v>
      </c>
      <c r="L3516" s="137">
        <v>626</v>
      </c>
    </row>
    <row r="3517" spans="7:12" x14ac:dyDescent="0.25">
      <c r="G3517" s="136">
        <v>43465</v>
      </c>
      <c r="H3517" t="s">
        <v>27</v>
      </c>
      <c r="I3517" t="s">
        <v>236</v>
      </c>
      <c r="J3517" t="s">
        <v>447</v>
      </c>
      <c r="L3517" s="137">
        <v>600.89</v>
      </c>
    </row>
    <row r="3518" spans="7:12" x14ac:dyDescent="0.25">
      <c r="G3518" s="136">
        <v>43465</v>
      </c>
      <c r="H3518" t="s">
        <v>27</v>
      </c>
      <c r="I3518" t="s">
        <v>236</v>
      </c>
      <c r="J3518" t="s">
        <v>447</v>
      </c>
      <c r="L3518" s="137">
        <v>586.5</v>
      </c>
    </row>
    <row r="3519" spans="7:12" x14ac:dyDescent="0.25">
      <c r="G3519" s="136">
        <v>43465</v>
      </c>
      <c r="H3519" t="s">
        <v>27</v>
      </c>
      <c r="I3519" t="s">
        <v>236</v>
      </c>
      <c r="J3519" t="s">
        <v>447</v>
      </c>
      <c r="L3519" s="137">
        <v>554.63</v>
      </c>
    </row>
    <row r="3520" spans="7:12" x14ac:dyDescent="0.25">
      <c r="G3520" s="136">
        <v>43465</v>
      </c>
      <c r="H3520" t="s">
        <v>27</v>
      </c>
      <c r="I3520" t="s">
        <v>236</v>
      </c>
      <c r="J3520" t="s">
        <v>447</v>
      </c>
      <c r="L3520" s="137">
        <v>550</v>
      </c>
    </row>
    <row r="3521" spans="7:12" x14ac:dyDescent="0.25">
      <c r="G3521" s="136">
        <v>43465</v>
      </c>
      <c r="H3521" t="s">
        <v>27</v>
      </c>
      <c r="I3521" t="s">
        <v>236</v>
      </c>
      <c r="J3521" t="s">
        <v>447</v>
      </c>
      <c r="L3521" s="137">
        <v>522.79999999999995</v>
      </c>
    </row>
    <row r="3522" spans="7:12" x14ac:dyDescent="0.25">
      <c r="G3522" s="136">
        <v>43465</v>
      </c>
      <c r="H3522" t="s">
        <v>27</v>
      </c>
      <c r="I3522" t="s">
        <v>236</v>
      </c>
      <c r="J3522" t="s">
        <v>447</v>
      </c>
      <c r="L3522" s="137">
        <v>509.7</v>
      </c>
    </row>
    <row r="3523" spans="7:12" x14ac:dyDescent="0.25">
      <c r="G3523" s="136">
        <v>43465</v>
      </c>
      <c r="H3523" t="s">
        <v>27</v>
      </c>
      <c r="I3523" t="s">
        <v>236</v>
      </c>
      <c r="J3523" t="s">
        <v>447</v>
      </c>
      <c r="L3523" s="137">
        <v>472.53</v>
      </c>
    </row>
    <row r="3524" spans="7:12" x14ac:dyDescent="0.25">
      <c r="G3524" s="136">
        <v>43465</v>
      </c>
      <c r="H3524" t="s">
        <v>27</v>
      </c>
      <c r="I3524" t="s">
        <v>236</v>
      </c>
      <c r="J3524" t="s">
        <v>447</v>
      </c>
      <c r="L3524" s="137">
        <v>453.02</v>
      </c>
    </row>
    <row r="3525" spans="7:12" x14ac:dyDescent="0.25">
      <c r="G3525" s="136">
        <v>43465</v>
      </c>
      <c r="H3525" t="s">
        <v>27</v>
      </c>
      <c r="I3525" t="s">
        <v>236</v>
      </c>
      <c r="J3525" t="s">
        <v>447</v>
      </c>
      <c r="L3525" s="137">
        <v>450.79</v>
      </c>
    </row>
    <row r="3526" spans="7:12" x14ac:dyDescent="0.25">
      <c r="G3526" s="136">
        <v>43465</v>
      </c>
      <c r="H3526" t="s">
        <v>27</v>
      </c>
      <c r="I3526" t="s">
        <v>236</v>
      </c>
      <c r="J3526" t="s">
        <v>447</v>
      </c>
      <c r="L3526" s="137">
        <v>449.02</v>
      </c>
    </row>
    <row r="3527" spans="7:12" x14ac:dyDescent="0.25">
      <c r="G3527" s="136">
        <v>43465</v>
      </c>
      <c r="H3527" t="s">
        <v>27</v>
      </c>
      <c r="I3527" t="s">
        <v>236</v>
      </c>
      <c r="J3527" t="s">
        <v>447</v>
      </c>
      <c r="L3527" s="137">
        <v>384.59</v>
      </c>
    </row>
    <row r="3528" spans="7:12" x14ac:dyDescent="0.25">
      <c r="G3528" s="136">
        <v>43465</v>
      </c>
      <c r="H3528" t="s">
        <v>27</v>
      </c>
      <c r="I3528" t="s">
        <v>236</v>
      </c>
      <c r="J3528" t="s">
        <v>447</v>
      </c>
      <c r="L3528" s="137">
        <v>378.31</v>
      </c>
    </row>
    <row r="3529" spans="7:12" x14ac:dyDescent="0.25">
      <c r="G3529" s="136">
        <v>43465</v>
      </c>
      <c r="H3529" t="s">
        <v>27</v>
      </c>
      <c r="I3529" t="s">
        <v>236</v>
      </c>
      <c r="J3529" t="s">
        <v>447</v>
      </c>
      <c r="L3529" s="137">
        <v>352</v>
      </c>
    </row>
    <row r="3530" spans="7:12" x14ac:dyDescent="0.25">
      <c r="G3530" s="136">
        <v>43465</v>
      </c>
      <c r="H3530" t="s">
        <v>27</v>
      </c>
      <c r="I3530" t="s">
        <v>236</v>
      </c>
      <c r="J3530" t="s">
        <v>447</v>
      </c>
      <c r="L3530" s="137">
        <v>346.5</v>
      </c>
    </row>
    <row r="3531" spans="7:12" x14ac:dyDescent="0.25">
      <c r="G3531" s="136">
        <v>43465</v>
      </c>
      <c r="H3531" t="s">
        <v>27</v>
      </c>
      <c r="I3531" t="s">
        <v>236</v>
      </c>
      <c r="J3531" t="s">
        <v>447</v>
      </c>
      <c r="L3531" s="137">
        <v>339.32</v>
      </c>
    </row>
    <row r="3532" spans="7:12" x14ac:dyDescent="0.25">
      <c r="G3532" s="136">
        <v>43465</v>
      </c>
      <c r="H3532" t="s">
        <v>27</v>
      </c>
      <c r="I3532" t="s">
        <v>236</v>
      </c>
      <c r="J3532" t="s">
        <v>447</v>
      </c>
      <c r="L3532" s="137">
        <v>313.83</v>
      </c>
    </row>
    <row r="3533" spans="7:12" x14ac:dyDescent="0.25">
      <c r="G3533" s="136">
        <v>43465</v>
      </c>
      <c r="H3533" t="s">
        <v>27</v>
      </c>
      <c r="I3533" t="s">
        <v>236</v>
      </c>
      <c r="J3533" t="s">
        <v>447</v>
      </c>
      <c r="L3533" s="137">
        <v>307.38</v>
      </c>
    </row>
    <row r="3534" spans="7:12" x14ac:dyDescent="0.25">
      <c r="G3534" s="136">
        <v>43465</v>
      </c>
      <c r="H3534" t="s">
        <v>27</v>
      </c>
      <c r="I3534" t="s">
        <v>236</v>
      </c>
      <c r="J3534" t="s">
        <v>447</v>
      </c>
      <c r="L3534" s="137">
        <v>300.58999999999997</v>
      </c>
    </row>
    <row r="3535" spans="7:12" x14ac:dyDescent="0.25">
      <c r="G3535" s="136">
        <v>43465</v>
      </c>
      <c r="H3535" t="s">
        <v>27</v>
      </c>
      <c r="I3535" t="s">
        <v>236</v>
      </c>
      <c r="J3535" t="s">
        <v>447</v>
      </c>
      <c r="L3535" s="137">
        <v>298.82</v>
      </c>
    </row>
    <row r="3536" spans="7:12" x14ac:dyDescent="0.25">
      <c r="G3536" s="136">
        <v>43465</v>
      </c>
      <c r="H3536" t="s">
        <v>27</v>
      </c>
      <c r="I3536" t="s">
        <v>236</v>
      </c>
      <c r="J3536" t="s">
        <v>447</v>
      </c>
      <c r="L3536" s="137">
        <v>285.3</v>
      </c>
    </row>
    <row r="3537" spans="7:12" x14ac:dyDescent="0.25">
      <c r="G3537" s="136">
        <v>43465</v>
      </c>
      <c r="H3537" t="s">
        <v>27</v>
      </c>
      <c r="I3537" t="s">
        <v>236</v>
      </c>
      <c r="J3537" t="s">
        <v>447</v>
      </c>
      <c r="L3537" s="137">
        <v>241.59</v>
      </c>
    </row>
    <row r="3538" spans="7:12" x14ac:dyDescent="0.25">
      <c r="G3538" s="136">
        <v>43465</v>
      </c>
      <c r="H3538" t="s">
        <v>27</v>
      </c>
      <c r="I3538" t="s">
        <v>236</v>
      </c>
      <c r="J3538" t="s">
        <v>447</v>
      </c>
      <c r="L3538" s="137">
        <v>240</v>
      </c>
    </row>
    <row r="3539" spans="7:12" x14ac:dyDescent="0.25">
      <c r="G3539" s="136">
        <v>43465</v>
      </c>
      <c r="H3539" t="s">
        <v>27</v>
      </c>
      <c r="I3539" t="s">
        <v>236</v>
      </c>
      <c r="J3539" t="s">
        <v>447</v>
      </c>
      <c r="L3539" s="137">
        <v>232</v>
      </c>
    </row>
    <row r="3540" spans="7:12" x14ac:dyDescent="0.25">
      <c r="G3540" s="136">
        <v>43465</v>
      </c>
      <c r="H3540" t="s">
        <v>27</v>
      </c>
      <c r="I3540" t="s">
        <v>236</v>
      </c>
      <c r="J3540" t="s">
        <v>447</v>
      </c>
      <c r="L3540" s="137">
        <v>228.07</v>
      </c>
    </row>
    <row r="3541" spans="7:12" x14ac:dyDescent="0.25">
      <c r="G3541" s="136">
        <v>43465</v>
      </c>
      <c r="H3541" t="s">
        <v>27</v>
      </c>
      <c r="I3541" t="s">
        <v>236</v>
      </c>
      <c r="J3541" t="s">
        <v>447</v>
      </c>
      <c r="L3541" s="137">
        <v>221.6</v>
      </c>
    </row>
    <row r="3542" spans="7:12" x14ac:dyDescent="0.25">
      <c r="G3542" s="136">
        <v>43465</v>
      </c>
      <c r="H3542" t="s">
        <v>27</v>
      </c>
      <c r="I3542" t="s">
        <v>236</v>
      </c>
      <c r="J3542" t="s">
        <v>447</v>
      </c>
      <c r="L3542" s="137">
        <v>192</v>
      </c>
    </row>
    <row r="3543" spans="7:12" x14ac:dyDescent="0.25">
      <c r="G3543" s="136">
        <v>43465</v>
      </c>
      <c r="H3543" t="s">
        <v>27</v>
      </c>
      <c r="I3543" t="s">
        <v>236</v>
      </c>
      <c r="J3543" t="s">
        <v>447</v>
      </c>
      <c r="L3543" s="137">
        <v>190.91</v>
      </c>
    </row>
    <row r="3544" spans="7:12" x14ac:dyDescent="0.25">
      <c r="G3544" s="136">
        <v>43465</v>
      </c>
      <c r="H3544" t="s">
        <v>27</v>
      </c>
      <c r="I3544" t="s">
        <v>236</v>
      </c>
      <c r="J3544" t="s">
        <v>447</v>
      </c>
      <c r="L3544" s="137">
        <v>186.53</v>
      </c>
    </row>
    <row r="3545" spans="7:12" x14ac:dyDescent="0.25">
      <c r="G3545" s="136">
        <v>43465</v>
      </c>
      <c r="H3545" t="s">
        <v>27</v>
      </c>
      <c r="I3545" t="s">
        <v>236</v>
      </c>
      <c r="J3545" t="s">
        <v>447</v>
      </c>
      <c r="L3545" s="137">
        <v>184</v>
      </c>
    </row>
    <row r="3546" spans="7:12" x14ac:dyDescent="0.25">
      <c r="G3546" s="136">
        <v>43465</v>
      </c>
      <c r="H3546" t="s">
        <v>27</v>
      </c>
      <c r="I3546" t="s">
        <v>236</v>
      </c>
      <c r="J3546" t="s">
        <v>447</v>
      </c>
      <c r="L3546" s="137">
        <v>182</v>
      </c>
    </row>
    <row r="3547" spans="7:12" x14ac:dyDescent="0.25">
      <c r="G3547" s="136">
        <v>43465</v>
      </c>
      <c r="H3547" t="s">
        <v>27</v>
      </c>
      <c r="I3547" t="s">
        <v>236</v>
      </c>
      <c r="J3547" t="s">
        <v>447</v>
      </c>
      <c r="L3547" s="137">
        <v>168</v>
      </c>
    </row>
    <row r="3548" spans="7:12" x14ac:dyDescent="0.25">
      <c r="G3548" s="136">
        <v>43465</v>
      </c>
      <c r="H3548" t="s">
        <v>27</v>
      </c>
      <c r="I3548" t="s">
        <v>236</v>
      </c>
      <c r="J3548" t="s">
        <v>447</v>
      </c>
      <c r="L3548" s="137">
        <v>155.13</v>
      </c>
    </row>
    <row r="3549" spans="7:12" x14ac:dyDescent="0.25">
      <c r="G3549" s="136">
        <v>43465</v>
      </c>
      <c r="H3549" t="s">
        <v>27</v>
      </c>
      <c r="I3549" t="s">
        <v>236</v>
      </c>
      <c r="J3549" t="s">
        <v>447</v>
      </c>
      <c r="L3549" s="137">
        <v>128</v>
      </c>
    </row>
    <row r="3550" spans="7:12" x14ac:dyDescent="0.25">
      <c r="G3550" s="136">
        <v>43465</v>
      </c>
      <c r="H3550" t="s">
        <v>27</v>
      </c>
      <c r="I3550" t="s">
        <v>236</v>
      </c>
      <c r="J3550" t="s">
        <v>447</v>
      </c>
      <c r="L3550" s="137">
        <v>116.79</v>
      </c>
    </row>
    <row r="3551" spans="7:12" x14ac:dyDescent="0.25">
      <c r="G3551" s="136">
        <v>43465</v>
      </c>
      <c r="H3551" t="s">
        <v>27</v>
      </c>
      <c r="I3551" t="s">
        <v>236</v>
      </c>
      <c r="J3551" t="s">
        <v>447</v>
      </c>
      <c r="L3551" s="137">
        <v>112</v>
      </c>
    </row>
    <row r="3552" spans="7:12" x14ac:dyDescent="0.25">
      <c r="G3552" s="136">
        <v>43465</v>
      </c>
      <c r="H3552" t="s">
        <v>27</v>
      </c>
      <c r="I3552" t="s">
        <v>236</v>
      </c>
      <c r="J3552" t="s">
        <v>447</v>
      </c>
      <c r="L3552" s="137">
        <v>104</v>
      </c>
    </row>
    <row r="3553" spans="7:12" x14ac:dyDescent="0.25">
      <c r="G3553" s="136">
        <v>43465</v>
      </c>
      <c r="H3553" t="s">
        <v>27</v>
      </c>
      <c r="I3553" t="s">
        <v>236</v>
      </c>
      <c r="J3553" t="s">
        <v>447</v>
      </c>
      <c r="L3553" s="137">
        <v>96.29</v>
      </c>
    </row>
    <row r="3554" spans="7:12" x14ac:dyDescent="0.25">
      <c r="G3554" s="136">
        <v>43465</v>
      </c>
      <c r="H3554" t="s">
        <v>27</v>
      </c>
      <c r="I3554" t="s">
        <v>236</v>
      </c>
      <c r="J3554" t="s">
        <v>447</v>
      </c>
      <c r="L3554" s="137">
        <v>92.12</v>
      </c>
    </row>
    <row r="3555" spans="7:12" x14ac:dyDescent="0.25">
      <c r="G3555" s="136">
        <v>43465</v>
      </c>
      <c r="H3555" t="s">
        <v>27</v>
      </c>
      <c r="I3555" t="s">
        <v>236</v>
      </c>
      <c r="J3555" t="s">
        <v>447</v>
      </c>
      <c r="L3555" s="137">
        <v>80</v>
      </c>
    </row>
    <row r="3556" spans="7:12" x14ac:dyDescent="0.25">
      <c r="G3556" s="136">
        <v>43465</v>
      </c>
      <c r="H3556" t="s">
        <v>27</v>
      </c>
      <c r="I3556" t="s">
        <v>236</v>
      </c>
      <c r="J3556" t="s">
        <v>447</v>
      </c>
      <c r="L3556" s="137">
        <v>69.81</v>
      </c>
    </row>
    <row r="3557" spans="7:12" x14ac:dyDescent="0.25">
      <c r="G3557" s="136">
        <v>43465</v>
      </c>
      <c r="H3557" t="s">
        <v>27</v>
      </c>
      <c r="I3557" t="s">
        <v>236</v>
      </c>
      <c r="J3557" t="s">
        <v>447</v>
      </c>
      <c r="L3557" s="137">
        <v>59.61</v>
      </c>
    </row>
    <row r="3558" spans="7:12" x14ac:dyDescent="0.25">
      <c r="G3558" s="136">
        <v>43465</v>
      </c>
      <c r="H3558" t="s">
        <v>27</v>
      </c>
      <c r="I3558" t="s">
        <v>236</v>
      </c>
      <c r="J3558" t="s">
        <v>447</v>
      </c>
      <c r="L3558" s="137">
        <v>57.29</v>
      </c>
    </row>
    <row r="3559" spans="7:12" x14ac:dyDescent="0.25">
      <c r="G3559" s="136">
        <v>43465</v>
      </c>
      <c r="H3559" t="s">
        <v>27</v>
      </c>
      <c r="I3559" t="s">
        <v>236</v>
      </c>
      <c r="J3559" t="s">
        <v>447</v>
      </c>
      <c r="L3559" s="137">
        <v>57.14</v>
      </c>
    </row>
    <row r="3560" spans="7:12" x14ac:dyDescent="0.25">
      <c r="G3560" s="136">
        <v>43465</v>
      </c>
      <c r="H3560" t="s">
        <v>27</v>
      </c>
      <c r="I3560" t="s">
        <v>236</v>
      </c>
      <c r="J3560" t="s">
        <v>447</v>
      </c>
      <c r="L3560" s="137">
        <v>48</v>
      </c>
    </row>
    <row r="3561" spans="7:12" x14ac:dyDescent="0.25">
      <c r="G3561" s="136">
        <v>43465</v>
      </c>
      <c r="H3561" t="s">
        <v>27</v>
      </c>
      <c r="I3561" t="s">
        <v>236</v>
      </c>
      <c r="J3561" t="s">
        <v>447</v>
      </c>
      <c r="L3561" s="137">
        <v>44.69</v>
      </c>
    </row>
    <row r="3562" spans="7:12" x14ac:dyDescent="0.25">
      <c r="G3562" s="136">
        <v>43465</v>
      </c>
      <c r="H3562" t="s">
        <v>27</v>
      </c>
      <c r="I3562" t="s">
        <v>236</v>
      </c>
      <c r="J3562" t="s">
        <v>447</v>
      </c>
      <c r="L3562" s="137">
        <v>40</v>
      </c>
    </row>
    <row r="3563" spans="7:12" x14ac:dyDescent="0.25">
      <c r="G3563" s="136">
        <v>43465</v>
      </c>
      <c r="H3563" t="s">
        <v>27</v>
      </c>
      <c r="I3563" t="s">
        <v>236</v>
      </c>
      <c r="J3563" t="s">
        <v>447</v>
      </c>
      <c r="L3563" s="137">
        <v>38</v>
      </c>
    </row>
    <row r="3564" spans="7:12" x14ac:dyDescent="0.25">
      <c r="G3564" s="136">
        <v>43465</v>
      </c>
      <c r="H3564" t="s">
        <v>27</v>
      </c>
      <c r="I3564" t="s">
        <v>236</v>
      </c>
      <c r="J3564" t="s">
        <v>447</v>
      </c>
      <c r="L3564" s="137">
        <v>32</v>
      </c>
    </row>
    <row r="3565" spans="7:12" x14ac:dyDescent="0.25">
      <c r="G3565" s="136">
        <v>43465</v>
      </c>
      <c r="H3565" t="s">
        <v>27</v>
      </c>
      <c r="I3565" t="s">
        <v>236</v>
      </c>
      <c r="J3565" t="s">
        <v>447</v>
      </c>
      <c r="L3565" s="137">
        <v>29.88</v>
      </c>
    </row>
    <row r="3566" spans="7:12" x14ac:dyDescent="0.25">
      <c r="G3566" s="136">
        <v>43465</v>
      </c>
      <c r="H3566" t="s">
        <v>27</v>
      </c>
      <c r="I3566" t="s">
        <v>236</v>
      </c>
      <c r="J3566" t="s">
        <v>447</v>
      </c>
      <c r="L3566" s="137">
        <v>29.35</v>
      </c>
    </row>
    <row r="3567" spans="7:12" x14ac:dyDescent="0.25">
      <c r="G3567" s="136">
        <v>43465</v>
      </c>
      <c r="H3567" t="s">
        <v>27</v>
      </c>
      <c r="I3567" t="s">
        <v>236</v>
      </c>
      <c r="J3567" t="s">
        <v>447</v>
      </c>
      <c r="L3567" s="137">
        <v>27.32</v>
      </c>
    </row>
    <row r="3568" spans="7:12" x14ac:dyDescent="0.25">
      <c r="G3568" s="136">
        <v>43465</v>
      </c>
      <c r="H3568" t="s">
        <v>27</v>
      </c>
      <c r="I3568" t="s">
        <v>236</v>
      </c>
      <c r="J3568" t="s">
        <v>447</v>
      </c>
      <c r="L3568" s="137">
        <v>27.2</v>
      </c>
    </row>
    <row r="3569" spans="7:12" x14ac:dyDescent="0.25">
      <c r="G3569" s="136">
        <v>43465</v>
      </c>
      <c r="H3569" t="s">
        <v>27</v>
      </c>
      <c r="I3569" t="s">
        <v>236</v>
      </c>
      <c r="J3569" t="s">
        <v>447</v>
      </c>
      <c r="L3569" s="137">
        <v>26.49</v>
      </c>
    </row>
    <row r="3570" spans="7:12" x14ac:dyDescent="0.25">
      <c r="G3570" s="136">
        <v>43465</v>
      </c>
      <c r="H3570" t="s">
        <v>27</v>
      </c>
      <c r="I3570" t="s">
        <v>236</v>
      </c>
      <c r="J3570" t="s">
        <v>447</v>
      </c>
      <c r="L3570" s="137">
        <v>25.04</v>
      </c>
    </row>
    <row r="3571" spans="7:12" x14ac:dyDescent="0.25">
      <c r="G3571" s="136">
        <v>43465</v>
      </c>
      <c r="H3571" t="s">
        <v>27</v>
      </c>
      <c r="I3571" t="s">
        <v>236</v>
      </c>
      <c r="J3571" t="s">
        <v>447</v>
      </c>
      <c r="L3571" s="137">
        <v>24.92</v>
      </c>
    </row>
    <row r="3572" spans="7:12" x14ac:dyDescent="0.25">
      <c r="G3572" s="136">
        <v>43465</v>
      </c>
      <c r="H3572" t="s">
        <v>27</v>
      </c>
      <c r="I3572" t="s">
        <v>236</v>
      </c>
      <c r="J3572" t="s">
        <v>447</v>
      </c>
      <c r="L3572" s="137">
        <v>24</v>
      </c>
    </row>
    <row r="3573" spans="7:12" x14ac:dyDescent="0.25">
      <c r="G3573" s="136">
        <v>43465</v>
      </c>
      <c r="H3573" t="s">
        <v>27</v>
      </c>
      <c r="I3573" t="s">
        <v>236</v>
      </c>
      <c r="J3573" t="s">
        <v>447</v>
      </c>
      <c r="L3573" s="137">
        <v>23.32</v>
      </c>
    </row>
    <row r="3574" spans="7:12" x14ac:dyDescent="0.25">
      <c r="G3574" s="136">
        <v>43465</v>
      </c>
      <c r="H3574" t="s">
        <v>27</v>
      </c>
      <c r="I3574" t="s">
        <v>236</v>
      </c>
      <c r="J3574" t="s">
        <v>447</v>
      </c>
      <c r="L3574" s="137">
        <v>17.649999999999999</v>
      </c>
    </row>
    <row r="3575" spans="7:12" x14ac:dyDescent="0.25">
      <c r="G3575" s="136">
        <v>43465</v>
      </c>
      <c r="H3575" t="s">
        <v>27</v>
      </c>
      <c r="I3575" t="s">
        <v>236</v>
      </c>
      <c r="J3575" t="s">
        <v>447</v>
      </c>
      <c r="L3575" s="137">
        <v>16</v>
      </c>
    </row>
    <row r="3576" spans="7:12" x14ac:dyDescent="0.25">
      <c r="G3576" s="136">
        <v>43465</v>
      </c>
      <c r="H3576" t="s">
        <v>27</v>
      </c>
      <c r="I3576" t="s">
        <v>236</v>
      </c>
      <c r="J3576" t="s">
        <v>447</v>
      </c>
      <c r="L3576" s="137">
        <v>15.11</v>
      </c>
    </row>
    <row r="3577" spans="7:12" x14ac:dyDescent="0.25">
      <c r="G3577" s="136">
        <v>43465</v>
      </c>
      <c r="H3577" t="s">
        <v>27</v>
      </c>
      <c r="I3577" t="s">
        <v>236</v>
      </c>
      <c r="J3577" t="s">
        <v>447</v>
      </c>
      <c r="L3577" s="137">
        <v>14.18</v>
      </c>
    </row>
    <row r="3578" spans="7:12" x14ac:dyDescent="0.25">
      <c r="G3578" s="136">
        <v>43465</v>
      </c>
      <c r="H3578" t="s">
        <v>27</v>
      </c>
      <c r="I3578" t="s">
        <v>236</v>
      </c>
      <c r="J3578" t="s">
        <v>447</v>
      </c>
      <c r="L3578" s="137">
        <v>11.3</v>
      </c>
    </row>
    <row r="3579" spans="7:12" x14ac:dyDescent="0.25">
      <c r="G3579" s="136">
        <v>43465</v>
      </c>
      <c r="H3579" t="s">
        <v>27</v>
      </c>
      <c r="I3579" t="s">
        <v>236</v>
      </c>
      <c r="J3579" t="s">
        <v>447</v>
      </c>
      <c r="L3579" s="137">
        <v>8</v>
      </c>
    </row>
    <row r="3580" spans="7:12" x14ac:dyDescent="0.25">
      <c r="G3580" s="136">
        <v>43465</v>
      </c>
      <c r="H3580" t="s">
        <v>27</v>
      </c>
      <c r="I3580" t="s">
        <v>236</v>
      </c>
      <c r="J3580" t="s">
        <v>447</v>
      </c>
      <c r="L3580" s="137">
        <v>3.15</v>
      </c>
    </row>
    <row r="3581" spans="7:12" x14ac:dyDescent="0.25">
      <c r="G3581" s="136">
        <v>43465</v>
      </c>
      <c r="H3581" t="s">
        <v>198</v>
      </c>
      <c r="I3581" t="s">
        <v>236</v>
      </c>
      <c r="J3581" t="s">
        <v>447</v>
      </c>
      <c r="K3581" s="138">
        <v>0</v>
      </c>
      <c r="L3581" s="137">
        <v>313.3</v>
      </c>
    </row>
    <row r="3582" spans="7:12" x14ac:dyDescent="0.25">
      <c r="G3582" s="136">
        <v>43465</v>
      </c>
      <c r="H3582" t="s">
        <v>198</v>
      </c>
      <c r="I3582" t="s">
        <v>236</v>
      </c>
      <c r="J3582" t="s">
        <v>447</v>
      </c>
      <c r="L3582" s="137">
        <v>299.12</v>
      </c>
    </row>
    <row r="3583" spans="7:12" x14ac:dyDescent="0.25">
      <c r="G3583" s="136">
        <v>43465</v>
      </c>
      <c r="H3583" t="s">
        <v>198</v>
      </c>
      <c r="I3583" t="s">
        <v>236</v>
      </c>
      <c r="J3583" t="s">
        <v>447</v>
      </c>
      <c r="L3583" s="137">
        <v>97.08</v>
      </c>
    </row>
    <row r="3584" spans="7:12" x14ac:dyDescent="0.25">
      <c r="G3584" s="136">
        <v>43465</v>
      </c>
      <c r="H3584" t="s">
        <v>199</v>
      </c>
      <c r="I3584" t="s">
        <v>236</v>
      </c>
      <c r="J3584" t="s">
        <v>447</v>
      </c>
      <c r="K3584" s="138">
        <v>0</v>
      </c>
      <c r="L3584" s="137">
        <v>3380.35</v>
      </c>
    </row>
    <row r="3585" spans="7:12" x14ac:dyDescent="0.25">
      <c r="G3585" s="136">
        <v>43465</v>
      </c>
      <c r="H3585" t="s">
        <v>199</v>
      </c>
      <c r="I3585" t="s">
        <v>236</v>
      </c>
      <c r="J3585" t="s">
        <v>447</v>
      </c>
      <c r="L3585" s="137">
        <v>2315.27</v>
      </c>
    </row>
    <row r="3586" spans="7:12" x14ac:dyDescent="0.25">
      <c r="G3586" s="136">
        <v>43465</v>
      </c>
      <c r="H3586" t="s">
        <v>199</v>
      </c>
      <c r="I3586" t="s">
        <v>236</v>
      </c>
      <c r="J3586" t="s">
        <v>447</v>
      </c>
      <c r="L3586" s="137">
        <v>772.87</v>
      </c>
    </row>
    <row r="3587" spans="7:12" x14ac:dyDescent="0.25">
      <c r="G3587" s="136">
        <v>43465</v>
      </c>
      <c r="H3587" t="s">
        <v>199</v>
      </c>
      <c r="I3587" t="s">
        <v>236</v>
      </c>
      <c r="J3587" t="s">
        <v>447</v>
      </c>
      <c r="L3587" s="137">
        <v>306.87</v>
      </c>
    </row>
    <row r="3588" spans="7:12" x14ac:dyDescent="0.25">
      <c r="G3588" s="136">
        <v>43465</v>
      </c>
      <c r="H3588" t="s">
        <v>194</v>
      </c>
      <c r="I3588" t="s">
        <v>236</v>
      </c>
      <c r="J3588" t="s">
        <v>447</v>
      </c>
      <c r="K3588" s="138">
        <v>0</v>
      </c>
      <c r="L3588" s="137">
        <v>6332.8</v>
      </c>
    </row>
    <row r="3589" spans="7:12" x14ac:dyDescent="0.25">
      <c r="G3589" s="136">
        <v>43465</v>
      </c>
      <c r="H3589" t="s">
        <v>194</v>
      </c>
      <c r="I3589" t="s">
        <v>236</v>
      </c>
      <c r="J3589" t="s">
        <v>447</v>
      </c>
      <c r="L3589" s="137">
        <v>653.6</v>
      </c>
    </row>
    <row r="3590" spans="7:12" x14ac:dyDescent="0.25">
      <c r="G3590" s="136">
        <v>43465</v>
      </c>
      <c r="H3590" t="s">
        <v>194</v>
      </c>
      <c r="I3590" t="s">
        <v>236</v>
      </c>
      <c r="J3590" t="s">
        <v>447</v>
      </c>
      <c r="L3590" s="137">
        <v>65.94</v>
      </c>
    </row>
    <row r="3591" spans="7:12" x14ac:dyDescent="0.25">
      <c r="G3591" s="136">
        <v>43465</v>
      </c>
      <c r="H3591" t="s">
        <v>202</v>
      </c>
      <c r="I3591" t="s">
        <v>236</v>
      </c>
      <c r="J3591" t="s">
        <v>447</v>
      </c>
      <c r="K3591" s="138">
        <v>0</v>
      </c>
      <c r="L3591" s="137">
        <v>6997.73</v>
      </c>
    </row>
    <row r="3592" spans="7:12" x14ac:dyDescent="0.25">
      <c r="G3592" s="136">
        <v>43465</v>
      </c>
      <c r="H3592" t="s">
        <v>212</v>
      </c>
      <c r="I3592" t="s">
        <v>236</v>
      </c>
      <c r="J3592" t="s">
        <v>447</v>
      </c>
      <c r="K3592" s="138">
        <v>0</v>
      </c>
      <c r="L3592" s="137">
        <v>1032.75</v>
      </c>
    </row>
    <row r="3593" spans="7:12" x14ac:dyDescent="0.25">
      <c r="G3593" s="136">
        <v>43465</v>
      </c>
      <c r="H3593" t="s">
        <v>212</v>
      </c>
      <c r="I3593" t="s">
        <v>236</v>
      </c>
      <c r="J3593" t="s">
        <v>447</v>
      </c>
      <c r="L3593" s="137">
        <v>883.11</v>
      </c>
    </row>
    <row r="3594" spans="7:12" x14ac:dyDescent="0.25">
      <c r="G3594" s="136">
        <v>43465</v>
      </c>
      <c r="H3594" t="s">
        <v>212</v>
      </c>
      <c r="I3594" t="s">
        <v>236</v>
      </c>
      <c r="J3594" t="s">
        <v>447</v>
      </c>
      <c r="L3594" s="137">
        <v>203.9</v>
      </c>
    </row>
    <row r="3595" spans="7:12" x14ac:dyDescent="0.25">
      <c r="G3595" s="136">
        <v>43465</v>
      </c>
      <c r="H3595" t="s">
        <v>186</v>
      </c>
      <c r="I3595" t="s">
        <v>236</v>
      </c>
      <c r="J3595" t="s">
        <v>447</v>
      </c>
      <c r="K3595" s="138">
        <v>0</v>
      </c>
      <c r="L3595" s="137">
        <v>654.17999999999995</v>
      </c>
    </row>
    <row r="3596" spans="7:12" x14ac:dyDescent="0.25">
      <c r="G3596" s="136">
        <v>43465</v>
      </c>
      <c r="H3596" t="s">
        <v>186</v>
      </c>
      <c r="I3596" t="s">
        <v>236</v>
      </c>
      <c r="J3596" t="s">
        <v>447</v>
      </c>
      <c r="L3596" s="137">
        <v>70.75</v>
      </c>
    </row>
    <row r="3597" spans="7:12" x14ac:dyDescent="0.25">
      <c r="G3597" s="136">
        <v>43465</v>
      </c>
      <c r="H3597" t="s">
        <v>185</v>
      </c>
      <c r="I3597" t="s">
        <v>236</v>
      </c>
      <c r="J3597" t="s">
        <v>447</v>
      </c>
      <c r="K3597" s="138">
        <v>0</v>
      </c>
      <c r="L3597" s="137">
        <v>8574.39</v>
      </c>
    </row>
    <row r="3598" spans="7:12" x14ac:dyDescent="0.25">
      <c r="G3598" s="136">
        <v>43465</v>
      </c>
      <c r="H3598" t="s">
        <v>185</v>
      </c>
      <c r="I3598" t="s">
        <v>236</v>
      </c>
      <c r="J3598" t="s">
        <v>447</v>
      </c>
      <c r="L3598" s="137">
        <v>3166.57</v>
      </c>
    </row>
    <row r="3599" spans="7:12" x14ac:dyDescent="0.25">
      <c r="G3599" s="136">
        <v>43465</v>
      </c>
      <c r="H3599" t="s">
        <v>185</v>
      </c>
      <c r="I3599" t="s">
        <v>236</v>
      </c>
      <c r="J3599" t="s">
        <v>447</v>
      </c>
      <c r="L3599" s="137">
        <v>1254.9000000000001</v>
      </c>
    </row>
    <row r="3600" spans="7:12" x14ac:dyDescent="0.25">
      <c r="G3600" s="136">
        <v>43465</v>
      </c>
      <c r="H3600" t="s">
        <v>185</v>
      </c>
      <c r="I3600" t="s">
        <v>236</v>
      </c>
      <c r="J3600" t="s">
        <v>447</v>
      </c>
      <c r="L3600" s="137">
        <v>101.74</v>
      </c>
    </row>
    <row r="3601" spans="7:12" x14ac:dyDescent="0.25">
      <c r="G3601" s="136">
        <v>43465</v>
      </c>
      <c r="H3601" t="s">
        <v>184</v>
      </c>
      <c r="I3601" t="s">
        <v>236</v>
      </c>
      <c r="J3601" t="s">
        <v>447</v>
      </c>
      <c r="K3601" s="138">
        <v>0</v>
      </c>
      <c r="L3601" s="137">
        <v>13255.55</v>
      </c>
    </row>
    <row r="3602" spans="7:12" x14ac:dyDescent="0.25">
      <c r="G3602" s="136">
        <v>43465</v>
      </c>
      <c r="H3602" t="s">
        <v>184</v>
      </c>
      <c r="I3602" t="s">
        <v>236</v>
      </c>
      <c r="J3602" t="s">
        <v>447</v>
      </c>
      <c r="L3602" s="137">
        <v>432.97</v>
      </c>
    </row>
    <row r="3603" spans="7:12" x14ac:dyDescent="0.25">
      <c r="G3603" s="136">
        <v>43465</v>
      </c>
      <c r="H3603" t="s">
        <v>184</v>
      </c>
      <c r="I3603" t="s">
        <v>236</v>
      </c>
      <c r="J3603" t="s">
        <v>447</v>
      </c>
      <c r="L3603" s="137">
        <v>395.85</v>
      </c>
    </row>
    <row r="3604" spans="7:12" x14ac:dyDescent="0.25">
      <c r="G3604" s="136">
        <v>43465</v>
      </c>
      <c r="H3604" t="s">
        <v>184</v>
      </c>
      <c r="I3604" t="s">
        <v>236</v>
      </c>
      <c r="J3604" t="s">
        <v>447</v>
      </c>
      <c r="L3604" s="137">
        <v>372.01</v>
      </c>
    </row>
    <row r="3605" spans="7:12" x14ac:dyDescent="0.25">
      <c r="G3605" s="136">
        <v>43465</v>
      </c>
      <c r="H3605" t="s">
        <v>184</v>
      </c>
      <c r="I3605" t="s">
        <v>236</v>
      </c>
      <c r="J3605" t="s">
        <v>447</v>
      </c>
      <c r="L3605" s="137">
        <v>292.89</v>
      </c>
    </row>
    <row r="3606" spans="7:12" x14ac:dyDescent="0.25">
      <c r="G3606" s="136">
        <v>43465</v>
      </c>
      <c r="H3606" t="s">
        <v>209</v>
      </c>
      <c r="I3606" t="s">
        <v>236</v>
      </c>
      <c r="J3606" t="s">
        <v>447</v>
      </c>
      <c r="K3606" s="138">
        <v>0</v>
      </c>
      <c r="L3606" s="137">
        <v>1250.5</v>
      </c>
    </row>
    <row r="3607" spans="7:12" x14ac:dyDescent="0.25">
      <c r="G3607" s="136">
        <v>43465</v>
      </c>
      <c r="H3607" t="s">
        <v>209</v>
      </c>
      <c r="I3607" t="s">
        <v>236</v>
      </c>
      <c r="J3607" t="s">
        <v>447</v>
      </c>
      <c r="L3607" s="137">
        <v>130.24</v>
      </c>
    </row>
    <row r="3608" spans="7:12" x14ac:dyDescent="0.25">
      <c r="G3608" s="136">
        <v>43465</v>
      </c>
      <c r="H3608" t="s">
        <v>195</v>
      </c>
      <c r="I3608" t="s">
        <v>236</v>
      </c>
      <c r="J3608" t="s">
        <v>447</v>
      </c>
      <c r="K3608" s="138">
        <v>0</v>
      </c>
      <c r="L3608" s="137">
        <v>16889.43</v>
      </c>
    </row>
    <row r="3609" spans="7:12" x14ac:dyDescent="0.25">
      <c r="G3609" s="136">
        <v>43465</v>
      </c>
      <c r="H3609" t="s">
        <v>195</v>
      </c>
      <c r="I3609" t="s">
        <v>236</v>
      </c>
      <c r="J3609" t="s">
        <v>447</v>
      </c>
      <c r="L3609" s="137">
        <v>2024.77</v>
      </c>
    </row>
    <row r="3610" spans="7:12" x14ac:dyDescent="0.25">
      <c r="G3610" s="136">
        <v>43465</v>
      </c>
      <c r="H3610" t="s">
        <v>195</v>
      </c>
      <c r="I3610" t="s">
        <v>236</v>
      </c>
      <c r="J3610" t="s">
        <v>447</v>
      </c>
      <c r="L3610" s="137">
        <v>334.16</v>
      </c>
    </row>
    <row r="3611" spans="7:12" x14ac:dyDescent="0.25">
      <c r="G3611" s="136">
        <v>43465</v>
      </c>
      <c r="H3611" t="s">
        <v>195</v>
      </c>
      <c r="I3611" t="s">
        <v>236</v>
      </c>
      <c r="J3611" t="s">
        <v>447</v>
      </c>
      <c r="L3611" s="137">
        <v>70</v>
      </c>
    </row>
    <row r="3612" spans="7:12" x14ac:dyDescent="0.25">
      <c r="G3612" s="136">
        <v>43465</v>
      </c>
      <c r="H3612" t="s">
        <v>195</v>
      </c>
      <c r="I3612" t="s">
        <v>236</v>
      </c>
      <c r="J3612" t="s">
        <v>447</v>
      </c>
      <c r="L3612" s="137">
        <v>41.71</v>
      </c>
    </row>
    <row r="3613" spans="7:12" x14ac:dyDescent="0.25">
      <c r="G3613" s="136">
        <v>43465</v>
      </c>
      <c r="H3613" t="s">
        <v>183</v>
      </c>
      <c r="I3613" t="s">
        <v>236</v>
      </c>
      <c r="J3613" t="s">
        <v>447</v>
      </c>
      <c r="K3613" s="138">
        <v>0</v>
      </c>
      <c r="L3613" s="137">
        <v>125050.55</v>
      </c>
    </row>
    <row r="3614" spans="7:12" x14ac:dyDescent="0.25">
      <c r="G3614" s="136">
        <v>43465</v>
      </c>
      <c r="H3614" t="s">
        <v>183</v>
      </c>
      <c r="I3614" t="s">
        <v>236</v>
      </c>
      <c r="J3614" t="s">
        <v>447</v>
      </c>
      <c r="L3614" s="137">
        <v>34721.699999999997</v>
      </c>
    </row>
    <row r="3615" spans="7:12" x14ac:dyDescent="0.25">
      <c r="G3615" s="136">
        <v>43465</v>
      </c>
      <c r="H3615" t="s">
        <v>183</v>
      </c>
      <c r="I3615" t="s">
        <v>236</v>
      </c>
      <c r="J3615" t="s">
        <v>447</v>
      </c>
      <c r="L3615" s="137">
        <v>5238.29</v>
      </c>
    </row>
    <row r="3616" spans="7:12" x14ac:dyDescent="0.25">
      <c r="G3616" s="136">
        <v>43465</v>
      </c>
      <c r="H3616" t="s">
        <v>183</v>
      </c>
      <c r="I3616" t="s">
        <v>236</v>
      </c>
      <c r="J3616" t="s">
        <v>447</v>
      </c>
      <c r="L3616" s="137">
        <v>2498.0100000000002</v>
      </c>
    </row>
    <row r="3617" spans="7:12" x14ac:dyDescent="0.25">
      <c r="G3617" s="136">
        <v>43465</v>
      </c>
      <c r="H3617" t="s">
        <v>183</v>
      </c>
      <c r="I3617" t="s">
        <v>236</v>
      </c>
      <c r="J3617" t="s">
        <v>447</v>
      </c>
      <c r="L3617" s="137">
        <v>824.96</v>
      </c>
    </row>
    <row r="3618" spans="7:12" x14ac:dyDescent="0.25">
      <c r="G3618" s="136">
        <v>43465</v>
      </c>
      <c r="H3618" t="s">
        <v>208</v>
      </c>
      <c r="I3618" t="s">
        <v>236</v>
      </c>
      <c r="J3618" t="s">
        <v>447</v>
      </c>
      <c r="K3618" s="138">
        <v>0</v>
      </c>
      <c r="L3618" s="137">
        <v>3806</v>
      </c>
    </row>
    <row r="3619" spans="7:12" x14ac:dyDescent="0.25">
      <c r="G3619" s="136">
        <v>43465</v>
      </c>
      <c r="H3619" t="s">
        <v>208</v>
      </c>
      <c r="I3619" t="s">
        <v>236</v>
      </c>
      <c r="J3619" t="s">
        <v>447</v>
      </c>
      <c r="L3619" s="137">
        <v>520</v>
      </c>
    </row>
    <row r="3620" spans="7:12" x14ac:dyDescent="0.25">
      <c r="G3620" s="136">
        <v>43465</v>
      </c>
      <c r="H3620" t="s">
        <v>189</v>
      </c>
      <c r="I3620" t="s">
        <v>236</v>
      </c>
      <c r="J3620" t="s">
        <v>447</v>
      </c>
      <c r="K3620" s="138">
        <v>0</v>
      </c>
      <c r="L3620" s="137">
        <v>18232.189999999999</v>
      </c>
    </row>
    <row r="3621" spans="7:12" x14ac:dyDescent="0.25">
      <c r="G3621" s="136">
        <v>43465</v>
      </c>
      <c r="H3621" t="s">
        <v>189</v>
      </c>
      <c r="I3621" t="s">
        <v>236</v>
      </c>
      <c r="J3621" t="s">
        <v>447</v>
      </c>
      <c r="L3621" s="137">
        <v>10217.549999999999</v>
      </c>
    </row>
    <row r="3622" spans="7:12" x14ac:dyDescent="0.25">
      <c r="G3622" s="136">
        <v>43465</v>
      </c>
      <c r="H3622" t="s">
        <v>189</v>
      </c>
      <c r="I3622" t="s">
        <v>236</v>
      </c>
      <c r="J3622" t="s">
        <v>447</v>
      </c>
      <c r="L3622" s="137">
        <v>547.37</v>
      </c>
    </row>
    <row r="3623" spans="7:12" x14ac:dyDescent="0.25">
      <c r="G3623" s="136">
        <v>43465</v>
      </c>
      <c r="H3623" t="s">
        <v>189</v>
      </c>
      <c r="I3623" t="s">
        <v>236</v>
      </c>
      <c r="J3623" t="s">
        <v>447</v>
      </c>
      <c r="L3623" s="137">
        <v>335.59</v>
      </c>
    </row>
    <row r="3624" spans="7:12" x14ac:dyDescent="0.25">
      <c r="G3624" s="136">
        <v>43465</v>
      </c>
      <c r="H3624" t="s">
        <v>189</v>
      </c>
      <c r="I3624" t="s">
        <v>236</v>
      </c>
      <c r="J3624" t="s">
        <v>447</v>
      </c>
      <c r="L3624" s="137">
        <v>75</v>
      </c>
    </row>
    <row r="3625" spans="7:12" x14ac:dyDescent="0.25">
      <c r="G3625" s="136">
        <v>43465</v>
      </c>
      <c r="H3625" t="s">
        <v>213</v>
      </c>
      <c r="I3625" t="s">
        <v>236</v>
      </c>
      <c r="J3625" t="s">
        <v>447</v>
      </c>
      <c r="K3625" s="138">
        <v>0</v>
      </c>
      <c r="L3625" s="137">
        <v>6.28</v>
      </c>
    </row>
    <row r="3626" spans="7:12" x14ac:dyDescent="0.25">
      <c r="G3626" s="136">
        <v>43465</v>
      </c>
      <c r="H3626" t="s">
        <v>191</v>
      </c>
      <c r="I3626" t="s">
        <v>236</v>
      </c>
      <c r="J3626" t="s">
        <v>447</v>
      </c>
      <c r="K3626" s="138">
        <v>0</v>
      </c>
      <c r="L3626" s="137">
        <v>8748.9599999999991</v>
      </c>
    </row>
    <row r="3627" spans="7:12" x14ac:dyDescent="0.25">
      <c r="G3627" s="136">
        <v>43465</v>
      </c>
      <c r="H3627" t="s">
        <v>191</v>
      </c>
      <c r="I3627" t="s">
        <v>236</v>
      </c>
      <c r="J3627" t="s">
        <v>447</v>
      </c>
      <c r="L3627" s="137">
        <v>2868.43</v>
      </c>
    </row>
    <row r="3628" spans="7:12" x14ac:dyDescent="0.25">
      <c r="G3628" s="136">
        <v>43465</v>
      </c>
      <c r="H3628" t="s">
        <v>191</v>
      </c>
      <c r="I3628" t="s">
        <v>236</v>
      </c>
      <c r="J3628" t="s">
        <v>447</v>
      </c>
      <c r="L3628" s="137">
        <v>1208.8699999999999</v>
      </c>
    </row>
    <row r="3629" spans="7:12" x14ac:dyDescent="0.25">
      <c r="G3629" s="136">
        <v>43465</v>
      </c>
      <c r="H3629" t="s">
        <v>191</v>
      </c>
      <c r="I3629" t="s">
        <v>236</v>
      </c>
      <c r="J3629" t="s">
        <v>447</v>
      </c>
      <c r="L3629" s="137">
        <v>818.92</v>
      </c>
    </row>
    <row r="3630" spans="7:12" x14ac:dyDescent="0.25">
      <c r="G3630" s="136">
        <v>43465</v>
      </c>
      <c r="H3630" t="s">
        <v>191</v>
      </c>
      <c r="I3630" t="s">
        <v>236</v>
      </c>
      <c r="J3630" t="s">
        <v>447</v>
      </c>
      <c r="L3630" s="137">
        <v>806.87</v>
      </c>
    </row>
    <row r="3631" spans="7:12" x14ac:dyDescent="0.25">
      <c r="G3631" s="136">
        <v>43465</v>
      </c>
      <c r="H3631" t="s">
        <v>210</v>
      </c>
      <c r="I3631" t="s">
        <v>236</v>
      </c>
      <c r="J3631" t="s">
        <v>447</v>
      </c>
      <c r="K3631" s="138">
        <v>0</v>
      </c>
      <c r="L3631" s="137">
        <v>77</v>
      </c>
    </row>
    <row r="3632" spans="7:12" x14ac:dyDescent="0.25">
      <c r="G3632" s="136">
        <v>43465</v>
      </c>
      <c r="H3632" t="s">
        <v>210</v>
      </c>
      <c r="I3632" t="s">
        <v>236</v>
      </c>
      <c r="J3632" t="s">
        <v>447</v>
      </c>
      <c r="L3632" s="137">
        <v>52</v>
      </c>
    </row>
    <row r="3633" spans="7:12" x14ac:dyDescent="0.25">
      <c r="G3633" s="136">
        <v>43465</v>
      </c>
      <c r="H3633" t="s">
        <v>193</v>
      </c>
      <c r="I3633" t="s">
        <v>236</v>
      </c>
      <c r="J3633" t="s">
        <v>447</v>
      </c>
      <c r="K3633" s="138">
        <v>0</v>
      </c>
      <c r="L3633" s="137">
        <v>7170.13</v>
      </c>
    </row>
    <row r="3634" spans="7:12" x14ac:dyDescent="0.25">
      <c r="G3634" s="136">
        <v>43465</v>
      </c>
      <c r="H3634" t="s">
        <v>193</v>
      </c>
      <c r="I3634" t="s">
        <v>236</v>
      </c>
      <c r="J3634" t="s">
        <v>447</v>
      </c>
      <c r="L3634" s="137">
        <v>3913.88</v>
      </c>
    </row>
    <row r="3635" spans="7:12" x14ac:dyDescent="0.25">
      <c r="G3635" s="136">
        <v>43465</v>
      </c>
      <c r="H3635" t="s">
        <v>193</v>
      </c>
      <c r="I3635" t="s">
        <v>236</v>
      </c>
      <c r="J3635" t="s">
        <v>447</v>
      </c>
      <c r="L3635" s="137">
        <v>1386.2</v>
      </c>
    </row>
    <row r="3636" spans="7:12" x14ac:dyDescent="0.25">
      <c r="G3636" s="136">
        <v>43465</v>
      </c>
      <c r="H3636" t="s">
        <v>193</v>
      </c>
      <c r="I3636" t="s">
        <v>236</v>
      </c>
      <c r="J3636" t="s">
        <v>447</v>
      </c>
      <c r="L3636" s="137">
        <v>1066.3399999999999</v>
      </c>
    </row>
    <row r="3637" spans="7:12" x14ac:dyDescent="0.25">
      <c r="G3637" s="136">
        <v>43465</v>
      </c>
      <c r="H3637" t="s">
        <v>193</v>
      </c>
      <c r="I3637" t="s">
        <v>236</v>
      </c>
      <c r="J3637" t="s">
        <v>447</v>
      </c>
      <c r="L3637" s="137">
        <v>278.63</v>
      </c>
    </row>
    <row r="3638" spans="7:12" x14ac:dyDescent="0.25">
      <c r="G3638" s="136">
        <v>43465</v>
      </c>
      <c r="H3638" t="s">
        <v>190</v>
      </c>
      <c r="I3638" t="s">
        <v>236</v>
      </c>
      <c r="J3638" t="s">
        <v>447</v>
      </c>
      <c r="K3638" s="138">
        <v>0</v>
      </c>
      <c r="L3638" s="137">
        <v>706.98</v>
      </c>
    </row>
    <row r="3639" spans="7:12" x14ac:dyDescent="0.25">
      <c r="G3639" s="136">
        <v>43465</v>
      </c>
      <c r="H3639" t="s">
        <v>190</v>
      </c>
      <c r="I3639" t="s">
        <v>236</v>
      </c>
      <c r="J3639" t="s">
        <v>447</v>
      </c>
      <c r="L3639" s="137">
        <v>201.26</v>
      </c>
    </row>
    <row r="3640" spans="7:12" x14ac:dyDescent="0.25">
      <c r="G3640" s="136">
        <v>43465</v>
      </c>
      <c r="H3640" t="s">
        <v>190</v>
      </c>
      <c r="I3640" t="s">
        <v>236</v>
      </c>
      <c r="J3640" t="s">
        <v>447</v>
      </c>
      <c r="L3640" s="137">
        <v>200</v>
      </c>
    </row>
    <row r="3641" spans="7:12" x14ac:dyDescent="0.25">
      <c r="G3641" s="136">
        <v>43465</v>
      </c>
      <c r="H3641" t="s">
        <v>190</v>
      </c>
      <c r="I3641" t="s">
        <v>236</v>
      </c>
      <c r="J3641" t="s">
        <v>447</v>
      </c>
      <c r="L3641" s="137">
        <v>23.89</v>
      </c>
    </row>
    <row r="3642" spans="7:12" x14ac:dyDescent="0.25">
      <c r="G3642" s="136">
        <v>43465</v>
      </c>
      <c r="H3642" t="s">
        <v>188</v>
      </c>
      <c r="I3642" t="s">
        <v>236</v>
      </c>
      <c r="J3642" t="s">
        <v>447</v>
      </c>
      <c r="K3642" s="138">
        <v>0</v>
      </c>
      <c r="L3642" s="137">
        <v>138667.6</v>
      </c>
    </row>
    <row r="3643" spans="7:12" x14ac:dyDescent="0.25">
      <c r="G3643" s="136">
        <v>43465</v>
      </c>
      <c r="H3643" t="s">
        <v>188</v>
      </c>
      <c r="I3643" t="s">
        <v>236</v>
      </c>
      <c r="J3643" t="s">
        <v>447</v>
      </c>
      <c r="L3643" s="137">
        <v>27734.080000000002</v>
      </c>
    </row>
    <row r="3644" spans="7:12" x14ac:dyDescent="0.25">
      <c r="G3644" s="136">
        <v>43465</v>
      </c>
      <c r="H3644" t="s">
        <v>188</v>
      </c>
      <c r="I3644" t="s">
        <v>236</v>
      </c>
      <c r="J3644" t="s">
        <v>447</v>
      </c>
      <c r="L3644" s="137">
        <v>19323.77</v>
      </c>
    </row>
    <row r="3645" spans="7:12" x14ac:dyDescent="0.25">
      <c r="G3645" s="136">
        <v>43465</v>
      </c>
      <c r="H3645" t="s">
        <v>188</v>
      </c>
      <c r="I3645" t="s">
        <v>236</v>
      </c>
      <c r="J3645" t="s">
        <v>447</v>
      </c>
      <c r="L3645" s="137">
        <v>4035.26</v>
      </c>
    </row>
    <row r="3646" spans="7:12" x14ac:dyDescent="0.25">
      <c r="G3646" s="136">
        <v>43465</v>
      </c>
      <c r="H3646" t="s">
        <v>188</v>
      </c>
      <c r="I3646" t="s">
        <v>236</v>
      </c>
      <c r="J3646" t="s">
        <v>447</v>
      </c>
      <c r="L3646" s="137">
        <v>2116.38</v>
      </c>
    </row>
    <row r="3647" spans="7:12" x14ac:dyDescent="0.25">
      <c r="G3647" s="136">
        <v>43465</v>
      </c>
      <c r="H3647" t="s">
        <v>200</v>
      </c>
      <c r="I3647" t="s">
        <v>236</v>
      </c>
      <c r="J3647" t="s">
        <v>447</v>
      </c>
      <c r="K3647" s="138">
        <v>0</v>
      </c>
      <c r="L3647" s="137">
        <v>3530.96</v>
      </c>
    </row>
    <row r="3648" spans="7:12" x14ac:dyDescent="0.25">
      <c r="G3648" s="136">
        <v>43465</v>
      </c>
      <c r="H3648" t="s">
        <v>200</v>
      </c>
      <c r="I3648" t="s">
        <v>236</v>
      </c>
      <c r="J3648" t="s">
        <v>447</v>
      </c>
      <c r="L3648" s="137">
        <v>1970.01</v>
      </c>
    </row>
    <row r="3649" spans="7:12" x14ac:dyDescent="0.25">
      <c r="G3649" s="136">
        <v>43465</v>
      </c>
      <c r="H3649" t="s">
        <v>200</v>
      </c>
      <c r="I3649" t="s">
        <v>236</v>
      </c>
      <c r="J3649" t="s">
        <v>447</v>
      </c>
      <c r="L3649" s="137">
        <v>880.25</v>
      </c>
    </row>
    <row r="3650" spans="7:12" x14ac:dyDescent="0.25">
      <c r="G3650" s="136">
        <v>43465</v>
      </c>
      <c r="H3650" t="s">
        <v>200</v>
      </c>
      <c r="I3650" t="s">
        <v>236</v>
      </c>
      <c r="J3650" t="s">
        <v>447</v>
      </c>
      <c r="L3650" s="137">
        <v>693.29</v>
      </c>
    </row>
    <row r="3651" spans="7:12" x14ac:dyDescent="0.25">
      <c r="G3651" s="136">
        <v>43465</v>
      </c>
      <c r="H3651" t="s">
        <v>200</v>
      </c>
      <c r="I3651" t="s">
        <v>236</v>
      </c>
      <c r="J3651" t="s">
        <v>447</v>
      </c>
      <c r="L3651" s="137">
        <v>263.94</v>
      </c>
    </row>
    <row r="3652" spans="7:12" x14ac:dyDescent="0.25">
      <c r="G3652" s="136">
        <v>43465</v>
      </c>
      <c r="H3652" t="s">
        <v>205</v>
      </c>
      <c r="I3652" t="s">
        <v>236</v>
      </c>
      <c r="J3652" t="s">
        <v>447</v>
      </c>
      <c r="K3652" s="138">
        <v>0</v>
      </c>
      <c r="L3652" s="137">
        <v>106.12</v>
      </c>
    </row>
    <row r="3653" spans="7:12" x14ac:dyDescent="0.25">
      <c r="G3653" s="136">
        <v>43465</v>
      </c>
      <c r="H3653" t="s">
        <v>205</v>
      </c>
      <c r="I3653" t="s">
        <v>236</v>
      </c>
      <c r="J3653" t="s">
        <v>447</v>
      </c>
      <c r="L3653" s="137">
        <v>51.99</v>
      </c>
    </row>
    <row r="3654" spans="7:12" x14ac:dyDescent="0.25">
      <c r="G3654" s="136">
        <v>43465</v>
      </c>
      <c r="H3654" t="s">
        <v>205</v>
      </c>
      <c r="I3654" t="s">
        <v>236</v>
      </c>
      <c r="J3654" t="s">
        <v>447</v>
      </c>
      <c r="L3654" s="137">
        <v>47.56</v>
      </c>
    </row>
    <row r="3655" spans="7:12" x14ac:dyDescent="0.25">
      <c r="G3655" s="136">
        <v>43465</v>
      </c>
      <c r="H3655" t="s">
        <v>25</v>
      </c>
      <c r="I3655" t="s">
        <v>236</v>
      </c>
      <c r="J3655" t="s">
        <v>447</v>
      </c>
      <c r="K3655" s="138">
        <v>8.4</v>
      </c>
      <c r="L3655" s="137">
        <v>0</v>
      </c>
    </row>
    <row r="3656" spans="7:12" x14ac:dyDescent="0.25">
      <c r="G3656" s="136">
        <v>43465</v>
      </c>
      <c r="H3656" t="s">
        <v>25</v>
      </c>
      <c r="I3656" t="s">
        <v>236</v>
      </c>
      <c r="J3656" t="s">
        <v>447</v>
      </c>
      <c r="K3656" s="138">
        <v>0</v>
      </c>
      <c r="L3656" s="137">
        <v>28914.81</v>
      </c>
    </row>
    <row r="3657" spans="7:12" x14ac:dyDescent="0.25">
      <c r="G3657" s="136">
        <v>43465</v>
      </c>
      <c r="H3657" t="s">
        <v>25</v>
      </c>
      <c r="I3657" t="s">
        <v>236</v>
      </c>
      <c r="J3657" t="s">
        <v>447</v>
      </c>
      <c r="L3657" s="137">
        <v>20550.37</v>
      </c>
    </row>
    <row r="3658" spans="7:12" x14ac:dyDescent="0.25">
      <c r="G3658" s="136">
        <v>43465</v>
      </c>
      <c r="H3658" t="s">
        <v>25</v>
      </c>
      <c r="I3658" t="s">
        <v>236</v>
      </c>
      <c r="J3658" t="s">
        <v>447</v>
      </c>
      <c r="L3658" s="137">
        <v>18084.27</v>
      </c>
    </row>
    <row r="3659" spans="7:12" x14ac:dyDescent="0.25">
      <c r="G3659" s="136">
        <v>43465</v>
      </c>
      <c r="H3659" t="s">
        <v>25</v>
      </c>
      <c r="I3659" t="s">
        <v>236</v>
      </c>
      <c r="J3659" t="s">
        <v>447</v>
      </c>
      <c r="L3659" s="137">
        <v>14128.72</v>
      </c>
    </row>
    <row r="3660" spans="7:12" x14ac:dyDescent="0.25">
      <c r="G3660" s="136">
        <v>43465</v>
      </c>
      <c r="H3660" t="s">
        <v>25</v>
      </c>
      <c r="I3660" t="s">
        <v>236</v>
      </c>
      <c r="J3660" t="s">
        <v>447</v>
      </c>
      <c r="L3660" s="137">
        <v>13776.33</v>
      </c>
    </row>
    <row r="3661" spans="7:12" x14ac:dyDescent="0.25">
      <c r="G3661" s="136">
        <v>43465</v>
      </c>
      <c r="H3661" t="s">
        <v>25</v>
      </c>
      <c r="I3661" t="s">
        <v>236</v>
      </c>
      <c r="J3661" t="s">
        <v>447</v>
      </c>
      <c r="L3661" s="137">
        <v>12275.05</v>
      </c>
    </row>
    <row r="3662" spans="7:12" x14ac:dyDescent="0.25">
      <c r="G3662" s="136">
        <v>43465</v>
      </c>
      <c r="H3662" t="s">
        <v>25</v>
      </c>
      <c r="I3662" t="s">
        <v>236</v>
      </c>
      <c r="J3662" t="s">
        <v>447</v>
      </c>
      <c r="L3662" s="137">
        <v>11572.06</v>
      </c>
    </row>
    <row r="3663" spans="7:12" x14ac:dyDescent="0.25">
      <c r="G3663" s="136">
        <v>43465</v>
      </c>
      <c r="H3663" t="s">
        <v>25</v>
      </c>
      <c r="I3663" t="s">
        <v>236</v>
      </c>
      <c r="J3663" t="s">
        <v>447</v>
      </c>
      <c r="L3663" s="137">
        <v>10469.540000000001</v>
      </c>
    </row>
    <row r="3664" spans="7:12" x14ac:dyDescent="0.25">
      <c r="G3664" s="136">
        <v>43465</v>
      </c>
      <c r="H3664" t="s">
        <v>25</v>
      </c>
      <c r="I3664" t="s">
        <v>236</v>
      </c>
      <c r="J3664" t="s">
        <v>447</v>
      </c>
      <c r="L3664" s="137">
        <v>10220.83</v>
      </c>
    </row>
    <row r="3665" spans="7:12" x14ac:dyDescent="0.25">
      <c r="G3665" s="136">
        <v>43465</v>
      </c>
      <c r="H3665" t="s">
        <v>25</v>
      </c>
      <c r="I3665" t="s">
        <v>236</v>
      </c>
      <c r="J3665" t="s">
        <v>447</v>
      </c>
      <c r="L3665" s="137">
        <v>9547.69</v>
      </c>
    </row>
    <row r="3666" spans="7:12" x14ac:dyDescent="0.25">
      <c r="G3666" s="136">
        <v>43465</v>
      </c>
      <c r="H3666" t="s">
        <v>25</v>
      </c>
      <c r="I3666" t="s">
        <v>236</v>
      </c>
      <c r="J3666" t="s">
        <v>447</v>
      </c>
      <c r="L3666" s="137">
        <v>8514.23</v>
      </c>
    </row>
    <row r="3667" spans="7:12" x14ac:dyDescent="0.25">
      <c r="G3667" s="136">
        <v>43465</v>
      </c>
      <c r="H3667" t="s">
        <v>25</v>
      </c>
      <c r="I3667" t="s">
        <v>236</v>
      </c>
      <c r="J3667" t="s">
        <v>447</v>
      </c>
      <c r="L3667" s="137">
        <v>8299.23</v>
      </c>
    </row>
    <row r="3668" spans="7:12" x14ac:dyDescent="0.25">
      <c r="G3668" s="136">
        <v>43465</v>
      </c>
      <c r="H3668" t="s">
        <v>25</v>
      </c>
      <c r="I3668" t="s">
        <v>236</v>
      </c>
      <c r="J3668" t="s">
        <v>447</v>
      </c>
      <c r="L3668" s="137">
        <v>7742.17</v>
      </c>
    </row>
    <row r="3669" spans="7:12" x14ac:dyDescent="0.25">
      <c r="G3669" s="136">
        <v>43465</v>
      </c>
      <c r="H3669" t="s">
        <v>25</v>
      </c>
      <c r="I3669" t="s">
        <v>236</v>
      </c>
      <c r="J3669" t="s">
        <v>447</v>
      </c>
      <c r="L3669" s="137">
        <v>6432.96</v>
      </c>
    </row>
    <row r="3670" spans="7:12" x14ac:dyDescent="0.25">
      <c r="G3670" s="136">
        <v>43465</v>
      </c>
      <c r="H3670" t="s">
        <v>25</v>
      </c>
      <c r="I3670" t="s">
        <v>236</v>
      </c>
      <c r="J3670" t="s">
        <v>447</v>
      </c>
      <c r="L3670" s="137">
        <v>4838.25</v>
      </c>
    </row>
    <row r="3671" spans="7:12" x14ac:dyDescent="0.25">
      <c r="G3671" s="136">
        <v>43465</v>
      </c>
      <c r="H3671" t="s">
        <v>25</v>
      </c>
      <c r="I3671" t="s">
        <v>236</v>
      </c>
      <c r="J3671" t="s">
        <v>447</v>
      </c>
      <c r="L3671" s="137">
        <v>4652.25</v>
      </c>
    </row>
    <row r="3672" spans="7:12" x14ac:dyDescent="0.25">
      <c r="G3672" s="136">
        <v>43465</v>
      </c>
      <c r="H3672" t="s">
        <v>25</v>
      </c>
      <c r="I3672" t="s">
        <v>236</v>
      </c>
      <c r="J3672" t="s">
        <v>447</v>
      </c>
      <c r="L3672" s="137">
        <v>4525.3100000000004</v>
      </c>
    </row>
    <row r="3673" spans="7:12" x14ac:dyDescent="0.25">
      <c r="G3673" s="136">
        <v>43465</v>
      </c>
      <c r="H3673" t="s">
        <v>25</v>
      </c>
      <c r="I3673" t="s">
        <v>236</v>
      </c>
      <c r="J3673" t="s">
        <v>447</v>
      </c>
      <c r="L3673" s="137">
        <v>4232</v>
      </c>
    </row>
    <row r="3674" spans="7:12" x14ac:dyDescent="0.25">
      <c r="G3674" s="136">
        <v>43465</v>
      </c>
      <c r="H3674" t="s">
        <v>25</v>
      </c>
      <c r="I3674" t="s">
        <v>236</v>
      </c>
      <c r="J3674" t="s">
        <v>447</v>
      </c>
      <c r="L3674" s="137">
        <v>4185.47</v>
      </c>
    </row>
    <row r="3675" spans="7:12" x14ac:dyDescent="0.25">
      <c r="G3675" s="136">
        <v>43465</v>
      </c>
      <c r="H3675" t="s">
        <v>25</v>
      </c>
      <c r="I3675" t="s">
        <v>236</v>
      </c>
      <c r="J3675" t="s">
        <v>447</v>
      </c>
      <c r="L3675" s="137">
        <v>3872</v>
      </c>
    </row>
    <row r="3676" spans="7:12" x14ac:dyDescent="0.25">
      <c r="G3676" s="136">
        <v>43465</v>
      </c>
      <c r="H3676" t="s">
        <v>25</v>
      </c>
      <c r="I3676" t="s">
        <v>236</v>
      </c>
      <c r="J3676" t="s">
        <v>447</v>
      </c>
      <c r="L3676" s="137">
        <v>3718.37</v>
      </c>
    </row>
    <row r="3677" spans="7:12" x14ac:dyDescent="0.25">
      <c r="G3677" s="136">
        <v>43465</v>
      </c>
      <c r="H3677" t="s">
        <v>25</v>
      </c>
      <c r="I3677" t="s">
        <v>236</v>
      </c>
      <c r="J3677" t="s">
        <v>447</v>
      </c>
      <c r="L3677" s="137">
        <v>3668.11</v>
      </c>
    </row>
    <row r="3678" spans="7:12" x14ac:dyDescent="0.25">
      <c r="G3678" s="136">
        <v>43465</v>
      </c>
      <c r="H3678" t="s">
        <v>25</v>
      </c>
      <c r="I3678" t="s">
        <v>236</v>
      </c>
      <c r="J3678" t="s">
        <v>447</v>
      </c>
      <c r="L3678" s="137">
        <v>3600</v>
      </c>
    </row>
    <row r="3679" spans="7:12" x14ac:dyDescent="0.25">
      <c r="G3679" s="136">
        <v>43465</v>
      </c>
      <c r="H3679" t="s">
        <v>25</v>
      </c>
      <c r="I3679" t="s">
        <v>236</v>
      </c>
      <c r="J3679" t="s">
        <v>447</v>
      </c>
      <c r="L3679" s="137">
        <v>2899.26</v>
      </c>
    </row>
    <row r="3680" spans="7:12" x14ac:dyDescent="0.25">
      <c r="G3680" s="136">
        <v>43465</v>
      </c>
      <c r="H3680" t="s">
        <v>25</v>
      </c>
      <c r="I3680" t="s">
        <v>236</v>
      </c>
      <c r="J3680" t="s">
        <v>447</v>
      </c>
      <c r="L3680" s="137">
        <v>2776</v>
      </c>
    </row>
    <row r="3681" spans="7:12" x14ac:dyDescent="0.25">
      <c r="G3681" s="136">
        <v>43465</v>
      </c>
      <c r="H3681" t="s">
        <v>25</v>
      </c>
      <c r="I3681" t="s">
        <v>236</v>
      </c>
      <c r="J3681" t="s">
        <v>447</v>
      </c>
      <c r="L3681" s="137">
        <v>2252</v>
      </c>
    </row>
    <row r="3682" spans="7:12" x14ac:dyDescent="0.25">
      <c r="G3682" s="136">
        <v>43465</v>
      </c>
      <c r="H3682" t="s">
        <v>25</v>
      </c>
      <c r="I3682" t="s">
        <v>236</v>
      </c>
      <c r="J3682" t="s">
        <v>447</v>
      </c>
      <c r="L3682" s="137">
        <v>1792</v>
      </c>
    </row>
    <row r="3683" spans="7:12" x14ac:dyDescent="0.25">
      <c r="G3683" s="136">
        <v>43465</v>
      </c>
      <c r="H3683" t="s">
        <v>25</v>
      </c>
      <c r="I3683" t="s">
        <v>236</v>
      </c>
      <c r="J3683" t="s">
        <v>447</v>
      </c>
      <c r="L3683" s="137">
        <v>1620</v>
      </c>
    </row>
    <row r="3684" spans="7:12" x14ac:dyDescent="0.25">
      <c r="G3684" s="136">
        <v>43465</v>
      </c>
      <c r="H3684" t="s">
        <v>25</v>
      </c>
      <c r="I3684" t="s">
        <v>236</v>
      </c>
      <c r="J3684" t="s">
        <v>447</v>
      </c>
      <c r="L3684" s="137">
        <v>1487.7</v>
      </c>
    </row>
    <row r="3685" spans="7:12" x14ac:dyDescent="0.25">
      <c r="G3685" s="136">
        <v>43465</v>
      </c>
      <c r="H3685" t="s">
        <v>25</v>
      </c>
      <c r="I3685" t="s">
        <v>236</v>
      </c>
      <c r="J3685" t="s">
        <v>447</v>
      </c>
      <c r="L3685" s="137">
        <v>1424</v>
      </c>
    </row>
    <row r="3686" spans="7:12" x14ac:dyDescent="0.25">
      <c r="G3686" s="136">
        <v>43465</v>
      </c>
      <c r="H3686" t="s">
        <v>25</v>
      </c>
      <c r="I3686" t="s">
        <v>236</v>
      </c>
      <c r="J3686" t="s">
        <v>447</v>
      </c>
      <c r="L3686" s="137">
        <v>1416</v>
      </c>
    </row>
    <row r="3687" spans="7:12" x14ac:dyDescent="0.25">
      <c r="G3687" s="136">
        <v>43465</v>
      </c>
      <c r="H3687" t="s">
        <v>25</v>
      </c>
      <c r="I3687" t="s">
        <v>236</v>
      </c>
      <c r="J3687" t="s">
        <v>447</v>
      </c>
      <c r="L3687" s="137">
        <v>1200</v>
      </c>
    </row>
    <row r="3688" spans="7:12" x14ac:dyDescent="0.25">
      <c r="G3688" s="136">
        <v>43465</v>
      </c>
      <c r="H3688" t="s">
        <v>25</v>
      </c>
      <c r="I3688" t="s">
        <v>236</v>
      </c>
      <c r="J3688" t="s">
        <v>447</v>
      </c>
      <c r="L3688" s="137">
        <v>1152</v>
      </c>
    </row>
    <row r="3689" spans="7:12" x14ac:dyDescent="0.25">
      <c r="G3689" s="136">
        <v>43465</v>
      </c>
      <c r="H3689" t="s">
        <v>25</v>
      </c>
      <c r="I3689" t="s">
        <v>236</v>
      </c>
      <c r="J3689" t="s">
        <v>447</v>
      </c>
      <c r="L3689" s="137">
        <v>968</v>
      </c>
    </row>
    <row r="3690" spans="7:12" x14ac:dyDescent="0.25">
      <c r="G3690" s="136">
        <v>43465</v>
      </c>
      <c r="H3690" t="s">
        <v>25</v>
      </c>
      <c r="I3690" t="s">
        <v>236</v>
      </c>
      <c r="J3690" t="s">
        <v>447</v>
      </c>
      <c r="L3690" s="137">
        <v>960</v>
      </c>
    </row>
    <row r="3691" spans="7:12" x14ac:dyDescent="0.25">
      <c r="G3691" s="136">
        <v>43465</v>
      </c>
      <c r="H3691" t="s">
        <v>25</v>
      </c>
      <c r="I3691" t="s">
        <v>236</v>
      </c>
      <c r="J3691" t="s">
        <v>447</v>
      </c>
      <c r="L3691" s="137">
        <v>909.37</v>
      </c>
    </row>
    <row r="3692" spans="7:12" x14ac:dyDescent="0.25">
      <c r="G3692" s="136">
        <v>43465</v>
      </c>
      <c r="H3692" t="s">
        <v>25</v>
      </c>
      <c r="I3692" t="s">
        <v>236</v>
      </c>
      <c r="J3692" t="s">
        <v>447</v>
      </c>
      <c r="L3692" s="137">
        <v>901.93</v>
      </c>
    </row>
    <row r="3693" spans="7:12" x14ac:dyDescent="0.25">
      <c r="G3693" s="136">
        <v>43465</v>
      </c>
      <c r="H3693" t="s">
        <v>25</v>
      </c>
      <c r="I3693" t="s">
        <v>236</v>
      </c>
      <c r="J3693" t="s">
        <v>447</v>
      </c>
      <c r="L3693" s="137">
        <v>856</v>
      </c>
    </row>
    <row r="3694" spans="7:12" x14ac:dyDescent="0.25">
      <c r="G3694" s="136">
        <v>43465</v>
      </c>
      <c r="H3694" t="s">
        <v>25</v>
      </c>
      <c r="I3694" t="s">
        <v>236</v>
      </c>
      <c r="J3694" t="s">
        <v>447</v>
      </c>
      <c r="L3694" s="137">
        <v>840</v>
      </c>
    </row>
    <row r="3695" spans="7:12" x14ac:dyDescent="0.25">
      <c r="G3695" s="136">
        <v>43465</v>
      </c>
      <c r="H3695" t="s">
        <v>25</v>
      </c>
      <c r="I3695" t="s">
        <v>236</v>
      </c>
      <c r="J3695" t="s">
        <v>447</v>
      </c>
      <c r="L3695" s="137">
        <v>741.73</v>
      </c>
    </row>
    <row r="3696" spans="7:12" x14ac:dyDescent="0.25">
      <c r="G3696" s="136">
        <v>43465</v>
      </c>
      <c r="H3696" t="s">
        <v>25</v>
      </c>
      <c r="I3696" t="s">
        <v>236</v>
      </c>
      <c r="J3696" t="s">
        <v>447</v>
      </c>
      <c r="L3696" s="137">
        <v>712</v>
      </c>
    </row>
    <row r="3697" spans="7:12" x14ac:dyDescent="0.25">
      <c r="G3697" s="136">
        <v>43465</v>
      </c>
      <c r="H3697" t="s">
        <v>25</v>
      </c>
      <c r="I3697" t="s">
        <v>236</v>
      </c>
      <c r="J3697" t="s">
        <v>447</v>
      </c>
      <c r="L3697" s="137">
        <v>667.86</v>
      </c>
    </row>
    <row r="3698" spans="7:12" x14ac:dyDescent="0.25">
      <c r="G3698" s="136">
        <v>43465</v>
      </c>
      <c r="H3698" t="s">
        <v>25</v>
      </c>
      <c r="I3698" t="s">
        <v>236</v>
      </c>
      <c r="J3698" t="s">
        <v>447</v>
      </c>
      <c r="L3698" s="137">
        <v>608</v>
      </c>
    </row>
    <row r="3699" spans="7:12" x14ac:dyDescent="0.25">
      <c r="G3699" s="136">
        <v>43465</v>
      </c>
      <c r="H3699" t="s">
        <v>25</v>
      </c>
      <c r="I3699" t="s">
        <v>236</v>
      </c>
      <c r="J3699" t="s">
        <v>447</v>
      </c>
      <c r="L3699" s="137">
        <v>596.84</v>
      </c>
    </row>
    <row r="3700" spans="7:12" x14ac:dyDescent="0.25">
      <c r="G3700" s="136">
        <v>43465</v>
      </c>
      <c r="H3700" t="s">
        <v>25</v>
      </c>
      <c r="I3700" t="s">
        <v>236</v>
      </c>
      <c r="J3700" t="s">
        <v>447</v>
      </c>
      <c r="L3700" s="137">
        <v>592</v>
      </c>
    </row>
    <row r="3701" spans="7:12" x14ac:dyDescent="0.25">
      <c r="G3701" s="136">
        <v>43465</v>
      </c>
      <c r="H3701" t="s">
        <v>25</v>
      </c>
      <c r="I3701" t="s">
        <v>236</v>
      </c>
      <c r="J3701" t="s">
        <v>447</v>
      </c>
      <c r="L3701" s="137">
        <v>520</v>
      </c>
    </row>
    <row r="3702" spans="7:12" x14ac:dyDescent="0.25">
      <c r="G3702" s="136">
        <v>43465</v>
      </c>
      <c r="H3702" t="s">
        <v>25</v>
      </c>
      <c r="I3702" t="s">
        <v>236</v>
      </c>
      <c r="J3702" t="s">
        <v>447</v>
      </c>
      <c r="L3702" s="137">
        <v>492.05</v>
      </c>
    </row>
    <row r="3703" spans="7:12" x14ac:dyDescent="0.25">
      <c r="G3703" s="136">
        <v>43465</v>
      </c>
      <c r="H3703" t="s">
        <v>25</v>
      </c>
      <c r="I3703" t="s">
        <v>236</v>
      </c>
      <c r="J3703" t="s">
        <v>447</v>
      </c>
      <c r="L3703" s="137">
        <v>468.25</v>
      </c>
    </row>
    <row r="3704" spans="7:12" x14ac:dyDescent="0.25">
      <c r="G3704" s="136">
        <v>43465</v>
      </c>
      <c r="H3704" t="s">
        <v>25</v>
      </c>
      <c r="I3704" t="s">
        <v>236</v>
      </c>
      <c r="J3704" t="s">
        <v>447</v>
      </c>
      <c r="L3704" s="137">
        <v>446.24</v>
      </c>
    </row>
    <row r="3705" spans="7:12" x14ac:dyDescent="0.25">
      <c r="G3705" s="136">
        <v>43465</v>
      </c>
      <c r="H3705" t="s">
        <v>25</v>
      </c>
      <c r="I3705" t="s">
        <v>236</v>
      </c>
      <c r="J3705" t="s">
        <v>447</v>
      </c>
      <c r="L3705" s="137">
        <v>435.52</v>
      </c>
    </row>
    <row r="3706" spans="7:12" x14ac:dyDescent="0.25">
      <c r="G3706" s="136">
        <v>43465</v>
      </c>
      <c r="H3706" t="s">
        <v>25</v>
      </c>
      <c r="I3706" t="s">
        <v>236</v>
      </c>
      <c r="J3706" t="s">
        <v>447</v>
      </c>
      <c r="L3706" s="137">
        <v>417.98</v>
      </c>
    </row>
    <row r="3707" spans="7:12" x14ac:dyDescent="0.25">
      <c r="G3707" s="136">
        <v>43465</v>
      </c>
      <c r="H3707" t="s">
        <v>25</v>
      </c>
      <c r="I3707" t="s">
        <v>236</v>
      </c>
      <c r="J3707" t="s">
        <v>447</v>
      </c>
      <c r="L3707" s="137">
        <v>411.44</v>
      </c>
    </row>
    <row r="3708" spans="7:12" x14ac:dyDescent="0.25">
      <c r="G3708" s="136">
        <v>43465</v>
      </c>
      <c r="H3708" t="s">
        <v>25</v>
      </c>
      <c r="I3708" t="s">
        <v>236</v>
      </c>
      <c r="J3708" t="s">
        <v>447</v>
      </c>
      <c r="L3708" s="137">
        <v>409.17</v>
      </c>
    </row>
    <row r="3709" spans="7:12" x14ac:dyDescent="0.25">
      <c r="G3709" s="136">
        <v>43465</v>
      </c>
      <c r="H3709" t="s">
        <v>25</v>
      </c>
      <c r="I3709" t="s">
        <v>236</v>
      </c>
      <c r="J3709" t="s">
        <v>447</v>
      </c>
      <c r="L3709" s="137">
        <v>400</v>
      </c>
    </row>
    <row r="3710" spans="7:12" x14ac:dyDescent="0.25">
      <c r="G3710" s="136">
        <v>43465</v>
      </c>
      <c r="H3710" t="s">
        <v>25</v>
      </c>
      <c r="I3710" t="s">
        <v>236</v>
      </c>
      <c r="J3710" t="s">
        <v>447</v>
      </c>
      <c r="L3710" s="137">
        <v>381.27</v>
      </c>
    </row>
    <row r="3711" spans="7:12" x14ac:dyDescent="0.25">
      <c r="G3711" s="136">
        <v>43465</v>
      </c>
      <c r="H3711" t="s">
        <v>25</v>
      </c>
      <c r="I3711" t="s">
        <v>236</v>
      </c>
      <c r="J3711" t="s">
        <v>447</v>
      </c>
      <c r="L3711" s="137">
        <v>318.02</v>
      </c>
    </row>
    <row r="3712" spans="7:12" x14ac:dyDescent="0.25">
      <c r="G3712" s="136">
        <v>43465</v>
      </c>
      <c r="H3712" t="s">
        <v>25</v>
      </c>
      <c r="I3712" t="s">
        <v>236</v>
      </c>
      <c r="J3712" t="s">
        <v>447</v>
      </c>
      <c r="L3712" s="137">
        <v>295.66000000000003</v>
      </c>
    </row>
    <row r="3713" spans="7:12" x14ac:dyDescent="0.25">
      <c r="G3713" s="136">
        <v>43465</v>
      </c>
      <c r="H3713" t="s">
        <v>25</v>
      </c>
      <c r="I3713" t="s">
        <v>236</v>
      </c>
      <c r="J3713" t="s">
        <v>447</v>
      </c>
      <c r="L3713" s="137">
        <v>286.37</v>
      </c>
    </row>
    <row r="3714" spans="7:12" x14ac:dyDescent="0.25">
      <c r="G3714" s="136">
        <v>43465</v>
      </c>
      <c r="H3714" t="s">
        <v>25</v>
      </c>
      <c r="I3714" t="s">
        <v>236</v>
      </c>
      <c r="J3714" t="s">
        <v>447</v>
      </c>
      <c r="L3714" s="137">
        <v>280</v>
      </c>
    </row>
    <row r="3715" spans="7:12" x14ac:dyDescent="0.25">
      <c r="G3715" s="136">
        <v>43465</v>
      </c>
      <c r="H3715" t="s">
        <v>25</v>
      </c>
      <c r="I3715" t="s">
        <v>236</v>
      </c>
      <c r="J3715" t="s">
        <v>447</v>
      </c>
      <c r="L3715" s="137">
        <v>279.20999999999998</v>
      </c>
    </row>
    <row r="3716" spans="7:12" x14ac:dyDescent="0.25">
      <c r="G3716" s="136">
        <v>43465</v>
      </c>
      <c r="H3716" t="s">
        <v>25</v>
      </c>
      <c r="I3716" t="s">
        <v>236</v>
      </c>
      <c r="J3716" t="s">
        <v>447</v>
      </c>
      <c r="L3716" s="137">
        <v>275.62</v>
      </c>
    </row>
    <row r="3717" spans="7:12" x14ac:dyDescent="0.25">
      <c r="G3717" s="136">
        <v>43465</v>
      </c>
      <c r="H3717" t="s">
        <v>25</v>
      </c>
      <c r="I3717" t="s">
        <v>236</v>
      </c>
      <c r="J3717" t="s">
        <v>447</v>
      </c>
      <c r="L3717" s="137">
        <v>253</v>
      </c>
    </row>
    <row r="3718" spans="7:12" x14ac:dyDescent="0.25">
      <c r="G3718" s="136">
        <v>43465</v>
      </c>
      <c r="H3718" t="s">
        <v>25</v>
      </c>
      <c r="I3718" t="s">
        <v>236</v>
      </c>
      <c r="J3718" t="s">
        <v>447</v>
      </c>
      <c r="L3718" s="137">
        <v>243.28</v>
      </c>
    </row>
    <row r="3719" spans="7:12" x14ac:dyDescent="0.25">
      <c r="G3719" s="136">
        <v>43465</v>
      </c>
      <c r="H3719" t="s">
        <v>25</v>
      </c>
      <c r="I3719" t="s">
        <v>236</v>
      </c>
      <c r="J3719" t="s">
        <v>447</v>
      </c>
      <c r="L3719" s="137">
        <v>234.56</v>
      </c>
    </row>
    <row r="3720" spans="7:12" x14ac:dyDescent="0.25">
      <c r="G3720" s="136">
        <v>43465</v>
      </c>
      <c r="H3720" t="s">
        <v>25</v>
      </c>
      <c r="I3720" t="s">
        <v>236</v>
      </c>
      <c r="J3720" t="s">
        <v>447</v>
      </c>
      <c r="L3720" s="137">
        <v>232</v>
      </c>
    </row>
    <row r="3721" spans="7:12" x14ac:dyDescent="0.25">
      <c r="G3721" s="136">
        <v>43465</v>
      </c>
      <c r="H3721" t="s">
        <v>25</v>
      </c>
      <c r="I3721" t="s">
        <v>236</v>
      </c>
      <c r="J3721" t="s">
        <v>447</v>
      </c>
      <c r="L3721" s="137">
        <v>221.7</v>
      </c>
    </row>
    <row r="3722" spans="7:12" x14ac:dyDescent="0.25">
      <c r="G3722" s="136">
        <v>43465</v>
      </c>
      <c r="H3722" t="s">
        <v>25</v>
      </c>
      <c r="I3722" t="s">
        <v>236</v>
      </c>
      <c r="J3722" t="s">
        <v>447</v>
      </c>
      <c r="L3722" s="137">
        <v>221</v>
      </c>
    </row>
    <row r="3723" spans="7:12" x14ac:dyDescent="0.25">
      <c r="G3723" s="136">
        <v>43465</v>
      </c>
      <c r="H3723" t="s">
        <v>25</v>
      </c>
      <c r="I3723" t="s">
        <v>236</v>
      </c>
      <c r="J3723" t="s">
        <v>447</v>
      </c>
      <c r="L3723" s="137">
        <v>219.53</v>
      </c>
    </row>
    <row r="3724" spans="7:12" x14ac:dyDescent="0.25">
      <c r="G3724" s="136">
        <v>43465</v>
      </c>
      <c r="H3724" t="s">
        <v>25</v>
      </c>
      <c r="I3724" t="s">
        <v>236</v>
      </c>
      <c r="J3724" t="s">
        <v>447</v>
      </c>
      <c r="L3724" s="137">
        <v>210.62</v>
      </c>
    </row>
    <row r="3725" spans="7:12" x14ac:dyDescent="0.25">
      <c r="G3725" s="136">
        <v>43465</v>
      </c>
      <c r="H3725" t="s">
        <v>25</v>
      </c>
      <c r="I3725" t="s">
        <v>236</v>
      </c>
      <c r="J3725" t="s">
        <v>447</v>
      </c>
      <c r="L3725" s="137">
        <v>195.85</v>
      </c>
    </row>
    <row r="3726" spans="7:12" x14ac:dyDescent="0.25">
      <c r="G3726" s="136">
        <v>43465</v>
      </c>
      <c r="H3726" t="s">
        <v>25</v>
      </c>
      <c r="I3726" t="s">
        <v>236</v>
      </c>
      <c r="J3726" t="s">
        <v>447</v>
      </c>
      <c r="L3726" s="137">
        <v>195.11</v>
      </c>
    </row>
    <row r="3727" spans="7:12" x14ac:dyDescent="0.25">
      <c r="G3727" s="136">
        <v>43465</v>
      </c>
      <c r="H3727" t="s">
        <v>25</v>
      </c>
      <c r="I3727" t="s">
        <v>236</v>
      </c>
      <c r="J3727" t="s">
        <v>447</v>
      </c>
      <c r="L3727" s="137">
        <v>184</v>
      </c>
    </row>
    <row r="3728" spans="7:12" x14ac:dyDescent="0.25">
      <c r="G3728" s="136">
        <v>43465</v>
      </c>
      <c r="H3728" t="s">
        <v>25</v>
      </c>
      <c r="I3728" t="s">
        <v>236</v>
      </c>
      <c r="J3728" t="s">
        <v>447</v>
      </c>
      <c r="L3728" s="137">
        <v>183.42</v>
      </c>
    </row>
    <row r="3729" spans="7:12" x14ac:dyDescent="0.25">
      <c r="G3729" s="136">
        <v>43465</v>
      </c>
      <c r="H3729" t="s">
        <v>25</v>
      </c>
      <c r="I3729" t="s">
        <v>236</v>
      </c>
      <c r="J3729" t="s">
        <v>447</v>
      </c>
      <c r="L3729" s="137">
        <v>182.56</v>
      </c>
    </row>
    <row r="3730" spans="7:12" x14ac:dyDescent="0.25">
      <c r="G3730" s="136">
        <v>43465</v>
      </c>
      <c r="H3730" t="s">
        <v>25</v>
      </c>
      <c r="I3730" t="s">
        <v>236</v>
      </c>
      <c r="J3730" t="s">
        <v>447</v>
      </c>
      <c r="L3730" s="137">
        <v>153.74</v>
      </c>
    </row>
    <row r="3731" spans="7:12" x14ac:dyDescent="0.25">
      <c r="G3731" s="136">
        <v>43465</v>
      </c>
      <c r="H3731" t="s">
        <v>25</v>
      </c>
      <c r="I3731" t="s">
        <v>236</v>
      </c>
      <c r="J3731" t="s">
        <v>447</v>
      </c>
      <c r="L3731" s="137">
        <v>147.72</v>
      </c>
    </row>
    <row r="3732" spans="7:12" x14ac:dyDescent="0.25">
      <c r="G3732" s="136">
        <v>43465</v>
      </c>
      <c r="H3732" t="s">
        <v>25</v>
      </c>
      <c r="I3732" t="s">
        <v>236</v>
      </c>
      <c r="J3732" t="s">
        <v>447</v>
      </c>
      <c r="L3732" s="137">
        <v>142.80000000000001</v>
      </c>
    </row>
    <row r="3733" spans="7:12" x14ac:dyDescent="0.25">
      <c r="G3733" s="136">
        <v>43465</v>
      </c>
      <c r="H3733" t="s">
        <v>25</v>
      </c>
      <c r="I3733" t="s">
        <v>236</v>
      </c>
      <c r="J3733" t="s">
        <v>447</v>
      </c>
      <c r="L3733" s="137">
        <v>137.41999999999999</v>
      </c>
    </row>
    <row r="3734" spans="7:12" x14ac:dyDescent="0.25">
      <c r="G3734" s="136">
        <v>43465</v>
      </c>
      <c r="H3734" t="s">
        <v>25</v>
      </c>
      <c r="I3734" t="s">
        <v>236</v>
      </c>
      <c r="J3734" t="s">
        <v>447</v>
      </c>
      <c r="L3734" s="137">
        <v>136.54</v>
      </c>
    </row>
    <row r="3735" spans="7:12" x14ac:dyDescent="0.25">
      <c r="G3735" s="136">
        <v>43465</v>
      </c>
      <c r="H3735" t="s">
        <v>25</v>
      </c>
      <c r="I3735" t="s">
        <v>236</v>
      </c>
      <c r="J3735" t="s">
        <v>447</v>
      </c>
      <c r="L3735" s="137">
        <v>135.25</v>
      </c>
    </row>
    <row r="3736" spans="7:12" x14ac:dyDescent="0.25">
      <c r="G3736" s="136">
        <v>43465</v>
      </c>
      <c r="H3736" t="s">
        <v>25</v>
      </c>
      <c r="I3736" t="s">
        <v>236</v>
      </c>
      <c r="J3736" t="s">
        <v>447</v>
      </c>
      <c r="L3736" s="137">
        <v>129.09</v>
      </c>
    </row>
    <row r="3737" spans="7:12" x14ac:dyDescent="0.25">
      <c r="G3737" s="136">
        <v>43465</v>
      </c>
      <c r="H3737" t="s">
        <v>25</v>
      </c>
      <c r="I3737" t="s">
        <v>236</v>
      </c>
      <c r="J3737" t="s">
        <v>447</v>
      </c>
      <c r="L3737" s="137">
        <v>123.6</v>
      </c>
    </row>
    <row r="3738" spans="7:12" x14ac:dyDescent="0.25">
      <c r="G3738" s="136">
        <v>43465</v>
      </c>
      <c r="H3738" t="s">
        <v>25</v>
      </c>
      <c r="I3738" t="s">
        <v>236</v>
      </c>
      <c r="J3738" t="s">
        <v>447</v>
      </c>
      <c r="L3738" s="137">
        <v>121.12</v>
      </c>
    </row>
    <row r="3739" spans="7:12" x14ac:dyDescent="0.25">
      <c r="G3739" s="136">
        <v>43465</v>
      </c>
      <c r="H3739" t="s">
        <v>25</v>
      </c>
      <c r="I3739" t="s">
        <v>236</v>
      </c>
      <c r="J3739" t="s">
        <v>447</v>
      </c>
      <c r="L3739" s="137">
        <v>117.21</v>
      </c>
    </row>
    <row r="3740" spans="7:12" x14ac:dyDescent="0.25">
      <c r="G3740" s="136">
        <v>43465</v>
      </c>
      <c r="H3740" t="s">
        <v>25</v>
      </c>
      <c r="I3740" t="s">
        <v>236</v>
      </c>
      <c r="J3740" t="s">
        <v>447</v>
      </c>
      <c r="L3740" s="137">
        <v>113.1</v>
      </c>
    </row>
    <row r="3741" spans="7:12" x14ac:dyDescent="0.25">
      <c r="G3741" s="136">
        <v>43465</v>
      </c>
      <c r="H3741" t="s">
        <v>25</v>
      </c>
      <c r="I3741" t="s">
        <v>236</v>
      </c>
      <c r="J3741" t="s">
        <v>447</v>
      </c>
      <c r="L3741" s="137">
        <v>107.12</v>
      </c>
    </row>
    <row r="3742" spans="7:12" x14ac:dyDescent="0.25">
      <c r="G3742" s="136">
        <v>43465</v>
      </c>
      <c r="H3742" t="s">
        <v>25</v>
      </c>
      <c r="I3742" t="s">
        <v>236</v>
      </c>
      <c r="J3742" t="s">
        <v>447</v>
      </c>
      <c r="L3742" s="137">
        <v>104.2</v>
      </c>
    </row>
    <row r="3743" spans="7:12" x14ac:dyDescent="0.25">
      <c r="G3743" s="136">
        <v>43465</v>
      </c>
      <c r="H3743" t="s">
        <v>25</v>
      </c>
      <c r="I3743" t="s">
        <v>236</v>
      </c>
      <c r="J3743" t="s">
        <v>447</v>
      </c>
      <c r="L3743" s="137">
        <v>81.23</v>
      </c>
    </row>
    <row r="3744" spans="7:12" x14ac:dyDescent="0.25">
      <c r="G3744" s="136">
        <v>43465</v>
      </c>
      <c r="H3744" t="s">
        <v>25</v>
      </c>
      <c r="I3744" t="s">
        <v>236</v>
      </c>
      <c r="J3744" t="s">
        <v>447</v>
      </c>
      <c r="L3744" s="137">
        <v>64</v>
      </c>
    </row>
    <row r="3745" spans="7:12" x14ac:dyDescent="0.25">
      <c r="G3745" s="136">
        <v>43465</v>
      </c>
      <c r="H3745" t="s">
        <v>25</v>
      </c>
      <c r="I3745" t="s">
        <v>236</v>
      </c>
      <c r="J3745" t="s">
        <v>447</v>
      </c>
      <c r="L3745" s="137">
        <v>60.4</v>
      </c>
    </row>
    <row r="3746" spans="7:12" x14ac:dyDescent="0.25">
      <c r="G3746" s="136">
        <v>43465</v>
      </c>
      <c r="H3746" t="s">
        <v>25</v>
      </c>
      <c r="I3746" t="s">
        <v>236</v>
      </c>
      <c r="J3746" t="s">
        <v>447</v>
      </c>
      <c r="L3746" s="137">
        <v>58.52</v>
      </c>
    </row>
    <row r="3747" spans="7:12" x14ac:dyDescent="0.25">
      <c r="G3747" s="136">
        <v>43465</v>
      </c>
      <c r="H3747" t="s">
        <v>25</v>
      </c>
      <c r="I3747" t="s">
        <v>236</v>
      </c>
      <c r="J3747" t="s">
        <v>447</v>
      </c>
      <c r="L3747" s="137">
        <v>48</v>
      </c>
    </row>
    <row r="3748" spans="7:12" x14ac:dyDescent="0.25">
      <c r="G3748" s="136">
        <v>43465</v>
      </c>
      <c r="H3748" t="s">
        <v>25</v>
      </c>
      <c r="I3748" t="s">
        <v>236</v>
      </c>
      <c r="J3748" t="s">
        <v>447</v>
      </c>
      <c r="L3748" s="137">
        <v>47.4</v>
      </c>
    </row>
    <row r="3749" spans="7:12" x14ac:dyDescent="0.25">
      <c r="G3749" s="136">
        <v>43465</v>
      </c>
      <c r="H3749" t="s">
        <v>25</v>
      </c>
      <c r="I3749" t="s">
        <v>236</v>
      </c>
      <c r="J3749" t="s">
        <v>447</v>
      </c>
      <c r="L3749" s="137">
        <v>43.87</v>
      </c>
    </row>
    <row r="3750" spans="7:12" x14ac:dyDescent="0.25">
      <c r="G3750" s="136">
        <v>43465</v>
      </c>
      <c r="H3750" t="s">
        <v>25</v>
      </c>
      <c r="I3750" t="s">
        <v>236</v>
      </c>
      <c r="J3750" t="s">
        <v>447</v>
      </c>
      <c r="L3750" s="137">
        <v>40</v>
      </c>
    </row>
    <row r="3751" spans="7:12" x14ac:dyDescent="0.25">
      <c r="G3751" s="136">
        <v>43465</v>
      </c>
      <c r="H3751" t="s">
        <v>25</v>
      </c>
      <c r="I3751" t="s">
        <v>236</v>
      </c>
      <c r="J3751" t="s">
        <v>447</v>
      </c>
      <c r="L3751" s="137">
        <v>38.119999999999997</v>
      </c>
    </row>
    <row r="3752" spans="7:12" x14ac:dyDescent="0.25">
      <c r="G3752" s="136">
        <v>43465</v>
      </c>
      <c r="H3752" t="s">
        <v>25</v>
      </c>
      <c r="I3752" t="s">
        <v>236</v>
      </c>
      <c r="J3752" t="s">
        <v>447</v>
      </c>
      <c r="L3752" s="137">
        <v>32</v>
      </c>
    </row>
    <row r="3753" spans="7:12" x14ac:dyDescent="0.25">
      <c r="G3753" s="136">
        <v>43465</v>
      </c>
      <c r="H3753" t="s">
        <v>25</v>
      </c>
      <c r="I3753" t="s">
        <v>236</v>
      </c>
      <c r="J3753" t="s">
        <v>447</v>
      </c>
      <c r="L3753" s="137">
        <v>26.52</v>
      </c>
    </row>
    <row r="3754" spans="7:12" x14ac:dyDescent="0.25">
      <c r="G3754" s="136">
        <v>43465</v>
      </c>
      <c r="H3754" t="s">
        <v>25</v>
      </c>
      <c r="I3754" t="s">
        <v>236</v>
      </c>
      <c r="J3754" t="s">
        <v>447</v>
      </c>
      <c r="L3754" s="137">
        <v>25.11</v>
      </c>
    </row>
    <row r="3755" spans="7:12" x14ac:dyDescent="0.25">
      <c r="G3755" s="136">
        <v>43465</v>
      </c>
      <c r="H3755" t="s">
        <v>25</v>
      </c>
      <c r="I3755" t="s">
        <v>236</v>
      </c>
      <c r="J3755" t="s">
        <v>447</v>
      </c>
      <c r="L3755" s="137">
        <v>24</v>
      </c>
    </row>
    <row r="3756" spans="7:12" x14ac:dyDescent="0.25">
      <c r="G3756" s="136">
        <v>43465</v>
      </c>
      <c r="H3756" t="s">
        <v>25</v>
      </c>
      <c r="I3756" t="s">
        <v>236</v>
      </c>
      <c r="J3756" t="s">
        <v>447</v>
      </c>
      <c r="L3756" s="137">
        <v>22.57</v>
      </c>
    </row>
    <row r="3757" spans="7:12" x14ac:dyDescent="0.25">
      <c r="G3757" s="136">
        <v>43465</v>
      </c>
      <c r="H3757" t="s">
        <v>25</v>
      </c>
      <c r="I3757" t="s">
        <v>236</v>
      </c>
      <c r="J3757" t="s">
        <v>447</v>
      </c>
      <c r="L3757" s="137">
        <v>16.12</v>
      </c>
    </row>
    <row r="3758" spans="7:12" x14ac:dyDescent="0.25">
      <c r="G3758" s="136">
        <v>43465</v>
      </c>
      <c r="H3758" t="s">
        <v>25</v>
      </c>
      <c r="I3758" t="s">
        <v>236</v>
      </c>
      <c r="J3758" t="s">
        <v>447</v>
      </c>
      <c r="L3758" s="137">
        <v>16</v>
      </c>
    </row>
    <row r="3759" spans="7:12" x14ac:dyDescent="0.25">
      <c r="G3759" s="136">
        <v>43465</v>
      </c>
      <c r="H3759" t="s">
        <v>25</v>
      </c>
      <c r="I3759" t="s">
        <v>236</v>
      </c>
      <c r="J3759" t="s">
        <v>447</v>
      </c>
      <c r="L3759" s="137">
        <v>13.41</v>
      </c>
    </row>
    <row r="3760" spans="7:12" x14ac:dyDescent="0.25">
      <c r="G3760" s="136">
        <v>43465</v>
      </c>
      <c r="H3760" t="s">
        <v>25</v>
      </c>
      <c r="I3760" t="s">
        <v>236</v>
      </c>
      <c r="J3760" t="s">
        <v>447</v>
      </c>
      <c r="L3760" s="137">
        <v>12.37</v>
      </c>
    </row>
    <row r="3761" spans="7:12" x14ac:dyDescent="0.25">
      <c r="G3761" s="136">
        <v>43465</v>
      </c>
      <c r="H3761" t="s">
        <v>25</v>
      </c>
      <c r="I3761" t="s">
        <v>236</v>
      </c>
      <c r="J3761" t="s">
        <v>447</v>
      </c>
      <c r="L3761" s="137">
        <v>8</v>
      </c>
    </row>
    <row r="3762" spans="7:12" x14ac:dyDescent="0.25">
      <c r="G3762" s="136">
        <v>43465</v>
      </c>
      <c r="H3762" t="s">
        <v>25</v>
      </c>
      <c r="I3762" t="s">
        <v>236</v>
      </c>
      <c r="J3762" t="s">
        <v>447</v>
      </c>
      <c r="L3762" s="137">
        <v>6.85</v>
      </c>
    </row>
    <row r="3763" spans="7:12" x14ac:dyDescent="0.25">
      <c r="G3763" s="136">
        <v>43465</v>
      </c>
      <c r="H3763" t="s">
        <v>201</v>
      </c>
      <c r="I3763" t="s">
        <v>236</v>
      </c>
      <c r="J3763" t="s">
        <v>447</v>
      </c>
      <c r="K3763" s="138">
        <v>0</v>
      </c>
      <c r="L3763" s="137">
        <v>8974.73</v>
      </c>
    </row>
    <row r="3764" spans="7:12" x14ac:dyDescent="0.25">
      <c r="G3764" s="136">
        <v>43465</v>
      </c>
      <c r="H3764" t="s">
        <v>201</v>
      </c>
      <c r="I3764" t="s">
        <v>236</v>
      </c>
      <c r="J3764" t="s">
        <v>447</v>
      </c>
      <c r="L3764" s="137">
        <v>2933.98</v>
      </c>
    </row>
    <row r="3765" spans="7:12" x14ac:dyDescent="0.25">
      <c r="G3765" s="136">
        <v>43465</v>
      </c>
      <c r="H3765" t="s">
        <v>201</v>
      </c>
      <c r="I3765" t="s">
        <v>236</v>
      </c>
      <c r="J3765" t="s">
        <v>447</v>
      </c>
      <c r="L3765" s="137">
        <v>2880.13</v>
      </c>
    </row>
    <row r="3766" spans="7:12" x14ac:dyDescent="0.25">
      <c r="G3766" s="136">
        <v>43465</v>
      </c>
      <c r="H3766" t="s">
        <v>201</v>
      </c>
      <c r="I3766" t="s">
        <v>236</v>
      </c>
      <c r="J3766" t="s">
        <v>447</v>
      </c>
      <c r="L3766" s="137">
        <v>33.46</v>
      </c>
    </row>
    <row r="3767" spans="7:12" x14ac:dyDescent="0.25">
      <c r="G3767" s="136">
        <v>43465</v>
      </c>
      <c r="H3767" t="s">
        <v>182</v>
      </c>
      <c r="I3767" t="s">
        <v>236</v>
      </c>
      <c r="J3767" t="s">
        <v>447</v>
      </c>
      <c r="K3767" s="138">
        <v>0</v>
      </c>
      <c r="L3767" s="137">
        <v>4127</v>
      </c>
    </row>
    <row r="3768" spans="7:12" x14ac:dyDescent="0.25">
      <c r="G3768" s="136">
        <v>43465</v>
      </c>
      <c r="H3768" t="s">
        <v>182</v>
      </c>
      <c r="I3768" t="s">
        <v>236</v>
      </c>
      <c r="J3768" t="s">
        <v>447</v>
      </c>
      <c r="L3768" s="137">
        <v>2223.9299999999998</v>
      </c>
    </row>
    <row r="3769" spans="7:12" x14ac:dyDescent="0.25">
      <c r="G3769" s="136">
        <v>43465</v>
      </c>
      <c r="H3769" t="s">
        <v>182</v>
      </c>
      <c r="I3769" t="s">
        <v>236</v>
      </c>
      <c r="J3769" t="s">
        <v>447</v>
      </c>
      <c r="L3769" s="137">
        <v>1293.83</v>
      </c>
    </row>
    <row r="3770" spans="7:12" x14ac:dyDescent="0.25">
      <c r="G3770" s="136">
        <v>43465</v>
      </c>
      <c r="H3770" t="s">
        <v>182</v>
      </c>
      <c r="I3770" t="s">
        <v>236</v>
      </c>
      <c r="J3770" t="s">
        <v>447</v>
      </c>
      <c r="L3770" s="137">
        <v>1027.56</v>
      </c>
    </row>
    <row r="3771" spans="7:12" x14ac:dyDescent="0.25">
      <c r="G3771" s="136">
        <v>43465</v>
      </c>
      <c r="H3771" t="s">
        <v>211</v>
      </c>
      <c r="I3771" t="s">
        <v>236</v>
      </c>
      <c r="J3771" t="s">
        <v>447</v>
      </c>
      <c r="K3771" s="138">
        <v>0</v>
      </c>
      <c r="L3771" s="137">
        <v>7034.18</v>
      </c>
    </row>
    <row r="3772" spans="7:12" x14ac:dyDescent="0.25">
      <c r="G3772" s="136">
        <v>43465</v>
      </c>
      <c r="H3772" t="s">
        <v>211</v>
      </c>
      <c r="I3772" t="s">
        <v>236</v>
      </c>
      <c r="J3772" t="s">
        <v>447</v>
      </c>
      <c r="L3772" s="137">
        <v>6415.82</v>
      </c>
    </row>
    <row r="3773" spans="7:12" x14ac:dyDescent="0.25">
      <c r="G3773" s="136">
        <v>43465</v>
      </c>
      <c r="H3773" t="s">
        <v>211</v>
      </c>
      <c r="I3773" t="s">
        <v>236</v>
      </c>
      <c r="J3773" t="s">
        <v>447</v>
      </c>
      <c r="L3773" s="137">
        <v>2828.04</v>
      </c>
    </row>
    <row r="3774" spans="7:12" x14ac:dyDescent="0.25">
      <c r="G3774" s="136">
        <v>43465</v>
      </c>
      <c r="H3774" t="s">
        <v>211</v>
      </c>
      <c r="I3774" t="s">
        <v>236</v>
      </c>
      <c r="J3774" t="s">
        <v>447</v>
      </c>
      <c r="L3774" s="137">
        <v>807.13</v>
      </c>
    </row>
    <row r="3775" spans="7:12" x14ac:dyDescent="0.25">
      <c r="G3775" s="136">
        <v>43465</v>
      </c>
      <c r="H3775" t="s">
        <v>211</v>
      </c>
      <c r="I3775" t="s">
        <v>236</v>
      </c>
      <c r="J3775" t="s">
        <v>447</v>
      </c>
      <c r="L3775" s="137">
        <v>686.36</v>
      </c>
    </row>
    <row r="3776" spans="7:12" x14ac:dyDescent="0.25">
      <c r="G3776" s="136">
        <v>43465</v>
      </c>
      <c r="H3776" t="s">
        <v>207</v>
      </c>
      <c r="I3776" t="s">
        <v>236</v>
      </c>
      <c r="J3776" t="s">
        <v>447</v>
      </c>
      <c r="K3776" s="138">
        <v>0</v>
      </c>
      <c r="L3776" s="137">
        <v>2785.65</v>
      </c>
    </row>
    <row r="3777" spans="7:12" x14ac:dyDescent="0.25">
      <c r="G3777" s="136">
        <v>43465</v>
      </c>
      <c r="H3777" t="s">
        <v>207</v>
      </c>
      <c r="I3777" t="s">
        <v>236</v>
      </c>
      <c r="J3777" t="s">
        <v>447</v>
      </c>
      <c r="L3777" s="137">
        <v>453.63</v>
      </c>
    </row>
    <row r="3778" spans="7:12" x14ac:dyDescent="0.25">
      <c r="G3778" s="136">
        <v>43465</v>
      </c>
      <c r="H3778" t="s">
        <v>207</v>
      </c>
      <c r="I3778" t="s">
        <v>236</v>
      </c>
      <c r="J3778" t="s">
        <v>447</v>
      </c>
      <c r="L3778" s="137">
        <v>353.47</v>
      </c>
    </row>
    <row r="3779" spans="7:12" x14ac:dyDescent="0.25">
      <c r="G3779" s="136">
        <v>43465</v>
      </c>
      <c r="H3779" t="s">
        <v>181</v>
      </c>
      <c r="I3779" t="s">
        <v>236</v>
      </c>
      <c r="J3779" t="s">
        <v>447</v>
      </c>
      <c r="K3779" s="138">
        <v>0</v>
      </c>
      <c r="L3779" s="137">
        <v>10945.81</v>
      </c>
    </row>
    <row r="3780" spans="7:12" x14ac:dyDescent="0.25">
      <c r="G3780" s="136">
        <v>43465</v>
      </c>
      <c r="H3780" t="s">
        <v>181</v>
      </c>
      <c r="I3780" t="s">
        <v>236</v>
      </c>
      <c r="J3780" t="s">
        <v>447</v>
      </c>
      <c r="L3780" s="137">
        <v>909.75</v>
      </c>
    </row>
    <row r="3781" spans="7:12" x14ac:dyDescent="0.25">
      <c r="G3781" s="136">
        <v>43465</v>
      </c>
      <c r="H3781" t="s">
        <v>181</v>
      </c>
      <c r="I3781" t="s">
        <v>236</v>
      </c>
      <c r="J3781" t="s">
        <v>447</v>
      </c>
      <c r="L3781" s="137">
        <v>375.47</v>
      </c>
    </row>
    <row r="3782" spans="7:12" x14ac:dyDescent="0.25">
      <c r="G3782" s="136">
        <v>43465</v>
      </c>
      <c r="H3782" t="s">
        <v>181</v>
      </c>
      <c r="I3782" t="s">
        <v>236</v>
      </c>
      <c r="J3782" t="s">
        <v>447</v>
      </c>
      <c r="L3782" s="137">
        <v>287.02</v>
      </c>
    </row>
    <row r="3783" spans="7:12" x14ac:dyDescent="0.25">
      <c r="G3783" s="136">
        <v>43465</v>
      </c>
      <c r="H3783" t="s">
        <v>197</v>
      </c>
      <c r="I3783" t="s">
        <v>236</v>
      </c>
      <c r="J3783" t="s">
        <v>447</v>
      </c>
      <c r="K3783" s="138">
        <v>0</v>
      </c>
      <c r="L3783" s="137">
        <v>7747.65</v>
      </c>
    </row>
    <row r="3784" spans="7:12" x14ac:dyDescent="0.25">
      <c r="G3784" s="136">
        <v>43465</v>
      </c>
      <c r="H3784" t="s">
        <v>197</v>
      </c>
      <c r="I3784" t="s">
        <v>236</v>
      </c>
      <c r="J3784" t="s">
        <v>447</v>
      </c>
      <c r="L3784" s="137">
        <v>3533.74</v>
      </c>
    </row>
    <row r="3785" spans="7:12" x14ac:dyDescent="0.25">
      <c r="G3785" s="136">
        <v>43465</v>
      </c>
      <c r="H3785" t="s">
        <v>197</v>
      </c>
      <c r="I3785" t="s">
        <v>236</v>
      </c>
      <c r="J3785" t="s">
        <v>447</v>
      </c>
      <c r="L3785" s="137">
        <v>1616.16</v>
      </c>
    </row>
    <row r="3786" spans="7:12" x14ac:dyDescent="0.25">
      <c r="G3786" s="136">
        <v>43465</v>
      </c>
      <c r="H3786" t="s">
        <v>197</v>
      </c>
      <c r="I3786" t="s">
        <v>236</v>
      </c>
      <c r="J3786" t="s">
        <v>447</v>
      </c>
      <c r="L3786" s="137">
        <v>546.02</v>
      </c>
    </row>
    <row r="3787" spans="7:12" x14ac:dyDescent="0.25">
      <c r="G3787" s="136">
        <v>43465</v>
      </c>
      <c r="H3787" t="s">
        <v>197</v>
      </c>
      <c r="I3787" t="s">
        <v>236</v>
      </c>
      <c r="J3787" t="s">
        <v>447</v>
      </c>
      <c r="L3787" s="137">
        <v>76.98</v>
      </c>
    </row>
    <row r="3788" spans="7:12" x14ac:dyDescent="0.25">
      <c r="G3788" s="136">
        <v>43465</v>
      </c>
      <c r="H3788" t="s">
        <v>187</v>
      </c>
      <c r="I3788" t="s">
        <v>236</v>
      </c>
      <c r="J3788" t="s">
        <v>447</v>
      </c>
      <c r="K3788" s="138">
        <v>0</v>
      </c>
      <c r="L3788" s="137">
        <v>4956.46</v>
      </c>
    </row>
    <row r="3789" spans="7:12" x14ac:dyDescent="0.25">
      <c r="G3789" s="136">
        <v>43465</v>
      </c>
      <c r="H3789" t="s">
        <v>187</v>
      </c>
      <c r="I3789" t="s">
        <v>236</v>
      </c>
      <c r="J3789" t="s">
        <v>447</v>
      </c>
      <c r="L3789" s="137">
        <v>12.78</v>
      </c>
    </row>
    <row r="3790" spans="7:12" x14ac:dyDescent="0.25">
      <c r="G3790" s="136">
        <v>43465</v>
      </c>
      <c r="H3790" t="s">
        <v>196</v>
      </c>
      <c r="I3790" t="s">
        <v>236</v>
      </c>
      <c r="J3790" t="s">
        <v>447</v>
      </c>
      <c r="K3790" s="138">
        <v>0</v>
      </c>
      <c r="L3790" s="137">
        <v>15218.68</v>
      </c>
    </row>
    <row r="3791" spans="7:12" x14ac:dyDescent="0.25">
      <c r="G3791" s="136">
        <v>43465</v>
      </c>
      <c r="H3791" t="s">
        <v>196</v>
      </c>
      <c r="I3791" t="s">
        <v>236</v>
      </c>
      <c r="J3791" t="s">
        <v>447</v>
      </c>
      <c r="L3791" s="137">
        <v>2918.42</v>
      </c>
    </row>
    <row r="3792" spans="7:12" x14ac:dyDescent="0.25">
      <c r="G3792" s="136">
        <v>43465</v>
      </c>
      <c r="H3792" t="s">
        <v>196</v>
      </c>
      <c r="I3792" t="s">
        <v>236</v>
      </c>
      <c r="J3792" t="s">
        <v>447</v>
      </c>
      <c r="L3792" s="137">
        <v>918.99</v>
      </c>
    </row>
    <row r="3793" spans="7:12" x14ac:dyDescent="0.25">
      <c r="G3793" s="136">
        <v>43465</v>
      </c>
      <c r="H3793" t="s">
        <v>196</v>
      </c>
      <c r="I3793" t="s">
        <v>236</v>
      </c>
      <c r="J3793" t="s">
        <v>447</v>
      </c>
      <c r="L3793" s="137">
        <v>167.93</v>
      </c>
    </row>
    <row r="3794" spans="7:12" x14ac:dyDescent="0.25">
      <c r="G3794" s="136">
        <v>43465</v>
      </c>
      <c r="H3794" t="s">
        <v>206</v>
      </c>
      <c r="I3794" t="s">
        <v>236</v>
      </c>
      <c r="J3794" t="s">
        <v>447</v>
      </c>
      <c r="K3794" s="138">
        <v>0</v>
      </c>
      <c r="L3794" s="137">
        <v>200.5</v>
      </c>
    </row>
    <row r="3795" spans="7:12" x14ac:dyDescent="0.25">
      <c r="G3795" s="136">
        <v>43465</v>
      </c>
      <c r="H3795" t="s">
        <v>180</v>
      </c>
      <c r="I3795" t="s">
        <v>236</v>
      </c>
      <c r="J3795" t="s">
        <v>447</v>
      </c>
      <c r="K3795" s="138">
        <v>0</v>
      </c>
      <c r="L3795" s="137">
        <v>6113.41</v>
      </c>
    </row>
    <row r="3796" spans="7:12" x14ac:dyDescent="0.25">
      <c r="G3796" s="136">
        <v>43465</v>
      </c>
      <c r="H3796" t="s">
        <v>180</v>
      </c>
      <c r="I3796" t="s">
        <v>236</v>
      </c>
      <c r="J3796" t="s">
        <v>447</v>
      </c>
      <c r="L3796" s="137">
        <v>979.14</v>
      </c>
    </row>
    <row r="3797" spans="7:12" x14ac:dyDescent="0.25">
      <c r="G3797" s="136">
        <v>43465</v>
      </c>
      <c r="H3797" t="s">
        <v>180</v>
      </c>
      <c r="I3797" t="s">
        <v>236</v>
      </c>
      <c r="J3797" t="s">
        <v>447</v>
      </c>
      <c r="L3797" s="137">
        <v>640.76</v>
      </c>
    </row>
    <row r="3798" spans="7:12" x14ac:dyDescent="0.25">
      <c r="G3798" s="136">
        <v>43465</v>
      </c>
      <c r="H3798" t="s">
        <v>180</v>
      </c>
      <c r="I3798" t="s">
        <v>236</v>
      </c>
      <c r="J3798" t="s">
        <v>447</v>
      </c>
      <c r="L3798" s="137">
        <v>562.07000000000005</v>
      </c>
    </row>
    <row r="3799" spans="7:12" x14ac:dyDescent="0.25">
      <c r="G3799" s="136">
        <v>43465</v>
      </c>
      <c r="H3799" t="s">
        <v>179</v>
      </c>
      <c r="I3799" t="s">
        <v>236</v>
      </c>
      <c r="J3799" t="s">
        <v>447</v>
      </c>
      <c r="K3799" s="138">
        <v>0</v>
      </c>
      <c r="L3799" s="137">
        <v>29631.119999999999</v>
      </c>
    </row>
    <row r="3800" spans="7:12" x14ac:dyDescent="0.25">
      <c r="G3800" s="136">
        <v>43465</v>
      </c>
      <c r="H3800" t="s">
        <v>179</v>
      </c>
      <c r="I3800" t="s">
        <v>236</v>
      </c>
      <c r="J3800" t="s">
        <v>447</v>
      </c>
      <c r="L3800" s="137">
        <v>9430.4</v>
      </c>
    </row>
    <row r="3801" spans="7:12" x14ac:dyDescent="0.25">
      <c r="G3801" s="136">
        <v>43465</v>
      </c>
      <c r="H3801" t="s">
        <v>179</v>
      </c>
      <c r="I3801" t="s">
        <v>236</v>
      </c>
      <c r="J3801" t="s">
        <v>447</v>
      </c>
      <c r="L3801" s="137">
        <v>3039.58</v>
      </c>
    </row>
    <row r="3802" spans="7:12" x14ac:dyDescent="0.25">
      <c r="G3802" s="136">
        <v>43465</v>
      </c>
      <c r="H3802" t="s">
        <v>179</v>
      </c>
      <c r="I3802" t="s">
        <v>236</v>
      </c>
      <c r="J3802" t="s">
        <v>447</v>
      </c>
      <c r="L3802" s="137">
        <v>2262.7600000000002</v>
      </c>
    </row>
    <row r="3803" spans="7:12" x14ac:dyDescent="0.25">
      <c r="G3803" s="136">
        <v>43465</v>
      </c>
      <c r="H3803" t="s">
        <v>179</v>
      </c>
      <c r="I3803" t="s">
        <v>236</v>
      </c>
      <c r="J3803" t="s">
        <v>447</v>
      </c>
      <c r="L3803" s="137">
        <v>348.89</v>
      </c>
    </row>
    <row r="3804" spans="7:12" x14ac:dyDescent="0.25">
      <c r="G3804" s="136">
        <v>43465</v>
      </c>
      <c r="H3804" t="s">
        <v>28</v>
      </c>
      <c r="I3804" t="s">
        <v>236</v>
      </c>
      <c r="J3804" t="s">
        <v>447</v>
      </c>
      <c r="K3804" s="138">
        <v>0</v>
      </c>
      <c r="L3804" s="137">
        <v>2746.9</v>
      </c>
    </row>
    <row r="3805" spans="7:12" x14ac:dyDescent="0.25">
      <c r="G3805" s="136">
        <v>43465</v>
      </c>
      <c r="H3805" t="s">
        <v>28</v>
      </c>
      <c r="I3805" t="s">
        <v>236</v>
      </c>
      <c r="J3805" t="s">
        <v>447</v>
      </c>
      <c r="L3805" s="137">
        <v>2364</v>
      </c>
    </row>
    <row r="3806" spans="7:12" x14ac:dyDescent="0.25">
      <c r="G3806" s="136">
        <v>43465</v>
      </c>
      <c r="H3806" t="s">
        <v>28</v>
      </c>
      <c r="I3806" t="s">
        <v>236</v>
      </c>
      <c r="J3806" t="s">
        <v>447</v>
      </c>
      <c r="L3806" s="137">
        <v>1938.67</v>
      </c>
    </row>
    <row r="3807" spans="7:12" x14ac:dyDescent="0.25">
      <c r="G3807" s="136">
        <v>43465</v>
      </c>
      <c r="H3807" t="s">
        <v>28</v>
      </c>
      <c r="I3807" t="s">
        <v>236</v>
      </c>
      <c r="J3807" t="s">
        <v>447</v>
      </c>
      <c r="L3807" s="137">
        <v>1698.61</v>
      </c>
    </row>
    <row r="3808" spans="7:12" x14ac:dyDescent="0.25">
      <c r="G3808" s="136">
        <v>43465</v>
      </c>
      <c r="H3808" t="s">
        <v>28</v>
      </c>
      <c r="I3808" t="s">
        <v>236</v>
      </c>
      <c r="J3808" t="s">
        <v>447</v>
      </c>
      <c r="L3808" s="137">
        <v>1634.07</v>
      </c>
    </row>
    <row r="3809" spans="7:12" x14ac:dyDescent="0.25">
      <c r="G3809" s="136">
        <v>43465</v>
      </c>
      <c r="H3809" t="s">
        <v>28</v>
      </c>
      <c r="I3809" t="s">
        <v>236</v>
      </c>
      <c r="J3809" t="s">
        <v>447</v>
      </c>
      <c r="L3809" s="137">
        <v>1560.09</v>
      </c>
    </row>
    <row r="3810" spans="7:12" x14ac:dyDescent="0.25">
      <c r="G3810" s="136">
        <v>43465</v>
      </c>
      <c r="H3810" t="s">
        <v>28</v>
      </c>
      <c r="I3810" t="s">
        <v>236</v>
      </c>
      <c r="J3810" t="s">
        <v>447</v>
      </c>
      <c r="L3810" s="137">
        <v>1544.52</v>
      </c>
    </row>
    <row r="3811" spans="7:12" x14ac:dyDescent="0.25">
      <c r="G3811" s="136">
        <v>43465</v>
      </c>
      <c r="H3811" t="s">
        <v>28</v>
      </c>
      <c r="I3811" t="s">
        <v>236</v>
      </c>
      <c r="J3811" t="s">
        <v>447</v>
      </c>
      <c r="L3811" s="137">
        <v>1544.15</v>
      </c>
    </row>
    <row r="3812" spans="7:12" x14ac:dyDescent="0.25">
      <c r="G3812" s="136">
        <v>43465</v>
      </c>
      <c r="H3812" t="s">
        <v>28</v>
      </c>
      <c r="I3812" t="s">
        <v>236</v>
      </c>
      <c r="J3812" t="s">
        <v>447</v>
      </c>
      <c r="L3812" s="137">
        <v>1392.64</v>
      </c>
    </row>
    <row r="3813" spans="7:12" x14ac:dyDescent="0.25">
      <c r="G3813" s="136">
        <v>43465</v>
      </c>
      <c r="H3813" t="s">
        <v>28</v>
      </c>
      <c r="I3813" t="s">
        <v>236</v>
      </c>
      <c r="J3813" t="s">
        <v>447</v>
      </c>
      <c r="L3813" s="137">
        <v>1266.1099999999999</v>
      </c>
    </row>
    <row r="3814" spans="7:12" x14ac:dyDescent="0.25">
      <c r="G3814" s="136">
        <v>43465</v>
      </c>
      <c r="H3814" t="s">
        <v>28</v>
      </c>
      <c r="I3814" t="s">
        <v>236</v>
      </c>
      <c r="J3814" t="s">
        <v>447</v>
      </c>
      <c r="L3814" s="137">
        <v>1151</v>
      </c>
    </row>
    <row r="3815" spans="7:12" x14ac:dyDescent="0.25">
      <c r="G3815" s="136">
        <v>43465</v>
      </c>
      <c r="H3815" t="s">
        <v>28</v>
      </c>
      <c r="I3815" t="s">
        <v>236</v>
      </c>
      <c r="J3815" t="s">
        <v>447</v>
      </c>
      <c r="L3815" s="137">
        <v>1026.32</v>
      </c>
    </row>
    <row r="3816" spans="7:12" x14ac:dyDescent="0.25">
      <c r="G3816" s="136">
        <v>43465</v>
      </c>
      <c r="H3816" t="s">
        <v>28</v>
      </c>
      <c r="I3816" t="s">
        <v>236</v>
      </c>
      <c r="J3816" t="s">
        <v>447</v>
      </c>
      <c r="L3816" s="137">
        <v>1022.8</v>
      </c>
    </row>
    <row r="3817" spans="7:12" x14ac:dyDescent="0.25">
      <c r="G3817" s="136">
        <v>43465</v>
      </c>
      <c r="H3817" t="s">
        <v>28</v>
      </c>
      <c r="I3817" t="s">
        <v>236</v>
      </c>
      <c r="J3817" t="s">
        <v>447</v>
      </c>
      <c r="L3817" s="137">
        <v>1003.81</v>
      </c>
    </row>
    <row r="3818" spans="7:12" x14ac:dyDescent="0.25">
      <c r="G3818" s="136">
        <v>43465</v>
      </c>
      <c r="H3818" t="s">
        <v>28</v>
      </c>
      <c r="I3818" t="s">
        <v>236</v>
      </c>
      <c r="J3818" t="s">
        <v>447</v>
      </c>
      <c r="L3818" s="137">
        <v>986.22</v>
      </c>
    </row>
    <row r="3819" spans="7:12" x14ac:dyDescent="0.25">
      <c r="G3819" s="136">
        <v>43465</v>
      </c>
      <c r="H3819" t="s">
        <v>28</v>
      </c>
      <c r="I3819" t="s">
        <v>236</v>
      </c>
      <c r="J3819" t="s">
        <v>447</v>
      </c>
      <c r="L3819" s="137">
        <v>981.18</v>
      </c>
    </row>
    <row r="3820" spans="7:12" x14ac:dyDescent="0.25">
      <c r="G3820" s="136">
        <v>43465</v>
      </c>
      <c r="H3820" t="s">
        <v>28</v>
      </c>
      <c r="I3820" t="s">
        <v>236</v>
      </c>
      <c r="J3820" t="s">
        <v>447</v>
      </c>
      <c r="L3820" s="137">
        <v>894.71</v>
      </c>
    </row>
    <row r="3821" spans="7:12" x14ac:dyDescent="0.25">
      <c r="G3821" s="136">
        <v>43465</v>
      </c>
      <c r="H3821" t="s">
        <v>28</v>
      </c>
      <c r="I3821" t="s">
        <v>236</v>
      </c>
      <c r="J3821" t="s">
        <v>447</v>
      </c>
      <c r="L3821" s="137">
        <v>869.69</v>
      </c>
    </row>
    <row r="3822" spans="7:12" x14ac:dyDescent="0.25">
      <c r="G3822" s="136">
        <v>43465</v>
      </c>
      <c r="H3822" t="s">
        <v>28</v>
      </c>
      <c r="I3822" t="s">
        <v>236</v>
      </c>
      <c r="J3822" t="s">
        <v>447</v>
      </c>
      <c r="L3822" s="137">
        <v>853.49</v>
      </c>
    </row>
    <row r="3823" spans="7:12" x14ac:dyDescent="0.25">
      <c r="G3823" s="136">
        <v>43465</v>
      </c>
      <c r="H3823" t="s">
        <v>28</v>
      </c>
      <c r="I3823" t="s">
        <v>236</v>
      </c>
      <c r="J3823" t="s">
        <v>447</v>
      </c>
      <c r="L3823" s="137">
        <v>842.72</v>
      </c>
    </row>
    <row r="3824" spans="7:12" x14ac:dyDescent="0.25">
      <c r="G3824" s="136">
        <v>43465</v>
      </c>
      <c r="H3824" t="s">
        <v>28</v>
      </c>
      <c r="I3824" t="s">
        <v>236</v>
      </c>
      <c r="J3824" t="s">
        <v>447</v>
      </c>
      <c r="L3824" s="137">
        <v>835.37</v>
      </c>
    </row>
    <row r="3825" spans="7:12" x14ac:dyDescent="0.25">
      <c r="G3825" s="136">
        <v>43465</v>
      </c>
      <c r="H3825" t="s">
        <v>28</v>
      </c>
      <c r="I3825" t="s">
        <v>236</v>
      </c>
      <c r="J3825" t="s">
        <v>447</v>
      </c>
      <c r="L3825" s="137">
        <v>835.33</v>
      </c>
    </row>
    <row r="3826" spans="7:12" x14ac:dyDescent="0.25">
      <c r="G3826" s="136">
        <v>43465</v>
      </c>
      <c r="H3826" t="s">
        <v>28</v>
      </c>
      <c r="I3826" t="s">
        <v>236</v>
      </c>
      <c r="J3826" t="s">
        <v>447</v>
      </c>
      <c r="L3826" s="137">
        <v>828.22</v>
      </c>
    </row>
    <row r="3827" spans="7:12" x14ac:dyDescent="0.25">
      <c r="G3827" s="136">
        <v>43465</v>
      </c>
      <c r="H3827" t="s">
        <v>28</v>
      </c>
      <c r="I3827" t="s">
        <v>236</v>
      </c>
      <c r="J3827" t="s">
        <v>447</v>
      </c>
      <c r="L3827" s="137">
        <v>824.94</v>
      </c>
    </row>
    <row r="3828" spans="7:12" x14ac:dyDescent="0.25">
      <c r="G3828" s="136">
        <v>43465</v>
      </c>
      <c r="H3828" t="s">
        <v>28</v>
      </c>
      <c r="I3828" t="s">
        <v>236</v>
      </c>
      <c r="J3828" t="s">
        <v>447</v>
      </c>
      <c r="L3828" s="137">
        <v>803.33</v>
      </c>
    </row>
    <row r="3829" spans="7:12" x14ac:dyDescent="0.25">
      <c r="G3829" s="136">
        <v>43465</v>
      </c>
      <c r="H3829" t="s">
        <v>28</v>
      </c>
      <c r="I3829" t="s">
        <v>236</v>
      </c>
      <c r="J3829" t="s">
        <v>447</v>
      </c>
      <c r="L3829" s="137">
        <v>801.28</v>
      </c>
    </row>
    <row r="3830" spans="7:12" x14ac:dyDescent="0.25">
      <c r="G3830" s="136">
        <v>43465</v>
      </c>
      <c r="H3830" t="s">
        <v>28</v>
      </c>
      <c r="I3830" t="s">
        <v>236</v>
      </c>
      <c r="J3830" t="s">
        <v>447</v>
      </c>
      <c r="L3830" s="137">
        <v>772.75</v>
      </c>
    </row>
    <row r="3831" spans="7:12" x14ac:dyDescent="0.25">
      <c r="G3831" s="136">
        <v>43465</v>
      </c>
      <c r="H3831" t="s">
        <v>28</v>
      </c>
      <c r="I3831" t="s">
        <v>236</v>
      </c>
      <c r="J3831" t="s">
        <v>447</v>
      </c>
      <c r="L3831" s="137">
        <v>760.82</v>
      </c>
    </row>
    <row r="3832" spans="7:12" x14ac:dyDescent="0.25">
      <c r="G3832" s="136">
        <v>43465</v>
      </c>
      <c r="H3832" t="s">
        <v>28</v>
      </c>
      <c r="I3832" t="s">
        <v>236</v>
      </c>
      <c r="J3832" t="s">
        <v>447</v>
      </c>
      <c r="L3832" s="137">
        <v>751.78</v>
      </c>
    </row>
    <row r="3833" spans="7:12" x14ac:dyDescent="0.25">
      <c r="G3833" s="136">
        <v>43465</v>
      </c>
      <c r="H3833" t="s">
        <v>28</v>
      </c>
      <c r="I3833" t="s">
        <v>236</v>
      </c>
      <c r="J3833" t="s">
        <v>447</v>
      </c>
      <c r="L3833" s="137">
        <v>737.42</v>
      </c>
    </row>
    <row r="3834" spans="7:12" x14ac:dyDescent="0.25">
      <c r="G3834" s="136">
        <v>43465</v>
      </c>
      <c r="H3834" t="s">
        <v>28</v>
      </c>
      <c r="I3834" t="s">
        <v>236</v>
      </c>
      <c r="J3834" t="s">
        <v>447</v>
      </c>
      <c r="L3834" s="137">
        <v>737.23</v>
      </c>
    </row>
    <row r="3835" spans="7:12" x14ac:dyDescent="0.25">
      <c r="G3835" s="136">
        <v>43465</v>
      </c>
      <c r="H3835" t="s">
        <v>28</v>
      </c>
      <c r="I3835" t="s">
        <v>236</v>
      </c>
      <c r="J3835" t="s">
        <v>447</v>
      </c>
      <c r="L3835" s="137">
        <v>721.17</v>
      </c>
    </row>
    <row r="3836" spans="7:12" x14ac:dyDescent="0.25">
      <c r="G3836" s="136">
        <v>43465</v>
      </c>
      <c r="H3836" t="s">
        <v>28</v>
      </c>
      <c r="I3836" t="s">
        <v>236</v>
      </c>
      <c r="J3836" t="s">
        <v>447</v>
      </c>
      <c r="L3836" s="137">
        <v>710.15</v>
      </c>
    </row>
    <row r="3837" spans="7:12" x14ac:dyDescent="0.25">
      <c r="G3837" s="136">
        <v>43465</v>
      </c>
      <c r="H3837" t="s">
        <v>28</v>
      </c>
      <c r="I3837" t="s">
        <v>236</v>
      </c>
      <c r="J3837" t="s">
        <v>447</v>
      </c>
      <c r="L3837" s="137">
        <v>703.1</v>
      </c>
    </row>
    <row r="3838" spans="7:12" x14ac:dyDescent="0.25">
      <c r="G3838" s="136">
        <v>43465</v>
      </c>
      <c r="H3838" t="s">
        <v>28</v>
      </c>
      <c r="I3838" t="s">
        <v>236</v>
      </c>
      <c r="J3838" t="s">
        <v>447</v>
      </c>
      <c r="L3838" s="137">
        <v>685.47</v>
      </c>
    </row>
    <row r="3839" spans="7:12" x14ac:dyDescent="0.25">
      <c r="G3839" s="136">
        <v>43465</v>
      </c>
      <c r="H3839" t="s">
        <v>28</v>
      </c>
      <c r="I3839" t="s">
        <v>236</v>
      </c>
      <c r="J3839" t="s">
        <v>447</v>
      </c>
      <c r="L3839" s="137">
        <v>660.28</v>
      </c>
    </row>
    <row r="3840" spans="7:12" x14ac:dyDescent="0.25">
      <c r="G3840" s="136">
        <v>43465</v>
      </c>
      <c r="H3840" t="s">
        <v>28</v>
      </c>
      <c r="I3840" t="s">
        <v>236</v>
      </c>
      <c r="J3840" t="s">
        <v>447</v>
      </c>
      <c r="L3840" s="137">
        <v>659.3</v>
      </c>
    </row>
    <row r="3841" spans="7:12" x14ac:dyDescent="0.25">
      <c r="G3841" s="136">
        <v>43465</v>
      </c>
      <c r="H3841" t="s">
        <v>28</v>
      </c>
      <c r="I3841" t="s">
        <v>236</v>
      </c>
      <c r="J3841" t="s">
        <v>447</v>
      </c>
      <c r="L3841" s="137">
        <v>655.20000000000005</v>
      </c>
    </row>
    <row r="3842" spans="7:12" x14ac:dyDescent="0.25">
      <c r="G3842" s="136">
        <v>43465</v>
      </c>
      <c r="H3842" t="s">
        <v>28</v>
      </c>
      <c r="I3842" t="s">
        <v>236</v>
      </c>
      <c r="J3842" t="s">
        <v>447</v>
      </c>
      <c r="L3842" s="137">
        <v>654.14</v>
      </c>
    </row>
    <row r="3843" spans="7:12" x14ac:dyDescent="0.25">
      <c r="G3843" s="136">
        <v>43465</v>
      </c>
      <c r="H3843" t="s">
        <v>28</v>
      </c>
      <c r="I3843" t="s">
        <v>236</v>
      </c>
      <c r="J3843" t="s">
        <v>447</v>
      </c>
      <c r="L3843" s="137">
        <v>645.97</v>
      </c>
    </row>
    <row r="3844" spans="7:12" x14ac:dyDescent="0.25">
      <c r="G3844" s="136">
        <v>43465</v>
      </c>
      <c r="H3844" t="s">
        <v>28</v>
      </c>
      <c r="I3844" t="s">
        <v>236</v>
      </c>
      <c r="J3844" t="s">
        <v>447</v>
      </c>
      <c r="L3844" s="137">
        <v>643.86</v>
      </c>
    </row>
    <row r="3845" spans="7:12" x14ac:dyDescent="0.25">
      <c r="G3845" s="136">
        <v>43465</v>
      </c>
      <c r="H3845" t="s">
        <v>28</v>
      </c>
      <c r="I3845" t="s">
        <v>236</v>
      </c>
      <c r="J3845" t="s">
        <v>447</v>
      </c>
      <c r="L3845" s="137">
        <v>641.25</v>
      </c>
    </row>
    <row r="3846" spans="7:12" x14ac:dyDescent="0.25">
      <c r="G3846" s="136">
        <v>43465</v>
      </c>
      <c r="H3846" t="s">
        <v>28</v>
      </c>
      <c r="I3846" t="s">
        <v>236</v>
      </c>
      <c r="J3846" t="s">
        <v>447</v>
      </c>
      <c r="L3846" s="137">
        <v>604.91999999999996</v>
      </c>
    </row>
    <row r="3847" spans="7:12" x14ac:dyDescent="0.25">
      <c r="G3847" s="136">
        <v>43465</v>
      </c>
      <c r="H3847" t="s">
        <v>28</v>
      </c>
      <c r="I3847" t="s">
        <v>236</v>
      </c>
      <c r="J3847" t="s">
        <v>447</v>
      </c>
      <c r="L3847" s="137">
        <v>599.23</v>
      </c>
    </row>
    <row r="3848" spans="7:12" x14ac:dyDescent="0.25">
      <c r="G3848" s="136">
        <v>43465</v>
      </c>
      <c r="H3848" t="s">
        <v>28</v>
      </c>
      <c r="I3848" t="s">
        <v>236</v>
      </c>
      <c r="J3848" t="s">
        <v>447</v>
      </c>
      <c r="L3848" s="137">
        <v>591.87</v>
      </c>
    </row>
    <row r="3849" spans="7:12" x14ac:dyDescent="0.25">
      <c r="G3849" s="136">
        <v>43465</v>
      </c>
      <c r="H3849" t="s">
        <v>28</v>
      </c>
      <c r="I3849" t="s">
        <v>236</v>
      </c>
      <c r="J3849" t="s">
        <v>447</v>
      </c>
      <c r="L3849" s="137">
        <v>591.85</v>
      </c>
    </row>
    <row r="3850" spans="7:12" x14ac:dyDescent="0.25">
      <c r="G3850" s="136">
        <v>43465</v>
      </c>
      <c r="H3850" t="s">
        <v>28</v>
      </c>
      <c r="I3850" t="s">
        <v>236</v>
      </c>
      <c r="J3850" t="s">
        <v>447</v>
      </c>
      <c r="L3850" s="137">
        <v>584</v>
      </c>
    </row>
    <row r="3851" spans="7:12" x14ac:dyDescent="0.25">
      <c r="G3851" s="136">
        <v>43465</v>
      </c>
      <c r="H3851" t="s">
        <v>28</v>
      </c>
      <c r="I3851" t="s">
        <v>236</v>
      </c>
      <c r="J3851" t="s">
        <v>447</v>
      </c>
      <c r="L3851" s="137">
        <v>582.41</v>
      </c>
    </row>
    <row r="3852" spans="7:12" x14ac:dyDescent="0.25">
      <c r="G3852" s="136">
        <v>43465</v>
      </c>
      <c r="H3852" t="s">
        <v>28</v>
      </c>
      <c r="I3852" t="s">
        <v>236</v>
      </c>
      <c r="J3852" t="s">
        <v>447</v>
      </c>
      <c r="L3852" s="137">
        <v>571.4</v>
      </c>
    </row>
    <row r="3853" spans="7:12" x14ac:dyDescent="0.25">
      <c r="G3853" s="136">
        <v>43465</v>
      </c>
      <c r="H3853" t="s">
        <v>28</v>
      </c>
      <c r="I3853" t="s">
        <v>236</v>
      </c>
      <c r="J3853" t="s">
        <v>447</v>
      </c>
      <c r="L3853" s="137">
        <v>569.9</v>
      </c>
    </row>
    <row r="3854" spans="7:12" x14ac:dyDescent="0.25">
      <c r="G3854" s="136">
        <v>43465</v>
      </c>
      <c r="H3854" t="s">
        <v>28</v>
      </c>
      <c r="I3854" t="s">
        <v>236</v>
      </c>
      <c r="J3854" t="s">
        <v>447</v>
      </c>
      <c r="L3854" s="137">
        <v>564.02</v>
      </c>
    </row>
    <row r="3855" spans="7:12" x14ac:dyDescent="0.25">
      <c r="G3855" s="136">
        <v>43465</v>
      </c>
      <c r="H3855" t="s">
        <v>28</v>
      </c>
      <c r="I3855" t="s">
        <v>236</v>
      </c>
      <c r="J3855" t="s">
        <v>447</v>
      </c>
      <c r="L3855" s="137">
        <v>554.47</v>
      </c>
    </row>
    <row r="3856" spans="7:12" x14ac:dyDescent="0.25">
      <c r="G3856" s="136">
        <v>43465</v>
      </c>
      <c r="H3856" t="s">
        <v>28</v>
      </c>
      <c r="I3856" t="s">
        <v>236</v>
      </c>
      <c r="J3856" t="s">
        <v>447</v>
      </c>
      <c r="L3856" s="137">
        <v>521.47</v>
      </c>
    </row>
    <row r="3857" spans="7:12" x14ac:dyDescent="0.25">
      <c r="G3857" s="136">
        <v>43465</v>
      </c>
      <c r="H3857" t="s">
        <v>28</v>
      </c>
      <c r="I3857" t="s">
        <v>236</v>
      </c>
      <c r="J3857" t="s">
        <v>447</v>
      </c>
      <c r="L3857" s="137">
        <v>489.8</v>
      </c>
    </row>
    <row r="3858" spans="7:12" x14ac:dyDescent="0.25">
      <c r="G3858" s="136">
        <v>43465</v>
      </c>
      <c r="H3858" t="s">
        <v>28</v>
      </c>
      <c r="I3858" t="s">
        <v>236</v>
      </c>
      <c r="J3858" t="s">
        <v>447</v>
      </c>
      <c r="L3858" s="137">
        <v>489.3</v>
      </c>
    </row>
    <row r="3859" spans="7:12" x14ac:dyDescent="0.25">
      <c r="G3859" s="136">
        <v>43465</v>
      </c>
      <c r="H3859" t="s">
        <v>28</v>
      </c>
      <c r="I3859" t="s">
        <v>236</v>
      </c>
      <c r="J3859" t="s">
        <v>447</v>
      </c>
      <c r="L3859" s="137">
        <v>488</v>
      </c>
    </row>
    <row r="3860" spans="7:12" x14ac:dyDescent="0.25">
      <c r="G3860" s="136">
        <v>43465</v>
      </c>
      <c r="H3860" t="s">
        <v>28</v>
      </c>
      <c r="I3860" t="s">
        <v>236</v>
      </c>
      <c r="J3860" t="s">
        <v>447</v>
      </c>
      <c r="L3860" s="137">
        <v>467.32</v>
      </c>
    </row>
    <row r="3861" spans="7:12" x14ac:dyDescent="0.25">
      <c r="G3861" s="136">
        <v>43465</v>
      </c>
      <c r="H3861" t="s">
        <v>28</v>
      </c>
      <c r="I3861" t="s">
        <v>236</v>
      </c>
      <c r="J3861" t="s">
        <v>447</v>
      </c>
      <c r="L3861" s="137">
        <v>460.74</v>
      </c>
    </row>
    <row r="3862" spans="7:12" x14ac:dyDescent="0.25">
      <c r="G3862" s="136">
        <v>43465</v>
      </c>
      <c r="H3862" t="s">
        <v>28</v>
      </c>
      <c r="I3862" t="s">
        <v>236</v>
      </c>
      <c r="J3862" t="s">
        <v>447</v>
      </c>
      <c r="L3862" s="137">
        <v>454.99</v>
      </c>
    </row>
    <row r="3863" spans="7:12" x14ac:dyDescent="0.25">
      <c r="G3863" s="136">
        <v>43465</v>
      </c>
      <c r="H3863" t="s">
        <v>28</v>
      </c>
      <c r="I3863" t="s">
        <v>236</v>
      </c>
      <c r="J3863" t="s">
        <v>447</v>
      </c>
      <c r="L3863" s="137">
        <v>452.75</v>
      </c>
    </row>
    <row r="3864" spans="7:12" x14ac:dyDescent="0.25">
      <c r="G3864" s="136">
        <v>43465</v>
      </c>
      <c r="H3864" t="s">
        <v>28</v>
      </c>
      <c r="I3864" t="s">
        <v>236</v>
      </c>
      <c r="J3864" t="s">
        <v>447</v>
      </c>
      <c r="L3864" s="137">
        <v>449.62</v>
      </c>
    </row>
    <row r="3865" spans="7:12" x14ac:dyDescent="0.25">
      <c r="G3865" s="136">
        <v>43465</v>
      </c>
      <c r="H3865" t="s">
        <v>28</v>
      </c>
      <c r="I3865" t="s">
        <v>236</v>
      </c>
      <c r="J3865" t="s">
        <v>447</v>
      </c>
      <c r="L3865" s="137">
        <v>446.58</v>
      </c>
    </row>
    <row r="3866" spans="7:12" x14ac:dyDescent="0.25">
      <c r="G3866" s="136">
        <v>43465</v>
      </c>
      <c r="H3866" t="s">
        <v>28</v>
      </c>
      <c r="I3866" t="s">
        <v>236</v>
      </c>
      <c r="J3866" t="s">
        <v>447</v>
      </c>
      <c r="L3866" s="137">
        <v>436.8</v>
      </c>
    </row>
    <row r="3867" spans="7:12" x14ac:dyDescent="0.25">
      <c r="G3867" s="136">
        <v>43465</v>
      </c>
      <c r="H3867" t="s">
        <v>28</v>
      </c>
      <c r="I3867" t="s">
        <v>236</v>
      </c>
      <c r="J3867" t="s">
        <v>447</v>
      </c>
      <c r="L3867" s="137">
        <v>428.77</v>
      </c>
    </row>
    <row r="3868" spans="7:12" x14ac:dyDescent="0.25">
      <c r="G3868" s="136">
        <v>43465</v>
      </c>
      <c r="H3868" t="s">
        <v>28</v>
      </c>
      <c r="I3868" t="s">
        <v>236</v>
      </c>
      <c r="J3868" t="s">
        <v>447</v>
      </c>
      <c r="L3868" s="137">
        <v>421.1</v>
      </c>
    </row>
    <row r="3869" spans="7:12" x14ac:dyDescent="0.25">
      <c r="G3869" s="136">
        <v>43465</v>
      </c>
      <c r="H3869" t="s">
        <v>28</v>
      </c>
      <c r="I3869" t="s">
        <v>236</v>
      </c>
      <c r="J3869" t="s">
        <v>447</v>
      </c>
      <c r="L3869" s="137">
        <v>407.49</v>
      </c>
    </row>
    <row r="3870" spans="7:12" x14ac:dyDescent="0.25">
      <c r="G3870" s="136">
        <v>43465</v>
      </c>
      <c r="H3870" t="s">
        <v>28</v>
      </c>
      <c r="I3870" t="s">
        <v>236</v>
      </c>
      <c r="J3870" t="s">
        <v>447</v>
      </c>
      <c r="L3870" s="137">
        <v>405.23</v>
      </c>
    </row>
    <row r="3871" spans="7:12" x14ac:dyDescent="0.25">
      <c r="G3871" s="136">
        <v>43465</v>
      </c>
      <c r="H3871" t="s">
        <v>28</v>
      </c>
      <c r="I3871" t="s">
        <v>236</v>
      </c>
      <c r="J3871" t="s">
        <v>447</v>
      </c>
      <c r="L3871" s="137">
        <v>402.31</v>
      </c>
    </row>
    <row r="3872" spans="7:12" x14ac:dyDescent="0.25">
      <c r="G3872" s="136">
        <v>43465</v>
      </c>
      <c r="H3872" t="s">
        <v>28</v>
      </c>
      <c r="I3872" t="s">
        <v>236</v>
      </c>
      <c r="J3872" t="s">
        <v>447</v>
      </c>
      <c r="L3872" s="137">
        <v>395.86</v>
      </c>
    </row>
    <row r="3873" spans="7:12" x14ac:dyDescent="0.25">
      <c r="G3873" s="136">
        <v>43465</v>
      </c>
      <c r="H3873" t="s">
        <v>28</v>
      </c>
      <c r="I3873" t="s">
        <v>236</v>
      </c>
      <c r="J3873" t="s">
        <v>447</v>
      </c>
      <c r="L3873" s="137">
        <v>389.26</v>
      </c>
    </row>
    <row r="3874" spans="7:12" x14ac:dyDescent="0.25">
      <c r="G3874" s="136">
        <v>43465</v>
      </c>
      <c r="H3874" t="s">
        <v>28</v>
      </c>
      <c r="I3874" t="s">
        <v>236</v>
      </c>
      <c r="J3874" t="s">
        <v>447</v>
      </c>
      <c r="L3874" s="137">
        <v>389.15</v>
      </c>
    </row>
    <row r="3875" spans="7:12" x14ac:dyDescent="0.25">
      <c r="G3875" s="136">
        <v>43465</v>
      </c>
      <c r="H3875" t="s">
        <v>28</v>
      </c>
      <c r="I3875" t="s">
        <v>236</v>
      </c>
      <c r="J3875" t="s">
        <v>447</v>
      </c>
      <c r="L3875" s="137">
        <v>388.61</v>
      </c>
    </row>
    <row r="3876" spans="7:12" x14ac:dyDescent="0.25">
      <c r="G3876" s="136">
        <v>43465</v>
      </c>
      <c r="H3876" t="s">
        <v>28</v>
      </c>
      <c r="I3876" t="s">
        <v>236</v>
      </c>
      <c r="J3876" t="s">
        <v>447</v>
      </c>
      <c r="L3876" s="137">
        <v>388</v>
      </c>
    </row>
    <row r="3877" spans="7:12" x14ac:dyDescent="0.25">
      <c r="G3877" s="136">
        <v>43465</v>
      </c>
      <c r="H3877" t="s">
        <v>28</v>
      </c>
      <c r="I3877" t="s">
        <v>236</v>
      </c>
      <c r="J3877" t="s">
        <v>447</v>
      </c>
      <c r="L3877" s="137">
        <v>369.1</v>
      </c>
    </row>
    <row r="3878" spans="7:12" x14ac:dyDescent="0.25">
      <c r="G3878" s="136">
        <v>43465</v>
      </c>
      <c r="H3878" t="s">
        <v>28</v>
      </c>
      <c r="I3878" t="s">
        <v>236</v>
      </c>
      <c r="J3878" t="s">
        <v>447</v>
      </c>
      <c r="L3878" s="137">
        <v>359.06</v>
      </c>
    </row>
    <row r="3879" spans="7:12" x14ac:dyDescent="0.25">
      <c r="G3879" s="136">
        <v>43465</v>
      </c>
      <c r="H3879" t="s">
        <v>28</v>
      </c>
      <c r="I3879" t="s">
        <v>236</v>
      </c>
      <c r="J3879" t="s">
        <v>447</v>
      </c>
      <c r="L3879" s="137">
        <v>353.33</v>
      </c>
    </row>
    <row r="3880" spans="7:12" x14ac:dyDescent="0.25">
      <c r="G3880" s="136">
        <v>43465</v>
      </c>
      <c r="H3880" t="s">
        <v>28</v>
      </c>
      <c r="I3880" t="s">
        <v>236</v>
      </c>
      <c r="J3880" t="s">
        <v>447</v>
      </c>
      <c r="L3880" s="137">
        <v>348.31</v>
      </c>
    </row>
    <row r="3881" spans="7:12" x14ac:dyDescent="0.25">
      <c r="G3881" s="136">
        <v>43465</v>
      </c>
      <c r="H3881" t="s">
        <v>28</v>
      </c>
      <c r="I3881" t="s">
        <v>236</v>
      </c>
      <c r="J3881" t="s">
        <v>447</v>
      </c>
      <c r="L3881" s="137">
        <v>343.85</v>
      </c>
    </row>
    <row r="3882" spans="7:12" x14ac:dyDescent="0.25">
      <c r="G3882" s="136">
        <v>43465</v>
      </c>
      <c r="H3882" t="s">
        <v>28</v>
      </c>
      <c r="I3882" t="s">
        <v>236</v>
      </c>
      <c r="J3882" t="s">
        <v>447</v>
      </c>
      <c r="L3882" s="137">
        <v>340.5</v>
      </c>
    </row>
    <row r="3883" spans="7:12" x14ac:dyDescent="0.25">
      <c r="G3883" s="136">
        <v>43465</v>
      </c>
      <c r="H3883" t="s">
        <v>28</v>
      </c>
      <c r="I3883" t="s">
        <v>236</v>
      </c>
      <c r="J3883" t="s">
        <v>447</v>
      </c>
      <c r="L3883" s="137">
        <v>338.72</v>
      </c>
    </row>
    <row r="3884" spans="7:12" x14ac:dyDescent="0.25">
      <c r="G3884" s="136">
        <v>43465</v>
      </c>
      <c r="H3884" t="s">
        <v>28</v>
      </c>
      <c r="I3884" t="s">
        <v>236</v>
      </c>
      <c r="J3884" t="s">
        <v>447</v>
      </c>
      <c r="L3884" s="137">
        <v>332.67</v>
      </c>
    </row>
    <row r="3885" spans="7:12" x14ac:dyDescent="0.25">
      <c r="G3885" s="136">
        <v>43465</v>
      </c>
      <c r="H3885" t="s">
        <v>28</v>
      </c>
      <c r="I3885" t="s">
        <v>236</v>
      </c>
      <c r="J3885" t="s">
        <v>447</v>
      </c>
      <c r="L3885" s="137">
        <v>325.76</v>
      </c>
    </row>
    <row r="3886" spans="7:12" x14ac:dyDescent="0.25">
      <c r="G3886" s="136">
        <v>43465</v>
      </c>
      <c r="H3886" t="s">
        <v>28</v>
      </c>
      <c r="I3886" t="s">
        <v>236</v>
      </c>
      <c r="J3886" t="s">
        <v>447</v>
      </c>
      <c r="L3886" s="137">
        <v>321.58</v>
      </c>
    </row>
    <row r="3887" spans="7:12" x14ac:dyDescent="0.25">
      <c r="G3887" s="136">
        <v>43465</v>
      </c>
      <c r="H3887" t="s">
        <v>28</v>
      </c>
      <c r="I3887" t="s">
        <v>236</v>
      </c>
      <c r="J3887" t="s">
        <v>447</v>
      </c>
      <c r="L3887" s="137">
        <v>315.25</v>
      </c>
    </row>
    <row r="3888" spans="7:12" x14ac:dyDescent="0.25">
      <c r="G3888" s="136">
        <v>43465</v>
      </c>
      <c r="H3888" t="s">
        <v>28</v>
      </c>
      <c r="I3888" t="s">
        <v>236</v>
      </c>
      <c r="J3888" t="s">
        <v>447</v>
      </c>
      <c r="L3888" s="137">
        <v>314.81</v>
      </c>
    </row>
    <row r="3889" spans="7:12" x14ac:dyDescent="0.25">
      <c r="G3889" s="136">
        <v>43465</v>
      </c>
      <c r="H3889" t="s">
        <v>28</v>
      </c>
      <c r="I3889" t="s">
        <v>236</v>
      </c>
      <c r="J3889" t="s">
        <v>447</v>
      </c>
      <c r="L3889" s="137">
        <v>311.75</v>
      </c>
    </row>
    <row r="3890" spans="7:12" x14ac:dyDescent="0.25">
      <c r="G3890" s="136">
        <v>43465</v>
      </c>
      <c r="H3890" t="s">
        <v>28</v>
      </c>
      <c r="I3890" t="s">
        <v>236</v>
      </c>
      <c r="J3890" t="s">
        <v>447</v>
      </c>
      <c r="L3890" s="137">
        <v>300.33999999999997</v>
      </c>
    </row>
    <row r="3891" spans="7:12" x14ac:dyDescent="0.25">
      <c r="G3891" s="136">
        <v>43465</v>
      </c>
      <c r="H3891" t="s">
        <v>28</v>
      </c>
      <c r="I3891" t="s">
        <v>236</v>
      </c>
      <c r="J3891" t="s">
        <v>447</v>
      </c>
      <c r="L3891" s="137">
        <v>299.77999999999997</v>
      </c>
    </row>
    <row r="3892" spans="7:12" x14ac:dyDescent="0.25">
      <c r="G3892" s="136">
        <v>43465</v>
      </c>
      <c r="H3892" t="s">
        <v>28</v>
      </c>
      <c r="I3892" t="s">
        <v>236</v>
      </c>
      <c r="J3892" t="s">
        <v>447</v>
      </c>
      <c r="L3892" s="137">
        <v>299.69</v>
      </c>
    </row>
    <row r="3893" spans="7:12" x14ac:dyDescent="0.25">
      <c r="G3893" s="136">
        <v>43465</v>
      </c>
      <c r="H3893" t="s">
        <v>28</v>
      </c>
      <c r="I3893" t="s">
        <v>236</v>
      </c>
      <c r="J3893" t="s">
        <v>447</v>
      </c>
      <c r="L3893" s="137">
        <v>294.36</v>
      </c>
    </row>
    <row r="3894" spans="7:12" x14ac:dyDescent="0.25">
      <c r="G3894" s="136">
        <v>43465</v>
      </c>
      <c r="H3894" t="s">
        <v>28</v>
      </c>
      <c r="I3894" t="s">
        <v>236</v>
      </c>
      <c r="J3894" t="s">
        <v>447</v>
      </c>
      <c r="L3894" s="137">
        <v>291.97000000000003</v>
      </c>
    </row>
    <row r="3895" spans="7:12" x14ac:dyDescent="0.25">
      <c r="G3895" s="136">
        <v>43465</v>
      </c>
      <c r="H3895" t="s">
        <v>28</v>
      </c>
      <c r="I3895" t="s">
        <v>236</v>
      </c>
      <c r="J3895" t="s">
        <v>447</v>
      </c>
      <c r="L3895" s="137">
        <v>291.83</v>
      </c>
    </row>
    <row r="3896" spans="7:12" x14ac:dyDescent="0.25">
      <c r="G3896" s="136">
        <v>43465</v>
      </c>
      <c r="H3896" t="s">
        <v>28</v>
      </c>
      <c r="I3896" t="s">
        <v>236</v>
      </c>
      <c r="J3896" t="s">
        <v>447</v>
      </c>
      <c r="L3896" s="137">
        <v>287.55</v>
      </c>
    </row>
    <row r="3897" spans="7:12" x14ac:dyDescent="0.25">
      <c r="G3897" s="136">
        <v>43465</v>
      </c>
      <c r="H3897" t="s">
        <v>28</v>
      </c>
      <c r="I3897" t="s">
        <v>236</v>
      </c>
      <c r="J3897" t="s">
        <v>447</v>
      </c>
      <c r="L3897" s="137">
        <v>282.49</v>
      </c>
    </row>
    <row r="3898" spans="7:12" x14ac:dyDescent="0.25">
      <c r="G3898" s="136">
        <v>43465</v>
      </c>
      <c r="H3898" t="s">
        <v>28</v>
      </c>
      <c r="I3898" t="s">
        <v>236</v>
      </c>
      <c r="J3898" t="s">
        <v>447</v>
      </c>
      <c r="L3898" s="137">
        <v>269.43</v>
      </c>
    </row>
    <row r="3899" spans="7:12" x14ac:dyDescent="0.25">
      <c r="G3899" s="136">
        <v>43465</v>
      </c>
      <c r="H3899" t="s">
        <v>28</v>
      </c>
      <c r="I3899" t="s">
        <v>236</v>
      </c>
      <c r="J3899" t="s">
        <v>447</v>
      </c>
      <c r="L3899" s="137">
        <v>263.70999999999998</v>
      </c>
    </row>
    <row r="3900" spans="7:12" x14ac:dyDescent="0.25">
      <c r="G3900" s="136">
        <v>43465</v>
      </c>
      <c r="H3900" t="s">
        <v>28</v>
      </c>
      <c r="I3900" t="s">
        <v>236</v>
      </c>
      <c r="J3900" t="s">
        <v>447</v>
      </c>
      <c r="L3900" s="137">
        <v>251.37</v>
      </c>
    </row>
    <row r="3901" spans="7:12" x14ac:dyDescent="0.25">
      <c r="G3901" s="136">
        <v>43465</v>
      </c>
      <c r="H3901" t="s">
        <v>28</v>
      </c>
      <c r="I3901" t="s">
        <v>236</v>
      </c>
      <c r="J3901" t="s">
        <v>447</v>
      </c>
      <c r="L3901" s="137">
        <v>250.78</v>
      </c>
    </row>
    <row r="3902" spans="7:12" x14ac:dyDescent="0.25">
      <c r="G3902" s="136">
        <v>43465</v>
      </c>
      <c r="H3902" t="s">
        <v>28</v>
      </c>
      <c r="I3902" t="s">
        <v>236</v>
      </c>
      <c r="J3902" t="s">
        <v>447</v>
      </c>
      <c r="L3902" s="137">
        <v>248.26</v>
      </c>
    </row>
    <row r="3903" spans="7:12" x14ac:dyDescent="0.25">
      <c r="G3903" s="136">
        <v>43465</v>
      </c>
      <c r="H3903" t="s">
        <v>28</v>
      </c>
      <c r="I3903" t="s">
        <v>236</v>
      </c>
      <c r="J3903" t="s">
        <v>447</v>
      </c>
      <c r="L3903" s="137">
        <v>248.23</v>
      </c>
    </row>
    <row r="3904" spans="7:12" x14ac:dyDescent="0.25">
      <c r="G3904" s="136">
        <v>43465</v>
      </c>
      <c r="H3904" t="s">
        <v>28</v>
      </c>
      <c r="I3904" t="s">
        <v>236</v>
      </c>
      <c r="J3904" t="s">
        <v>447</v>
      </c>
      <c r="L3904" s="137">
        <v>247.85</v>
      </c>
    </row>
    <row r="3905" spans="7:12" x14ac:dyDescent="0.25">
      <c r="G3905" s="136">
        <v>43465</v>
      </c>
      <c r="H3905" t="s">
        <v>28</v>
      </c>
      <c r="I3905" t="s">
        <v>236</v>
      </c>
      <c r="J3905" t="s">
        <v>447</v>
      </c>
      <c r="L3905" s="137">
        <v>247.67</v>
      </c>
    </row>
    <row r="3906" spans="7:12" x14ac:dyDescent="0.25">
      <c r="G3906" s="136">
        <v>43465</v>
      </c>
      <c r="H3906" t="s">
        <v>28</v>
      </c>
      <c r="I3906" t="s">
        <v>236</v>
      </c>
      <c r="J3906" t="s">
        <v>447</v>
      </c>
      <c r="L3906" s="137">
        <v>247.66</v>
      </c>
    </row>
    <row r="3907" spans="7:12" x14ac:dyDescent="0.25">
      <c r="G3907" s="136">
        <v>43465</v>
      </c>
      <c r="H3907" t="s">
        <v>28</v>
      </c>
      <c r="I3907" t="s">
        <v>236</v>
      </c>
      <c r="J3907" t="s">
        <v>447</v>
      </c>
      <c r="L3907" s="137">
        <v>247.61</v>
      </c>
    </row>
    <row r="3908" spans="7:12" x14ac:dyDescent="0.25">
      <c r="G3908" s="136">
        <v>43465</v>
      </c>
      <c r="H3908" t="s">
        <v>28</v>
      </c>
      <c r="I3908" t="s">
        <v>236</v>
      </c>
      <c r="J3908" t="s">
        <v>447</v>
      </c>
      <c r="L3908" s="137">
        <v>245.94</v>
      </c>
    </row>
    <row r="3909" spans="7:12" x14ac:dyDescent="0.25">
      <c r="G3909" s="136">
        <v>43465</v>
      </c>
      <c r="H3909" t="s">
        <v>28</v>
      </c>
      <c r="I3909" t="s">
        <v>236</v>
      </c>
      <c r="J3909" t="s">
        <v>447</v>
      </c>
      <c r="L3909" s="137">
        <v>243.4</v>
      </c>
    </row>
    <row r="3910" spans="7:12" x14ac:dyDescent="0.25">
      <c r="G3910" s="136">
        <v>43465</v>
      </c>
      <c r="H3910" t="s">
        <v>28</v>
      </c>
      <c r="I3910" t="s">
        <v>236</v>
      </c>
      <c r="J3910" t="s">
        <v>447</v>
      </c>
      <c r="L3910" s="137">
        <v>240.13</v>
      </c>
    </row>
    <row r="3911" spans="7:12" x14ac:dyDescent="0.25">
      <c r="G3911" s="136">
        <v>43465</v>
      </c>
      <c r="H3911" t="s">
        <v>28</v>
      </c>
      <c r="I3911" t="s">
        <v>236</v>
      </c>
      <c r="J3911" t="s">
        <v>447</v>
      </c>
      <c r="L3911" s="137">
        <v>230.08</v>
      </c>
    </row>
    <row r="3912" spans="7:12" x14ac:dyDescent="0.25">
      <c r="G3912" s="136">
        <v>43465</v>
      </c>
      <c r="H3912" t="s">
        <v>28</v>
      </c>
      <c r="I3912" t="s">
        <v>236</v>
      </c>
      <c r="J3912" t="s">
        <v>447</v>
      </c>
      <c r="L3912" s="137">
        <v>226.14</v>
      </c>
    </row>
    <row r="3913" spans="7:12" x14ac:dyDescent="0.25">
      <c r="G3913" s="136">
        <v>43465</v>
      </c>
      <c r="H3913" t="s">
        <v>28</v>
      </c>
      <c r="I3913" t="s">
        <v>236</v>
      </c>
      <c r="J3913" t="s">
        <v>447</v>
      </c>
      <c r="L3913" s="137">
        <v>223.74</v>
      </c>
    </row>
    <row r="3914" spans="7:12" x14ac:dyDescent="0.25">
      <c r="G3914" s="136">
        <v>43465</v>
      </c>
      <c r="H3914" t="s">
        <v>28</v>
      </c>
      <c r="I3914" t="s">
        <v>236</v>
      </c>
      <c r="J3914" t="s">
        <v>447</v>
      </c>
      <c r="L3914" s="137">
        <v>220.13</v>
      </c>
    </row>
    <row r="3915" spans="7:12" x14ac:dyDescent="0.25">
      <c r="G3915" s="136">
        <v>43465</v>
      </c>
      <c r="H3915" t="s">
        <v>28</v>
      </c>
      <c r="I3915" t="s">
        <v>236</v>
      </c>
      <c r="J3915" t="s">
        <v>447</v>
      </c>
      <c r="L3915" s="137">
        <v>218.73</v>
      </c>
    </row>
    <row r="3916" spans="7:12" x14ac:dyDescent="0.25">
      <c r="G3916" s="136">
        <v>43465</v>
      </c>
      <c r="H3916" t="s">
        <v>28</v>
      </c>
      <c r="I3916" t="s">
        <v>236</v>
      </c>
      <c r="J3916" t="s">
        <v>447</v>
      </c>
      <c r="L3916" s="137">
        <v>214.26</v>
      </c>
    </row>
    <row r="3917" spans="7:12" x14ac:dyDescent="0.25">
      <c r="G3917" s="136">
        <v>43465</v>
      </c>
      <c r="H3917" t="s">
        <v>28</v>
      </c>
      <c r="I3917" t="s">
        <v>236</v>
      </c>
      <c r="J3917" t="s">
        <v>447</v>
      </c>
      <c r="L3917" s="137">
        <v>213.96</v>
      </c>
    </row>
    <row r="3918" spans="7:12" x14ac:dyDescent="0.25">
      <c r="G3918" s="136">
        <v>43465</v>
      </c>
      <c r="H3918" t="s">
        <v>28</v>
      </c>
      <c r="I3918" t="s">
        <v>236</v>
      </c>
      <c r="J3918" t="s">
        <v>447</v>
      </c>
      <c r="L3918" s="137">
        <v>213.4</v>
      </c>
    </row>
    <row r="3919" spans="7:12" x14ac:dyDescent="0.25">
      <c r="G3919" s="136">
        <v>43465</v>
      </c>
      <c r="H3919" t="s">
        <v>28</v>
      </c>
      <c r="I3919" t="s">
        <v>236</v>
      </c>
      <c r="J3919" t="s">
        <v>447</v>
      </c>
      <c r="L3919" s="137">
        <v>213</v>
      </c>
    </row>
    <row r="3920" spans="7:12" x14ac:dyDescent="0.25">
      <c r="G3920" s="136">
        <v>43465</v>
      </c>
      <c r="H3920" t="s">
        <v>28</v>
      </c>
      <c r="I3920" t="s">
        <v>236</v>
      </c>
      <c r="J3920" t="s">
        <v>447</v>
      </c>
      <c r="L3920" s="137">
        <v>210.85</v>
      </c>
    </row>
    <row r="3921" spans="7:12" x14ac:dyDescent="0.25">
      <c r="G3921" s="136">
        <v>43465</v>
      </c>
      <c r="H3921" t="s">
        <v>28</v>
      </c>
      <c r="I3921" t="s">
        <v>236</v>
      </c>
      <c r="J3921" t="s">
        <v>447</v>
      </c>
      <c r="L3921" s="137">
        <v>208.82</v>
      </c>
    </row>
    <row r="3922" spans="7:12" x14ac:dyDescent="0.25">
      <c r="G3922" s="136">
        <v>43465</v>
      </c>
      <c r="H3922" t="s">
        <v>28</v>
      </c>
      <c r="I3922" t="s">
        <v>236</v>
      </c>
      <c r="J3922" t="s">
        <v>447</v>
      </c>
      <c r="L3922" s="137">
        <v>207.06</v>
      </c>
    </row>
    <row r="3923" spans="7:12" x14ac:dyDescent="0.25">
      <c r="G3923" s="136">
        <v>43465</v>
      </c>
      <c r="H3923" t="s">
        <v>28</v>
      </c>
      <c r="I3923" t="s">
        <v>236</v>
      </c>
      <c r="J3923" t="s">
        <v>447</v>
      </c>
      <c r="L3923" s="137">
        <v>195</v>
      </c>
    </row>
    <row r="3924" spans="7:12" x14ac:dyDescent="0.25">
      <c r="G3924" s="136">
        <v>43465</v>
      </c>
      <c r="H3924" t="s">
        <v>28</v>
      </c>
      <c r="I3924" t="s">
        <v>236</v>
      </c>
      <c r="J3924" t="s">
        <v>447</v>
      </c>
      <c r="L3924" s="137">
        <v>191.99</v>
      </c>
    </row>
    <row r="3925" spans="7:12" x14ac:dyDescent="0.25">
      <c r="G3925" s="136">
        <v>43465</v>
      </c>
      <c r="H3925" t="s">
        <v>28</v>
      </c>
      <c r="I3925" t="s">
        <v>236</v>
      </c>
      <c r="J3925" t="s">
        <v>447</v>
      </c>
      <c r="L3925" s="137">
        <v>183.12</v>
      </c>
    </row>
    <row r="3926" spans="7:12" x14ac:dyDescent="0.25">
      <c r="G3926" s="136">
        <v>43465</v>
      </c>
      <c r="H3926" t="s">
        <v>28</v>
      </c>
      <c r="I3926" t="s">
        <v>236</v>
      </c>
      <c r="J3926" t="s">
        <v>447</v>
      </c>
      <c r="L3926" s="137">
        <v>175.7</v>
      </c>
    </row>
    <row r="3927" spans="7:12" x14ac:dyDescent="0.25">
      <c r="G3927" s="136">
        <v>43465</v>
      </c>
      <c r="H3927" t="s">
        <v>28</v>
      </c>
      <c r="I3927" t="s">
        <v>236</v>
      </c>
      <c r="J3927" t="s">
        <v>447</v>
      </c>
      <c r="L3927" s="137">
        <v>171.25</v>
      </c>
    </row>
    <row r="3928" spans="7:12" x14ac:dyDescent="0.25">
      <c r="G3928" s="136">
        <v>43465</v>
      </c>
      <c r="H3928" t="s">
        <v>28</v>
      </c>
      <c r="I3928" t="s">
        <v>236</v>
      </c>
      <c r="J3928" t="s">
        <v>447</v>
      </c>
      <c r="L3928" s="137">
        <v>163.19999999999999</v>
      </c>
    </row>
    <row r="3929" spans="7:12" x14ac:dyDescent="0.25">
      <c r="G3929" s="136">
        <v>43465</v>
      </c>
      <c r="H3929" t="s">
        <v>28</v>
      </c>
      <c r="I3929" t="s">
        <v>236</v>
      </c>
      <c r="J3929" t="s">
        <v>447</v>
      </c>
      <c r="L3929" s="137">
        <v>160.5</v>
      </c>
    </row>
    <row r="3930" spans="7:12" x14ac:dyDescent="0.25">
      <c r="G3930" s="136">
        <v>43465</v>
      </c>
      <c r="H3930" t="s">
        <v>28</v>
      </c>
      <c r="I3930" t="s">
        <v>236</v>
      </c>
      <c r="J3930" t="s">
        <v>447</v>
      </c>
      <c r="L3930" s="137">
        <v>154.49</v>
      </c>
    </row>
    <row r="3931" spans="7:12" x14ac:dyDescent="0.25">
      <c r="G3931" s="136">
        <v>43465</v>
      </c>
      <c r="H3931" t="s">
        <v>28</v>
      </c>
      <c r="I3931" t="s">
        <v>236</v>
      </c>
      <c r="J3931" t="s">
        <v>447</v>
      </c>
      <c r="L3931" s="137">
        <v>146.65</v>
      </c>
    </row>
    <row r="3932" spans="7:12" x14ac:dyDescent="0.25">
      <c r="G3932" s="136">
        <v>43465</v>
      </c>
      <c r="H3932" t="s">
        <v>28</v>
      </c>
      <c r="I3932" t="s">
        <v>236</v>
      </c>
      <c r="J3932" t="s">
        <v>447</v>
      </c>
      <c r="L3932" s="137">
        <v>136</v>
      </c>
    </row>
    <row r="3933" spans="7:12" x14ac:dyDescent="0.25">
      <c r="G3933" s="136">
        <v>43465</v>
      </c>
      <c r="H3933" t="s">
        <v>28</v>
      </c>
      <c r="I3933" t="s">
        <v>236</v>
      </c>
      <c r="J3933" t="s">
        <v>447</v>
      </c>
      <c r="L3933" s="137">
        <v>133.84</v>
      </c>
    </row>
    <row r="3934" spans="7:12" x14ac:dyDescent="0.25">
      <c r="G3934" s="136">
        <v>43465</v>
      </c>
      <c r="H3934" t="s">
        <v>28</v>
      </c>
      <c r="I3934" t="s">
        <v>236</v>
      </c>
      <c r="J3934" t="s">
        <v>447</v>
      </c>
      <c r="L3934" s="137">
        <v>133.38</v>
      </c>
    </row>
    <row r="3935" spans="7:12" x14ac:dyDescent="0.25">
      <c r="G3935" s="136">
        <v>43465</v>
      </c>
      <c r="H3935" t="s">
        <v>28</v>
      </c>
      <c r="I3935" t="s">
        <v>236</v>
      </c>
      <c r="J3935" t="s">
        <v>447</v>
      </c>
      <c r="L3935" s="137">
        <v>127.21</v>
      </c>
    </row>
    <row r="3936" spans="7:12" x14ac:dyDescent="0.25">
      <c r="G3936" s="136">
        <v>43465</v>
      </c>
      <c r="H3936" t="s">
        <v>28</v>
      </c>
      <c r="I3936" t="s">
        <v>236</v>
      </c>
      <c r="J3936" t="s">
        <v>447</v>
      </c>
      <c r="L3936" s="137">
        <v>123.05</v>
      </c>
    </row>
    <row r="3937" spans="7:12" x14ac:dyDescent="0.25">
      <c r="G3937" s="136">
        <v>43465</v>
      </c>
      <c r="H3937" t="s">
        <v>28</v>
      </c>
      <c r="I3937" t="s">
        <v>236</v>
      </c>
      <c r="J3937" t="s">
        <v>447</v>
      </c>
      <c r="L3937" s="137">
        <v>119.81</v>
      </c>
    </row>
    <row r="3938" spans="7:12" x14ac:dyDescent="0.25">
      <c r="G3938" s="136">
        <v>43465</v>
      </c>
      <c r="H3938" t="s">
        <v>28</v>
      </c>
      <c r="I3938" t="s">
        <v>236</v>
      </c>
      <c r="J3938" t="s">
        <v>447</v>
      </c>
      <c r="L3938" s="137">
        <v>118.25</v>
      </c>
    </row>
    <row r="3939" spans="7:12" x14ac:dyDescent="0.25">
      <c r="G3939" s="136">
        <v>43465</v>
      </c>
      <c r="H3939" t="s">
        <v>28</v>
      </c>
      <c r="I3939" t="s">
        <v>236</v>
      </c>
      <c r="J3939" t="s">
        <v>447</v>
      </c>
      <c r="L3939" s="137">
        <v>117.66</v>
      </c>
    </row>
    <row r="3940" spans="7:12" x14ac:dyDescent="0.25">
      <c r="G3940" s="136">
        <v>43465</v>
      </c>
      <c r="H3940" t="s">
        <v>28</v>
      </c>
      <c r="I3940" t="s">
        <v>236</v>
      </c>
      <c r="J3940" t="s">
        <v>447</v>
      </c>
      <c r="L3940" s="137">
        <v>117.6</v>
      </c>
    </row>
    <row r="3941" spans="7:12" x14ac:dyDescent="0.25">
      <c r="G3941" s="136">
        <v>43465</v>
      </c>
      <c r="H3941" t="s">
        <v>28</v>
      </c>
      <c r="I3941" t="s">
        <v>236</v>
      </c>
      <c r="J3941" t="s">
        <v>447</v>
      </c>
      <c r="L3941" s="137">
        <v>110.8</v>
      </c>
    </row>
    <row r="3942" spans="7:12" x14ac:dyDescent="0.25">
      <c r="G3942" s="136">
        <v>43465</v>
      </c>
      <c r="H3942" t="s">
        <v>28</v>
      </c>
      <c r="I3942" t="s">
        <v>236</v>
      </c>
      <c r="J3942" t="s">
        <v>447</v>
      </c>
      <c r="L3942" s="137">
        <v>109.7</v>
      </c>
    </row>
    <row r="3943" spans="7:12" x14ac:dyDescent="0.25">
      <c r="G3943" s="136">
        <v>43465</v>
      </c>
      <c r="H3943" t="s">
        <v>28</v>
      </c>
      <c r="I3943" t="s">
        <v>236</v>
      </c>
      <c r="J3943" t="s">
        <v>447</v>
      </c>
      <c r="L3943" s="137">
        <v>108.09</v>
      </c>
    </row>
    <row r="3944" spans="7:12" x14ac:dyDescent="0.25">
      <c r="G3944" s="136">
        <v>43465</v>
      </c>
      <c r="H3944" t="s">
        <v>28</v>
      </c>
      <c r="I3944" t="s">
        <v>236</v>
      </c>
      <c r="J3944" t="s">
        <v>447</v>
      </c>
      <c r="L3944" s="137">
        <v>104.35</v>
      </c>
    </row>
    <row r="3945" spans="7:12" x14ac:dyDescent="0.25">
      <c r="G3945" s="136">
        <v>43465</v>
      </c>
      <c r="H3945" t="s">
        <v>28</v>
      </c>
      <c r="I3945" t="s">
        <v>236</v>
      </c>
      <c r="J3945" t="s">
        <v>447</v>
      </c>
      <c r="L3945" s="137">
        <v>99.8</v>
      </c>
    </row>
    <row r="3946" spans="7:12" x14ac:dyDescent="0.25">
      <c r="G3946" s="136">
        <v>43465</v>
      </c>
      <c r="H3946" t="s">
        <v>28</v>
      </c>
      <c r="I3946" t="s">
        <v>236</v>
      </c>
      <c r="J3946" t="s">
        <v>447</v>
      </c>
      <c r="L3946" s="137">
        <v>98.39</v>
      </c>
    </row>
    <row r="3947" spans="7:12" x14ac:dyDescent="0.25">
      <c r="G3947" s="136">
        <v>43465</v>
      </c>
      <c r="H3947" t="s">
        <v>28</v>
      </c>
      <c r="I3947" t="s">
        <v>236</v>
      </c>
      <c r="J3947" t="s">
        <v>447</v>
      </c>
      <c r="L3947" s="137">
        <v>97.05</v>
      </c>
    </row>
    <row r="3948" spans="7:12" x14ac:dyDescent="0.25">
      <c r="G3948" s="136">
        <v>43465</v>
      </c>
      <c r="H3948" t="s">
        <v>28</v>
      </c>
      <c r="I3948" t="s">
        <v>236</v>
      </c>
      <c r="J3948" t="s">
        <v>447</v>
      </c>
      <c r="L3948" s="137">
        <v>96.1</v>
      </c>
    </row>
    <row r="3949" spans="7:12" x14ac:dyDescent="0.25">
      <c r="G3949" s="136">
        <v>43465</v>
      </c>
      <c r="H3949" t="s">
        <v>28</v>
      </c>
      <c r="I3949" t="s">
        <v>236</v>
      </c>
      <c r="J3949" t="s">
        <v>447</v>
      </c>
      <c r="L3949" s="137">
        <v>96.05</v>
      </c>
    </row>
    <row r="3950" spans="7:12" x14ac:dyDescent="0.25">
      <c r="G3950" s="136">
        <v>43465</v>
      </c>
      <c r="H3950" t="s">
        <v>28</v>
      </c>
      <c r="I3950" t="s">
        <v>236</v>
      </c>
      <c r="J3950" t="s">
        <v>447</v>
      </c>
      <c r="L3950" s="137">
        <v>96</v>
      </c>
    </row>
    <row r="3951" spans="7:12" x14ac:dyDescent="0.25">
      <c r="G3951" s="136">
        <v>43465</v>
      </c>
      <c r="H3951" t="s">
        <v>28</v>
      </c>
      <c r="I3951" t="s">
        <v>236</v>
      </c>
      <c r="J3951" t="s">
        <v>447</v>
      </c>
      <c r="L3951" s="137">
        <v>95.41</v>
      </c>
    </row>
    <row r="3952" spans="7:12" x14ac:dyDescent="0.25">
      <c r="G3952" s="136">
        <v>43465</v>
      </c>
      <c r="H3952" t="s">
        <v>28</v>
      </c>
      <c r="I3952" t="s">
        <v>236</v>
      </c>
      <c r="J3952" t="s">
        <v>447</v>
      </c>
      <c r="L3952" s="137">
        <v>89.6</v>
      </c>
    </row>
    <row r="3953" spans="7:12" x14ac:dyDescent="0.25">
      <c r="G3953" s="136">
        <v>43465</v>
      </c>
      <c r="H3953" t="s">
        <v>28</v>
      </c>
      <c r="I3953" t="s">
        <v>236</v>
      </c>
      <c r="J3953" t="s">
        <v>447</v>
      </c>
      <c r="L3953" s="137">
        <v>87.59</v>
      </c>
    </row>
    <row r="3954" spans="7:12" x14ac:dyDescent="0.25">
      <c r="G3954" s="136">
        <v>43465</v>
      </c>
      <c r="H3954" t="s">
        <v>28</v>
      </c>
      <c r="I3954" t="s">
        <v>236</v>
      </c>
      <c r="J3954" t="s">
        <v>447</v>
      </c>
      <c r="L3954" s="137">
        <v>87.57</v>
      </c>
    </row>
    <row r="3955" spans="7:12" x14ac:dyDescent="0.25">
      <c r="G3955" s="136">
        <v>43465</v>
      </c>
      <c r="H3955" t="s">
        <v>28</v>
      </c>
      <c r="I3955" t="s">
        <v>236</v>
      </c>
      <c r="J3955" t="s">
        <v>447</v>
      </c>
      <c r="L3955" s="137">
        <v>84.25</v>
      </c>
    </row>
    <row r="3956" spans="7:12" x14ac:dyDescent="0.25">
      <c r="G3956" s="136">
        <v>43465</v>
      </c>
      <c r="H3956" t="s">
        <v>28</v>
      </c>
      <c r="I3956" t="s">
        <v>236</v>
      </c>
      <c r="J3956" t="s">
        <v>447</v>
      </c>
      <c r="L3956" s="137">
        <v>81.260000000000005</v>
      </c>
    </row>
    <row r="3957" spans="7:12" x14ac:dyDescent="0.25">
      <c r="G3957" s="136">
        <v>43465</v>
      </c>
      <c r="H3957" t="s">
        <v>28</v>
      </c>
      <c r="I3957" t="s">
        <v>236</v>
      </c>
      <c r="J3957" t="s">
        <v>447</v>
      </c>
      <c r="L3957" s="137">
        <v>80.87</v>
      </c>
    </row>
    <row r="3958" spans="7:12" x14ac:dyDescent="0.25">
      <c r="G3958" s="136">
        <v>43465</v>
      </c>
      <c r="H3958" t="s">
        <v>28</v>
      </c>
      <c r="I3958" t="s">
        <v>236</v>
      </c>
      <c r="J3958" t="s">
        <v>447</v>
      </c>
      <c r="L3958" s="137">
        <v>78.78</v>
      </c>
    </row>
    <row r="3959" spans="7:12" x14ac:dyDescent="0.25">
      <c r="G3959" s="136">
        <v>43465</v>
      </c>
      <c r="H3959" t="s">
        <v>28</v>
      </c>
      <c r="I3959" t="s">
        <v>236</v>
      </c>
      <c r="J3959" t="s">
        <v>447</v>
      </c>
      <c r="L3959" s="137">
        <v>78.5</v>
      </c>
    </row>
    <row r="3960" spans="7:12" x14ac:dyDescent="0.25">
      <c r="G3960" s="136">
        <v>43465</v>
      </c>
      <c r="H3960" t="s">
        <v>28</v>
      </c>
      <c r="I3960" t="s">
        <v>236</v>
      </c>
      <c r="J3960" t="s">
        <v>447</v>
      </c>
      <c r="L3960" s="137">
        <v>74.75</v>
      </c>
    </row>
    <row r="3961" spans="7:12" x14ac:dyDescent="0.25">
      <c r="G3961" s="136">
        <v>43465</v>
      </c>
      <c r="H3961" t="s">
        <v>28</v>
      </c>
      <c r="I3961" t="s">
        <v>236</v>
      </c>
      <c r="J3961" t="s">
        <v>447</v>
      </c>
      <c r="L3961" s="137">
        <v>74.2</v>
      </c>
    </row>
    <row r="3962" spans="7:12" x14ac:dyDescent="0.25">
      <c r="G3962" s="136">
        <v>43465</v>
      </c>
      <c r="H3962" t="s">
        <v>28</v>
      </c>
      <c r="I3962" t="s">
        <v>236</v>
      </c>
      <c r="J3962" t="s">
        <v>447</v>
      </c>
      <c r="L3962" s="137">
        <v>74</v>
      </c>
    </row>
    <row r="3963" spans="7:12" x14ac:dyDescent="0.25">
      <c r="G3963" s="136">
        <v>43465</v>
      </c>
      <c r="H3963" t="s">
        <v>28</v>
      </c>
      <c r="I3963" t="s">
        <v>236</v>
      </c>
      <c r="J3963" t="s">
        <v>447</v>
      </c>
      <c r="L3963" s="137">
        <v>73.45</v>
      </c>
    </row>
    <row r="3964" spans="7:12" x14ac:dyDescent="0.25">
      <c r="G3964" s="136">
        <v>43465</v>
      </c>
      <c r="H3964" t="s">
        <v>28</v>
      </c>
      <c r="I3964" t="s">
        <v>236</v>
      </c>
      <c r="J3964" t="s">
        <v>447</v>
      </c>
      <c r="L3964" s="137">
        <v>73.349999999999994</v>
      </c>
    </row>
    <row r="3965" spans="7:12" x14ac:dyDescent="0.25">
      <c r="G3965" s="136">
        <v>43465</v>
      </c>
      <c r="H3965" t="s">
        <v>28</v>
      </c>
      <c r="I3965" t="s">
        <v>236</v>
      </c>
      <c r="J3965" t="s">
        <v>447</v>
      </c>
      <c r="L3965" s="137">
        <v>72.95</v>
      </c>
    </row>
    <row r="3966" spans="7:12" x14ac:dyDescent="0.25">
      <c r="G3966" s="136">
        <v>43465</v>
      </c>
      <c r="H3966" t="s">
        <v>28</v>
      </c>
      <c r="I3966" t="s">
        <v>236</v>
      </c>
      <c r="J3966" t="s">
        <v>447</v>
      </c>
      <c r="L3966" s="137">
        <v>72.5</v>
      </c>
    </row>
    <row r="3967" spans="7:12" x14ac:dyDescent="0.25">
      <c r="G3967" s="136">
        <v>43465</v>
      </c>
      <c r="H3967" t="s">
        <v>28</v>
      </c>
      <c r="I3967" t="s">
        <v>236</v>
      </c>
      <c r="J3967" t="s">
        <v>447</v>
      </c>
      <c r="L3967" s="137">
        <v>72.040000000000006</v>
      </c>
    </row>
    <row r="3968" spans="7:12" x14ac:dyDescent="0.25">
      <c r="G3968" s="136">
        <v>43465</v>
      </c>
      <c r="H3968" t="s">
        <v>28</v>
      </c>
      <c r="I3968" t="s">
        <v>236</v>
      </c>
      <c r="J3968" t="s">
        <v>447</v>
      </c>
      <c r="L3968" s="137">
        <v>71.959999999999994</v>
      </c>
    </row>
    <row r="3969" spans="7:12" x14ac:dyDescent="0.25">
      <c r="G3969" s="136">
        <v>43465</v>
      </c>
      <c r="H3969" t="s">
        <v>28</v>
      </c>
      <c r="I3969" t="s">
        <v>236</v>
      </c>
      <c r="J3969" t="s">
        <v>447</v>
      </c>
      <c r="L3969" s="137">
        <v>71.75</v>
      </c>
    </row>
    <row r="3970" spans="7:12" x14ac:dyDescent="0.25">
      <c r="G3970" s="136">
        <v>43465</v>
      </c>
      <c r="H3970" t="s">
        <v>28</v>
      </c>
      <c r="I3970" t="s">
        <v>236</v>
      </c>
      <c r="J3970" t="s">
        <v>447</v>
      </c>
      <c r="L3970" s="137">
        <v>71.25</v>
      </c>
    </row>
    <row r="3971" spans="7:12" x14ac:dyDescent="0.25">
      <c r="G3971" s="136">
        <v>43465</v>
      </c>
      <c r="H3971" t="s">
        <v>28</v>
      </c>
      <c r="I3971" t="s">
        <v>236</v>
      </c>
      <c r="J3971" t="s">
        <v>447</v>
      </c>
      <c r="L3971" s="137">
        <v>70.819999999999993</v>
      </c>
    </row>
    <row r="3972" spans="7:12" x14ac:dyDescent="0.25">
      <c r="G3972" s="136">
        <v>43465</v>
      </c>
      <c r="H3972" t="s">
        <v>28</v>
      </c>
      <c r="I3972" t="s">
        <v>236</v>
      </c>
      <c r="J3972" t="s">
        <v>447</v>
      </c>
      <c r="L3972" s="137">
        <v>68.88</v>
      </c>
    </row>
    <row r="3973" spans="7:12" x14ac:dyDescent="0.25">
      <c r="G3973" s="136">
        <v>43465</v>
      </c>
      <c r="H3973" t="s">
        <v>28</v>
      </c>
      <c r="I3973" t="s">
        <v>236</v>
      </c>
      <c r="J3973" t="s">
        <v>447</v>
      </c>
      <c r="L3973" s="137">
        <v>67</v>
      </c>
    </row>
    <row r="3974" spans="7:12" x14ac:dyDescent="0.25">
      <c r="G3974" s="136">
        <v>43465</v>
      </c>
      <c r="H3974" t="s">
        <v>28</v>
      </c>
      <c r="I3974" t="s">
        <v>236</v>
      </c>
      <c r="J3974" t="s">
        <v>447</v>
      </c>
      <c r="L3974" s="137">
        <v>66.92</v>
      </c>
    </row>
    <row r="3975" spans="7:12" x14ac:dyDescent="0.25">
      <c r="G3975" s="136">
        <v>43465</v>
      </c>
      <c r="H3975" t="s">
        <v>28</v>
      </c>
      <c r="I3975" t="s">
        <v>236</v>
      </c>
      <c r="J3975" t="s">
        <v>447</v>
      </c>
      <c r="L3975" s="137">
        <v>66.27</v>
      </c>
    </row>
    <row r="3976" spans="7:12" x14ac:dyDescent="0.25">
      <c r="G3976" s="136">
        <v>43465</v>
      </c>
      <c r="H3976" t="s">
        <v>28</v>
      </c>
      <c r="I3976" t="s">
        <v>236</v>
      </c>
      <c r="J3976" t="s">
        <v>447</v>
      </c>
      <c r="L3976" s="137">
        <v>64.92</v>
      </c>
    </row>
    <row r="3977" spans="7:12" x14ac:dyDescent="0.25">
      <c r="G3977" s="136">
        <v>43465</v>
      </c>
      <c r="H3977" t="s">
        <v>28</v>
      </c>
      <c r="I3977" t="s">
        <v>236</v>
      </c>
      <c r="J3977" t="s">
        <v>447</v>
      </c>
      <c r="L3977" s="137">
        <v>63.97</v>
      </c>
    </row>
    <row r="3978" spans="7:12" x14ac:dyDescent="0.25">
      <c r="G3978" s="136">
        <v>43465</v>
      </c>
      <c r="H3978" t="s">
        <v>28</v>
      </c>
      <c r="I3978" t="s">
        <v>236</v>
      </c>
      <c r="J3978" t="s">
        <v>447</v>
      </c>
      <c r="L3978" s="137">
        <v>63.19</v>
      </c>
    </row>
    <row r="3979" spans="7:12" x14ac:dyDescent="0.25">
      <c r="G3979" s="136">
        <v>43465</v>
      </c>
      <c r="H3979" t="s">
        <v>28</v>
      </c>
      <c r="I3979" t="s">
        <v>236</v>
      </c>
      <c r="J3979" t="s">
        <v>447</v>
      </c>
      <c r="L3979" s="137">
        <v>62.7</v>
      </c>
    </row>
    <row r="3980" spans="7:12" x14ac:dyDescent="0.25">
      <c r="G3980" s="136">
        <v>43465</v>
      </c>
      <c r="H3980" t="s">
        <v>28</v>
      </c>
      <c r="I3980" t="s">
        <v>236</v>
      </c>
      <c r="J3980" t="s">
        <v>447</v>
      </c>
      <c r="L3980" s="137">
        <v>61.9</v>
      </c>
    </row>
    <row r="3981" spans="7:12" x14ac:dyDescent="0.25">
      <c r="G3981" s="136">
        <v>43465</v>
      </c>
      <c r="H3981" t="s">
        <v>28</v>
      </c>
      <c r="I3981" t="s">
        <v>236</v>
      </c>
      <c r="J3981" t="s">
        <v>447</v>
      </c>
      <c r="L3981" s="137">
        <v>61.05</v>
      </c>
    </row>
    <row r="3982" spans="7:12" x14ac:dyDescent="0.25">
      <c r="G3982" s="136">
        <v>43465</v>
      </c>
      <c r="H3982" t="s">
        <v>28</v>
      </c>
      <c r="I3982" t="s">
        <v>236</v>
      </c>
      <c r="J3982" t="s">
        <v>447</v>
      </c>
      <c r="L3982" s="137">
        <v>60.95</v>
      </c>
    </row>
    <row r="3983" spans="7:12" x14ac:dyDescent="0.25">
      <c r="G3983" s="136">
        <v>43465</v>
      </c>
      <c r="H3983" t="s">
        <v>28</v>
      </c>
      <c r="I3983" t="s">
        <v>236</v>
      </c>
      <c r="J3983" t="s">
        <v>447</v>
      </c>
      <c r="L3983" s="137">
        <v>60.47</v>
      </c>
    </row>
    <row r="3984" spans="7:12" x14ac:dyDescent="0.25">
      <c r="G3984" s="136">
        <v>43465</v>
      </c>
      <c r="H3984" t="s">
        <v>28</v>
      </c>
      <c r="I3984" t="s">
        <v>236</v>
      </c>
      <c r="J3984" t="s">
        <v>447</v>
      </c>
      <c r="L3984" s="137">
        <v>60</v>
      </c>
    </row>
    <row r="3985" spans="7:12" x14ac:dyDescent="0.25">
      <c r="G3985" s="136">
        <v>43465</v>
      </c>
      <c r="H3985" t="s">
        <v>28</v>
      </c>
      <c r="I3985" t="s">
        <v>236</v>
      </c>
      <c r="J3985" t="s">
        <v>447</v>
      </c>
      <c r="L3985" s="137">
        <v>59.7</v>
      </c>
    </row>
    <row r="3986" spans="7:12" x14ac:dyDescent="0.25">
      <c r="G3986" s="136">
        <v>43465</v>
      </c>
      <c r="H3986" t="s">
        <v>28</v>
      </c>
      <c r="I3986" t="s">
        <v>236</v>
      </c>
      <c r="J3986" t="s">
        <v>447</v>
      </c>
      <c r="L3986" s="137">
        <v>58.15</v>
      </c>
    </row>
    <row r="3987" spans="7:12" x14ac:dyDescent="0.25">
      <c r="G3987" s="136">
        <v>43465</v>
      </c>
      <c r="H3987" t="s">
        <v>28</v>
      </c>
      <c r="I3987" t="s">
        <v>236</v>
      </c>
      <c r="J3987" t="s">
        <v>447</v>
      </c>
      <c r="L3987" s="137">
        <v>55.74</v>
      </c>
    </row>
    <row r="3988" spans="7:12" x14ac:dyDescent="0.25">
      <c r="G3988" s="136">
        <v>43465</v>
      </c>
      <c r="H3988" t="s">
        <v>28</v>
      </c>
      <c r="I3988" t="s">
        <v>236</v>
      </c>
      <c r="J3988" t="s">
        <v>447</v>
      </c>
      <c r="L3988" s="137">
        <v>55.19</v>
      </c>
    </row>
    <row r="3989" spans="7:12" x14ac:dyDescent="0.25">
      <c r="G3989" s="136">
        <v>43465</v>
      </c>
      <c r="H3989" t="s">
        <v>28</v>
      </c>
      <c r="I3989" t="s">
        <v>236</v>
      </c>
      <c r="J3989" t="s">
        <v>447</v>
      </c>
      <c r="L3989" s="137">
        <v>55.15</v>
      </c>
    </row>
    <row r="3990" spans="7:12" x14ac:dyDescent="0.25">
      <c r="G3990" s="136">
        <v>43465</v>
      </c>
      <c r="H3990" t="s">
        <v>28</v>
      </c>
      <c r="I3990" t="s">
        <v>236</v>
      </c>
      <c r="J3990" t="s">
        <v>447</v>
      </c>
      <c r="L3990" s="137">
        <v>53.39</v>
      </c>
    </row>
    <row r="3991" spans="7:12" x14ac:dyDescent="0.25">
      <c r="G3991" s="136">
        <v>43465</v>
      </c>
      <c r="H3991" t="s">
        <v>28</v>
      </c>
      <c r="I3991" t="s">
        <v>236</v>
      </c>
      <c r="J3991" t="s">
        <v>447</v>
      </c>
      <c r="L3991" s="137">
        <v>52.41</v>
      </c>
    </row>
    <row r="3992" spans="7:12" x14ac:dyDescent="0.25">
      <c r="G3992" s="136">
        <v>43465</v>
      </c>
      <c r="H3992" t="s">
        <v>28</v>
      </c>
      <c r="I3992" t="s">
        <v>236</v>
      </c>
      <c r="J3992" t="s">
        <v>447</v>
      </c>
      <c r="L3992" s="137">
        <v>51.45</v>
      </c>
    </row>
    <row r="3993" spans="7:12" x14ac:dyDescent="0.25">
      <c r="G3993" s="136">
        <v>43465</v>
      </c>
      <c r="H3993" t="s">
        <v>28</v>
      </c>
      <c r="I3993" t="s">
        <v>236</v>
      </c>
      <c r="J3993" t="s">
        <v>447</v>
      </c>
      <c r="L3993" s="137">
        <v>50.9</v>
      </c>
    </row>
    <row r="3994" spans="7:12" x14ac:dyDescent="0.25">
      <c r="G3994" s="136">
        <v>43465</v>
      </c>
      <c r="H3994" t="s">
        <v>28</v>
      </c>
      <c r="I3994" t="s">
        <v>236</v>
      </c>
      <c r="J3994" t="s">
        <v>447</v>
      </c>
      <c r="L3994" s="137">
        <v>50</v>
      </c>
    </row>
    <row r="3995" spans="7:12" x14ac:dyDescent="0.25">
      <c r="G3995" s="136">
        <v>43465</v>
      </c>
      <c r="H3995" t="s">
        <v>28</v>
      </c>
      <c r="I3995" t="s">
        <v>236</v>
      </c>
      <c r="J3995" t="s">
        <v>447</v>
      </c>
      <c r="L3995" s="137">
        <v>49.98</v>
      </c>
    </row>
    <row r="3996" spans="7:12" x14ac:dyDescent="0.25">
      <c r="G3996" s="136">
        <v>43465</v>
      </c>
      <c r="H3996" t="s">
        <v>28</v>
      </c>
      <c r="I3996" t="s">
        <v>236</v>
      </c>
      <c r="J3996" t="s">
        <v>447</v>
      </c>
      <c r="L3996" s="137">
        <v>49.82</v>
      </c>
    </row>
    <row r="3997" spans="7:12" x14ac:dyDescent="0.25">
      <c r="G3997" s="136">
        <v>43465</v>
      </c>
      <c r="H3997" t="s">
        <v>28</v>
      </c>
      <c r="I3997" t="s">
        <v>236</v>
      </c>
      <c r="J3997" t="s">
        <v>447</v>
      </c>
      <c r="L3997" s="137">
        <v>48.48</v>
      </c>
    </row>
    <row r="3998" spans="7:12" x14ac:dyDescent="0.25">
      <c r="G3998" s="136">
        <v>43465</v>
      </c>
      <c r="H3998" t="s">
        <v>28</v>
      </c>
      <c r="I3998" t="s">
        <v>236</v>
      </c>
      <c r="J3998" t="s">
        <v>447</v>
      </c>
      <c r="L3998" s="137">
        <v>48</v>
      </c>
    </row>
    <row r="3999" spans="7:12" x14ac:dyDescent="0.25">
      <c r="G3999" s="136">
        <v>43465</v>
      </c>
      <c r="H3999" t="s">
        <v>28</v>
      </c>
      <c r="I3999" t="s">
        <v>236</v>
      </c>
      <c r="J3999" t="s">
        <v>447</v>
      </c>
      <c r="L3999" s="137">
        <v>47</v>
      </c>
    </row>
    <row r="4000" spans="7:12" x14ac:dyDescent="0.25">
      <c r="G4000" s="136">
        <v>43465</v>
      </c>
      <c r="H4000" t="s">
        <v>28</v>
      </c>
      <c r="I4000" t="s">
        <v>236</v>
      </c>
      <c r="J4000" t="s">
        <v>447</v>
      </c>
      <c r="L4000" s="137">
        <v>46.98</v>
      </c>
    </row>
    <row r="4001" spans="7:12" x14ac:dyDescent="0.25">
      <c r="G4001" s="136">
        <v>43465</v>
      </c>
      <c r="H4001" t="s">
        <v>28</v>
      </c>
      <c r="I4001" t="s">
        <v>236</v>
      </c>
      <c r="J4001" t="s">
        <v>447</v>
      </c>
      <c r="L4001" s="137">
        <v>46.55</v>
      </c>
    </row>
    <row r="4002" spans="7:12" x14ac:dyDescent="0.25">
      <c r="G4002" s="136">
        <v>43465</v>
      </c>
      <c r="H4002" t="s">
        <v>28</v>
      </c>
      <c r="I4002" t="s">
        <v>236</v>
      </c>
      <c r="J4002" t="s">
        <v>447</v>
      </c>
      <c r="L4002" s="137">
        <v>45.97</v>
      </c>
    </row>
    <row r="4003" spans="7:12" x14ac:dyDescent="0.25">
      <c r="G4003" s="136">
        <v>43465</v>
      </c>
      <c r="H4003" t="s">
        <v>28</v>
      </c>
      <c r="I4003" t="s">
        <v>236</v>
      </c>
      <c r="J4003" t="s">
        <v>447</v>
      </c>
      <c r="L4003" s="137">
        <v>45.43</v>
      </c>
    </row>
    <row r="4004" spans="7:12" x14ac:dyDescent="0.25">
      <c r="G4004" s="136">
        <v>43465</v>
      </c>
      <c r="H4004" t="s">
        <v>28</v>
      </c>
      <c r="I4004" t="s">
        <v>236</v>
      </c>
      <c r="J4004" t="s">
        <v>447</v>
      </c>
      <c r="L4004" s="137">
        <v>43.65</v>
      </c>
    </row>
    <row r="4005" spans="7:12" x14ac:dyDescent="0.25">
      <c r="G4005" s="136">
        <v>43465</v>
      </c>
      <c r="H4005" t="s">
        <v>28</v>
      </c>
      <c r="I4005" t="s">
        <v>236</v>
      </c>
      <c r="J4005" t="s">
        <v>447</v>
      </c>
      <c r="L4005" s="137">
        <v>43.34</v>
      </c>
    </row>
    <row r="4006" spans="7:12" x14ac:dyDescent="0.25">
      <c r="G4006" s="136">
        <v>43465</v>
      </c>
      <c r="H4006" t="s">
        <v>28</v>
      </c>
      <c r="I4006" t="s">
        <v>236</v>
      </c>
      <c r="J4006" t="s">
        <v>447</v>
      </c>
      <c r="L4006" s="137">
        <v>43.32</v>
      </c>
    </row>
    <row r="4007" spans="7:12" x14ac:dyDescent="0.25">
      <c r="G4007" s="136">
        <v>43465</v>
      </c>
      <c r="H4007" t="s">
        <v>28</v>
      </c>
      <c r="I4007" t="s">
        <v>236</v>
      </c>
      <c r="J4007" t="s">
        <v>447</v>
      </c>
      <c r="L4007" s="137">
        <v>43.29</v>
      </c>
    </row>
    <row r="4008" spans="7:12" x14ac:dyDescent="0.25">
      <c r="G4008" s="136">
        <v>43465</v>
      </c>
      <c r="H4008" t="s">
        <v>28</v>
      </c>
      <c r="I4008" t="s">
        <v>236</v>
      </c>
      <c r="J4008" t="s">
        <v>447</v>
      </c>
      <c r="L4008" s="137">
        <v>42.85</v>
      </c>
    </row>
    <row r="4009" spans="7:12" x14ac:dyDescent="0.25">
      <c r="G4009" s="136">
        <v>43465</v>
      </c>
      <c r="H4009" t="s">
        <v>28</v>
      </c>
      <c r="I4009" t="s">
        <v>236</v>
      </c>
      <c r="J4009" t="s">
        <v>447</v>
      </c>
      <c r="L4009" s="137">
        <v>41.95</v>
      </c>
    </row>
    <row r="4010" spans="7:12" x14ac:dyDescent="0.25">
      <c r="G4010" s="136">
        <v>43465</v>
      </c>
      <c r="H4010" t="s">
        <v>28</v>
      </c>
      <c r="I4010" t="s">
        <v>236</v>
      </c>
      <c r="J4010" t="s">
        <v>447</v>
      </c>
      <c r="L4010" s="137">
        <v>41.49</v>
      </c>
    </row>
    <row r="4011" spans="7:12" x14ac:dyDescent="0.25">
      <c r="G4011" s="136">
        <v>43465</v>
      </c>
      <c r="H4011" t="s">
        <v>28</v>
      </c>
      <c r="I4011" t="s">
        <v>236</v>
      </c>
      <c r="J4011" t="s">
        <v>447</v>
      </c>
      <c r="L4011" s="137">
        <v>40</v>
      </c>
    </row>
    <row r="4012" spans="7:12" x14ac:dyDescent="0.25">
      <c r="G4012" s="136">
        <v>43465</v>
      </c>
      <c r="H4012" t="s">
        <v>28</v>
      </c>
      <c r="I4012" t="s">
        <v>236</v>
      </c>
      <c r="J4012" t="s">
        <v>447</v>
      </c>
      <c r="L4012" s="137">
        <v>39.979999999999997</v>
      </c>
    </row>
    <row r="4013" spans="7:12" x14ac:dyDescent="0.25">
      <c r="G4013" s="136">
        <v>43465</v>
      </c>
      <c r="H4013" t="s">
        <v>28</v>
      </c>
      <c r="I4013" t="s">
        <v>236</v>
      </c>
      <c r="J4013" t="s">
        <v>447</v>
      </c>
      <c r="L4013" s="137">
        <v>38.97</v>
      </c>
    </row>
    <row r="4014" spans="7:12" x14ac:dyDescent="0.25">
      <c r="G4014" s="136">
        <v>43465</v>
      </c>
      <c r="H4014" t="s">
        <v>28</v>
      </c>
      <c r="I4014" t="s">
        <v>236</v>
      </c>
      <c r="J4014" t="s">
        <v>447</v>
      </c>
      <c r="L4014" s="137">
        <v>37.47</v>
      </c>
    </row>
    <row r="4015" spans="7:12" x14ac:dyDescent="0.25">
      <c r="G4015" s="136">
        <v>43465</v>
      </c>
      <c r="H4015" t="s">
        <v>28</v>
      </c>
      <c r="I4015" t="s">
        <v>236</v>
      </c>
      <c r="J4015" t="s">
        <v>447</v>
      </c>
      <c r="L4015" s="137">
        <v>35.96</v>
      </c>
    </row>
    <row r="4016" spans="7:12" x14ac:dyDescent="0.25">
      <c r="G4016" s="136">
        <v>43465</v>
      </c>
      <c r="H4016" t="s">
        <v>28</v>
      </c>
      <c r="I4016" t="s">
        <v>236</v>
      </c>
      <c r="J4016" t="s">
        <v>447</v>
      </c>
      <c r="L4016" s="137">
        <v>34.68</v>
      </c>
    </row>
    <row r="4017" spans="7:12" x14ac:dyDescent="0.25">
      <c r="G4017" s="136">
        <v>43465</v>
      </c>
      <c r="H4017" t="s">
        <v>28</v>
      </c>
      <c r="I4017" t="s">
        <v>236</v>
      </c>
      <c r="J4017" t="s">
        <v>447</v>
      </c>
      <c r="L4017" s="137">
        <v>34.64</v>
      </c>
    </row>
    <row r="4018" spans="7:12" x14ac:dyDescent="0.25">
      <c r="G4018" s="136">
        <v>43465</v>
      </c>
      <c r="H4018" t="s">
        <v>28</v>
      </c>
      <c r="I4018" t="s">
        <v>236</v>
      </c>
      <c r="J4018" t="s">
        <v>447</v>
      </c>
      <c r="L4018" s="137">
        <v>34.42</v>
      </c>
    </row>
    <row r="4019" spans="7:12" x14ac:dyDescent="0.25">
      <c r="G4019" s="136">
        <v>43465</v>
      </c>
      <c r="H4019" t="s">
        <v>28</v>
      </c>
      <c r="I4019" t="s">
        <v>236</v>
      </c>
      <c r="J4019" t="s">
        <v>447</v>
      </c>
      <c r="L4019" s="137">
        <v>33.1</v>
      </c>
    </row>
    <row r="4020" spans="7:12" x14ac:dyDescent="0.25">
      <c r="G4020" s="136">
        <v>43465</v>
      </c>
      <c r="H4020" t="s">
        <v>28</v>
      </c>
      <c r="I4020" t="s">
        <v>236</v>
      </c>
      <c r="J4020" t="s">
        <v>447</v>
      </c>
      <c r="L4020" s="137">
        <v>31.98</v>
      </c>
    </row>
    <row r="4021" spans="7:12" x14ac:dyDescent="0.25">
      <c r="G4021" s="136">
        <v>43465</v>
      </c>
      <c r="H4021" t="s">
        <v>28</v>
      </c>
      <c r="I4021" t="s">
        <v>236</v>
      </c>
      <c r="J4021" t="s">
        <v>447</v>
      </c>
      <c r="L4021" s="137">
        <v>30.75</v>
      </c>
    </row>
    <row r="4022" spans="7:12" x14ac:dyDescent="0.25">
      <c r="G4022" s="136">
        <v>43465</v>
      </c>
      <c r="H4022" t="s">
        <v>28</v>
      </c>
      <c r="I4022" t="s">
        <v>236</v>
      </c>
      <c r="J4022" t="s">
        <v>447</v>
      </c>
      <c r="L4022" s="137">
        <v>30</v>
      </c>
    </row>
    <row r="4023" spans="7:12" x14ac:dyDescent="0.25">
      <c r="G4023" s="136">
        <v>43465</v>
      </c>
      <c r="H4023" t="s">
        <v>28</v>
      </c>
      <c r="I4023" t="s">
        <v>236</v>
      </c>
      <c r="J4023" t="s">
        <v>447</v>
      </c>
      <c r="L4023" s="137">
        <v>29.7</v>
      </c>
    </row>
    <row r="4024" spans="7:12" x14ac:dyDescent="0.25">
      <c r="G4024" s="136">
        <v>43465</v>
      </c>
      <c r="H4024" t="s">
        <v>28</v>
      </c>
      <c r="I4024" t="s">
        <v>236</v>
      </c>
      <c r="J4024" t="s">
        <v>447</v>
      </c>
      <c r="L4024" s="137">
        <v>29.37</v>
      </c>
    </row>
    <row r="4025" spans="7:12" x14ac:dyDescent="0.25">
      <c r="G4025" s="136">
        <v>43465</v>
      </c>
      <c r="H4025" t="s">
        <v>28</v>
      </c>
      <c r="I4025" t="s">
        <v>236</v>
      </c>
      <c r="J4025" t="s">
        <v>447</v>
      </c>
      <c r="L4025" s="137">
        <v>29.35</v>
      </c>
    </row>
    <row r="4026" spans="7:12" x14ac:dyDescent="0.25">
      <c r="G4026" s="136">
        <v>43465</v>
      </c>
      <c r="H4026" t="s">
        <v>28</v>
      </c>
      <c r="I4026" t="s">
        <v>236</v>
      </c>
      <c r="J4026" t="s">
        <v>447</v>
      </c>
      <c r="L4026" s="137">
        <v>29.26</v>
      </c>
    </row>
    <row r="4027" spans="7:12" x14ac:dyDescent="0.25">
      <c r="G4027" s="136">
        <v>43465</v>
      </c>
      <c r="H4027" t="s">
        <v>28</v>
      </c>
      <c r="I4027" t="s">
        <v>236</v>
      </c>
      <c r="J4027" t="s">
        <v>447</v>
      </c>
      <c r="L4027" s="137">
        <v>28.5</v>
      </c>
    </row>
    <row r="4028" spans="7:12" x14ac:dyDescent="0.25">
      <c r="G4028" s="136">
        <v>43465</v>
      </c>
      <c r="H4028" t="s">
        <v>28</v>
      </c>
      <c r="I4028" t="s">
        <v>236</v>
      </c>
      <c r="J4028" t="s">
        <v>447</v>
      </c>
      <c r="L4028" s="137">
        <v>28.35</v>
      </c>
    </row>
    <row r="4029" spans="7:12" x14ac:dyDescent="0.25">
      <c r="G4029" s="136">
        <v>43465</v>
      </c>
      <c r="H4029" t="s">
        <v>28</v>
      </c>
      <c r="I4029" t="s">
        <v>236</v>
      </c>
      <c r="J4029" t="s">
        <v>447</v>
      </c>
      <c r="L4029" s="137">
        <v>27.98</v>
      </c>
    </row>
    <row r="4030" spans="7:12" x14ac:dyDescent="0.25">
      <c r="G4030" s="136">
        <v>43465</v>
      </c>
      <c r="H4030" t="s">
        <v>28</v>
      </c>
      <c r="I4030" t="s">
        <v>236</v>
      </c>
      <c r="J4030" t="s">
        <v>447</v>
      </c>
      <c r="L4030" s="137">
        <v>27.46</v>
      </c>
    </row>
    <row r="4031" spans="7:12" x14ac:dyDescent="0.25">
      <c r="G4031" s="136">
        <v>43465</v>
      </c>
      <c r="H4031" t="s">
        <v>28</v>
      </c>
      <c r="I4031" t="s">
        <v>236</v>
      </c>
      <c r="J4031" t="s">
        <v>447</v>
      </c>
      <c r="L4031" s="137">
        <v>26.94</v>
      </c>
    </row>
    <row r="4032" spans="7:12" x14ac:dyDescent="0.25">
      <c r="G4032" s="136">
        <v>43465</v>
      </c>
      <c r="H4032" t="s">
        <v>28</v>
      </c>
      <c r="I4032" t="s">
        <v>236</v>
      </c>
      <c r="J4032" t="s">
        <v>447</v>
      </c>
      <c r="L4032" s="137">
        <v>25.99</v>
      </c>
    </row>
    <row r="4033" spans="7:12" x14ac:dyDescent="0.25">
      <c r="G4033" s="136">
        <v>43465</v>
      </c>
      <c r="H4033" t="s">
        <v>28</v>
      </c>
      <c r="I4033" t="s">
        <v>236</v>
      </c>
      <c r="J4033" t="s">
        <v>447</v>
      </c>
      <c r="L4033" s="137">
        <v>25.94</v>
      </c>
    </row>
    <row r="4034" spans="7:12" x14ac:dyDescent="0.25">
      <c r="G4034" s="136">
        <v>43465</v>
      </c>
      <c r="H4034" t="s">
        <v>28</v>
      </c>
      <c r="I4034" t="s">
        <v>236</v>
      </c>
      <c r="J4034" t="s">
        <v>447</v>
      </c>
      <c r="L4034" s="137">
        <v>25</v>
      </c>
    </row>
    <row r="4035" spans="7:12" x14ac:dyDescent="0.25">
      <c r="G4035" s="136">
        <v>43465</v>
      </c>
      <c r="H4035" t="s">
        <v>28</v>
      </c>
      <c r="I4035" t="s">
        <v>236</v>
      </c>
      <c r="J4035" t="s">
        <v>447</v>
      </c>
      <c r="L4035" s="137">
        <v>24.62</v>
      </c>
    </row>
    <row r="4036" spans="7:12" x14ac:dyDescent="0.25">
      <c r="G4036" s="136">
        <v>43465</v>
      </c>
      <c r="H4036" t="s">
        <v>28</v>
      </c>
      <c r="I4036" t="s">
        <v>236</v>
      </c>
      <c r="J4036" t="s">
        <v>447</v>
      </c>
      <c r="L4036" s="137">
        <v>24.1</v>
      </c>
    </row>
    <row r="4037" spans="7:12" x14ac:dyDescent="0.25">
      <c r="G4037" s="136">
        <v>43465</v>
      </c>
      <c r="H4037" t="s">
        <v>28</v>
      </c>
      <c r="I4037" t="s">
        <v>236</v>
      </c>
      <c r="J4037" t="s">
        <v>447</v>
      </c>
      <c r="L4037" s="137">
        <v>22.22</v>
      </c>
    </row>
    <row r="4038" spans="7:12" x14ac:dyDescent="0.25">
      <c r="G4038" s="136">
        <v>43465</v>
      </c>
      <c r="H4038" t="s">
        <v>28</v>
      </c>
      <c r="I4038" t="s">
        <v>236</v>
      </c>
      <c r="J4038" t="s">
        <v>447</v>
      </c>
      <c r="L4038" s="137">
        <v>21.21</v>
      </c>
    </row>
    <row r="4039" spans="7:12" x14ac:dyDescent="0.25">
      <c r="G4039" s="136">
        <v>43465</v>
      </c>
      <c r="H4039" t="s">
        <v>28</v>
      </c>
      <c r="I4039" t="s">
        <v>236</v>
      </c>
      <c r="J4039" t="s">
        <v>447</v>
      </c>
      <c r="L4039" s="137">
        <v>20.45</v>
      </c>
    </row>
    <row r="4040" spans="7:12" x14ac:dyDescent="0.25">
      <c r="G4040" s="136">
        <v>43465</v>
      </c>
      <c r="H4040" t="s">
        <v>28</v>
      </c>
      <c r="I4040" t="s">
        <v>236</v>
      </c>
      <c r="J4040" t="s">
        <v>447</v>
      </c>
      <c r="L4040" s="137">
        <v>20</v>
      </c>
    </row>
    <row r="4041" spans="7:12" x14ac:dyDescent="0.25">
      <c r="G4041" s="136">
        <v>43465</v>
      </c>
      <c r="H4041" t="s">
        <v>28</v>
      </c>
      <c r="I4041" t="s">
        <v>236</v>
      </c>
      <c r="J4041" t="s">
        <v>447</v>
      </c>
      <c r="L4041" s="137">
        <v>16.149999999999999</v>
      </c>
    </row>
    <row r="4042" spans="7:12" x14ac:dyDescent="0.25">
      <c r="G4042" s="136">
        <v>43465</v>
      </c>
      <c r="H4042" t="s">
        <v>28</v>
      </c>
      <c r="I4042" t="s">
        <v>236</v>
      </c>
      <c r="J4042" t="s">
        <v>447</v>
      </c>
      <c r="L4042" s="137">
        <v>16.05</v>
      </c>
    </row>
    <row r="4043" spans="7:12" x14ac:dyDescent="0.25">
      <c r="G4043" s="136">
        <v>43465</v>
      </c>
      <c r="H4043" t="s">
        <v>28</v>
      </c>
      <c r="I4043" t="s">
        <v>236</v>
      </c>
      <c r="J4043" t="s">
        <v>447</v>
      </c>
      <c r="L4043" s="137">
        <v>16</v>
      </c>
    </row>
    <row r="4044" spans="7:12" x14ac:dyDescent="0.25">
      <c r="G4044" s="136">
        <v>43465</v>
      </c>
      <c r="H4044" t="s">
        <v>28</v>
      </c>
      <c r="I4044" t="s">
        <v>236</v>
      </c>
      <c r="J4044" t="s">
        <v>447</v>
      </c>
      <c r="L4044" s="137">
        <v>15.8</v>
      </c>
    </row>
    <row r="4045" spans="7:12" x14ac:dyDescent="0.25">
      <c r="G4045" s="136">
        <v>43465</v>
      </c>
      <c r="H4045" t="s">
        <v>28</v>
      </c>
      <c r="I4045" t="s">
        <v>236</v>
      </c>
      <c r="J4045" t="s">
        <v>447</v>
      </c>
      <c r="L4045" s="137">
        <v>15</v>
      </c>
    </row>
    <row r="4046" spans="7:12" x14ac:dyDescent="0.25">
      <c r="G4046" s="136">
        <v>43465</v>
      </c>
      <c r="H4046" t="s">
        <v>28</v>
      </c>
      <c r="I4046" t="s">
        <v>236</v>
      </c>
      <c r="J4046" t="s">
        <v>447</v>
      </c>
      <c r="L4046" s="137">
        <v>14.35</v>
      </c>
    </row>
    <row r="4047" spans="7:12" x14ac:dyDescent="0.25">
      <c r="G4047" s="136">
        <v>43465</v>
      </c>
      <c r="H4047" t="s">
        <v>28</v>
      </c>
      <c r="I4047" t="s">
        <v>236</v>
      </c>
      <c r="J4047" t="s">
        <v>447</v>
      </c>
      <c r="L4047" s="137">
        <v>13.25</v>
      </c>
    </row>
    <row r="4048" spans="7:12" x14ac:dyDescent="0.25">
      <c r="G4048" s="136">
        <v>43465</v>
      </c>
      <c r="H4048" t="s">
        <v>28</v>
      </c>
      <c r="I4048" t="s">
        <v>236</v>
      </c>
      <c r="J4048" t="s">
        <v>447</v>
      </c>
      <c r="L4048" s="137">
        <v>13.2</v>
      </c>
    </row>
    <row r="4049" spans="7:12" x14ac:dyDescent="0.25">
      <c r="G4049" s="136">
        <v>43465</v>
      </c>
      <c r="H4049" t="s">
        <v>28</v>
      </c>
      <c r="I4049" t="s">
        <v>236</v>
      </c>
      <c r="J4049" t="s">
        <v>447</v>
      </c>
      <c r="L4049" s="137">
        <v>12.69</v>
      </c>
    </row>
    <row r="4050" spans="7:12" x14ac:dyDescent="0.25">
      <c r="G4050" s="136">
        <v>43465</v>
      </c>
      <c r="H4050" t="s">
        <v>28</v>
      </c>
      <c r="I4050" t="s">
        <v>236</v>
      </c>
      <c r="J4050" t="s">
        <v>447</v>
      </c>
      <c r="L4050" s="137">
        <v>11.9</v>
      </c>
    </row>
    <row r="4051" spans="7:12" x14ac:dyDescent="0.25">
      <c r="G4051" s="136">
        <v>43465</v>
      </c>
      <c r="H4051" t="s">
        <v>28</v>
      </c>
      <c r="I4051" t="s">
        <v>236</v>
      </c>
      <c r="J4051" t="s">
        <v>447</v>
      </c>
      <c r="L4051" s="137">
        <v>11.6</v>
      </c>
    </row>
    <row r="4052" spans="7:12" x14ac:dyDescent="0.25">
      <c r="G4052" s="136">
        <v>43465</v>
      </c>
      <c r="H4052" t="s">
        <v>28</v>
      </c>
      <c r="I4052" t="s">
        <v>236</v>
      </c>
      <c r="J4052" t="s">
        <v>447</v>
      </c>
      <c r="L4052" s="137">
        <v>9.1999999999999993</v>
      </c>
    </row>
    <row r="4053" spans="7:12" x14ac:dyDescent="0.25">
      <c r="G4053" s="136">
        <v>43465</v>
      </c>
      <c r="H4053" t="s">
        <v>28</v>
      </c>
      <c r="I4053" t="s">
        <v>236</v>
      </c>
      <c r="J4053" t="s">
        <v>447</v>
      </c>
      <c r="L4053" s="137">
        <v>8</v>
      </c>
    </row>
    <row r="4054" spans="7:12" x14ac:dyDescent="0.25">
      <c r="G4054" s="136">
        <v>43465</v>
      </c>
      <c r="H4054" t="s">
        <v>28</v>
      </c>
      <c r="I4054" t="s">
        <v>236</v>
      </c>
      <c r="J4054" t="s">
        <v>447</v>
      </c>
      <c r="L4054" s="137">
        <v>6.6</v>
      </c>
    </row>
    <row r="4055" spans="7:12" x14ac:dyDescent="0.25">
      <c r="G4055" s="136">
        <v>43465</v>
      </c>
      <c r="H4055" t="s">
        <v>28</v>
      </c>
      <c r="I4055" t="s">
        <v>236</v>
      </c>
      <c r="J4055" t="s">
        <v>447</v>
      </c>
      <c r="L4055" s="137">
        <v>4.2</v>
      </c>
    </row>
    <row r="4056" spans="7:12" x14ac:dyDescent="0.25">
      <c r="G4056" s="136">
        <v>43465</v>
      </c>
      <c r="H4056" t="s">
        <v>28</v>
      </c>
      <c r="I4056" t="s">
        <v>236</v>
      </c>
      <c r="J4056" t="s">
        <v>447</v>
      </c>
      <c r="L4056" s="137">
        <v>2.5</v>
      </c>
    </row>
    <row r="4057" spans="7:12" x14ac:dyDescent="0.25">
      <c r="G4057" s="136">
        <v>43465</v>
      </c>
      <c r="H4057" t="s">
        <v>28</v>
      </c>
      <c r="I4057" t="s">
        <v>66</v>
      </c>
      <c r="J4057" t="s">
        <v>131</v>
      </c>
      <c r="K4057" s="138">
        <v>1.8</v>
      </c>
      <c r="L4057" s="137">
        <v>0</v>
      </c>
    </row>
    <row r="4058" spans="7:12" x14ac:dyDescent="0.25">
      <c r="G4058" s="136">
        <v>43465</v>
      </c>
      <c r="H4058" t="s">
        <v>28</v>
      </c>
      <c r="I4058" t="s">
        <v>66</v>
      </c>
      <c r="J4058" t="s">
        <v>75</v>
      </c>
      <c r="K4058" s="138">
        <v>8.6999999999999993</v>
      </c>
      <c r="L4058" s="137">
        <v>0</v>
      </c>
    </row>
    <row r="4059" spans="7:12" x14ac:dyDescent="0.25">
      <c r="G4059" s="136">
        <v>43467</v>
      </c>
      <c r="H4059" t="s">
        <v>27</v>
      </c>
      <c r="I4059" t="s">
        <v>63</v>
      </c>
      <c r="J4059" t="s">
        <v>448</v>
      </c>
      <c r="K4059" s="138">
        <v>8</v>
      </c>
      <c r="L4059" s="137">
        <v>0</v>
      </c>
    </row>
    <row r="4060" spans="7:12" x14ac:dyDescent="0.25">
      <c r="G4060" s="136">
        <v>43467</v>
      </c>
      <c r="H4060" t="s">
        <v>27</v>
      </c>
      <c r="I4060" t="s">
        <v>42</v>
      </c>
      <c r="J4060" t="s">
        <v>448</v>
      </c>
      <c r="K4060" s="138">
        <v>126.5</v>
      </c>
      <c r="L4060" s="137">
        <v>0</v>
      </c>
    </row>
    <row r="4061" spans="7:12" x14ac:dyDescent="0.25">
      <c r="G4061" s="136">
        <v>43467</v>
      </c>
      <c r="H4061" t="s">
        <v>191</v>
      </c>
      <c r="I4061" t="s">
        <v>63</v>
      </c>
      <c r="J4061" t="s">
        <v>448</v>
      </c>
      <c r="K4061" s="138">
        <v>28.5</v>
      </c>
      <c r="L4061" s="137">
        <v>0</v>
      </c>
    </row>
    <row r="4062" spans="7:12" x14ac:dyDescent="0.25">
      <c r="G4062" s="136">
        <v>43467</v>
      </c>
      <c r="H4062" t="s">
        <v>25</v>
      </c>
      <c r="I4062" t="s">
        <v>63</v>
      </c>
      <c r="J4062" t="s">
        <v>448</v>
      </c>
      <c r="K4062" s="138">
        <v>88</v>
      </c>
      <c r="L4062" s="137">
        <v>0</v>
      </c>
    </row>
    <row r="4063" spans="7:12" x14ac:dyDescent="0.25">
      <c r="G4063" s="136">
        <v>43467</v>
      </c>
      <c r="H4063" t="s">
        <v>25</v>
      </c>
      <c r="I4063" t="s">
        <v>63</v>
      </c>
      <c r="J4063" t="s">
        <v>448</v>
      </c>
      <c r="K4063" s="138">
        <v>32</v>
      </c>
      <c r="L4063" s="137">
        <v>0</v>
      </c>
    </row>
    <row r="4064" spans="7:12" x14ac:dyDescent="0.25">
      <c r="G4064" s="136">
        <v>43467</v>
      </c>
      <c r="H4064" t="s">
        <v>25</v>
      </c>
      <c r="I4064" t="s">
        <v>63</v>
      </c>
      <c r="J4064" t="s">
        <v>448</v>
      </c>
      <c r="K4064" s="138">
        <v>24</v>
      </c>
      <c r="L4064" s="137">
        <v>0</v>
      </c>
    </row>
    <row r="4065" spans="7:12" x14ac:dyDescent="0.25">
      <c r="G4065" s="136">
        <v>43467</v>
      </c>
      <c r="H4065" t="s">
        <v>25</v>
      </c>
      <c r="I4065" t="s">
        <v>63</v>
      </c>
      <c r="J4065" t="s">
        <v>448</v>
      </c>
      <c r="K4065" s="138">
        <v>16</v>
      </c>
      <c r="L4065" s="137">
        <v>0</v>
      </c>
    </row>
    <row r="4066" spans="7:12" x14ac:dyDescent="0.25">
      <c r="G4066" s="136">
        <v>43467</v>
      </c>
      <c r="H4066" t="s">
        <v>25</v>
      </c>
      <c r="I4066" t="s">
        <v>63</v>
      </c>
      <c r="J4066" t="s">
        <v>448</v>
      </c>
      <c r="K4066" s="138">
        <v>8</v>
      </c>
      <c r="L4066" s="137">
        <v>0</v>
      </c>
    </row>
    <row r="4067" spans="7:12" x14ac:dyDescent="0.25">
      <c r="G4067" s="136">
        <v>43467</v>
      </c>
      <c r="H4067" t="s">
        <v>25</v>
      </c>
      <c r="I4067" t="s">
        <v>42</v>
      </c>
      <c r="J4067" t="s">
        <v>448</v>
      </c>
      <c r="K4067" s="138">
        <v>242</v>
      </c>
      <c r="L4067" s="137">
        <v>0</v>
      </c>
    </row>
    <row r="4068" spans="7:12" x14ac:dyDescent="0.25">
      <c r="G4068" s="136">
        <v>43467</v>
      </c>
      <c r="H4068" t="s">
        <v>25</v>
      </c>
      <c r="I4068" t="s">
        <v>42</v>
      </c>
      <c r="J4068" t="s">
        <v>448</v>
      </c>
      <c r="K4068" s="138">
        <v>77</v>
      </c>
      <c r="L4068" s="137">
        <v>0</v>
      </c>
    </row>
    <row r="4069" spans="7:12" x14ac:dyDescent="0.25">
      <c r="G4069" s="136">
        <v>43467</v>
      </c>
      <c r="H4069" t="s">
        <v>201</v>
      </c>
      <c r="I4069" t="s">
        <v>42</v>
      </c>
      <c r="J4069" t="s">
        <v>448</v>
      </c>
      <c r="K4069" s="138">
        <v>31.5</v>
      </c>
      <c r="L4069" s="137">
        <v>0</v>
      </c>
    </row>
    <row r="4070" spans="7:12" x14ac:dyDescent="0.25">
      <c r="G4070" s="136">
        <v>43467</v>
      </c>
      <c r="H4070" t="s">
        <v>211</v>
      </c>
      <c r="I4070" t="s">
        <v>42</v>
      </c>
      <c r="J4070" t="s">
        <v>448</v>
      </c>
      <c r="K4070" s="138">
        <v>190</v>
      </c>
      <c r="L4070" s="137">
        <v>0</v>
      </c>
    </row>
    <row r="4071" spans="7:12" x14ac:dyDescent="0.25">
      <c r="G4071" s="136">
        <v>43467</v>
      </c>
      <c r="H4071" t="s">
        <v>28</v>
      </c>
      <c r="I4071" t="s">
        <v>63</v>
      </c>
      <c r="J4071" t="s">
        <v>448</v>
      </c>
      <c r="K4071" s="138">
        <v>16</v>
      </c>
      <c r="L4071" s="137">
        <v>0</v>
      </c>
    </row>
    <row r="4072" spans="7:12" x14ac:dyDescent="0.25">
      <c r="G4072" s="136">
        <v>43467</v>
      </c>
      <c r="H4072" t="s">
        <v>28</v>
      </c>
      <c r="I4072" t="s">
        <v>112</v>
      </c>
      <c r="J4072" t="s">
        <v>448</v>
      </c>
      <c r="K4072" s="138">
        <v>80</v>
      </c>
      <c r="L4072" s="137">
        <v>0</v>
      </c>
    </row>
    <row r="4073" spans="7:12" x14ac:dyDescent="0.25">
      <c r="G4073" s="136">
        <v>43467</v>
      </c>
      <c r="H4073" t="s">
        <v>28</v>
      </c>
      <c r="I4073" t="s">
        <v>66</v>
      </c>
      <c r="J4073" t="s">
        <v>116</v>
      </c>
      <c r="K4073" s="138">
        <v>3.6</v>
      </c>
      <c r="L4073" s="137">
        <v>0</v>
      </c>
    </row>
    <row r="4074" spans="7:12" x14ac:dyDescent="0.25">
      <c r="G4074" s="136">
        <v>43467</v>
      </c>
      <c r="H4074" t="s">
        <v>28</v>
      </c>
      <c r="I4074" t="s">
        <v>42</v>
      </c>
      <c r="J4074" t="s">
        <v>448</v>
      </c>
      <c r="K4074" s="138">
        <v>242</v>
      </c>
      <c r="L4074" s="137">
        <v>0</v>
      </c>
    </row>
    <row r="4075" spans="7:12" x14ac:dyDescent="0.25">
      <c r="G4075" s="136">
        <v>43468</v>
      </c>
      <c r="H4075" t="s">
        <v>27</v>
      </c>
      <c r="I4075" t="s">
        <v>63</v>
      </c>
      <c r="J4075" t="s">
        <v>449</v>
      </c>
      <c r="K4075" s="138">
        <v>8</v>
      </c>
      <c r="L4075" s="137">
        <v>0</v>
      </c>
    </row>
    <row r="4076" spans="7:12" x14ac:dyDescent="0.25">
      <c r="G4076" s="136">
        <v>43468</v>
      </c>
      <c r="H4076" t="s">
        <v>183</v>
      </c>
      <c r="I4076" t="s">
        <v>171</v>
      </c>
      <c r="J4076" t="s">
        <v>449</v>
      </c>
      <c r="K4076" s="138">
        <v>2100</v>
      </c>
      <c r="L4076" s="137">
        <v>0</v>
      </c>
    </row>
    <row r="4077" spans="7:12" x14ac:dyDescent="0.25">
      <c r="G4077" s="136">
        <v>43468</v>
      </c>
      <c r="H4077" t="s">
        <v>189</v>
      </c>
      <c r="I4077" t="s">
        <v>42</v>
      </c>
      <c r="J4077" t="s">
        <v>449</v>
      </c>
      <c r="K4077" s="138">
        <v>24</v>
      </c>
      <c r="L4077" s="137">
        <v>0</v>
      </c>
    </row>
    <row r="4078" spans="7:12" x14ac:dyDescent="0.25">
      <c r="G4078" s="136">
        <v>43468</v>
      </c>
      <c r="H4078" t="s">
        <v>189</v>
      </c>
      <c r="I4078" t="s">
        <v>171</v>
      </c>
      <c r="J4078" t="s">
        <v>449</v>
      </c>
      <c r="K4078" s="138">
        <v>150</v>
      </c>
      <c r="L4078" s="137">
        <v>0</v>
      </c>
    </row>
    <row r="4079" spans="7:12" x14ac:dyDescent="0.25">
      <c r="G4079" s="136">
        <v>43468</v>
      </c>
      <c r="H4079" t="s">
        <v>188</v>
      </c>
      <c r="I4079" t="s">
        <v>178</v>
      </c>
      <c r="J4079" t="s">
        <v>449</v>
      </c>
      <c r="K4079" s="138">
        <v>30</v>
      </c>
      <c r="L4079" s="137">
        <v>0</v>
      </c>
    </row>
    <row r="4080" spans="7:12" x14ac:dyDescent="0.25">
      <c r="G4080" s="136">
        <v>43468</v>
      </c>
      <c r="H4080" t="s">
        <v>188</v>
      </c>
      <c r="I4080" t="s">
        <v>171</v>
      </c>
      <c r="J4080" t="s">
        <v>449</v>
      </c>
      <c r="K4080" s="138">
        <v>150</v>
      </c>
      <c r="L4080" s="137">
        <v>0</v>
      </c>
    </row>
    <row r="4081" spans="7:12" x14ac:dyDescent="0.25">
      <c r="G4081" s="136">
        <v>43468</v>
      </c>
      <c r="H4081" t="s">
        <v>25</v>
      </c>
      <c r="I4081" t="s">
        <v>63</v>
      </c>
      <c r="J4081" t="s">
        <v>449</v>
      </c>
      <c r="K4081" s="138">
        <v>56</v>
      </c>
      <c r="L4081" s="137">
        <v>0</v>
      </c>
    </row>
    <row r="4082" spans="7:12" x14ac:dyDescent="0.25">
      <c r="G4082" s="136">
        <v>43468</v>
      </c>
      <c r="H4082" t="s">
        <v>25</v>
      </c>
      <c r="I4082" t="s">
        <v>63</v>
      </c>
      <c r="J4082" t="s">
        <v>449</v>
      </c>
      <c r="K4082" s="138">
        <v>24</v>
      </c>
      <c r="L4082" s="137">
        <v>0</v>
      </c>
    </row>
    <row r="4083" spans="7:12" x14ac:dyDescent="0.25">
      <c r="G4083" s="136">
        <v>43468</v>
      </c>
      <c r="H4083" t="s">
        <v>25</v>
      </c>
      <c r="I4083" t="s">
        <v>63</v>
      </c>
      <c r="J4083" t="s">
        <v>449</v>
      </c>
      <c r="K4083" s="138">
        <v>8</v>
      </c>
      <c r="L4083" s="137">
        <v>0</v>
      </c>
    </row>
    <row r="4084" spans="7:12" x14ac:dyDescent="0.25">
      <c r="G4084" s="136">
        <v>43468</v>
      </c>
      <c r="H4084" t="s">
        <v>25</v>
      </c>
      <c r="I4084" t="s">
        <v>42</v>
      </c>
      <c r="J4084" t="s">
        <v>449</v>
      </c>
      <c r="K4084" s="138">
        <v>139.19999999999999</v>
      </c>
      <c r="L4084" s="137">
        <v>0</v>
      </c>
    </row>
    <row r="4085" spans="7:12" x14ac:dyDescent="0.25">
      <c r="G4085" s="136">
        <v>43468</v>
      </c>
      <c r="H4085" t="s">
        <v>197</v>
      </c>
      <c r="I4085" t="s">
        <v>112</v>
      </c>
      <c r="J4085" t="s">
        <v>449</v>
      </c>
      <c r="K4085" s="138">
        <v>113.39</v>
      </c>
      <c r="L4085" s="137">
        <v>0</v>
      </c>
    </row>
    <row r="4086" spans="7:12" x14ac:dyDescent="0.25">
      <c r="G4086" s="136">
        <v>43468</v>
      </c>
      <c r="H4086" t="s">
        <v>180</v>
      </c>
      <c r="I4086" t="s">
        <v>42</v>
      </c>
      <c r="J4086" t="s">
        <v>449</v>
      </c>
      <c r="K4086" s="138">
        <v>10</v>
      </c>
      <c r="L4086" s="137">
        <v>0</v>
      </c>
    </row>
    <row r="4087" spans="7:12" x14ac:dyDescent="0.25">
      <c r="G4087" s="136">
        <v>43468</v>
      </c>
      <c r="H4087" t="s">
        <v>28</v>
      </c>
      <c r="I4087" t="s">
        <v>63</v>
      </c>
      <c r="J4087" t="s">
        <v>449</v>
      </c>
      <c r="K4087" s="138">
        <v>8</v>
      </c>
      <c r="L4087" s="137">
        <v>0</v>
      </c>
    </row>
    <row r="4088" spans="7:12" x14ac:dyDescent="0.25">
      <c r="G4088" s="136">
        <v>43468</v>
      </c>
      <c r="H4088" t="s">
        <v>28</v>
      </c>
      <c r="I4088" t="s">
        <v>178</v>
      </c>
      <c r="J4088" t="s">
        <v>449</v>
      </c>
      <c r="K4088" s="138">
        <v>52.99</v>
      </c>
      <c r="L4088" s="137">
        <v>0</v>
      </c>
    </row>
    <row r="4089" spans="7:12" x14ac:dyDescent="0.25">
      <c r="G4089" s="136">
        <v>43468</v>
      </c>
      <c r="H4089" t="s">
        <v>28</v>
      </c>
      <c r="I4089" t="s">
        <v>178</v>
      </c>
      <c r="J4089" t="s">
        <v>449</v>
      </c>
      <c r="K4089" s="138">
        <v>45</v>
      </c>
      <c r="L4089" s="137">
        <v>0</v>
      </c>
    </row>
    <row r="4090" spans="7:12" x14ac:dyDescent="0.25">
      <c r="G4090" s="136">
        <v>43468</v>
      </c>
      <c r="H4090" t="s">
        <v>28</v>
      </c>
      <c r="I4090" t="s">
        <v>178</v>
      </c>
      <c r="J4090" t="s">
        <v>449</v>
      </c>
      <c r="K4090" s="138">
        <v>17.11</v>
      </c>
      <c r="L4090" s="137">
        <v>0</v>
      </c>
    </row>
    <row r="4091" spans="7:12" x14ac:dyDescent="0.25">
      <c r="G4091" s="136">
        <v>43468</v>
      </c>
      <c r="H4091" t="s">
        <v>28</v>
      </c>
      <c r="I4091" t="s">
        <v>112</v>
      </c>
      <c r="J4091" t="s">
        <v>449</v>
      </c>
      <c r="K4091" s="138">
        <v>115.45</v>
      </c>
      <c r="L4091" s="137">
        <v>0</v>
      </c>
    </row>
    <row r="4092" spans="7:12" x14ac:dyDescent="0.25">
      <c r="G4092" s="136">
        <v>43468</v>
      </c>
      <c r="H4092" t="s">
        <v>28</v>
      </c>
      <c r="I4092" t="s">
        <v>112</v>
      </c>
      <c r="J4092" t="s">
        <v>449</v>
      </c>
      <c r="K4092" s="138">
        <v>45.02</v>
      </c>
      <c r="L4092" s="137">
        <v>0</v>
      </c>
    </row>
    <row r="4093" spans="7:12" x14ac:dyDescent="0.25">
      <c r="G4093" s="136">
        <v>43468</v>
      </c>
      <c r="H4093" t="s">
        <v>28</v>
      </c>
      <c r="I4093" t="s">
        <v>66</v>
      </c>
      <c r="J4093" t="s">
        <v>133</v>
      </c>
      <c r="K4093" s="138">
        <v>15</v>
      </c>
      <c r="L4093" s="137">
        <v>0</v>
      </c>
    </row>
    <row r="4094" spans="7:12" x14ac:dyDescent="0.25">
      <c r="G4094" s="136">
        <v>43468</v>
      </c>
      <c r="H4094" t="s">
        <v>28</v>
      </c>
      <c r="I4094" t="s">
        <v>66</v>
      </c>
      <c r="J4094" t="s">
        <v>98</v>
      </c>
      <c r="K4094" s="138">
        <v>14</v>
      </c>
      <c r="L4094" s="137">
        <v>0</v>
      </c>
    </row>
    <row r="4095" spans="7:12" x14ac:dyDescent="0.25">
      <c r="G4095" s="136">
        <v>43469</v>
      </c>
      <c r="H4095" t="s">
        <v>27</v>
      </c>
      <c r="I4095" t="s">
        <v>63</v>
      </c>
      <c r="J4095" t="s">
        <v>450</v>
      </c>
      <c r="K4095" s="138">
        <v>8</v>
      </c>
      <c r="L4095" s="137">
        <v>0</v>
      </c>
    </row>
    <row r="4096" spans="7:12" x14ac:dyDescent="0.25">
      <c r="G4096" s="136">
        <v>43469</v>
      </c>
      <c r="H4096" t="s">
        <v>185</v>
      </c>
      <c r="I4096" t="s">
        <v>163</v>
      </c>
      <c r="J4096" t="s">
        <v>450</v>
      </c>
      <c r="K4096" s="138">
        <v>297.89</v>
      </c>
      <c r="L4096" s="137">
        <v>0</v>
      </c>
    </row>
    <row r="4097" spans="7:12" x14ac:dyDescent="0.25">
      <c r="G4097" s="136">
        <v>43469</v>
      </c>
      <c r="H4097" t="s">
        <v>195</v>
      </c>
      <c r="I4097" t="s">
        <v>42</v>
      </c>
      <c r="J4097" t="s">
        <v>450</v>
      </c>
      <c r="K4097" s="138">
        <v>24</v>
      </c>
      <c r="L4097" s="137">
        <v>0</v>
      </c>
    </row>
    <row r="4098" spans="7:12" x14ac:dyDescent="0.25">
      <c r="G4098" s="136">
        <v>43469</v>
      </c>
      <c r="H4098" t="s">
        <v>183</v>
      </c>
      <c r="I4098" t="s">
        <v>163</v>
      </c>
      <c r="J4098" t="s">
        <v>450</v>
      </c>
      <c r="K4098" s="138">
        <v>8.8000000000000007</v>
      </c>
      <c r="L4098" s="137">
        <v>0</v>
      </c>
    </row>
    <row r="4099" spans="7:12" x14ac:dyDescent="0.25">
      <c r="G4099" s="136">
        <v>43469</v>
      </c>
      <c r="H4099" t="s">
        <v>189</v>
      </c>
      <c r="I4099" t="s">
        <v>42</v>
      </c>
      <c r="J4099" t="s">
        <v>450</v>
      </c>
      <c r="K4099" s="138">
        <v>24</v>
      </c>
      <c r="L4099" s="137">
        <v>0</v>
      </c>
    </row>
    <row r="4100" spans="7:12" x14ac:dyDescent="0.25">
      <c r="G4100" s="136">
        <v>43469</v>
      </c>
      <c r="H4100" t="s">
        <v>25</v>
      </c>
      <c r="I4100" t="s">
        <v>63</v>
      </c>
      <c r="J4100" t="s">
        <v>450</v>
      </c>
      <c r="K4100" s="138">
        <v>64</v>
      </c>
      <c r="L4100" s="137">
        <v>0</v>
      </c>
    </row>
    <row r="4101" spans="7:12" x14ac:dyDescent="0.25">
      <c r="G4101" s="136">
        <v>43469</v>
      </c>
      <c r="H4101" t="s">
        <v>25</v>
      </c>
      <c r="I4101" t="s">
        <v>63</v>
      </c>
      <c r="J4101" t="s">
        <v>450</v>
      </c>
      <c r="K4101" s="138">
        <v>32</v>
      </c>
      <c r="L4101" s="137">
        <v>0</v>
      </c>
    </row>
    <row r="4102" spans="7:12" x14ac:dyDescent="0.25">
      <c r="G4102" s="136">
        <v>43469</v>
      </c>
      <c r="H4102" t="s">
        <v>25</v>
      </c>
      <c r="I4102" t="s">
        <v>63</v>
      </c>
      <c r="J4102" t="s">
        <v>450</v>
      </c>
      <c r="K4102" s="138">
        <v>24</v>
      </c>
      <c r="L4102" s="137">
        <v>0</v>
      </c>
    </row>
    <row r="4103" spans="7:12" x14ac:dyDescent="0.25">
      <c r="G4103" s="136">
        <v>43469</v>
      </c>
      <c r="H4103" t="s">
        <v>25</v>
      </c>
      <c r="I4103" t="s">
        <v>63</v>
      </c>
      <c r="J4103" t="s">
        <v>450</v>
      </c>
      <c r="K4103" s="138">
        <v>16</v>
      </c>
      <c r="L4103" s="137">
        <v>0</v>
      </c>
    </row>
    <row r="4104" spans="7:12" x14ac:dyDescent="0.25">
      <c r="G4104" s="136">
        <v>43469</v>
      </c>
      <c r="H4104" t="s">
        <v>25</v>
      </c>
      <c r="I4104" t="s">
        <v>63</v>
      </c>
      <c r="J4104" t="s">
        <v>450</v>
      </c>
      <c r="K4104" s="138">
        <v>8</v>
      </c>
      <c r="L4104" s="137">
        <v>0</v>
      </c>
    </row>
    <row r="4105" spans="7:12" x14ac:dyDescent="0.25">
      <c r="G4105" s="136">
        <v>43469</v>
      </c>
      <c r="H4105" t="s">
        <v>181</v>
      </c>
      <c r="I4105" t="s">
        <v>42</v>
      </c>
      <c r="J4105" t="s">
        <v>450</v>
      </c>
      <c r="K4105" s="138">
        <v>82.6</v>
      </c>
      <c r="L4105" s="137">
        <v>0</v>
      </c>
    </row>
    <row r="4106" spans="7:12" x14ac:dyDescent="0.25">
      <c r="G4106" s="136">
        <v>43469</v>
      </c>
      <c r="H4106" t="s">
        <v>180</v>
      </c>
      <c r="I4106" t="s">
        <v>171</v>
      </c>
      <c r="J4106" t="s">
        <v>450</v>
      </c>
      <c r="K4106" s="138">
        <v>4.5999999999999996</v>
      </c>
      <c r="L4106" s="137">
        <v>0</v>
      </c>
    </row>
    <row r="4107" spans="7:12" x14ac:dyDescent="0.25">
      <c r="G4107" s="136">
        <v>43469</v>
      </c>
      <c r="H4107" t="s">
        <v>28</v>
      </c>
      <c r="I4107" t="s">
        <v>163</v>
      </c>
      <c r="J4107" t="s">
        <v>450</v>
      </c>
      <c r="K4107" s="138">
        <v>15.95</v>
      </c>
      <c r="L4107" s="137">
        <v>0</v>
      </c>
    </row>
    <row r="4108" spans="7:12" x14ac:dyDescent="0.25">
      <c r="G4108" s="136">
        <v>43469</v>
      </c>
      <c r="H4108" t="s">
        <v>28</v>
      </c>
      <c r="I4108" t="s">
        <v>178</v>
      </c>
      <c r="J4108" t="s">
        <v>450</v>
      </c>
      <c r="K4108" s="138">
        <v>18.600000000000001</v>
      </c>
      <c r="L4108" s="137">
        <v>0</v>
      </c>
    </row>
    <row r="4109" spans="7:12" x14ac:dyDescent="0.25">
      <c r="G4109" s="136">
        <v>43469</v>
      </c>
      <c r="H4109" t="s">
        <v>28</v>
      </c>
      <c r="I4109" t="s">
        <v>66</v>
      </c>
      <c r="J4109" t="s">
        <v>390</v>
      </c>
      <c r="K4109" s="138">
        <v>2.4</v>
      </c>
      <c r="L4109" s="137">
        <v>0</v>
      </c>
    </row>
    <row r="4110" spans="7:12" x14ac:dyDescent="0.25">
      <c r="G4110" s="136">
        <v>43469</v>
      </c>
      <c r="H4110" t="s">
        <v>28</v>
      </c>
      <c r="I4110" t="s">
        <v>66</v>
      </c>
      <c r="J4110" t="s">
        <v>282</v>
      </c>
      <c r="K4110" s="138">
        <v>1.1000000000000001</v>
      </c>
      <c r="L4110" s="137">
        <v>0</v>
      </c>
    </row>
    <row r="4111" spans="7:12" x14ac:dyDescent="0.25">
      <c r="G4111" s="136">
        <v>43470</v>
      </c>
      <c r="H4111" t="s">
        <v>27</v>
      </c>
      <c r="I4111" t="s">
        <v>63</v>
      </c>
      <c r="J4111" t="s">
        <v>451</v>
      </c>
      <c r="K4111" s="138">
        <v>8</v>
      </c>
      <c r="L4111" s="137">
        <v>0</v>
      </c>
    </row>
    <row r="4112" spans="7:12" x14ac:dyDescent="0.25">
      <c r="G4112" s="136">
        <v>43470</v>
      </c>
      <c r="H4112" t="s">
        <v>25</v>
      </c>
      <c r="I4112" t="s">
        <v>63</v>
      </c>
      <c r="J4112" t="s">
        <v>451</v>
      </c>
      <c r="K4112" s="138">
        <v>72</v>
      </c>
      <c r="L4112" s="137">
        <v>0</v>
      </c>
    </row>
    <row r="4113" spans="7:12" x14ac:dyDescent="0.25">
      <c r="G4113" s="136">
        <v>43470</v>
      </c>
      <c r="H4113" t="s">
        <v>25</v>
      </c>
      <c r="I4113" t="s">
        <v>63</v>
      </c>
      <c r="J4113" t="s">
        <v>451</v>
      </c>
      <c r="K4113" s="138">
        <v>32</v>
      </c>
      <c r="L4113" s="137">
        <v>0</v>
      </c>
    </row>
    <row r="4114" spans="7:12" x14ac:dyDescent="0.25">
      <c r="G4114" s="136">
        <v>43470</v>
      </c>
      <c r="H4114" t="s">
        <v>25</v>
      </c>
      <c r="I4114" t="s">
        <v>63</v>
      </c>
      <c r="J4114" t="s">
        <v>451</v>
      </c>
      <c r="K4114" s="138">
        <v>8</v>
      </c>
      <c r="L4114" s="137">
        <v>0</v>
      </c>
    </row>
    <row r="4115" spans="7:12" x14ac:dyDescent="0.25">
      <c r="G4115" s="136">
        <v>43470</v>
      </c>
      <c r="H4115" t="s">
        <v>28</v>
      </c>
      <c r="I4115" t="s">
        <v>163</v>
      </c>
      <c r="J4115" t="s">
        <v>451</v>
      </c>
      <c r="K4115" s="138">
        <v>58.85</v>
      </c>
      <c r="L4115" s="137">
        <v>0</v>
      </c>
    </row>
    <row r="4116" spans="7:12" x14ac:dyDescent="0.25">
      <c r="G4116" s="136">
        <v>43470</v>
      </c>
      <c r="H4116" t="s">
        <v>28</v>
      </c>
      <c r="I4116" t="s">
        <v>66</v>
      </c>
      <c r="J4116" t="s">
        <v>98</v>
      </c>
      <c r="K4116" s="138">
        <v>70</v>
      </c>
      <c r="L4116" s="137">
        <v>0</v>
      </c>
    </row>
    <row r="4117" spans="7:12" x14ac:dyDescent="0.25">
      <c r="G4117" s="136">
        <v>43472</v>
      </c>
      <c r="H4117" t="s">
        <v>185</v>
      </c>
      <c r="I4117" t="s">
        <v>42</v>
      </c>
      <c r="J4117" t="s">
        <v>452</v>
      </c>
      <c r="K4117" s="138">
        <v>407</v>
      </c>
      <c r="L4117" s="137">
        <v>0</v>
      </c>
    </row>
    <row r="4118" spans="7:12" x14ac:dyDescent="0.25">
      <c r="G4118" s="136">
        <v>43472</v>
      </c>
      <c r="H4118" t="s">
        <v>25</v>
      </c>
      <c r="I4118" t="s">
        <v>63</v>
      </c>
      <c r="J4118" t="s">
        <v>452</v>
      </c>
      <c r="K4118" s="138">
        <v>40</v>
      </c>
      <c r="L4118" s="137">
        <v>0</v>
      </c>
    </row>
    <row r="4119" spans="7:12" x14ac:dyDescent="0.25">
      <c r="G4119" s="136">
        <v>43472</v>
      </c>
      <c r="H4119" t="s">
        <v>25</v>
      </c>
      <c r="I4119" t="s">
        <v>63</v>
      </c>
      <c r="J4119" t="s">
        <v>452</v>
      </c>
      <c r="K4119" s="138">
        <v>16</v>
      </c>
      <c r="L4119" s="137">
        <v>0</v>
      </c>
    </row>
    <row r="4120" spans="7:12" x14ac:dyDescent="0.25">
      <c r="G4120" s="136">
        <v>43472</v>
      </c>
      <c r="H4120" t="s">
        <v>181</v>
      </c>
      <c r="I4120" t="s">
        <v>42</v>
      </c>
      <c r="J4120" t="s">
        <v>452</v>
      </c>
      <c r="K4120" s="138">
        <v>87</v>
      </c>
      <c r="L4120" s="137">
        <v>0</v>
      </c>
    </row>
    <row r="4121" spans="7:12" x14ac:dyDescent="0.25">
      <c r="G4121" s="136">
        <v>43472</v>
      </c>
      <c r="H4121" t="s">
        <v>28</v>
      </c>
      <c r="I4121" t="s">
        <v>178</v>
      </c>
      <c r="J4121" t="s">
        <v>452</v>
      </c>
      <c r="K4121" s="138">
        <v>117.49</v>
      </c>
      <c r="L4121" s="137">
        <v>0</v>
      </c>
    </row>
    <row r="4122" spans="7:12" x14ac:dyDescent="0.25">
      <c r="G4122" s="136">
        <v>43472</v>
      </c>
      <c r="H4122" t="s">
        <v>28</v>
      </c>
      <c r="I4122" t="s">
        <v>112</v>
      </c>
      <c r="J4122" t="s">
        <v>452</v>
      </c>
      <c r="K4122" s="138">
        <v>64.95</v>
      </c>
      <c r="L4122" s="137">
        <v>0</v>
      </c>
    </row>
    <row r="4123" spans="7:12" x14ac:dyDescent="0.25">
      <c r="G4123" s="136">
        <v>43472</v>
      </c>
      <c r="H4123" t="s">
        <v>28</v>
      </c>
      <c r="I4123" t="s">
        <v>66</v>
      </c>
      <c r="J4123" t="s">
        <v>320</v>
      </c>
      <c r="K4123" s="138">
        <v>6.6</v>
      </c>
      <c r="L4123" s="137">
        <v>0</v>
      </c>
    </row>
    <row r="4124" spans="7:12" x14ac:dyDescent="0.25">
      <c r="G4124" s="136">
        <v>43472</v>
      </c>
      <c r="H4124" t="s">
        <v>28</v>
      </c>
      <c r="I4124" t="s">
        <v>66</v>
      </c>
      <c r="J4124" t="s">
        <v>282</v>
      </c>
      <c r="K4124" s="138">
        <v>2.4</v>
      </c>
      <c r="L4124" s="137">
        <v>0</v>
      </c>
    </row>
    <row r="4125" spans="7:12" x14ac:dyDescent="0.25">
      <c r="G4125" s="136">
        <v>43472</v>
      </c>
      <c r="H4125" t="s">
        <v>28</v>
      </c>
      <c r="I4125" t="s">
        <v>66</v>
      </c>
      <c r="J4125" t="s">
        <v>108</v>
      </c>
      <c r="K4125" s="138">
        <v>1.8</v>
      </c>
      <c r="L4125" s="137">
        <v>0</v>
      </c>
    </row>
    <row r="4126" spans="7:12" x14ac:dyDescent="0.25">
      <c r="G4126" s="136">
        <v>43472</v>
      </c>
      <c r="H4126" t="s">
        <v>28</v>
      </c>
      <c r="I4126" t="s">
        <v>66</v>
      </c>
      <c r="J4126" t="s">
        <v>301</v>
      </c>
      <c r="K4126" s="138">
        <v>9.65</v>
      </c>
      <c r="L4126" s="137">
        <v>0</v>
      </c>
    </row>
    <row r="4127" spans="7:12" x14ac:dyDescent="0.25">
      <c r="G4127" s="136">
        <v>43473</v>
      </c>
      <c r="H4127" t="s">
        <v>191</v>
      </c>
      <c r="I4127" t="s">
        <v>42</v>
      </c>
      <c r="J4127" t="s">
        <v>453</v>
      </c>
      <c r="K4127" s="138">
        <v>246.2</v>
      </c>
      <c r="L4127" s="137">
        <v>0</v>
      </c>
    </row>
    <row r="4128" spans="7:12" x14ac:dyDescent="0.25">
      <c r="G4128" s="136">
        <v>43473</v>
      </c>
      <c r="H4128" t="s">
        <v>25</v>
      </c>
      <c r="I4128" t="s">
        <v>63</v>
      </c>
      <c r="J4128" t="s">
        <v>453</v>
      </c>
      <c r="K4128" s="138">
        <v>56</v>
      </c>
      <c r="L4128" s="137">
        <v>0</v>
      </c>
    </row>
    <row r="4129" spans="7:12" x14ac:dyDescent="0.25">
      <c r="G4129" s="136">
        <v>43473</v>
      </c>
      <c r="H4129" t="s">
        <v>25</v>
      </c>
      <c r="I4129" t="s">
        <v>63</v>
      </c>
      <c r="J4129" t="s">
        <v>453</v>
      </c>
      <c r="K4129" s="138">
        <v>16</v>
      </c>
      <c r="L4129" s="137">
        <v>0</v>
      </c>
    </row>
    <row r="4130" spans="7:12" x14ac:dyDescent="0.25">
      <c r="G4130" s="136">
        <v>43473</v>
      </c>
      <c r="H4130" t="s">
        <v>25</v>
      </c>
      <c r="I4130" t="s">
        <v>63</v>
      </c>
      <c r="J4130" t="s">
        <v>453</v>
      </c>
      <c r="K4130" s="138">
        <v>8</v>
      </c>
      <c r="L4130" s="137">
        <v>0</v>
      </c>
    </row>
    <row r="4131" spans="7:12" x14ac:dyDescent="0.25">
      <c r="G4131" s="136">
        <v>43473</v>
      </c>
      <c r="H4131" t="s">
        <v>211</v>
      </c>
      <c r="I4131" t="s">
        <v>42</v>
      </c>
      <c r="J4131" t="s">
        <v>453</v>
      </c>
      <c r="K4131" s="138">
        <v>220</v>
      </c>
      <c r="L4131" s="137">
        <v>0</v>
      </c>
    </row>
    <row r="4132" spans="7:12" x14ac:dyDescent="0.25">
      <c r="G4132" s="136">
        <v>43473</v>
      </c>
      <c r="H4132" t="s">
        <v>180</v>
      </c>
      <c r="I4132" t="s">
        <v>63</v>
      </c>
      <c r="J4132" t="s">
        <v>453</v>
      </c>
      <c r="K4132" s="138">
        <v>77.97</v>
      </c>
      <c r="L4132" s="137">
        <v>0</v>
      </c>
    </row>
    <row r="4133" spans="7:12" x14ac:dyDescent="0.25">
      <c r="G4133" s="136">
        <v>43473</v>
      </c>
      <c r="H4133" t="s">
        <v>180</v>
      </c>
      <c r="I4133" t="s">
        <v>163</v>
      </c>
      <c r="J4133" t="s">
        <v>453</v>
      </c>
      <c r="K4133" s="138">
        <v>25.95</v>
      </c>
      <c r="L4133" s="137">
        <v>0</v>
      </c>
    </row>
    <row r="4134" spans="7:12" x14ac:dyDescent="0.25">
      <c r="G4134" s="136">
        <v>43473</v>
      </c>
      <c r="H4134" t="s">
        <v>28</v>
      </c>
      <c r="I4134" t="s">
        <v>176</v>
      </c>
      <c r="J4134" t="s">
        <v>453</v>
      </c>
      <c r="K4134" s="138">
        <v>0</v>
      </c>
      <c r="L4134" s="137">
        <v>220</v>
      </c>
    </row>
    <row r="4135" spans="7:12" x14ac:dyDescent="0.25">
      <c r="G4135" s="136">
        <v>43473</v>
      </c>
      <c r="H4135" t="s">
        <v>28</v>
      </c>
      <c r="I4135" t="s">
        <v>66</v>
      </c>
      <c r="J4135" t="s">
        <v>108</v>
      </c>
      <c r="K4135" s="138">
        <v>1.8</v>
      </c>
      <c r="L4135" s="137">
        <v>0</v>
      </c>
    </row>
    <row r="4136" spans="7:12" x14ac:dyDescent="0.25">
      <c r="G4136" s="136">
        <v>43473</v>
      </c>
      <c r="H4136" t="s">
        <v>28</v>
      </c>
      <c r="I4136" t="s">
        <v>66</v>
      </c>
      <c r="J4136" t="s">
        <v>276</v>
      </c>
      <c r="K4136" s="138">
        <v>2.4</v>
      </c>
      <c r="L4136" s="137">
        <v>0</v>
      </c>
    </row>
    <row r="4137" spans="7:12" x14ac:dyDescent="0.25">
      <c r="G4137" s="136">
        <v>43475</v>
      </c>
      <c r="H4137" t="s">
        <v>27</v>
      </c>
      <c r="I4137" t="s">
        <v>63</v>
      </c>
      <c r="J4137" t="s">
        <v>454</v>
      </c>
      <c r="K4137" s="138">
        <v>16</v>
      </c>
      <c r="L4137" s="137">
        <v>0</v>
      </c>
    </row>
    <row r="4138" spans="7:12" x14ac:dyDescent="0.25">
      <c r="G4138" s="136">
        <v>43475</v>
      </c>
      <c r="H4138" t="s">
        <v>27</v>
      </c>
      <c r="I4138" t="s">
        <v>63</v>
      </c>
      <c r="J4138" t="s">
        <v>454</v>
      </c>
      <c r="K4138" s="138">
        <v>8</v>
      </c>
      <c r="L4138" s="137">
        <v>0</v>
      </c>
    </row>
    <row r="4139" spans="7:12" x14ac:dyDescent="0.25">
      <c r="G4139" s="136">
        <v>43475</v>
      </c>
      <c r="H4139" t="s">
        <v>27</v>
      </c>
      <c r="I4139" t="s">
        <v>237</v>
      </c>
      <c r="J4139" t="s">
        <v>455</v>
      </c>
      <c r="K4139" s="138">
        <v>108.28</v>
      </c>
      <c r="L4139" s="137">
        <v>0</v>
      </c>
    </row>
    <row r="4140" spans="7:12" x14ac:dyDescent="0.25">
      <c r="G4140" s="136">
        <v>43475</v>
      </c>
      <c r="H4140" t="s">
        <v>27</v>
      </c>
      <c r="I4140" t="s">
        <v>237</v>
      </c>
      <c r="J4140" t="s">
        <v>455</v>
      </c>
      <c r="K4140" s="138">
        <v>52.04</v>
      </c>
      <c r="L4140" s="137">
        <v>0</v>
      </c>
    </row>
    <row r="4141" spans="7:12" x14ac:dyDescent="0.25">
      <c r="G4141" s="136">
        <v>43475</v>
      </c>
      <c r="H4141" t="s">
        <v>27</v>
      </c>
      <c r="I4141" t="s">
        <v>237</v>
      </c>
      <c r="J4141" t="s">
        <v>455</v>
      </c>
      <c r="K4141" s="138">
        <v>50.62</v>
      </c>
      <c r="L4141" s="137">
        <v>0</v>
      </c>
    </row>
    <row r="4142" spans="7:12" x14ac:dyDescent="0.25">
      <c r="G4142" s="136">
        <v>43475</v>
      </c>
      <c r="H4142" t="s">
        <v>27</v>
      </c>
      <c r="I4142" t="s">
        <v>237</v>
      </c>
      <c r="J4142" t="s">
        <v>455</v>
      </c>
      <c r="K4142" s="138">
        <v>40.99</v>
      </c>
      <c r="L4142" s="137">
        <v>0</v>
      </c>
    </row>
    <row r="4143" spans="7:12" x14ac:dyDescent="0.25">
      <c r="G4143" s="136">
        <v>43475</v>
      </c>
      <c r="H4143" t="s">
        <v>27</v>
      </c>
      <c r="I4143" t="s">
        <v>237</v>
      </c>
      <c r="J4143" t="s">
        <v>455</v>
      </c>
      <c r="K4143" s="138">
        <v>34.229999999999997</v>
      </c>
      <c r="L4143" s="137">
        <v>0</v>
      </c>
    </row>
    <row r="4144" spans="7:12" x14ac:dyDescent="0.25">
      <c r="G4144" s="136">
        <v>43475</v>
      </c>
      <c r="H4144" t="s">
        <v>27</v>
      </c>
      <c r="I4144" t="s">
        <v>237</v>
      </c>
      <c r="J4144" t="s">
        <v>455</v>
      </c>
      <c r="K4144" s="138">
        <v>34.21</v>
      </c>
      <c r="L4144" s="137">
        <v>0</v>
      </c>
    </row>
    <row r="4145" spans="7:12" x14ac:dyDescent="0.25">
      <c r="G4145" s="136">
        <v>43475</v>
      </c>
      <c r="H4145" t="s">
        <v>27</v>
      </c>
      <c r="I4145" t="s">
        <v>237</v>
      </c>
      <c r="J4145" t="s">
        <v>455</v>
      </c>
      <c r="K4145" s="138">
        <v>30.67</v>
      </c>
      <c r="L4145" s="137">
        <v>0</v>
      </c>
    </row>
    <row r="4146" spans="7:12" x14ac:dyDescent="0.25">
      <c r="G4146" s="136">
        <v>43475</v>
      </c>
      <c r="H4146" t="s">
        <v>27</v>
      </c>
      <c r="I4146" t="s">
        <v>237</v>
      </c>
      <c r="J4146" t="s">
        <v>455</v>
      </c>
      <c r="K4146" s="138">
        <v>19.25</v>
      </c>
      <c r="L4146" s="137">
        <v>0</v>
      </c>
    </row>
    <row r="4147" spans="7:12" x14ac:dyDescent="0.25">
      <c r="G4147" s="136">
        <v>43475</v>
      </c>
      <c r="H4147" t="s">
        <v>27</v>
      </c>
      <c r="I4147" t="s">
        <v>237</v>
      </c>
      <c r="J4147" t="s">
        <v>455</v>
      </c>
      <c r="K4147" s="138">
        <v>18.760000000000002</v>
      </c>
      <c r="L4147" s="137">
        <v>0</v>
      </c>
    </row>
    <row r="4148" spans="7:12" x14ac:dyDescent="0.25">
      <c r="G4148" s="136">
        <v>43475</v>
      </c>
      <c r="H4148" t="s">
        <v>27</v>
      </c>
      <c r="I4148" t="s">
        <v>237</v>
      </c>
      <c r="J4148" t="s">
        <v>455</v>
      </c>
      <c r="K4148" s="138">
        <v>12.8</v>
      </c>
      <c r="L4148" s="137">
        <v>0</v>
      </c>
    </row>
    <row r="4149" spans="7:12" x14ac:dyDescent="0.25">
      <c r="G4149" s="136">
        <v>43475</v>
      </c>
      <c r="H4149" t="s">
        <v>185</v>
      </c>
      <c r="I4149" t="s">
        <v>237</v>
      </c>
      <c r="J4149" t="s">
        <v>455</v>
      </c>
      <c r="K4149" s="138">
        <v>39.43</v>
      </c>
      <c r="L4149" s="137">
        <v>0</v>
      </c>
    </row>
    <row r="4150" spans="7:12" x14ac:dyDescent="0.25">
      <c r="G4150" s="136">
        <v>43475</v>
      </c>
      <c r="H4150" t="s">
        <v>195</v>
      </c>
      <c r="I4150" t="s">
        <v>237</v>
      </c>
      <c r="J4150" t="s">
        <v>455</v>
      </c>
      <c r="K4150" s="138">
        <v>68.19</v>
      </c>
      <c r="L4150" s="137">
        <v>0</v>
      </c>
    </row>
    <row r="4151" spans="7:12" x14ac:dyDescent="0.25">
      <c r="G4151" s="136">
        <v>43475</v>
      </c>
      <c r="H4151" t="s">
        <v>183</v>
      </c>
      <c r="I4151" t="s">
        <v>237</v>
      </c>
      <c r="J4151" t="s">
        <v>455</v>
      </c>
      <c r="K4151" s="138">
        <v>673.32</v>
      </c>
      <c r="L4151" s="137">
        <v>0</v>
      </c>
    </row>
    <row r="4152" spans="7:12" x14ac:dyDescent="0.25">
      <c r="G4152" s="136">
        <v>43475</v>
      </c>
      <c r="H4152" t="s">
        <v>189</v>
      </c>
      <c r="I4152" t="s">
        <v>237</v>
      </c>
      <c r="J4152" t="s">
        <v>455</v>
      </c>
      <c r="K4152" s="138">
        <v>123.45</v>
      </c>
      <c r="L4152" s="137">
        <v>0</v>
      </c>
    </row>
    <row r="4153" spans="7:12" x14ac:dyDescent="0.25">
      <c r="G4153" s="136">
        <v>43475</v>
      </c>
      <c r="H4153" t="s">
        <v>189</v>
      </c>
      <c r="I4153" t="s">
        <v>42</v>
      </c>
      <c r="J4153" t="s">
        <v>454</v>
      </c>
      <c r="K4153" s="138">
        <v>95.9</v>
      </c>
      <c r="L4153" s="137">
        <v>0</v>
      </c>
    </row>
    <row r="4154" spans="7:12" x14ac:dyDescent="0.25">
      <c r="G4154" s="136">
        <v>43475</v>
      </c>
      <c r="H4154" t="s">
        <v>193</v>
      </c>
      <c r="I4154" t="s">
        <v>237</v>
      </c>
      <c r="J4154" t="s">
        <v>455</v>
      </c>
      <c r="K4154" s="138">
        <v>273.02999999999997</v>
      </c>
      <c r="L4154" s="137">
        <v>0</v>
      </c>
    </row>
    <row r="4155" spans="7:12" x14ac:dyDescent="0.25">
      <c r="G4155" s="136">
        <v>43475</v>
      </c>
      <c r="H4155" t="s">
        <v>188</v>
      </c>
      <c r="I4155" t="s">
        <v>178</v>
      </c>
      <c r="J4155" t="s">
        <v>454</v>
      </c>
      <c r="K4155" s="138">
        <v>67.95</v>
      </c>
      <c r="L4155" s="137">
        <v>0</v>
      </c>
    </row>
    <row r="4156" spans="7:12" x14ac:dyDescent="0.25">
      <c r="G4156" s="136">
        <v>43475</v>
      </c>
      <c r="H4156" t="s">
        <v>25</v>
      </c>
      <c r="I4156" t="s">
        <v>63</v>
      </c>
      <c r="J4156" t="s">
        <v>454</v>
      </c>
      <c r="K4156" s="138">
        <v>56</v>
      </c>
      <c r="L4156" s="137">
        <v>0</v>
      </c>
    </row>
    <row r="4157" spans="7:12" x14ac:dyDescent="0.25">
      <c r="G4157" s="136">
        <v>43475</v>
      </c>
      <c r="H4157" t="s">
        <v>25</v>
      </c>
      <c r="I4157" t="s">
        <v>63</v>
      </c>
      <c r="J4157" t="s">
        <v>454</v>
      </c>
      <c r="K4157" s="138">
        <v>24</v>
      </c>
      <c r="L4157" s="137">
        <v>0</v>
      </c>
    </row>
    <row r="4158" spans="7:12" x14ac:dyDescent="0.25">
      <c r="G4158" s="136">
        <v>43475</v>
      </c>
      <c r="H4158" t="s">
        <v>25</v>
      </c>
      <c r="I4158" t="s">
        <v>63</v>
      </c>
      <c r="J4158" t="s">
        <v>454</v>
      </c>
      <c r="K4158" s="138">
        <v>8</v>
      </c>
      <c r="L4158" s="137">
        <v>0</v>
      </c>
    </row>
    <row r="4159" spans="7:12" x14ac:dyDescent="0.25">
      <c r="G4159" s="136">
        <v>43475</v>
      </c>
      <c r="H4159" t="s">
        <v>25</v>
      </c>
      <c r="I4159" t="s">
        <v>237</v>
      </c>
      <c r="J4159" t="s">
        <v>455</v>
      </c>
      <c r="K4159" s="138">
        <v>1470.44</v>
      </c>
      <c r="L4159" s="137">
        <v>0</v>
      </c>
    </row>
    <row r="4160" spans="7:12" x14ac:dyDescent="0.25">
      <c r="G4160" s="136">
        <v>43475</v>
      </c>
      <c r="H4160" t="s">
        <v>25</v>
      </c>
      <c r="I4160" t="s">
        <v>237</v>
      </c>
      <c r="J4160" t="s">
        <v>455</v>
      </c>
      <c r="K4160" s="138">
        <v>1342.37</v>
      </c>
      <c r="L4160" s="137">
        <v>0</v>
      </c>
    </row>
    <row r="4161" spans="7:12" x14ac:dyDescent="0.25">
      <c r="G4161" s="136">
        <v>43475</v>
      </c>
      <c r="H4161" t="s">
        <v>25</v>
      </c>
      <c r="I4161" t="s">
        <v>237</v>
      </c>
      <c r="J4161" t="s">
        <v>455</v>
      </c>
      <c r="K4161" s="138">
        <v>1011.2</v>
      </c>
      <c r="L4161" s="137">
        <v>0</v>
      </c>
    </row>
    <row r="4162" spans="7:12" x14ac:dyDescent="0.25">
      <c r="G4162" s="136">
        <v>43475</v>
      </c>
      <c r="H4162" t="s">
        <v>25</v>
      </c>
      <c r="I4162" t="s">
        <v>237</v>
      </c>
      <c r="J4162" t="s">
        <v>455</v>
      </c>
      <c r="K4162" s="138">
        <v>792.61</v>
      </c>
      <c r="L4162" s="137">
        <v>0</v>
      </c>
    </row>
    <row r="4163" spans="7:12" x14ac:dyDescent="0.25">
      <c r="G4163" s="136">
        <v>43475</v>
      </c>
      <c r="H4163" t="s">
        <v>25</v>
      </c>
      <c r="I4163" t="s">
        <v>237</v>
      </c>
      <c r="J4163" t="s">
        <v>455</v>
      </c>
      <c r="K4163" s="138">
        <v>733.55</v>
      </c>
      <c r="L4163" s="137">
        <v>0</v>
      </c>
    </row>
    <row r="4164" spans="7:12" x14ac:dyDescent="0.25">
      <c r="G4164" s="136">
        <v>43475</v>
      </c>
      <c r="H4164" t="s">
        <v>25</v>
      </c>
      <c r="I4164" t="s">
        <v>237</v>
      </c>
      <c r="J4164" t="s">
        <v>455</v>
      </c>
      <c r="K4164" s="138">
        <v>723.12</v>
      </c>
      <c r="L4164" s="137">
        <v>0</v>
      </c>
    </row>
    <row r="4165" spans="7:12" x14ac:dyDescent="0.25">
      <c r="G4165" s="136">
        <v>43475</v>
      </c>
      <c r="H4165" t="s">
        <v>25</v>
      </c>
      <c r="I4165" t="s">
        <v>237</v>
      </c>
      <c r="J4165" t="s">
        <v>455</v>
      </c>
      <c r="K4165" s="138">
        <v>627.95000000000005</v>
      </c>
      <c r="L4165" s="137">
        <v>0</v>
      </c>
    </row>
    <row r="4166" spans="7:12" x14ac:dyDescent="0.25">
      <c r="G4166" s="136">
        <v>43475</v>
      </c>
      <c r="H4166" t="s">
        <v>25</v>
      </c>
      <c r="I4166" t="s">
        <v>237</v>
      </c>
      <c r="J4166" t="s">
        <v>455</v>
      </c>
      <c r="K4166" s="138">
        <v>567.08000000000004</v>
      </c>
      <c r="L4166" s="137">
        <v>0</v>
      </c>
    </row>
    <row r="4167" spans="7:12" x14ac:dyDescent="0.25">
      <c r="G4167" s="136">
        <v>43475</v>
      </c>
      <c r="H4167" t="s">
        <v>25</v>
      </c>
      <c r="I4167" t="s">
        <v>237</v>
      </c>
      <c r="J4167" t="s">
        <v>455</v>
      </c>
      <c r="K4167" s="138">
        <v>558.33000000000004</v>
      </c>
      <c r="L4167" s="137">
        <v>0</v>
      </c>
    </row>
    <row r="4168" spans="7:12" x14ac:dyDescent="0.25">
      <c r="G4168" s="136">
        <v>43475</v>
      </c>
      <c r="H4168" t="s">
        <v>25</v>
      </c>
      <c r="I4168" t="s">
        <v>237</v>
      </c>
      <c r="J4168" t="s">
        <v>455</v>
      </c>
      <c r="K4168" s="138">
        <v>543.25</v>
      </c>
      <c r="L4168" s="137">
        <v>0</v>
      </c>
    </row>
    <row r="4169" spans="7:12" x14ac:dyDescent="0.25">
      <c r="G4169" s="136">
        <v>43475</v>
      </c>
      <c r="H4169" t="s">
        <v>25</v>
      </c>
      <c r="I4169" t="s">
        <v>237</v>
      </c>
      <c r="J4169" t="s">
        <v>455</v>
      </c>
      <c r="K4169" s="138">
        <v>527.12</v>
      </c>
      <c r="L4169" s="137">
        <v>0</v>
      </c>
    </row>
    <row r="4170" spans="7:12" x14ac:dyDescent="0.25">
      <c r="G4170" s="136">
        <v>43475</v>
      </c>
      <c r="H4170" t="s">
        <v>25</v>
      </c>
      <c r="I4170" t="s">
        <v>237</v>
      </c>
      <c r="J4170" t="s">
        <v>455</v>
      </c>
      <c r="K4170" s="138">
        <v>514.46</v>
      </c>
      <c r="L4170" s="137">
        <v>0</v>
      </c>
    </row>
    <row r="4171" spans="7:12" x14ac:dyDescent="0.25">
      <c r="G4171" s="136">
        <v>43475</v>
      </c>
      <c r="H4171" t="s">
        <v>25</v>
      </c>
      <c r="I4171" t="s">
        <v>237</v>
      </c>
      <c r="J4171" t="s">
        <v>455</v>
      </c>
      <c r="K4171" s="138">
        <v>481.58</v>
      </c>
      <c r="L4171" s="137">
        <v>0</v>
      </c>
    </row>
    <row r="4172" spans="7:12" x14ac:dyDescent="0.25">
      <c r="G4172" s="136">
        <v>43475</v>
      </c>
      <c r="H4172" t="s">
        <v>25</v>
      </c>
      <c r="I4172" t="s">
        <v>237</v>
      </c>
      <c r="J4172" t="s">
        <v>455</v>
      </c>
      <c r="K4172" s="138">
        <v>458.67</v>
      </c>
      <c r="L4172" s="137">
        <v>0</v>
      </c>
    </row>
    <row r="4173" spans="7:12" x14ac:dyDescent="0.25">
      <c r="G4173" s="136">
        <v>43475</v>
      </c>
      <c r="H4173" t="s">
        <v>25</v>
      </c>
      <c r="I4173" t="s">
        <v>237</v>
      </c>
      <c r="J4173" t="s">
        <v>455</v>
      </c>
      <c r="K4173" s="138">
        <v>449.4</v>
      </c>
      <c r="L4173" s="137">
        <v>0</v>
      </c>
    </row>
    <row r="4174" spans="7:12" x14ac:dyDescent="0.25">
      <c r="G4174" s="136">
        <v>43475</v>
      </c>
      <c r="H4174" t="s">
        <v>25</v>
      </c>
      <c r="I4174" t="s">
        <v>237</v>
      </c>
      <c r="J4174" t="s">
        <v>455</v>
      </c>
      <c r="K4174" s="138">
        <v>386.75</v>
      </c>
      <c r="L4174" s="137">
        <v>0</v>
      </c>
    </row>
    <row r="4175" spans="7:12" x14ac:dyDescent="0.25">
      <c r="G4175" s="136">
        <v>43475</v>
      </c>
      <c r="H4175" t="s">
        <v>25</v>
      </c>
      <c r="I4175" t="s">
        <v>237</v>
      </c>
      <c r="J4175" t="s">
        <v>455</v>
      </c>
      <c r="K4175" s="138">
        <v>384.96</v>
      </c>
      <c r="L4175" s="137">
        <v>0</v>
      </c>
    </row>
    <row r="4176" spans="7:12" x14ac:dyDescent="0.25">
      <c r="G4176" s="136">
        <v>43475</v>
      </c>
      <c r="H4176" t="s">
        <v>25</v>
      </c>
      <c r="I4176" t="s">
        <v>237</v>
      </c>
      <c r="J4176" t="s">
        <v>455</v>
      </c>
      <c r="K4176" s="138">
        <v>303.73</v>
      </c>
      <c r="L4176" s="137">
        <v>0</v>
      </c>
    </row>
    <row r="4177" spans="7:12" x14ac:dyDescent="0.25">
      <c r="G4177" s="136">
        <v>43475</v>
      </c>
      <c r="H4177" t="s">
        <v>25</v>
      </c>
      <c r="I4177" t="s">
        <v>237</v>
      </c>
      <c r="J4177" t="s">
        <v>455</v>
      </c>
      <c r="K4177" s="138">
        <v>254.22</v>
      </c>
      <c r="L4177" s="137">
        <v>0</v>
      </c>
    </row>
    <row r="4178" spans="7:12" x14ac:dyDescent="0.25">
      <c r="G4178" s="136">
        <v>43475</v>
      </c>
      <c r="H4178" t="s">
        <v>25</v>
      </c>
      <c r="I4178" t="s">
        <v>237</v>
      </c>
      <c r="J4178" t="s">
        <v>455</v>
      </c>
      <c r="K4178" s="138">
        <v>159.55000000000001</v>
      </c>
      <c r="L4178" s="137">
        <v>0</v>
      </c>
    </row>
    <row r="4179" spans="7:12" x14ac:dyDescent="0.25">
      <c r="G4179" s="136">
        <v>43475</v>
      </c>
      <c r="H4179" t="s">
        <v>25</v>
      </c>
      <c r="I4179" t="s">
        <v>237</v>
      </c>
      <c r="J4179" t="s">
        <v>455</v>
      </c>
      <c r="K4179" s="138">
        <v>77.209999999999994</v>
      </c>
      <c r="L4179" s="137">
        <v>0</v>
      </c>
    </row>
    <row r="4180" spans="7:12" x14ac:dyDescent="0.25">
      <c r="G4180" s="136">
        <v>43475</v>
      </c>
      <c r="H4180" t="s">
        <v>25</v>
      </c>
      <c r="I4180" t="s">
        <v>237</v>
      </c>
      <c r="J4180" t="s">
        <v>455</v>
      </c>
      <c r="K4180" s="138">
        <v>37.47</v>
      </c>
      <c r="L4180" s="137">
        <v>0</v>
      </c>
    </row>
    <row r="4181" spans="7:12" x14ac:dyDescent="0.25">
      <c r="G4181" s="136">
        <v>43475</v>
      </c>
      <c r="H4181" t="s">
        <v>25</v>
      </c>
      <c r="I4181" t="s">
        <v>237</v>
      </c>
      <c r="J4181" t="s">
        <v>455</v>
      </c>
      <c r="K4181" s="138">
        <v>35.85</v>
      </c>
      <c r="L4181" s="137">
        <v>0</v>
      </c>
    </row>
    <row r="4182" spans="7:12" x14ac:dyDescent="0.25">
      <c r="G4182" s="136">
        <v>43475</v>
      </c>
      <c r="H4182" t="s">
        <v>25</v>
      </c>
      <c r="I4182" t="s">
        <v>237</v>
      </c>
      <c r="J4182" t="s">
        <v>455</v>
      </c>
      <c r="K4182" s="138">
        <v>27.34</v>
      </c>
      <c r="L4182" s="137">
        <v>0</v>
      </c>
    </row>
    <row r="4183" spans="7:12" x14ac:dyDescent="0.25">
      <c r="G4183" s="136">
        <v>43475</v>
      </c>
      <c r="H4183" t="s">
        <v>25</v>
      </c>
      <c r="I4183" t="s">
        <v>237</v>
      </c>
      <c r="J4183" t="s">
        <v>455</v>
      </c>
      <c r="K4183" s="138">
        <v>18.510000000000002</v>
      </c>
      <c r="L4183" s="137">
        <v>0</v>
      </c>
    </row>
    <row r="4184" spans="7:12" x14ac:dyDescent="0.25">
      <c r="G4184" s="136">
        <v>43475</v>
      </c>
      <c r="H4184" t="s">
        <v>25</v>
      </c>
      <c r="I4184" t="s">
        <v>237</v>
      </c>
      <c r="J4184" t="s">
        <v>455</v>
      </c>
      <c r="K4184" s="138">
        <v>17.62</v>
      </c>
      <c r="L4184" s="137">
        <v>0</v>
      </c>
    </row>
    <row r="4185" spans="7:12" x14ac:dyDescent="0.25">
      <c r="G4185" s="136">
        <v>43475</v>
      </c>
      <c r="H4185" t="s">
        <v>25</v>
      </c>
      <c r="I4185" t="s">
        <v>237</v>
      </c>
      <c r="J4185" t="s">
        <v>455</v>
      </c>
      <c r="K4185" s="138">
        <v>13.14</v>
      </c>
      <c r="L4185" s="137">
        <v>0</v>
      </c>
    </row>
    <row r="4186" spans="7:12" x14ac:dyDescent="0.25">
      <c r="G4186" s="136">
        <v>43475</v>
      </c>
      <c r="H4186" t="s">
        <v>180</v>
      </c>
      <c r="I4186" t="s">
        <v>237</v>
      </c>
      <c r="J4186" t="s">
        <v>455</v>
      </c>
      <c r="K4186" s="138">
        <v>164.7</v>
      </c>
      <c r="L4186" s="137">
        <v>0</v>
      </c>
    </row>
    <row r="4187" spans="7:12" x14ac:dyDescent="0.25">
      <c r="G4187" s="136">
        <v>43475</v>
      </c>
      <c r="H4187" t="s">
        <v>180</v>
      </c>
      <c r="I4187" t="s">
        <v>42</v>
      </c>
      <c r="J4187" t="s">
        <v>454</v>
      </c>
      <c r="K4187" s="138">
        <v>27</v>
      </c>
      <c r="L4187" s="137">
        <v>0</v>
      </c>
    </row>
    <row r="4188" spans="7:12" x14ac:dyDescent="0.25">
      <c r="G4188" s="136">
        <v>43475</v>
      </c>
      <c r="H4188" t="s">
        <v>179</v>
      </c>
      <c r="I4188" t="s">
        <v>237</v>
      </c>
      <c r="J4188" t="s">
        <v>455</v>
      </c>
      <c r="K4188" s="138">
        <v>2823.18</v>
      </c>
      <c r="L4188" s="137">
        <v>0</v>
      </c>
    </row>
    <row r="4189" spans="7:12" x14ac:dyDescent="0.25">
      <c r="G4189" s="136">
        <v>43475</v>
      </c>
      <c r="H4189" t="s">
        <v>28</v>
      </c>
      <c r="I4189" t="s">
        <v>112</v>
      </c>
      <c r="J4189" t="s">
        <v>454</v>
      </c>
      <c r="K4189" s="138">
        <v>64.95</v>
      </c>
      <c r="L4189" s="137">
        <v>0</v>
      </c>
    </row>
    <row r="4190" spans="7:12" x14ac:dyDescent="0.25">
      <c r="G4190" s="136">
        <v>43475</v>
      </c>
      <c r="H4190" t="s">
        <v>28</v>
      </c>
      <c r="I4190" t="s">
        <v>112</v>
      </c>
      <c r="J4190" t="s">
        <v>454</v>
      </c>
      <c r="K4190" s="138">
        <v>10.199999999999999</v>
      </c>
      <c r="L4190" s="137">
        <v>0</v>
      </c>
    </row>
    <row r="4191" spans="7:12" x14ac:dyDescent="0.25">
      <c r="G4191" s="136">
        <v>43475</v>
      </c>
      <c r="H4191" t="s">
        <v>28</v>
      </c>
      <c r="I4191" t="s">
        <v>155</v>
      </c>
      <c r="J4191" t="s">
        <v>454</v>
      </c>
      <c r="K4191" s="138">
        <v>51.8</v>
      </c>
      <c r="L4191" s="137">
        <v>0</v>
      </c>
    </row>
    <row r="4192" spans="7:12" x14ac:dyDescent="0.25">
      <c r="G4192" s="136">
        <v>43475</v>
      </c>
      <c r="H4192" t="s">
        <v>28</v>
      </c>
      <c r="I4192" t="s">
        <v>155</v>
      </c>
      <c r="J4192" t="s">
        <v>454</v>
      </c>
      <c r="K4192" s="138">
        <v>42.92</v>
      </c>
      <c r="L4192" s="137">
        <v>0</v>
      </c>
    </row>
    <row r="4193" spans="7:12" x14ac:dyDescent="0.25">
      <c r="G4193" s="136">
        <v>43475</v>
      </c>
      <c r="H4193" t="s">
        <v>28</v>
      </c>
      <c r="I4193" t="s">
        <v>155</v>
      </c>
      <c r="J4193" t="s">
        <v>454</v>
      </c>
      <c r="K4193" s="138">
        <v>33</v>
      </c>
      <c r="L4193" s="137">
        <v>0</v>
      </c>
    </row>
    <row r="4194" spans="7:12" x14ac:dyDescent="0.25">
      <c r="G4194" s="136">
        <v>43475</v>
      </c>
      <c r="H4194" t="s">
        <v>28</v>
      </c>
      <c r="I4194" t="s">
        <v>155</v>
      </c>
      <c r="J4194" t="s">
        <v>454</v>
      </c>
      <c r="K4194" s="138">
        <v>25.95</v>
      </c>
      <c r="L4194" s="137">
        <v>0</v>
      </c>
    </row>
    <row r="4195" spans="7:12" x14ac:dyDescent="0.25">
      <c r="G4195" s="136">
        <v>43475</v>
      </c>
      <c r="H4195" t="s">
        <v>28</v>
      </c>
      <c r="I4195" t="s">
        <v>66</v>
      </c>
      <c r="J4195" t="s">
        <v>101</v>
      </c>
      <c r="K4195" s="138">
        <v>3</v>
      </c>
      <c r="L4195" s="137">
        <v>0</v>
      </c>
    </row>
    <row r="4196" spans="7:12" x14ac:dyDescent="0.25">
      <c r="G4196" s="136">
        <v>43475</v>
      </c>
      <c r="H4196" t="s">
        <v>28</v>
      </c>
      <c r="I4196" t="s">
        <v>66</v>
      </c>
      <c r="J4196" t="s">
        <v>131</v>
      </c>
      <c r="K4196" s="138">
        <v>1.8</v>
      </c>
      <c r="L4196" s="137">
        <v>0</v>
      </c>
    </row>
    <row r="4197" spans="7:12" x14ac:dyDescent="0.25">
      <c r="G4197" s="136">
        <v>43475</v>
      </c>
      <c r="H4197" t="s">
        <v>28</v>
      </c>
      <c r="I4197" t="s">
        <v>66</v>
      </c>
      <c r="J4197" t="s">
        <v>137</v>
      </c>
      <c r="K4197" s="138">
        <v>6.85</v>
      </c>
      <c r="L4197" s="137">
        <v>0</v>
      </c>
    </row>
    <row r="4198" spans="7:12" x14ac:dyDescent="0.25">
      <c r="G4198" s="136">
        <v>43475</v>
      </c>
      <c r="H4198" t="s">
        <v>28</v>
      </c>
      <c r="I4198" t="s">
        <v>66</v>
      </c>
      <c r="J4198" t="s">
        <v>140</v>
      </c>
      <c r="K4198" s="138">
        <v>18.75</v>
      </c>
      <c r="L4198" s="137">
        <v>0</v>
      </c>
    </row>
    <row r="4199" spans="7:12" x14ac:dyDescent="0.25">
      <c r="G4199" s="136">
        <v>43475</v>
      </c>
      <c r="H4199" t="s">
        <v>28</v>
      </c>
      <c r="I4199" t="s">
        <v>237</v>
      </c>
      <c r="J4199" t="s">
        <v>455</v>
      </c>
      <c r="K4199" s="138">
        <v>61.93</v>
      </c>
      <c r="L4199" s="137">
        <v>0</v>
      </c>
    </row>
    <row r="4200" spans="7:12" x14ac:dyDescent="0.25">
      <c r="G4200" s="136">
        <v>43475</v>
      </c>
      <c r="H4200" t="s">
        <v>28</v>
      </c>
      <c r="I4200" t="s">
        <v>237</v>
      </c>
      <c r="J4200" t="s">
        <v>455</v>
      </c>
      <c r="K4200" s="138">
        <v>61.08</v>
      </c>
      <c r="L4200" s="137">
        <v>0</v>
      </c>
    </row>
    <row r="4201" spans="7:12" x14ac:dyDescent="0.25">
      <c r="G4201" s="136">
        <v>43475</v>
      </c>
      <c r="H4201" t="s">
        <v>28</v>
      </c>
      <c r="I4201" t="s">
        <v>237</v>
      </c>
      <c r="J4201" t="s">
        <v>455</v>
      </c>
      <c r="K4201" s="138">
        <v>45.08</v>
      </c>
      <c r="L4201" s="137">
        <v>0</v>
      </c>
    </row>
    <row r="4202" spans="7:12" x14ac:dyDescent="0.25">
      <c r="G4202" s="136">
        <v>43475</v>
      </c>
      <c r="H4202" t="s">
        <v>28</v>
      </c>
      <c r="I4202" t="s">
        <v>237</v>
      </c>
      <c r="J4202" t="s">
        <v>455</v>
      </c>
      <c r="K4202" s="138">
        <v>35.520000000000003</v>
      </c>
      <c r="L4202" s="137">
        <v>0</v>
      </c>
    </row>
    <row r="4203" spans="7:12" x14ac:dyDescent="0.25">
      <c r="G4203" s="136">
        <v>43476</v>
      </c>
      <c r="H4203" t="s">
        <v>27</v>
      </c>
      <c r="I4203" t="s">
        <v>63</v>
      </c>
      <c r="J4203" t="s">
        <v>456</v>
      </c>
      <c r="K4203" s="138">
        <v>24</v>
      </c>
      <c r="L4203" s="137">
        <v>0</v>
      </c>
    </row>
    <row r="4204" spans="7:12" x14ac:dyDescent="0.25">
      <c r="G4204" s="136">
        <v>43476</v>
      </c>
      <c r="H4204" t="s">
        <v>27</v>
      </c>
      <c r="I4204" t="s">
        <v>63</v>
      </c>
      <c r="J4204" t="s">
        <v>456</v>
      </c>
      <c r="K4204" s="138">
        <v>16</v>
      </c>
      <c r="L4204" s="137">
        <v>0</v>
      </c>
    </row>
    <row r="4205" spans="7:12" x14ac:dyDescent="0.25">
      <c r="G4205" s="136">
        <v>43476</v>
      </c>
      <c r="H4205" t="s">
        <v>27</v>
      </c>
      <c r="I4205" t="s">
        <v>63</v>
      </c>
      <c r="J4205" t="s">
        <v>456</v>
      </c>
      <c r="K4205" s="138">
        <v>8</v>
      </c>
      <c r="L4205" s="137">
        <v>0</v>
      </c>
    </row>
    <row r="4206" spans="7:12" x14ac:dyDescent="0.25">
      <c r="G4206" s="136">
        <v>43476</v>
      </c>
      <c r="H4206" t="s">
        <v>184</v>
      </c>
      <c r="I4206" t="s">
        <v>171</v>
      </c>
      <c r="J4206" t="s">
        <v>456</v>
      </c>
      <c r="K4206" s="138">
        <v>25</v>
      </c>
      <c r="L4206" s="137">
        <v>0</v>
      </c>
    </row>
    <row r="4207" spans="7:12" x14ac:dyDescent="0.25">
      <c r="G4207" s="136">
        <v>43476</v>
      </c>
      <c r="H4207" t="s">
        <v>189</v>
      </c>
      <c r="I4207" t="s">
        <v>42</v>
      </c>
      <c r="J4207" t="s">
        <v>456</v>
      </c>
      <c r="K4207" s="138">
        <v>24</v>
      </c>
      <c r="L4207" s="137">
        <v>0</v>
      </c>
    </row>
    <row r="4208" spans="7:12" x14ac:dyDescent="0.25">
      <c r="G4208" s="136">
        <v>43476</v>
      </c>
      <c r="H4208" t="s">
        <v>191</v>
      </c>
      <c r="I4208" t="s">
        <v>42</v>
      </c>
      <c r="J4208" t="s">
        <v>456</v>
      </c>
      <c r="K4208" s="138">
        <v>11.5</v>
      </c>
      <c r="L4208" s="137">
        <v>0</v>
      </c>
    </row>
    <row r="4209" spans="7:12" x14ac:dyDescent="0.25">
      <c r="G4209" s="136">
        <v>43476</v>
      </c>
      <c r="H4209" t="s">
        <v>188</v>
      </c>
      <c r="I4209" t="s">
        <v>42</v>
      </c>
      <c r="J4209" t="s">
        <v>456</v>
      </c>
      <c r="K4209" s="138">
        <v>29.4</v>
      </c>
      <c r="L4209" s="137">
        <v>0</v>
      </c>
    </row>
    <row r="4210" spans="7:12" x14ac:dyDescent="0.25">
      <c r="G4210" s="136">
        <v>43476</v>
      </c>
      <c r="H4210" t="s">
        <v>25</v>
      </c>
      <c r="I4210" t="s">
        <v>63</v>
      </c>
      <c r="J4210" t="s">
        <v>456</v>
      </c>
      <c r="K4210" s="138">
        <v>16</v>
      </c>
      <c r="L4210" s="137">
        <v>0</v>
      </c>
    </row>
    <row r="4211" spans="7:12" x14ac:dyDescent="0.25">
      <c r="G4211" s="136">
        <v>43476</v>
      </c>
      <c r="H4211" t="s">
        <v>25</v>
      </c>
      <c r="I4211" t="s">
        <v>63</v>
      </c>
      <c r="J4211" t="s">
        <v>456</v>
      </c>
      <c r="K4211" s="138">
        <v>8</v>
      </c>
      <c r="L4211" s="137">
        <v>0</v>
      </c>
    </row>
    <row r="4212" spans="7:12" x14ac:dyDescent="0.25">
      <c r="G4212" s="136">
        <v>43476</v>
      </c>
      <c r="H4212" t="s">
        <v>25</v>
      </c>
      <c r="I4212" t="s">
        <v>42</v>
      </c>
      <c r="J4212" t="s">
        <v>456</v>
      </c>
      <c r="K4212" s="138">
        <v>59.3</v>
      </c>
      <c r="L4212" s="137">
        <v>0</v>
      </c>
    </row>
    <row r="4213" spans="7:12" x14ac:dyDescent="0.25">
      <c r="G4213" s="136">
        <v>43476</v>
      </c>
      <c r="H4213" t="s">
        <v>207</v>
      </c>
      <c r="I4213" t="s">
        <v>63</v>
      </c>
      <c r="J4213" t="s">
        <v>456</v>
      </c>
      <c r="K4213" s="138">
        <v>86.16</v>
      </c>
      <c r="L4213" s="137">
        <v>0</v>
      </c>
    </row>
    <row r="4214" spans="7:12" x14ac:dyDescent="0.25">
      <c r="G4214" s="136">
        <v>43476</v>
      </c>
      <c r="H4214" t="s">
        <v>187</v>
      </c>
      <c r="I4214" t="s">
        <v>42</v>
      </c>
      <c r="J4214" t="s">
        <v>456</v>
      </c>
      <c r="K4214" s="138">
        <v>138</v>
      </c>
      <c r="L4214" s="137">
        <v>0</v>
      </c>
    </row>
    <row r="4215" spans="7:12" x14ac:dyDescent="0.25">
      <c r="G4215" s="136">
        <v>43476</v>
      </c>
      <c r="H4215" t="s">
        <v>28</v>
      </c>
      <c r="I4215" t="s">
        <v>63</v>
      </c>
      <c r="J4215" t="s">
        <v>456</v>
      </c>
      <c r="K4215" s="138">
        <v>8</v>
      </c>
      <c r="L4215" s="137">
        <v>0</v>
      </c>
    </row>
    <row r="4216" spans="7:12" x14ac:dyDescent="0.25">
      <c r="G4216" s="136">
        <v>43476</v>
      </c>
      <c r="H4216" t="s">
        <v>28</v>
      </c>
      <c r="I4216" t="s">
        <v>66</v>
      </c>
      <c r="J4216" t="s">
        <v>276</v>
      </c>
      <c r="K4216" s="138">
        <v>3</v>
      </c>
      <c r="L4216" s="137">
        <v>0</v>
      </c>
    </row>
    <row r="4217" spans="7:12" x14ac:dyDescent="0.25">
      <c r="G4217" s="136">
        <v>43476</v>
      </c>
      <c r="H4217" t="s">
        <v>28</v>
      </c>
      <c r="I4217" t="s">
        <v>66</v>
      </c>
      <c r="J4217" t="s">
        <v>140</v>
      </c>
      <c r="K4217" s="138">
        <v>18.75</v>
      </c>
      <c r="L4217" s="137">
        <v>0</v>
      </c>
    </row>
    <row r="4218" spans="7:12" x14ac:dyDescent="0.25">
      <c r="G4218" s="136">
        <v>43479</v>
      </c>
      <c r="H4218" t="s">
        <v>183</v>
      </c>
      <c r="I4218" t="s">
        <v>42</v>
      </c>
      <c r="J4218" t="s">
        <v>457</v>
      </c>
      <c r="K4218" s="138">
        <v>43.86</v>
      </c>
      <c r="L4218" s="137">
        <v>0</v>
      </c>
    </row>
    <row r="4219" spans="7:12" x14ac:dyDescent="0.25">
      <c r="G4219" s="136">
        <v>43479</v>
      </c>
      <c r="H4219" t="s">
        <v>25</v>
      </c>
      <c r="I4219" t="s">
        <v>63</v>
      </c>
      <c r="J4219" t="s">
        <v>457</v>
      </c>
      <c r="K4219" s="138">
        <v>32</v>
      </c>
      <c r="L4219" s="137">
        <v>0</v>
      </c>
    </row>
    <row r="4220" spans="7:12" x14ac:dyDescent="0.25">
      <c r="G4220" s="136">
        <v>43479</v>
      </c>
      <c r="H4220" t="s">
        <v>25</v>
      </c>
      <c r="I4220" t="s">
        <v>63</v>
      </c>
      <c r="J4220" t="s">
        <v>457</v>
      </c>
      <c r="K4220" s="138">
        <v>24</v>
      </c>
      <c r="L4220" s="137">
        <v>0</v>
      </c>
    </row>
    <row r="4221" spans="7:12" x14ac:dyDescent="0.25">
      <c r="G4221" s="136">
        <v>43479</v>
      </c>
      <c r="H4221" t="s">
        <v>25</v>
      </c>
      <c r="I4221" t="s">
        <v>63</v>
      </c>
      <c r="J4221" t="s">
        <v>457</v>
      </c>
      <c r="K4221" s="138">
        <v>8</v>
      </c>
      <c r="L4221" s="137">
        <v>0</v>
      </c>
    </row>
    <row r="4222" spans="7:12" x14ac:dyDescent="0.25">
      <c r="G4222" s="136">
        <v>43479</v>
      </c>
      <c r="H4222" t="s">
        <v>207</v>
      </c>
      <c r="I4222" t="s">
        <v>112</v>
      </c>
      <c r="J4222" t="s">
        <v>457</v>
      </c>
      <c r="K4222" s="138">
        <v>89.6</v>
      </c>
      <c r="L4222" s="137">
        <v>0</v>
      </c>
    </row>
    <row r="4223" spans="7:12" x14ac:dyDescent="0.25">
      <c r="G4223" s="136">
        <v>43479</v>
      </c>
      <c r="H4223" t="s">
        <v>196</v>
      </c>
      <c r="I4223" t="s">
        <v>42</v>
      </c>
      <c r="J4223" t="s">
        <v>457</v>
      </c>
      <c r="K4223" s="138">
        <v>62.73</v>
      </c>
      <c r="L4223" s="137">
        <v>0</v>
      </c>
    </row>
    <row r="4224" spans="7:12" x14ac:dyDescent="0.25">
      <c r="G4224" s="136">
        <v>43479</v>
      </c>
      <c r="H4224" t="s">
        <v>196</v>
      </c>
      <c r="I4224" t="s">
        <v>171</v>
      </c>
      <c r="J4224" t="s">
        <v>457</v>
      </c>
      <c r="K4224" s="138">
        <v>649.29999999999995</v>
      </c>
      <c r="L4224" s="137">
        <v>0</v>
      </c>
    </row>
    <row r="4225" spans="7:12" x14ac:dyDescent="0.25">
      <c r="G4225" s="136">
        <v>43479</v>
      </c>
      <c r="H4225" t="s">
        <v>180</v>
      </c>
      <c r="I4225" t="s">
        <v>171</v>
      </c>
      <c r="J4225" t="s">
        <v>457</v>
      </c>
      <c r="K4225" s="138">
        <v>20</v>
      </c>
      <c r="L4225" s="137">
        <v>0</v>
      </c>
    </row>
    <row r="4226" spans="7:12" x14ac:dyDescent="0.25">
      <c r="G4226" s="136">
        <v>43479</v>
      </c>
      <c r="H4226" t="s">
        <v>28</v>
      </c>
      <c r="I4226" t="s">
        <v>112</v>
      </c>
      <c r="J4226" t="s">
        <v>457</v>
      </c>
      <c r="K4226" s="138">
        <v>38.340000000000003</v>
      </c>
      <c r="L4226" s="137">
        <v>0</v>
      </c>
    </row>
    <row r="4227" spans="7:12" x14ac:dyDescent="0.25">
      <c r="G4227" s="136">
        <v>43479</v>
      </c>
      <c r="H4227" t="s">
        <v>28</v>
      </c>
      <c r="I4227" t="s">
        <v>155</v>
      </c>
      <c r="J4227" t="s">
        <v>457</v>
      </c>
      <c r="K4227" s="138">
        <v>36.950000000000003</v>
      </c>
      <c r="L4227" s="137">
        <v>0</v>
      </c>
    </row>
    <row r="4228" spans="7:12" x14ac:dyDescent="0.25">
      <c r="G4228" s="136">
        <v>43479</v>
      </c>
      <c r="H4228" t="s">
        <v>28</v>
      </c>
      <c r="I4228" t="s">
        <v>66</v>
      </c>
      <c r="J4228" t="s">
        <v>131</v>
      </c>
      <c r="K4228" s="138">
        <v>1.8</v>
      </c>
      <c r="L4228" s="137">
        <v>0</v>
      </c>
    </row>
    <row r="4229" spans="7:12" x14ac:dyDescent="0.25">
      <c r="G4229" s="136">
        <v>43479</v>
      </c>
      <c r="H4229" t="s">
        <v>28</v>
      </c>
      <c r="I4229" t="s">
        <v>66</v>
      </c>
      <c r="J4229" t="s">
        <v>132</v>
      </c>
      <c r="K4229" s="138">
        <v>14.9</v>
      </c>
      <c r="L4229" s="137">
        <v>0</v>
      </c>
    </row>
    <row r="4230" spans="7:12" x14ac:dyDescent="0.25">
      <c r="G4230" s="136">
        <v>43480</v>
      </c>
      <c r="H4230" t="s">
        <v>27</v>
      </c>
      <c r="I4230" t="s">
        <v>63</v>
      </c>
      <c r="J4230" t="s">
        <v>458</v>
      </c>
      <c r="K4230" s="138">
        <v>8</v>
      </c>
      <c r="L4230" s="137">
        <v>0</v>
      </c>
    </row>
    <row r="4231" spans="7:12" x14ac:dyDescent="0.25">
      <c r="G4231" s="136">
        <v>43480</v>
      </c>
      <c r="H4231" t="s">
        <v>184</v>
      </c>
      <c r="I4231" t="s">
        <v>42</v>
      </c>
      <c r="J4231" t="s">
        <v>458</v>
      </c>
      <c r="K4231" s="138">
        <v>24</v>
      </c>
      <c r="L4231" s="137">
        <v>0</v>
      </c>
    </row>
    <row r="4232" spans="7:12" x14ac:dyDescent="0.25">
      <c r="G4232" s="136">
        <v>43480</v>
      </c>
      <c r="H4232" t="s">
        <v>183</v>
      </c>
      <c r="I4232" t="s">
        <v>63</v>
      </c>
      <c r="J4232" t="s">
        <v>458</v>
      </c>
      <c r="K4232" s="138">
        <v>20</v>
      </c>
      <c r="L4232" s="137">
        <v>0</v>
      </c>
    </row>
    <row r="4233" spans="7:12" x14ac:dyDescent="0.25">
      <c r="G4233" s="136">
        <v>43480</v>
      </c>
      <c r="H4233" t="s">
        <v>183</v>
      </c>
      <c r="I4233" t="s">
        <v>42</v>
      </c>
      <c r="J4233" t="s">
        <v>458</v>
      </c>
      <c r="K4233" s="138">
        <v>20.9</v>
      </c>
      <c r="L4233" s="137">
        <v>0</v>
      </c>
    </row>
    <row r="4234" spans="7:12" x14ac:dyDescent="0.25">
      <c r="G4234" s="136">
        <v>43480</v>
      </c>
      <c r="H4234" t="s">
        <v>25</v>
      </c>
      <c r="I4234" t="s">
        <v>63</v>
      </c>
      <c r="J4234" t="s">
        <v>458</v>
      </c>
      <c r="K4234" s="138">
        <v>32</v>
      </c>
      <c r="L4234" s="137">
        <v>0</v>
      </c>
    </row>
    <row r="4235" spans="7:12" x14ac:dyDescent="0.25">
      <c r="G4235" s="136">
        <v>43480</v>
      </c>
      <c r="H4235" t="s">
        <v>25</v>
      </c>
      <c r="I4235" t="s">
        <v>63</v>
      </c>
      <c r="J4235" t="s">
        <v>458</v>
      </c>
      <c r="K4235" s="138">
        <v>24</v>
      </c>
      <c r="L4235" s="137">
        <v>0</v>
      </c>
    </row>
    <row r="4236" spans="7:12" x14ac:dyDescent="0.25">
      <c r="G4236" s="136">
        <v>43480</v>
      </c>
      <c r="H4236" t="s">
        <v>25</v>
      </c>
      <c r="I4236" t="s">
        <v>63</v>
      </c>
      <c r="J4236" t="s">
        <v>458</v>
      </c>
      <c r="K4236" s="138">
        <v>16</v>
      </c>
      <c r="L4236" s="137">
        <v>0</v>
      </c>
    </row>
    <row r="4237" spans="7:12" x14ac:dyDescent="0.25">
      <c r="G4237" s="136">
        <v>43480</v>
      </c>
      <c r="H4237" t="s">
        <v>25</v>
      </c>
      <c r="I4237" t="s">
        <v>63</v>
      </c>
      <c r="J4237" t="s">
        <v>458</v>
      </c>
      <c r="K4237" s="138">
        <v>8</v>
      </c>
      <c r="L4237" s="137">
        <v>0</v>
      </c>
    </row>
    <row r="4238" spans="7:12" x14ac:dyDescent="0.25">
      <c r="G4238" s="136">
        <v>43480</v>
      </c>
      <c r="H4238" t="s">
        <v>25</v>
      </c>
      <c r="I4238" t="s">
        <v>42</v>
      </c>
      <c r="J4238" t="s">
        <v>458</v>
      </c>
      <c r="K4238" s="138">
        <v>98</v>
      </c>
      <c r="L4238" s="137">
        <v>0</v>
      </c>
    </row>
    <row r="4239" spans="7:12" x14ac:dyDescent="0.25">
      <c r="G4239" s="136">
        <v>43480</v>
      </c>
      <c r="H4239" t="s">
        <v>25</v>
      </c>
      <c r="I4239" t="s">
        <v>42</v>
      </c>
      <c r="J4239" t="s">
        <v>458</v>
      </c>
      <c r="K4239" s="138">
        <v>88</v>
      </c>
      <c r="L4239" s="137">
        <v>0</v>
      </c>
    </row>
    <row r="4240" spans="7:12" x14ac:dyDescent="0.25">
      <c r="G4240" s="136">
        <v>43480</v>
      </c>
      <c r="H4240" t="s">
        <v>181</v>
      </c>
      <c r="I4240" t="s">
        <v>42</v>
      </c>
      <c r="J4240" t="s">
        <v>458</v>
      </c>
      <c r="K4240" s="138">
        <v>181.33</v>
      </c>
      <c r="L4240" s="137">
        <v>0</v>
      </c>
    </row>
    <row r="4241" spans="7:12" x14ac:dyDescent="0.25">
      <c r="G4241" s="136">
        <v>43480</v>
      </c>
      <c r="H4241" t="s">
        <v>28</v>
      </c>
      <c r="I4241" t="s">
        <v>42</v>
      </c>
      <c r="J4241" t="s">
        <v>458</v>
      </c>
      <c r="K4241" s="138">
        <v>52</v>
      </c>
      <c r="L4241" s="137">
        <v>0</v>
      </c>
    </row>
    <row r="4242" spans="7:12" x14ac:dyDescent="0.25">
      <c r="G4242" s="136">
        <v>43481</v>
      </c>
      <c r="H4242" t="s">
        <v>27</v>
      </c>
      <c r="I4242" t="s">
        <v>63</v>
      </c>
      <c r="J4242" t="s">
        <v>459</v>
      </c>
      <c r="K4242" s="138">
        <v>8</v>
      </c>
      <c r="L4242" s="137">
        <v>0</v>
      </c>
    </row>
    <row r="4243" spans="7:12" x14ac:dyDescent="0.25">
      <c r="G4243" s="136">
        <v>43481</v>
      </c>
      <c r="H4243" t="s">
        <v>195</v>
      </c>
      <c r="I4243" t="s">
        <v>63</v>
      </c>
      <c r="J4243" t="s">
        <v>459</v>
      </c>
      <c r="K4243" s="138">
        <v>16</v>
      </c>
      <c r="L4243" s="137">
        <v>0</v>
      </c>
    </row>
    <row r="4244" spans="7:12" x14ac:dyDescent="0.25">
      <c r="G4244" s="136">
        <v>43481</v>
      </c>
      <c r="H4244" t="s">
        <v>25</v>
      </c>
      <c r="I4244" t="s">
        <v>63</v>
      </c>
      <c r="J4244" t="s">
        <v>459</v>
      </c>
      <c r="K4244" s="138">
        <v>64</v>
      </c>
      <c r="L4244" s="137">
        <v>0</v>
      </c>
    </row>
    <row r="4245" spans="7:12" x14ac:dyDescent="0.25">
      <c r="G4245" s="136">
        <v>43481</v>
      </c>
      <c r="H4245" t="s">
        <v>25</v>
      </c>
      <c r="I4245" t="s">
        <v>63</v>
      </c>
      <c r="J4245" t="s">
        <v>459</v>
      </c>
      <c r="K4245" s="138">
        <v>56</v>
      </c>
      <c r="L4245" s="137">
        <v>0</v>
      </c>
    </row>
    <row r="4246" spans="7:12" x14ac:dyDescent="0.25">
      <c r="G4246" s="136">
        <v>43481</v>
      </c>
      <c r="H4246" t="s">
        <v>25</v>
      </c>
      <c r="I4246" t="s">
        <v>63</v>
      </c>
      <c r="J4246" t="s">
        <v>459</v>
      </c>
      <c r="K4246" s="138">
        <v>16</v>
      </c>
      <c r="L4246" s="137">
        <v>0</v>
      </c>
    </row>
    <row r="4247" spans="7:12" x14ac:dyDescent="0.25">
      <c r="G4247" s="136">
        <v>43481</v>
      </c>
      <c r="H4247" t="s">
        <v>25</v>
      </c>
      <c r="I4247" t="s">
        <v>63</v>
      </c>
      <c r="J4247" t="s">
        <v>459</v>
      </c>
      <c r="K4247" s="138">
        <v>8</v>
      </c>
      <c r="L4247" s="137">
        <v>0</v>
      </c>
    </row>
    <row r="4248" spans="7:12" x14ac:dyDescent="0.25">
      <c r="G4248" s="136">
        <v>43481</v>
      </c>
      <c r="H4248" t="s">
        <v>28</v>
      </c>
      <c r="I4248" t="s">
        <v>112</v>
      </c>
      <c r="J4248" t="s">
        <v>459</v>
      </c>
      <c r="K4248" s="138">
        <v>104</v>
      </c>
      <c r="L4248" s="137">
        <v>0</v>
      </c>
    </row>
    <row r="4249" spans="7:12" x14ac:dyDescent="0.25">
      <c r="G4249" s="136">
        <v>43481</v>
      </c>
      <c r="H4249" t="s">
        <v>28</v>
      </c>
      <c r="I4249" t="s">
        <v>155</v>
      </c>
      <c r="J4249" t="s">
        <v>459</v>
      </c>
      <c r="K4249" s="138">
        <v>17.55</v>
      </c>
      <c r="L4249" s="137">
        <v>0</v>
      </c>
    </row>
    <row r="4250" spans="7:12" x14ac:dyDescent="0.25">
      <c r="G4250" s="136">
        <v>43481</v>
      </c>
      <c r="H4250" t="s">
        <v>28</v>
      </c>
      <c r="I4250" t="s">
        <v>155</v>
      </c>
      <c r="J4250" t="s">
        <v>459</v>
      </c>
      <c r="K4250" s="138">
        <v>16.59</v>
      </c>
      <c r="L4250" s="137">
        <v>0</v>
      </c>
    </row>
    <row r="4251" spans="7:12" x14ac:dyDescent="0.25">
      <c r="G4251" s="136">
        <v>43481</v>
      </c>
      <c r="H4251" t="s">
        <v>28</v>
      </c>
      <c r="I4251" t="s">
        <v>155</v>
      </c>
      <c r="J4251" t="s">
        <v>459</v>
      </c>
      <c r="K4251" s="138">
        <v>15.95</v>
      </c>
      <c r="L4251" s="137">
        <v>0</v>
      </c>
    </row>
    <row r="4252" spans="7:12" x14ac:dyDescent="0.25">
      <c r="G4252" s="136">
        <v>43481</v>
      </c>
      <c r="H4252" t="s">
        <v>28</v>
      </c>
      <c r="I4252" t="s">
        <v>66</v>
      </c>
      <c r="J4252" t="s">
        <v>408</v>
      </c>
      <c r="K4252" s="138">
        <v>3</v>
      </c>
      <c r="L4252" s="137">
        <v>0</v>
      </c>
    </row>
    <row r="4253" spans="7:12" x14ac:dyDescent="0.25">
      <c r="G4253" s="136">
        <v>43481</v>
      </c>
      <c r="H4253" t="s">
        <v>28</v>
      </c>
      <c r="I4253" t="s">
        <v>42</v>
      </c>
      <c r="J4253" t="s">
        <v>459</v>
      </c>
      <c r="K4253" s="138">
        <v>19.489999999999998</v>
      </c>
      <c r="L4253" s="137">
        <v>0</v>
      </c>
    </row>
    <row r="4254" spans="7:12" x14ac:dyDescent="0.25">
      <c r="G4254" s="136">
        <v>43482</v>
      </c>
      <c r="H4254" t="s">
        <v>183</v>
      </c>
      <c r="I4254" t="s">
        <v>42</v>
      </c>
      <c r="J4254" t="s">
        <v>460</v>
      </c>
      <c r="K4254" s="138">
        <v>10.07</v>
      </c>
      <c r="L4254" s="137">
        <v>0</v>
      </c>
    </row>
    <row r="4255" spans="7:12" x14ac:dyDescent="0.25">
      <c r="G4255" s="136">
        <v>43482</v>
      </c>
      <c r="H4255" t="s">
        <v>188</v>
      </c>
      <c r="I4255" t="s">
        <v>63</v>
      </c>
      <c r="J4255" t="s">
        <v>460</v>
      </c>
      <c r="K4255" s="138">
        <v>40</v>
      </c>
      <c r="L4255" s="137">
        <v>0</v>
      </c>
    </row>
    <row r="4256" spans="7:12" x14ac:dyDescent="0.25">
      <c r="G4256" s="136">
        <v>43482</v>
      </c>
      <c r="H4256" t="s">
        <v>188</v>
      </c>
      <c r="I4256" t="s">
        <v>42</v>
      </c>
      <c r="J4256" t="s">
        <v>460</v>
      </c>
      <c r="K4256" s="138">
        <v>16</v>
      </c>
      <c r="L4256" s="137">
        <v>0</v>
      </c>
    </row>
    <row r="4257" spans="7:12" x14ac:dyDescent="0.25">
      <c r="G4257" s="136">
        <v>43482</v>
      </c>
      <c r="H4257" t="s">
        <v>25</v>
      </c>
      <c r="I4257" t="s">
        <v>63</v>
      </c>
      <c r="J4257" t="s">
        <v>460</v>
      </c>
      <c r="K4257" s="138">
        <v>24</v>
      </c>
      <c r="L4257" s="137">
        <v>0</v>
      </c>
    </row>
    <row r="4258" spans="7:12" x14ac:dyDescent="0.25">
      <c r="G4258" s="136">
        <v>43482</v>
      </c>
      <c r="H4258" t="s">
        <v>196</v>
      </c>
      <c r="I4258" t="s">
        <v>42</v>
      </c>
      <c r="J4258" t="s">
        <v>460</v>
      </c>
      <c r="K4258" s="138">
        <v>225.46</v>
      </c>
      <c r="L4258" s="137">
        <v>0</v>
      </c>
    </row>
    <row r="4259" spans="7:12" x14ac:dyDescent="0.25">
      <c r="G4259" s="136">
        <v>43482</v>
      </c>
      <c r="H4259" t="s">
        <v>28</v>
      </c>
      <c r="I4259" t="s">
        <v>66</v>
      </c>
      <c r="J4259" t="s">
        <v>390</v>
      </c>
      <c r="K4259" s="138">
        <v>2.7</v>
      </c>
      <c r="L4259" s="137">
        <v>0</v>
      </c>
    </row>
    <row r="4260" spans="7:12" x14ac:dyDescent="0.25">
      <c r="G4260" s="136">
        <v>43482</v>
      </c>
      <c r="H4260" t="s">
        <v>28</v>
      </c>
      <c r="I4260" t="s">
        <v>66</v>
      </c>
      <c r="J4260" t="s">
        <v>108</v>
      </c>
      <c r="K4260" s="138">
        <v>1.8</v>
      </c>
      <c r="L4260" s="137">
        <v>0</v>
      </c>
    </row>
    <row r="4261" spans="7:12" x14ac:dyDescent="0.25">
      <c r="G4261" s="136">
        <v>43482</v>
      </c>
      <c r="H4261" t="s">
        <v>28</v>
      </c>
      <c r="I4261" t="s">
        <v>66</v>
      </c>
      <c r="J4261" t="s">
        <v>109</v>
      </c>
      <c r="K4261" s="138">
        <v>14</v>
      </c>
      <c r="L4261" s="137">
        <v>0</v>
      </c>
    </row>
    <row r="4262" spans="7:12" x14ac:dyDescent="0.25">
      <c r="G4262" s="136">
        <v>43482</v>
      </c>
      <c r="H4262" t="s">
        <v>28</v>
      </c>
      <c r="I4262" t="s">
        <v>66</v>
      </c>
      <c r="J4262" t="s">
        <v>138</v>
      </c>
      <c r="K4262" s="138">
        <v>3</v>
      </c>
      <c r="L4262" s="137">
        <v>0</v>
      </c>
    </row>
    <row r="4263" spans="7:12" x14ac:dyDescent="0.25">
      <c r="G4263" s="136">
        <v>43482</v>
      </c>
      <c r="H4263" t="s">
        <v>28</v>
      </c>
      <c r="I4263" t="s">
        <v>66</v>
      </c>
      <c r="J4263" t="s">
        <v>115</v>
      </c>
      <c r="K4263" s="138">
        <v>18</v>
      </c>
      <c r="L4263" s="137">
        <v>0</v>
      </c>
    </row>
    <row r="4264" spans="7:12" x14ac:dyDescent="0.25">
      <c r="G4264" s="136">
        <v>43483</v>
      </c>
      <c r="H4264" t="s">
        <v>192</v>
      </c>
      <c r="I4264" t="s">
        <v>112</v>
      </c>
      <c r="J4264" t="s">
        <v>461</v>
      </c>
      <c r="K4264" s="138">
        <v>325.32</v>
      </c>
      <c r="L4264" s="137">
        <v>0</v>
      </c>
    </row>
    <row r="4265" spans="7:12" x14ac:dyDescent="0.25">
      <c r="G4265" s="136">
        <v>43483</v>
      </c>
      <c r="H4265" t="s">
        <v>185</v>
      </c>
      <c r="I4265" t="s">
        <v>42</v>
      </c>
      <c r="J4265" t="s">
        <v>461</v>
      </c>
      <c r="K4265" s="138">
        <v>256.42</v>
      </c>
      <c r="L4265" s="137">
        <v>0</v>
      </c>
    </row>
    <row r="4266" spans="7:12" x14ac:dyDescent="0.25">
      <c r="G4266" s="136">
        <v>43483</v>
      </c>
      <c r="H4266" t="s">
        <v>184</v>
      </c>
      <c r="I4266" t="s">
        <v>42</v>
      </c>
      <c r="J4266" t="s">
        <v>461</v>
      </c>
      <c r="K4266" s="138">
        <v>20</v>
      </c>
      <c r="L4266" s="137">
        <v>0</v>
      </c>
    </row>
    <row r="4267" spans="7:12" x14ac:dyDescent="0.25">
      <c r="G4267" s="136">
        <v>43483</v>
      </c>
      <c r="H4267" t="s">
        <v>195</v>
      </c>
      <c r="I4267" t="s">
        <v>63</v>
      </c>
      <c r="J4267" t="s">
        <v>461</v>
      </c>
      <c r="K4267" s="138">
        <v>10</v>
      </c>
      <c r="L4267" s="137">
        <v>0</v>
      </c>
    </row>
    <row r="4268" spans="7:12" x14ac:dyDescent="0.25">
      <c r="G4268" s="136">
        <v>43483</v>
      </c>
      <c r="H4268" t="s">
        <v>195</v>
      </c>
      <c r="I4268" t="s">
        <v>42</v>
      </c>
      <c r="J4268" t="s">
        <v>461</v>
      </c>
      <c r="K4268" s="138">
        <v>12</v>
      </c>
      <c r="L4268" s="137">
        <v>0</v>
      </c>
    </row>
    <row r="4269" spans="7:12" x14ac:dyDescent="0.25">
      <c r="G4269" s="136">
        <v>43483</v>
      </c>
      <c r="H4269" t="s">
        <v>193</v>
      </c>
      <c r="I4269" t="s">
        <v>178</v>
      </c>
      <c r="J4269" t="s">
        <v>461</v>
      </c>
      <c r="K4269" s="138">
        <v>53.73</v>
      </c>
      <c r="L4269" s="137">
        <v>0</v>
      </c>
    </row>
    <row r="4270" spans="7:12" x14ac:dyDescent="0.25">
      <c r="G4270" s="136">
        <v>43483</v>
      </c>
      <c r="H4270" t="s">
        <v>25</v>
      </c>
      <c r="I4270" t="s">
        <v>63</v>
      </c>
      <c r="J4270" t="s">
        <v>461</v>
      </c>
      <c r="K4270" s="138">
        <v>48</v>
      </c>
      <c r="L4270" s="137">
        <v>0</v>
      </c>
    </row>
    <row r="4271" spans="7:12" x14ac:dyDescent="0.25">
      <c r="G4271" s="136">
        <v>43483</v>
      </c>
      <c r="H4271" t="s">
        <v>25</v>
      </c>
      <c r="I4271" t="s">
        <v>63</v>
      </c>
      <c r="J4271" t="s">
        <v>461</v>
      </c>
      <c r="K4271" s="138">
        <v>32</v>
      </c>
      <c r="L4271" s="137">
        <v>0</v>
      </c>
    </row>
    <row r="4272" spans="7:12" x14ac:dyDescent="0.25">
      <c r="G4272" s="136">
        <v>43483</v>
      </c>
      <c r="H4272" t="s">
        <v>25</v>
      </c>
      <c r="I4272" t="s">
        <v>63</v>
      </c>
      <c r="J4272" t="s">
        <v>461</v>
      </c>
      <c r="K4272" s="138">
        <v>16</v>
      </c>
      <c r="L4272" s="137">
        <v>0</v>
      </c>
    </row>
    <row r="4273" spans="7:12" x14ac:dyDescent="0.25">
      <c r="G4273" s="136">
        <v>43483</v>
      </c>
      <c r="H4273" t="s">
        <v>25</v>
      </c>
      <c r="I4273" t="s">
        <v>63</v>
      </c>
      <c r="J4273" t="s">
        <v>461</v>
      </c>
      <c r="K4273" s="138">
        <v>8</v>
      </c>
      <c r="L4273" s="137">
        <v>0</v>
      </c>
    </row>
    <row r="4274" spans="7:12" x14ac:dyDescent="0.25">
      <c r="G4274" s="136">
        <v>43483</v>
      </c>
      <c r="H4274" t="s">
        <v>181</v>
      </c>
      <c r="I4274" t="s">
        <v>42</v>
      </c>
      <c r="J4274" t="s">
        <v>461</v>
      </c>
      <c r="K4274" s="138">
        <v>98.86</v>
      </c>
      <c r="L4274" s="137">
        <v>0</v>
      </c>
    </row>
    <row r="4275" spans="7:12" x14ac:dyDescent="0.25">
      <c r="G4275" s="136">
        <v>43483</v>
      </c>
      <c r="H4275" t="s">
        <v>196</v>
      </c>
      <c r="I4275" t="s">
        <v>42</v>
      </c>
      <c r="J4275" t="s">
        <v>461</v>
      </c>
      <c r="K4275" s="138">
        <v>419.77</v>
      </c>
      <c r="L4275" s="137">
        <v>0</v>
      </c>
    </row>
    <row r="4276" spans="7:12" x14ac:dyDescent="0.25">
      <c r="G4276" s="136">
        <v>43483</v>
      </c>
      <c r="H4276" t="s">
        <v>180</v>
      </c>
      <c r="I4276" t="s">
        <v>42</v>
      </c>
      <c r="J4276" t="s">
        <v>461</v>
      </c>
      <c r="K4276" s="138">
        <v>102.06</v>
      </c>
      <c r="L4276" s="137">
        <v>0</v>
      </c>
    </row>
    <row r="4277" spans="7:12" x14ac:dyDescent="0.25">
      <c r="G4277" s="136">
        <v>43483</v>
      </c>
      <c r="H4277" t="s">
        <v>28</v>
      </c>
      <c r="I4277" t="s">
        <v>155</v>
      </c>
      <c r="J4277" t="s">
        <v>461</v>
      </c>
      <c r="K4277" s="138">
        <v>85.13</v>
      </c>
      <c r="L4277" s="137">
        <v>0</v>
      </c>
    </row>
    <row r="4278" spans="7:12" x14ac:dyDescent="0.25">
      <c r="G4278" s="136">
        <v>43483</v>
      </c>
      <c r="H4278" t="s">
        <v>28</v>
      </c>
      <c r="I4278" t="s">
        <v>155</v>
      </c>
      <c r="J4278" t="s">
        <v>461</v>
      </c>
      <c r="K4278" s="138">
        <v>41.2</v>
      </c>
      <c r="L4278" s="137">
        <v>0</v>
      </c>
    </row>
    <row r="4279" spans="7:12" x14ac:dyDescent="0.25">
      <c r="G4279" s="136">
        <v>43483</v>
      </c>
      <c r="H4279" t="s">
        <v>28</v>
      </c>
      <c r="I4279" t="s">
        <v>155</v>
      </c>
      <c r="J4279" t="s">
        <v>461</v>
      </c>
      <c r="K4279" s="138">
        <v>21.2</v>
      </c>
      <c r="L4279" s="137">
        <v>0</v>
      </c>
    </row>
    <row r="4280" spans="7:12" x14ac:dyDescent="0.25">
      <c r="G4280" s="136">
        <v>43483</v>
      </c>
      <c r="H4280" t="s">
        <v>28</v>
      </c>
      <c r="I4280" t="s">
        <v>66</v>
      </c>
      <c r="J4280" t="s">
        <v>390</v>
      </c>
      <c r="K4280" s="138">
        <v>3.5</v>
      </c>
      <c r="L4280" s="137">
        <v>0</v>
      </c>
    </row>
    <row r="4281" spans="7:12" x14ac:dyDescent="0.25">
      <c r="G4281" s="136">
        <v>43483</v>
      </c>
      <c r="H4281" t="s">
        <v>28</v>
      </c>
      <c r="I4281" t="s">
        <v>66</v>
      </c>
      <c r="J4281" t="s">
        <v>402</v>
      </c>
      <c r="K4281" s="138">
        <v>0.3</v>
      </c>
      <c r="L4281" s="137">
        <v>0</v>
      </c>
    </row>
    <row r="4282" spans="7:12" x14ac:dyDescent="0.25">
      <c r="G4282" s="136">
        <v>43483</v>
      </c>
      <c r="H4282" t="s">
        <v>28</v>
      </c>
      <c r="I4282" t="s">
        <v>66</v>
      </c>
      <c r="J4282" t="s">
        <v>134</v>
      </c>
      <c r="K4282" s="138">
        <v>12</v>
      </c>
      <c r="L4282" s="137">
        <v>0</v>
      </c>
    </row>
    <row r="4283" spans="7:12" x14ac:dyDescent="0.25">
      <c r="G4283" s="136">
        <v>43483</v>
      </c>
      <c r="H4283" t="s">
        <v>28</v>
      </c>
      <c r="I4283" t="s">
        <v>66</v>
      </c>
      <c r="J4283" t="s">
        <v>131</v>
      </c>
      <c r="K4283" s="138">
        <v>4.75</v>
      </c>
      <c r="L4283" s="137">
        <v>0</v>
      </c>
    </row>
    <row r="4284" spans="7:12" x14ac:dyDescent="0.25">
      <c r="G4284" s="136">
        <v>43483</v>
      </c>
      <c r="H4284" t="s">
        <v>28</v>
      </c>
      <c r="I4284" t="s">
        <v>66</v>
      </c>
      <c r="J4284" t="s">
        <v>124</v>
      </c>
      <c r="K4284" s="138">
        <v>10.6</v>
      </c>
      <c r="L4284" s="137">
        <v>0</v>
      </c>
    </row>
    <row r="4285" spans="7:12" x14ac:dyDescent="0.25">
      <c r="G4285" s="136">
        <v>43483</v>
      </c>
      <c r="H4285" t="s">
        <v>28</v>
      </c>
      <c r="I4285" t="s">
        <v>66</v>
      </c>
      <c r="J4285" t="s">
        <v>408</v>
      </c>
      <c r="K4285" s="138">
        <v>3</v>
      </c>
      <c r="L4285" s="137">
        <v>0</v>
      </c>
    </row>
    <row r="4286" spans="7:12" x14ac:dyDescent="0.25">
      <c r="G4286" s="136">
        <v>43483</v>
      </c>
      <c r="H4286" t="s">
        <v>28</v>
      </c>
      <c r="I4286" t="s">
        <v>42</v>
      </c>
      <c r="J4286" t="s">
        <v>461</v>
      </c>
      <c r="K4286" s="138">
        <v>130</v>
      </c>
      <c r="L4286" s="137">
        <v>0</v>
      </c>
    </row>
    <row r="4287" spans="7:12" x14ac:dyDescent="0.25">
      <c r="G4287" s="136">
        <v>43484</v>
      </c>
      <c r="H4287" t="s">
        <v>204</v>
      </c>
      <c r="I4287" t="s">
        <v>176</v>
      </c>
      <c r="J4287" t="s">
        <v>462</v>
      </c>
      <c r="K4287" s="138">
        <v>77.650000000000006</v>
      </c>
      <c r="L4287" s="137">
        <v>0</v>
      </c>
    </row>
    <row r="4288" spans="7:12" x14ac:dyDescent="0.25">
      <c r="G4288" s="136">
        <v>43484</v>
      </c>
      <c r="H4288" t="s">
        <v>203</v>
      </c>
      <c r="I4288" t="s">
        <v>176</v>
      </c>
      <c r="J4288" t="s">
        <v>462</v>
      </c>
      <c r="K4288" s="138">
        <v>532.04999999999995</v>
      </c>
      <c r="L4288" s="137">
        <v>0</v>
      </c>
    </row>
    <row r="4289" spans="7:12" x14ac:dyDescent="0.25">
      <c r="G4289" s="136">
        <v>43484</v>
      </c>
      <c r="H4289" t="s">
        <v>192</v>
      </c>
      <c r="I4289" t="s">
        <v>176</v>
      </c>
      <c r="J4289" t="s">
        <v>462</v>
      </c>
      <c r="K4289" s="138">
        <v>442</v>
      </c>
      <c r="L4289" s="137">
        <v>0</v>
      </c>
    </row>
    <row r="4290" spans="7:12" x14ac:dyDescent="0.25">
      <c r="G4290" s="136">
        <v>43484</v>
      </c>
      <c r="H4290" t="s">
        <v>201</v>
      </c>
      <c r="I4290" t="s">
        <v>176</v>
      </c>
      <c r="J4290" t="s">
        <v>462</v>
      </c>
      <c r="K4290" s="138">
        <v>63.75</v>
      </c>
      <c r="L4290" s="137">
        <v>0</v>
      </c>
    </row>
    <row r="4291" spans="7:12" x14ac:dyDescent="0.25">
      <c r="G4291" s="136">
        <v>43484</v>
      </c>
      <c r="H4291" t="s">
        <v>207</v>
      </c>
      <c r="I4291" t="s">
        <v>176</v>
      </c>
      <c r="J4291" t="s">
        <v>462</v>
      </c>
      <c r="K4291" s="138">
        <v>23.85</v>
      </c>
      <c r="L4291" s="137">
        <v>0</v>
      </c>
    </row>
    <row r="4292" spans="7:12" x14ac:dyDescent="0.25">
      <c r="G4292" s="136">
        <v>43484</v>
      </c>
      <c r="H4292" t="s">
        <v>180</v>
      </c>
      <c r="I4292" t="s">
        <v>176</v>
      </c>
      <c r="J4292" t="s">
        <v>462</v>
      </c>
      <c r="K4292" s="138">
        <v>269.14999999999998</v>
      </c>
      <c r="L4292" s="137">
        <v>0</v>
      </c>
    </row>
    <row r="4293" spans="7:12" x14ac:dyDescent="0.25">
      <c r="G4293" s="136">
        <v>43484</v>
      </c>
      <c r="H4293" t="s">
        <v>179</v>
      </c>
      <c r="I4293" t="s">
        <v>176</v>
      </c>
      <c r="J4293" t="s">
        <v>462</v>
      </c>
      <c r="K4293" s="138">
        <v>603.04999999999995</v>
      </c>
      <c r="L4293" s="137">
        <v>0</v>
      </c>
    </row>
    <row r="4294" spans="7:12" x14ac:dyDescent="0.25">
      <c r="G4294" s="136">
        <v>43486</v>
      </c>
      <c r="H4294" t="s">
        <v>27</v>
      </c>
      <c r="I4294" t="s">
        <v>63</v>
      </c>
      <c r="J4294" t="s">
        <v>463</v>
      </c>
      <c r="K4294" s="138">
        <v>16</v>
      </c>
      <c r="L4294" s="137">
        <v>0</v>
      </c>
    </row>
    <row r="4295" spans="7:12" x14ac:dyDescent="0.25">
      <c r="G4295" s="136">
        <v>43486</v>
      </c>
      <c r="H4295" t="s">
        <v>27</v>
      </c>
      <c r="I4295" t="s">
        <v>63</v>
      </c>
      <c r="J4295" t="s">
        <v>463</v>
      </c>
      <c r="K4295" s="138">
        <v>8</v>
      </c>
      <c r="L4295" s="137">
        <v>0</v>
      </c>
    </row>
    <row r="4296" spans="7:12" x14ac:dyDescent="0.25">
      <c r="G4296" s="136">
        <v>43486</v>
      </c>
      <c r="H4296" t="s">
        <v>186</v>
      </c>
      <c r="I4296" t="s">
        <v>63</v>
      </c>
      <c r="J4296" t="s">
        <v>463</v>
      </c>
      <c r="K4296" s="138">
        <v>98.88</v>
      </c>
      <c r="L4296" s="137">
        <v>0</v>
      </c>
    </row>
    <row r="4297" spans="7:12" x14ac:dyDescent="0.25">
      <c r="G4297" s="136">
        <v>43486</v>
      </c>
      <c r="H4297" t="s">
        <v>183</v>
      </c>
      <c r="I4297" t="s">
        <v>42</v>
      </c>
      <c r="J4297" t="s">
        <v>463</v>
      </c>
      <c r="K4297" s="138">
        <v>88.61</v>
      </c>
      <c r="L4297" s="137">
        <v>0</v>
      </c>
    </row>
    <row r="4298" spans="7:12" x14ac:dyDescent="0.25">
      <c r="G4298" s="136">
        <v>43486</v>
      </c>
      <c r="H4298" t="s">
        <v>25</v>
      </c>
      <c r="I4298" t="s">
        <v>63</v>
      </c>
      <c r="J4298" t="s">
        <v>463</v>
      </c>
      <c r="K4298" s="138">
        <v>88</v>
      </c>
      <c r="L4298" s="137">
        <v>0</v>
      </c>
    </row>
    <row r="4299" spans="7:12" x14ac:dyDescent="0.25">
      <c r="G4299" s="136">
        <v>43486</v>
      </c>
      <c r="H4299" t="s">
        <v>25</v>
      </c>
      <c r="I4299" t="s">
        <v>63</v>
      </c>
      <c r="J4299" t="s">
        <v>463</v>
      </c>
      <c r="K4299" s="138">
        <v>80</v>
      </c>
      <c r="L4299" s="137">
        <v>0</v>
      </c>
    </row>
    <row r="4300" spans="7:12" x14ac:dyDescent="0.25">
      <c r="G4300" s="136">
        <v>43486</v>
      </c>
      <c r="H4300" t="s">
        <v>25</v>
      </c>
      <c r="I4300" t="s">
        <v>63</v>
      </c>
      <c r="J4300" t="s">
        <v>463</v>
      </c>
      <c r="K4300" s="138">
        <v>32</v>
      </c>
      <c r="L4300" s="137">
        <v>0</v>
      </c>
    </row>
    <row r="4301" spans="7:12" x14ac:dyDescent="0.25">
      <c r="G4301" s="136">
        <v>43486</v>
      </c>
      <c r="H4301" t="s">
        <v>25</v>
      </c>
      <c r="I4301" t="s">
        <v>63</v>
      </c>
      <c r="J4301" t="s">
        <v>463</v>
      </c>
      <c r="K4301" s="138">
        <v>24</v>
      </c>
      <c r="L4301" s="137">
        <v>0</v>
      </c>
    </row>
    <row r="4302" spans="7:12" x14ac:dyDescent="0.25">
      <c r="G4302" s="136">
        <v>43486</v>
      </c>
      <c r="H4302" t="s">
        <v>25</v>
      </c>
      <c r="I4302" t="s">
        <v>63</v>
      </c>
      <c r="J4302" t="s">
        <v>463</v>
      </c>
      <c r="K4302" s="138">
        <v>16</v>
      </c>
      <c r="L4302" s="137">
        <v>0</v>
      </c>
    </row>
    <row r="4303" spans="7:12" x14ac:dyDescent="0.25">
      <c r="G4303" s="136">
        <v>43486</v>
      </c>
      <c r="H4303" t="s">
        <v>25</v>
      </c>
      <c r="I4303" t="s">
        <v>63</v>
      </c>
      <c r="J4303" t="s">
        <v>463</v>
      </c>
      <c r="K4303" s="138">
        <v>8</v>
      </c>
      <c r="L4303" s="137">
        <v>0</v>
      </c>
    </row>
    <row r="4304" spans="7:12" x14ac:dyDescent="0.25">
      <c r="G4304" s="136">
        <v>43486</v>
      </c>
      <c r="H4304" t="s">
        <v>28</v>
      </c>
      <c r="I4304" t="s">
        <v>63</v>
      </c>
      <c r="J4304" t="s">
        <v>463</v>
      </c>
      <c r="K4304" s="138">
        <v>16</v>
      </c>
      <c r="L4304" s="137">
        <v>0</v>
      </c>
    </row>
    <row r="4305" spans="7:12" x14ac:dyDescent="0.25">
      <c r="G4305" s="136">
        <v>43486</v>
      </c>
      <c r="H4305" t="s">
        <v>28</v>
      </c>
      <c r="I4305" t="s">
        <v>63</v>
      </c>
      <c r="J4305" t="s">
        <v>463</v>
      </c>
      <c r="K4305" s="138">
        <v>8</v>
      </c>
      <c r="L4305" s="137">
        <v>0</v>
      </c>
    </row>
    <row r="4306" spans="7:12" x14ac:dyDescent="0.25">
      <c r="G4306" s="136">
        <v>43486</v>
      </c>
      <c r="H4306" t="s">
        <v>28</v>
      </c>
      <c r="I4306" t="s">
        <v>66</v>
      </c>
      <c r="J4306" t="s">
        <v>125</v>
      </c>
      <c r="K4306" s="138">
        <v>2.25</v>
      </c>
      <c r="L4306" s="137">
        <v>0</v>
      </c>
    </row>
    <row r="4307" spans="7:12" x14ac:dyDescent="0.25">
      <c r="G4307" s="136">
        <v>43486</v>
      </c>
      <c r="H4307" t="s">
        <v>28</v>
      </c>
      <c r="I4307" t="s">
        <v>66</v>
      </c>
      <c r="J4307" t="s">
        <v>137</v>
      </c>
      <c r="K4307" s="138">
        <v>4.5</v>
      </c>
      <c r="L4307" s="137">
        <v>0</v>
      </c>
    </row>
    <row r="4308" spans="7:12" x14ac:dyDescent="0.25">
      <c r="G4308" s="136">
        <v>43487</v>
      </c>
      <c r="H4308" t="s">
        <v>192</v>
      </c>
      <c r="I4308" t="s">
        <v>112</v>
      </c>
      <c r="J4308" t="s">
        <v>464</v>
      </c>
      <c r="K4308" s="138">
        <v>103.6</v>
      </c>
      <c r="L4308" s="137">
        <v>0</v>
      </c>
    </row>
    <row r="4309" spans="7:12" x14ac:dyDescent="0.25">
      <c r="G4309" s="136">
        <v>43487</v>
      </c>
      <c r="H4309" t="s">
        <v>27</v>
      </c>
      <c r="I4309" t="s">
        <v>63</v>
      </c>
      <c r="J4309" t="s">
        <v>464</v>
      </c>
      <c r="K4309" s="138">
        <v>8</v>
      </c>
      <c r="L4309" s="137">
        <v>0</v>
      </c>
    </row>
    <row r="4310" spans="7:12" x14ac:dyDescent="0.25">
      <c r="G4310" s="136">
        <v>43487</v>
      </c>
      <c r="H4310" t="s">
        <v>183</v>
      </c>
      <c r="I4310" t="s">
        <v>178</v>
      </c>
      <c r="J4310" t="s">
        <v>464</v>
      </c>
      <c r="K4310" s="138">
        <v>125</v>
      </c>
      <c r="L4310" s="137">
        <v>0</v>
      </c>
    </row>
    <row r="4311" spans="7:12" x14ac:dyDescent="0.25">
      <c r="G4311" s="136">
        <v>43487</v>
      </c>
      <c r="H4311" t="s">
        <v>188</v>
      </c>
      <c r="I4311" t="s">
        <v>42</v>
      </c>
      <c r="J4311" t="s">
        <v>464</v>
      </c>
      <c r="K4311" s="138">
        <v>85</v>
      </c>
      <c r="L4311" s="137">
        <v>0</v>
      </c>
    </row>
    <row r="4312" spans="7:12" x14ac:dyDescent="0.25">
      <c r="G4312" s="136">
        <v>43487</v>
      </c>
      <c r="H4312" t="s">
        <v>25</v>
      </c>
      <c r="I4312" t="s">
        <v>63</v>
      </c>
      <c r="J4312" t="s">
        <v>464</v>
      </c>
      <c r="K4312" s="138">
        <v>80</v>
      </c>
      <c r="L4312" s="137">
        <v>0</v>
      </c>
    </row>
    <row r="4313" spans="7:12" x14ac:dyDescent="0.25">
      <c r="G4313" s="136">
        <v>43487</v>
      </c>
      <c r="H4313" t="s">
        <v>25</v>
      </c>
      <c r="I4313" t="s">
        <v>63</v>
      </c>
      <c r="J4313" t="s">
        <v>464</v>
      </c>
      <c r="K4313" s="138">
        <v>56</v>
      </c>
      <c r="L4313" s="137">
        <v>0</v>
      </c>
    </row>
    <row r="4314" spans="7:12" x14ac:dyDescent="0.25">
      <c r="G4314" s="136">
        <v>43487</v>
      </c>
      <c r="H4314" t="s">
        <v>25</v>
      </c>
      <c r="I4314" t="s">
        <v>63</v>
      </c>
      <c r="J4314" t="s">
        <v>464</v>
      </c>
      <c r="K4314" s="138">
        <v>24</v>
      </c>
      <c r="L4314" s="137">
        <v>0</v>
      </c>
    </row>
    <row r="4315" spans="7:12" x14ac:dyDescent="0.25">
      <c r="G4315" s="136">
        <v>43487</v>
      </c>
      <c r="H4315" t="s">
        <v>25</v>
      </c>
      <c r="I4315" t="s">
        <v>63</v>
      </c>
      <c r="J4315" t="s">
        <v>464</v>
      </c>
      <c r="K4315" s="138">
        <v>16</v>
      </c>
      <c r="L4315" s="137">
        <v>0</v>
      </c>
    </row>
    <row r="4316" spans="7:12" x14ac:dyDescent="0.25">
      <c r="G4316" s="136">
        <v>43487</v>
      </c>
      <c r="H4316" t="s">
        <v>25</v>
      </c>
      <c r="I4316" t="s">
        <v>63</v>
      </c>
      <c r="J4316" t="s">
        <v>464</v>
      </c>
      <c r="K4316" s="138">
        <v>8</v>
      </c>
      <c r="L4316" s="137">
        <v>0</v>
      </c>
    </row>
    <row r="4317" spans="7:12" x14ac:dyDescent="0.25">
      <c r="G4317" s="136">
        <v>43487</v>
      </c>
      <c r="H4317" t="s">
        <v>197</v>
      </c>
      <c r="I4317" t="s">
        <v>112</v>
      </c>
      <c r="J4317" t="s">
        <v>464</v>
      </c>
      <c r="K4317" s="138">
        <v>50.36</v>
      </c>
      <c r="L4317" s="137">
        <v>0</v>
      </c>
    </row>
    <row r="4318" spans="7:12" x14ac:dyDescent="0.25">
      <c r="G4318" s="136">
        <v>43487</v>
      </c>
      <c r="H4318" t="s">
        <v>197</v>
      </c>
      <c r="I4318" t="s">
        <v>176</v>
      </c>
      <c r="J4318" t="s">
        <v>464</v>
      </c>
      <c r="K4318" s="138">
        <v>367.45</v>
      </c>
      <c r="L4318" s="137">
        <v>0</v>
      </c>
    </row>
    <row r="4319" spans="7:12" x14ac:dyDescent="0.25">
      <c r="G4319" s="136">
        <v>43487</v>
      </c>
      <c r="H4319" t="s">
        <v>196</v>
      </c>
      <c r="I4319" t="s">
        <v>112</v>
      </c>
      <c r="J4319" t="s">
        <v>464</v>
      </c>
      <c r="K4319" s="138">
        <v>45.75</v>
      </c>
      <c r="L4319" s="137">
        <v>0</v>
      </c>
    </row>
    <row r="4320" spans="7:12" x14ac:dyDescent="0.25">
      <c r="G4320" s="136">
        <v>43487</v>
      </c>
      <c r="H4320" t="s">
        <v>196</v>
      </c>
      <c r="I4320" t="s">
        <v>42</v>
      </c>
      <c r="J4320" t="s">
        <v>464</v>
      </c>
      <c r="K4320" s="138">
        <v>170</v>
      </c>
      <c r="L4320" s="137">
        <v>0</v>
      </c>
    </row>
    <row r="4321" spans="7:12" x14ac:dyDescent="0.25">
      <c r="G4321" s="136">
        <v>43487</v>
      </c>
      <c r="H4321" t="s">
        <v>180</v>
      </c>
      <c r="I4321" t="s">
        <v>42</v>
      </c>
      <c r="J4321" t="s">
        <v>464</v>
      </c>
      <c r="K4321" s="138">
        <v>10</v>
      </c>
      <c r="L4321" s="137">
        <v>0</v>
      </c>
    </row>
    <row r="4322" spans="7:12" x14ac:dyDescent="0.25">
      <c r="G4322" s="136">
        <v>43487</v>
      </c>
      <c r="H4322" t="s">
        <v>28</v>
      </c>
      <c r="I4322" t="s">
        <v>155</v>
      </c>
      <c r="J4322" t="s">
        <v>464</v>
      </c>
      <c r="K4322" s="138">
        <v>38.520000000000003</v>
      </c>
      <c r="L4322" s="137">
        <v>0</v>
      </c>
    </row>
    <row r="4323" spans="7:12" x14ac:dyDescent="0.25">
      <c r="G4323" s="136">
        <v>43487</v>
      </c>
      <c r="H4323" t="s">
        <v>28</v>
      </c>
      <c r="I4323" t="s">
        <v>155</v>
      </c>
      <c r="J4323" t="s">
        <v>464</v>
      </c>
      <c r="K4323" s="138">
        <v>20.8</v>
      </c>
      <c r="L4323" s="137">
        <v>0</v>
      </c>
    </row>
    <row r="4324" spans="7:12" x14ac:dyDescent="0.25">
      <c r="G4324" s="136">
        <v>43488</v>
      </c>
      <c r="H4324" t="s">
        <v>25</v>
      </c>
      <c r="I4324" t="s">
        <v>63</v>
      </c>
      <c r="J4324" t="s">
        <v>465</v>
      </c>
      <c r="K4324" s="138">
        <v>48</v>
      </c>
      <c r="L4324" s="137">
        <v>0</v>
      </c>
    </row>
    <row r="4325" spans="7:12" x14ac:dyDescent="0.25">
      <c r="G4325" s="136">
        <v>43488</v>
      </c>
      <c r="H4325" t="s">
        <v>28</v>
      </c>
      <c r="I4325" t="s">
        <v>155</v>
      </c>
      <c r="J4325" t="s">
        <v>465</v>
      </c>
      <c r="K4325" s="138">
        <v>16.59</v>
      </c>
      <c r="L4325" s="137">
        <v>0</v>
      </c>
    </row>
    <row r="4326" spans="7:12" x14ac:dyDescent="0.25">
      <c r="G4326" s="136">
        <v>43488</v>
      </c>
      <c r="H4326" t="s">
        <v>28</v>
      </c>
      <c r="I4326" t="s">
        <v>155</v>
      </c>
      <c r="J4326" t="s">
        <v>465</v>
      </c>
      <c r="K4326" s="138">
        <v>0</v>
      </c>
      <c r="L4326" s="137">
        <v>16.59</v>
      </c>
    </row>
    <row r="4327" spans="7:12" x14ac:dyDescent="0.25">
      <c r="G4327" s="136">
        <v>43488</v>
      </c>
      <c r="H4327" t="s">
        <v>28</v>
      </c>
      <c r="I4327" t="s">
        <v>66</v>
      </c>
      <c r="J4327" t="s">
        <v>134</v>
      </c>
      <c r="K4327" s="138">
        <v>4.5</v>
      </c>
      <c r="L4327" s="137">
        <v>0</v>
      </c>
    </row>
    <row r="4328" spans="7:12" x14ac:dyDescent="0.25">
      <c r="G4328" s="136">
        <v>43489</v>
      </c>
      <c r="H4328" t="s">
        <v>183</v>
      </c>
      <c r="I4328" t="s">
        <v>42</v>
      </c>
      <c r="J4328" t="s">
        <v>466</v>
      </c>
      <c r="K4328" s="138">
        <v>21.1</v>
      </c>
      <c r="L4328" s="137">
        <v>0</v>
      </c>
    </row>
    <row r="4329" spans="7:12" x14ac:dyDescent="0.25">
      <c r="G4329" s="136">
        <v>43489</v>
      </c>
      <c r="H4329" t="s">
        <v>25</v>
      </c>
      <c r="I4329" t="s">
        <v>63</v>
      </c>
      <c r="J4329" t="s">
        <v>466</v>
      </c>
      <c r="K4329" s="138">
        <v>16</v>
      </c>
      <c r="L4329" s="137">
        <v>0</v>
      </c>
    </row>
    <row r="4330" spans="7:12" x14ac:dyDescent="0.25">
      <c r="G4330" s="136">
        <v>43489</v>
      </c>
      <c r="H4330" t="s">
        <v>180</v>
      </c>
      <c r="I4330" t="s">
        <v>42</v>
      </c>
      <c r="J4330" t="s">
        <v>466</v>
      </c>
      <c r="K4330" s="138">
        <v>64</v>
      </c>
      <c r="L4330" s="137">
        <v>0</v>
      </c>
    </row>
    <row r="4331" spans="7:12" x14ac:dyDescent="0.25">
      <c r="G4331" s="136">
        <v>43489</v>
      </c>
      <c r="H4331" t="s">
        <v>28</v>
      </c>
      <c r="I4331" t="s">
        <v>66</v>
      </c>
      <c r="J4331" t="s">
        <v>75</v>
      </c>
      <c r="K4331" s="138">
        <v>17.399999999999999</v>
      </c>
      <c r="L4331" s="137">
        <v>0</v>
      </c>
    </row>
    <row r="4332" spans="7:12" x14ac:dyDescent="0.25">
      <c r="G4332" s="136">
        <v>43489</v>
      </c>
      <c r="H4332" t="s">
        <v>28</v>
      </c>
      <c r="I4332" t="s">
        <v>42</v>
      </c>
      <c r="J4332" t="s">
        <v>466</v>
      </c>
      <c r="K4332" s="138">
        <v>19</v>
      </c>
      <c r="L4332" s="137">
        <v>0</v>
      </c>
    </row>
    <row r="4333" spans="7:12" x14ac:dyDescent="0.25">
      <c r="G4333" s="136">
        <v>43489</v>
      </c>
      <c r="H4333" t="s">
        <v>28</v>
      </c>
      <c r="I4333" t="s">
        <v>42</v>
      </c>
      <c r="J4333" t="s">
        <v>466</v>
      </c>
      <c r="K4333" s="138">
        <v>6.3</v>
      </c>
      <c r="L4333" s="137">
        <v>0</v>
      </c>
    </row>
    <row r="4334" spans="7:12" x14ac:dyDescent="0.25">
      <c r="G4334" s="136">
        <v>43490</v>
      </c>
      <c r="H4334" t="s">
        <v>27</v>
      </c>
      <c r="I4334" t="s">
        <v>238</v>
      </c>
      <c r="J4334" t="s">
        <v>468</v>
      </c>
      <c r="K4334" s="138">
        <v>77.290000000000006</v>
      </c>
      <c r="L4334" s="137">
        <v>0</v>
      </c>
    </row>
    <row r="4335" spans="7:12" x14ac:dyDescent="0.25">
      <c r="G4335" s="136">
        <v>43490</v>
      </c>
      <c r="H4335" t="s">
        <v>27</v>
      </c>
      <c r="I4335" t="s">
        <v>238</v>
      </c>
      <c r="J4335" t="s">
        <v>468</v>
      </c>
      <c r="K4335" s="138">
        <v>57.39</v>
      </c>
      <c r="L4335" s="137">
        <v>0</v>
      </c>
    </row>
    <row r="4336" spans="7:12" x14ac:dyDescent="0.25">
      <c r="G4336" s="136">
        <v>43490</v>
      </c>
      <c r="H4336" t="s">
        <v>27</v>
      </c>
      <c r="I4336" t="s">
        <v>238</v>
      </c>
      <c r="J4336" t="s">
        <v>468</v>
      </c>
      <c r="K4336" s="138">
        <v>29.42</v>
      </c>
      <c r="L4336" s="137">
        <v>0</v>
      </c>
    </row>
    <row r="4337" spans="7:12" x14ac:dyDescent="0.25">
      <c r="G4337" s="136">
        <v>43490</v>
      </c>
      <c r="H4337" t="s">
        <v>27</v>
      </c>
      <c r="I4337" t="s">
        <v>238</v>
      </c>
      <c r="J4337" t="s">
        <v>468</v>
      </c>
      <c r="K4337" s="138">
        <v>26.94</v>
      </c>
      <c r="L4337" s="137">
        <v>0</v>
      </c>
    </row>
    <row r="4338" spans="7:12" x14ac:dyDescent="0.25">
      <c r="G4338" s="136">
        <v>43490</v>
      </c>
      <c r="H4338" t="s">
        <v>27</v>
      </c>
      <c r="I4338" t="s">
        <v>238</v>
      </c>
      <c r="J4338" t="s">
        <v>468</v>
      </c>
      <c r="K4338" s="138">
        <v>6.74</v>
      </c>
      <c r="L4338" s="137">
        <v>0</v>
      </c>
    </row>
    <row r="4339" spans="7:12" x14ac:dyDescent="0.25">
      <c r="G4339" s="136">
        <v>43490</v>
      </c>
      <c r="H4339" t="s">
        <v>195</v>
      </c>
      <c r="I4339" t="s">
        <v>238</v>
      </c>
      <c r="J4339" t="s">
        <v>468</v>
      </c>
      <c r="K4339" s="138">
        <v>105.16</v>
      </c>
      <c r="L4339" s="137">
        <v>0</v>
      </c>
    </row>
    <row r="4340" spans="7:12" x14ac:dyDescent="0.25">
      <c r="G4340" s="136">
        <v>43490</v>
      </c>
      <c r="H4340" t="s">
        <v>183</v>
      </c>
      <c r="I4340" t="s">
        <v>238</v>
      </c>
      <c r="J4340" t="s">
        <v>468</v>
      </c>
      <c r="K4340" s="138">
        <v>151.41</v>
      </c>
      <c r="L4340" s="137">
        <v>0</v>
      </c>
    </row>
    <row r="4341" spans="7:12" x14ac:dyDescent="0.25">
      <c r="G4341" s="136">
        <v>43490</v>
      </c>
      <c r="H4341" t="s">
        <v>183</v>
      </c>
      <c r="I4341" t="s">
        <v>42</v>
      </c>
      <c r="J4341" t="s">
        <v>467</v>
      </c>
      <c r="K4341" s="138">
        <v>6.25</v>
      </c>
      <c r="L4341" s="137">
        <v>0</v>
      </c>
    </row>
    <row r="4342" spans="7:12" x14ac:dyDescent="0.25">
      <c r="G4342" s="136">
        <v>43490</v>
      </c>
      <c r="H4342" t="s">
        <v>193</v>
      </c>
      <c r="I4342" t="s">
        <v>238</v>
      </c>
      <c r="J4342" t="s">
        <v>468</v>
      </c>
      <c r="K4342" s="138">
        <v>26.43</v>
      </c>
      <c r="L4342" s="137">
        <v>0</v>
      </c>
    </row>
    <row r="4343" spans="7:12" x14ac:dyDescent="0.25">
      <c r="G4343" s="136">
        <v>43490</v>
      </c>
      <c r="H4343" t="s">
        <v>188</v>
      </c>
      <c r="I4343" t="s">
        <v>238</v>
      </c>
      <c r="J4343" t="s">
        <v>468</v>
      </c>
      <c r="K4343" s="138">
        <v>616.58000000000004</v>
      </c>
      <c r="L4343" s="137">
        <v>0</v>
      </c>
    </row>
    <row r="4344" spans="7:12" x14ac:dyDescent="0.25">
      <c r="G4344" s="136">
        <v>43490</v>
      </c>
      <c r="H4344" t="s">
        <v>25</v>
      </c>
      <c r="I4344" t="s">
        <v>63</v>
      </c>
      <c r="J4344" t="s">
        <v>467</v>
      </c>
      <c r="K4344" s="138">
        <v>8</v>
      </c>
      <c r="L4344" s="137">
        <v>0</v>
      </c>
    </row>
    <row r="4345" spans="7:12" x14ac:dyDescent="0.25">
      <c r="G4345" s="136">
        <v>43490</v>
      </c>
      <c r="H4345" t="s">
        <v>25</v>
      </c>
      <c r="I4345" t="s">
        <v>238</v>
      </c>
      <c r="J4345" t="s">
        <v>468</v>
      </c>
      <c r="K4345" s="138">
        <v>1172.44</v>
      </c>
      <c r="L4345" s="137">
        <v>0</v>
      </c>
    </row>
    <row r="4346" spans="7:12" x14ac:dyDescent="0.25">
      <c r="G4346" s="136">
        <v>43490</v>
      </c>
      <c r="H4346" t="s">
        <v>25</v>
      </c>
      <c r="I4346" t="s">
        <v>238</v>
      </c>
      <c r="J4346" t="s">
        <v>468</v>
      </c>
      <c r="K4346" s="138">
        <v>1065.3599999999999</v>
      </c>
      <c r="L4346" s="137">
        <v>0</v>
      </c>
    </row>
    <row r="4347" spans="7:12" x14ac:dyDescent="0.25">
      <c r="G4347" s="136">
        <v>43490</v>
      </c>
      <c r="H4347" t="s">
        <v>25</v>
      </c>
      <c r="I4347" t="s">
        <v>238</v>
      </c>
      <c r="J4347" t="s">
        <v>468</v>
      </c>
      <c r="K4347" s="138">
        <v>1046.49</v>
      </c>
      <c r="L4347" s="137">
        <v>0</v>
      </c>
    </row>
    <row r="4348" spans="7:12" x14ac:dyDescent="0.25">
      <c r="G4348" s="136">
        <v>43490</v>
      </c>
      <c r="H4348" t="s">
        <v>25</v>
      </c>
      <c r="I4348" t="s">
        <v>238</v>
      </c>
      <c r="J4348" t="s">
        <v>468</v>
      </c>
      <c r="K4348" s="138">
        <v>947.29</v>
      </c>
      <c r="L4348" s="137">
        <v>0</v>
      </c>
    </row>
    <row r="4349" spans="7:12" x14ac:dyDescent="0.25">
      <c r="G4349" s="136">
        <v>43490</v>
      </c>
      <c r="H4349" t="s">
        <v>25</v>
      </c>
      <c r="I4349" t="s">
        <v>238</v>
      </c>
      <c r="J4349" t="s">
        <v>468</v>
      </c>
      <c r="K4349" s="138">
        <v>665.62</v>
      </c>
      <c r="L4349" s="137">
        <v>0</v>
      </c>
    </row>
    <row r="4350" spans="7:12" x14ac:dyDescent="0.25">
      <c r="G4350" s="136">
        <v>43490</v>
      </c>
      <c r="H4350" t="s">
        <v>25</v>
      </c>
      <c r="I4350" t="s">
        <v>238</v>
      </c>
      <c r="J4350" t="s">
        <v>468</v>
      </c>
      <c r="K4350" s="138">
        <v>544.92999999999995</v>
      </c>
      <c r="L4350" s="137">
        <v>0</v>
      </c>
    </row>
    <row r="4351" spans="7:12" x14ac:dyDescent="0.25">
      <c r="G4351" s="136">
        <v>43490</v>
      </c>
      <c r="H4351" t="s">
        <v>25</v>
      </c>
      <c r="I4351" t="s">
        <v>238</v>
      </c>
      <c r="J4351" t="s">
        <v>468</v>
      </c>
      <c r="K4351" s="138">
        <v>456.75</v>
      </c>
      <c r="L4351" s="137">
        <v>0</v>
      </c>
    </row>
    <row r="4352" spans="7:12" x14ac:dyDescent="0.25">
      <c r="G4352" s="136">
        <v>43490</v>
      </c>
      <c r="H4352" t="s">
        <v>25</v>
      </c>
      <c r="I4352" t="s">
        <v>238</v>
      </c>
      <c r="J4352" t="s">
        <v>468</v>
      </c>
      <c r="K4352" s="138">
        <v>455.83</v>
      </c>
      <c r="L4352" s="137">
        <v>0</v>
      </c>
    </row>
    <row r="4353" spans="7:12" x14ac:dyDescent="0.25">
      <c r="G4353" s="136">
        <v>43490</v>
      </c>
      <c r="H4353" t="s">
        <v>25</v>
      </c>
      <c r="I4353" t="s">
        <v>238</v>
      </c>
      <c r="J4353" t="s">
        <v>468</v>
      </c>
      <c r="K4353" s="138">
        <v>414.52</v>
      </c>
      <c r="L4353" s="137">
        <v>0</v>
      </c>
    </row>
    <row r="4354" spans="7:12" x14ac:dyDescent="0.25">
      <c r="G4354" s="136">
        <v>43490</v>
      </c>
      <c r="H4354" t="s">
        <v>25</v>
      </c>
      <c r="I4354" t="s">
        <v>238</v>
      </c>
      <c r="J4354" t="s">
        <v>468</v>
      </c>
      <c r="K4354" s="138">
        <v>412.97</v>
      </c>
      <c r="L4354" s="137">
        <v>0</v>
      </c>
    </row>
    <row r="4355" spans="7:12" x14ac:dyDescent="0.25">
      <c r="G4355" s="136">
        <v>43490</v>
      </c>
      <c r="H4355" t="s">
        <v>25</v>
      </c>
      <c r="I4355" t="s">
        <v>238</v>
      </c>
      <c r="J4355" t="s">
        <v>468</v>
      </c>
      <c r="K4355" s="138">
        <v>397.34</v>
      </c>
      <c r="L4355" s="137">
        <v>0</v>
      </c>
    </row>
    <row r="4356" spans="7:12" x14ac:dyDescent="0.25">
      <c r="G4356" s="136">
        <v>43490</v>
      </c>
      <c r="H4356" t="s">
        <v>25</v>
      </c>
      <c r="I4356" t="s">
        <v>238</v>
      </c>
      <c r="J4356" t="s">
        <v>468</v>
      </c>
      <c r="K4356" s="138">
        <v>358.78</v>
      </c>
      <c r="L4356" s="137">
        <v>0</v>
      </c>
    </row>
    <row r="4357" spans="7:12" x14ac:dyDescent="0.25">
      <c r="G4357" s="136">
        <v>43490</v>
      </c>
      <c r="H4357" t="s">
        <v>25</v>
      </c>
      <c r="I4357" t="s">
        <v>238</v>
      </c>
      <c r="J4357" t="s">
        <v>468</v>
      </c>
      <c r="K4357" s="138">
        <v>351.07</v>
      </c>
      <c r="L4357" s="137">
        <v>0</v>
      </c>
    </row>
    <row r="4358" spans="7:12" x14ac:dyDescent="0.25">
      <c r="G4358" s="136">
        <v>43490</v>
      </c>
      <c r="H4358" t="s">
        <v>25</v>
      </c>
      <c r="I4358" t="s">
        <v>238</v>
      </c>
      <c r="J4358" t="s">
        <v>468</v>
      </c>
      <c r="K4358" s="138">
        <v>296.87</v>
      </c>
      <c r="L4358" s="137">
        <v>0</v>
      </c>
    </row>
    <row r="4359" spans="7:12" x14ac:dyDescent="0.25">
      <c r="G4359" s="136">
        <v>43490</v>
      </c>
      <c r="H4359" t="s">
        <v>25</v>
      </c>
      <c r="I4359" t="s">
        <v>238</v>
      </c>
      <c r="J4359" t="s">
        <v>468</v>
      </c>
      <c r="K4359" s="138">
        <v>263.83999999999997</v>
      </c>
      <c r="L4359" s="137">
        <v>0</v>
      </c>
    </row>
    <row r="4360" spans="7:12" x14ac:dyDescent="0.25">
      <c r="G4360" s="136">
        <v>43490</v>
      </c>
      <c r="H4360" t="s">
        <v>25</v>
      </c>
      <c r="I4360" t="s">
        <v>238</v>
      </c>
      <c r="J4360" t="s">
        <v>468</v>
      </c>
      <c r="K4360" s="138">
        <v>256.69</v>
      </c>
      <c r="L4360" s="137">
        <v>0</v>
      </c>
    </row>
    <row r="4361" spans="7:12" x14ac:dyDescent="0.25">
      <c r="G4361" s="136">
        <v>43490</v>
      </c>
      <c r="H4361" t="s">
        <v>25</v>
      </c>
      <c r="I4361" t="s">
        <v>238</v>
      </c>
      <c r="J4361" t="s">
        <v>468</v>
      </c>
      <c r="K4361" s="138">
        <v>246.08</v>
      </c>
      <c r="L4361" s="137">
        <v>0</v>
      </c>
    </row>
    <row r="4362" spans="7:12" x14ac:dyDescent="0.25">
      <c r="G4362" s="136">
        <v>43490</v>
      </c>
      <c r="H4362" t="s">
        <v>25</v>
      </c>
      <c r="I4362" t="s">
        <v>238</v>
      </c>
      <c r="J4362" t="s">
        <v>468</v>
      </c>
      <c r="K4362" s="138">
        <v>173.16</v>
      </c>
      <c r="L4362" s="137">
        <v>0</v>
      </c>
    </row>
    <row r="4363" spans="7:12" x14ac:dyDescent="0.25">
      <c r="G4363" s="136">
        <v>43490</v>
      </c>
      <c r="H4363" t="s">
        <v>25</v>
      </c>
      <c r="I4363" t="s">
        <v>238</v>
      </c>
      <c r="J4363" t="s">
        <v>468</v>
      </c>
      <c r="K4363" s="138">
        <v>134.93</v>
      </c>
      <c r="L4363" s="137">
        <v>0</v>
      </c>
    </row>
    <row r="4364" spans="7:12" x14ac:dyDescent="0.25">
      <c r="G4364" s="136">
        <v>43490</v>
      </c>
      <c r="H4364" t="s">
        <v>25</v>
      </c>
      <c r="I4364" t="s">
        <v>238</v>
      </c>
      <c r="J4364" t="s">
        <v>468</v>
      </c>
      <c r="K4364" s="138">
        <v>112.16</v>
      </c>
      <c r="L4364" s="137">
        <v>0</v>
      </c>
    </row>
    <row r="4365" spans="7:12" x14ac:dyDescent="0.25">
      <c r="G4365" s="136">
        <v>43490</v>
      </c>
      <c r="H4365" t="s">
        <v>25</v>
      </c>
      <c r="I4365" t="s">
        <v>238</v>
      </c>
      <c r="J4365" t="s">
        <v>468</v>
      </c>
      <c r="K4365" s="138">
        <v>103.86</v>
      </c>
      <c r="L4365" s="137">
        <v>0</v>
      </c>
    </row>
    <row r="4366" spans="7:12" x14ac:dyDescent="0.25">
      <c r="G4366" s="136">
        <v>43490</v>
      </c>
      <c r="H4366" t="s">
        <v>25</v>
      </c>
      <c r="I4366" t="s">
        <v>238</v>
      </c>
      <c r="J4366" t="s">
        <v>468</v>
      </c>
      <c r="K4366" s="138">
        <v>103.76</v>
      </c>
      <c r="L4366" s="137">
        <v>0</v>
      </c>
    </row>
    <row r="4367" spans="7:12" x14ac:dyDescent="0.25">
      <c r="G4367" s="136">
        <v>43490</v>
      </c>
      <c r="H4367" t="s">
        <v>25</v>
      </c>
      <c r="I4367" t="s">
        <v>238</v>
      </c>
      <c r="J4367" t="s">
        <v>468</v>
      </c>
      <c r="K4367" s="138">
        <v>100.79</v>
      </c>
      <c r="L4367" s="137">
        <v>0</v>
      </c>
    </row>
    <row r="4368" spans="7:12" x14ac:dyDescent="0.25">
      <c r="G4368" s="136">
        <v>43490</v>
      </c>
      <c r="H4368" t="s">
        <v>25</v>
      </c>
      <c r="I4368" t="s">
        <v>238</v>
      </c>
      <c r="J4368" t="s">
        <v>468</v>
      </c>
      <c r="K4368" s="138">
        <v>96.22</v>
      </c>
      <c r="L4368" s="137">
        <v>0</v>
      </c>
    </row>
    <row r="4369" spans="7:12" x14ac:dyDescent="0.25">
      <c r="G4369" s="136">
        <v>43490</v>
      </c>
      <c r="H4369" t="s">
        <v>25</v>
      </c>
      <c r="I4369" t="s">
        <v>238</v>
      </c>
      <c r="J4369" t="s">
        <v>468</v>
      </c>
      <c r="K4369" s="138">
        <v>95.48</v>
      </c>
      <c r="L4369" s="137">
        <v>0</v>
      </c>
    </row>
    <row r="4370" spans="7:12" x14ac:dyDescent="0.25">
      <c r="G4370" s="136">
        <v>43490</v>
      </c>
      <c r="H4370" t="s">
        <v>25</v>
      </c>
      <c r="I4370" t="s">
        <v>238</v>
      </c>
      <c r="J4370" t="s">
        <v>468</v>
      </c>
      <c r="K4370" s="138">
        <v>87.46</v>
      </c>
      <c r="L4370" s="137">
        <v>0</v>
      </c>
    </row>
    <row r="4371" spans="7:12" x14ac:dyDescent="0.25">
      <c r="G4371" s="136">
        <v>43490</v>
      </c>
      <c r="H4371" t="s">
        <v>25</v>
      </c>
      <c r="I4371" t="s">
        <v>238</v>
      </c>
      <c r="J4371" t="s">
        <v>468</v>
      </c>
      <c r="K4371" s="138">
        <v>83.6</v>
      </c>
      <c r="L4371" s="137">
        <v>0</v>
      </c>
    </row>
    <row r="4372" spans="7:12" x14ac:dyDescent="0.25">
      <c r="G4372" s="136">
        <v>43490</v>
      </c>
      <c r="H4372" t="s">
        <v>25</v>
      </c>
      <c r="I4372" t="s">
        <v>238</v>
      </c>
      <c r="J4372" t="s">
        <v>468</v>
      </c>
      <c r="K4372" s="138">
        <v>80.37</v>
      </c>
      <c r="L4372" s="137">
        <v>0</v>
      </c>
    </row>
    <row r="4373" spans="7:12" x14ac:dyDescent="0.25">
      <c r="G4373" s="136">
        <v>43490</v>
      </c>
      <c r="H4373" t="s">
        <v>25</v>
      </c>
      <c r="I4373" t="s">
        <v>238</v>
      </c>
      <c r="J4373" t="s">
        <v>468</v>
      </c>
      <c r="K4373" s="138">
        <v>65.680000000000007</v>
      </c>
      <c r="L4373" s="137">
        <v>0</v>
      </c>
    </row>
    <row r="4374" spans="7:12" x14ac:dyDescent="0.25">
      <c r="G4374" s="136">
        <v>43490</v>
      </c>
      <c r="H4374" t="s">
        <v>25</v>
      </c>
      <c r="I4374" t="s">
        <v>238</v>
      </c>
      <c r="J4374" t="s">
        <v>468</v>
      </c>
      <c r="K4374" s="138">
        <v>50.37</v>
      </c>
      <c r="L4374" s="137">
        <v>0</v>
      </c>
    </row>
    <row r="4375" spans="7:12" x14ac:dyDescent="0.25">
      <c r="G4375" s="136">
        <v>43490</v>
      </c>
      <c r="H4375" t="s">
        <v>25</v>
      </c>
      <c r="I4375" t="s">
        <v>238</v>
      </c>
      <c r="J4375" t="s">
        <v>468</v>
      </c>
      <c r="K4375" s="138">
        <v>44.6</v>
      </c>
      <c r="L4375" s="137">
        <v>0</v>
      </c>
    </row>
    <row r="4376" spans="7:12" x14ac:dyDescent="0.25">
      <c r="G4376" s="136">
        <v>43490</v>
      </c>
      <c r="H4376" t="s">
        <v>25</v>
      </c>
      <c r="I4376" t="s">
        <v>238</v>
      </c>
      <c r="J4376" t="s">
        <v>468</v>
      </c>
      <c r="K4376" s="138">
        <v>41.31</v>
      </c>
      <c r="L4376" s="137">
        <v>0</v>
      </c>
    </row>
    <row r="4377" spans="7:12" x14ac:dyDescent="0.25">
      <c r="G4377" s="136">
        <v>43490</v>
      </c>
      <c r="H4377" t="s">
        <v>25</v>
      </c>
      <c r="I4377" t="s">
        <v>238</v>
      </c>
      <c r="J4377" t="s">
        <v>468</v>
      </c>
      <c r="K4377" s="138">
        <v>39.33</v>
      </c>
      <c r="L4377" s="137">
        <v>0</v>
      </c>
    </row>
    <row r="4378" spans="7:12" x14ac:dyDescent="0.25">
      <c r="G4378" s="136">
        <v>43490</v>
      </c>
      <c r="H4378" t="s">
        <v>25</v>
      </c>
      <c r="I4378" t="s">
        <v>238</v>
      </c>
      <c r="J4378" t="s">
        <v>468</v>
      </c>
      <c r="K4378" s="138">
        <v>38.42</v>
      </c>
      <c r="L4378" s="137">
        <v>0</v>
      </c>
    </row>
    <row r="4379" spans="7:12" x14ac:dyDescent="0.25">
      <c r="G4379" s="136">
        <v>43490</v>
      </c>
      <c r="H4379" t="s">
        <v>25</v>
      </c>
      <c r="I4379" t="s">
        <v>238</v>
      </c>
      <c r="J4379" t="s">
        <v>468</v>
      </c>
      <c r="K4379" s="138">
        <v>37.36</v>
      </c>
      <c r="L4379" s="137">
        <v>0</v>
      </c>
    </row>
    <row r="4380" spans="7:12" x14ac:dyDescent="0.25">
      <c r="G4380" s="136">
        <v>43490</v>
      </c>
      <c r="H4380" t="s">
        <v>25</v>
      </c>
      <c r="I4380" t="s">
        <v>238</v>
      </c>
      <c r="J4380" t="s">
        <v>468</v>
      </c>
      <c r="K4380" s="138">
        <v>34.630000000000003</v>
      </c>
      <c r="L4380" s="137">
        <v>0</v>
      </c>
    </row>
    <row r="4381" spans="7:12" x14ac:dyDescent="0.25">
      <c r="G4381" s="136">
        <v>43490</v>
      </c>
      <c r="H4381" t="s">
        <v>25</v>
      </c>
      <c r="I4381" t="s">
        <v>238</v>
      </c>
      <c r="J4381" t="s">
        <v>468</v>
      </c>
      <c r="K4381" s="138">
        <v>27.71</v>
      </c>
      <c r="L4381" s="137">
        <v>0</v>
      </c>
    </row>
    <row r="4382" spans="7:12" x14ac:dyDescent="0.25">
      <c r="G4382" s="136">
        <v>43490</v>
      </c>
      <c r="H4382" t="s">
        <v>25</v>
      </c>
      <c r="I4382" t="s">
        <v>238</v>
      </c>
      <c r="J4382" t="s">
        <v>468</v>
      </c>
      <c r="K4382" s="138">
        <v>27.34</v>
      </c>
      <c r="L4382" s="137">
        <v>0</v>
      </c>
    </row>
    <row r="4383" spans="7:12" x14ac:dyDescent="0.25">
      <c r="G4383" s="136">
        <v>43490</v>
      </c>
      <c r="H4383" t="s">
        <v>25</v>
      </c>
      <c r="I4383" t="s">
        <v>238</v>
      </c>
      <c r="J4383" t="s">
        <v>468</v>
      </c>
      <c r="K4383" s="138">
        <v>26.33</v>
      </c>
      <c r="L4383" s="137">
        <v>0</v>
      </c>
    </row>
    <row r="4384" spans="7:12" x14ac:dyDescent="0.25">
      <c r="G4384" s="136">
        <v>43490</v>
      </c>
      <c r="H4384" t="s">
        <v>25</v>
      </c>
      <c r="I4384" t="s">
        <v>238</v>
      </c>
      <c r="J4384" t="s">
        <v>468</v>
      </c>
      <c r="K4384" s="138">
        <v>24.81</v>
      </c>
      <c r="L4384" s="137">
        <v>0</v>
      </c>
    </row>
    <row r="4385" spans="7:12" x14ac:dyDescent="0.25">
      <c r="G4385" s="136">
        <v>43490</v>
      </c>
      <c r="H4385" t="s">
        <v>25</v>
      </c>
      <c r="I4385" t="s">
        <v>238</v>
      </c>
      <c r="J4385" t="s">
        <v>468</v>
      </c>
      <c r="K4385" s="138">
        <v>23.89</v>
      </c>
      <c r="L4385" s="137">
        <v>0</v>
      </c>
    </row>
    <row r="4386" spans="7:12" x14ac:dyDescent="0.25">
      <c r="G4386" s="136">
        <v>43490</v>
      </c>
      <c r="H4386" t="s">
        <v>25</v>
      </c>
      <c r="I4386" t="s">
        <v>238</v>
      </c>
      <c r="J4386" t="s">
        <v>468</v>
      </c>
      <c r="K4386" s="138">
        <v>17.45</v>
      </c>
      <c r="L4386" s="137">
        <v>0</v>
      </c>
    </row>
    <row r="4387" spans="7:12" x14ac:dyDescent="0.25">
      <c r="G4387" s="136">
        <v>43490</v>
      </c>
      <c r="H4387" t="s">
        <v>25</v>
      </c>
      <c r="I4387" t="s">
        <v>238</v>
      </c>
      <c r="J4387" t="s">
        <v>468</v>
      </c>
      <c r="K4387" s="138">
        <v>14.86</v>
      </c>
      <c r="L4387" s="137">
        <v>0</v>
      </c>
    </row>
    <row r="4388" spans="7:12" x14ac:dyDescent="0.25">
      <c r="G4388" s="136">
        <v>43490</v>
      </c>
      <c r="H4388" t="s">
        <v>25</v>
      </c>
      <c r="I4388" t="s">
        <v>238</v>
      </c>
      <c r="J4388" t="s">
        <v>468</v>
      </c>
      <c r="K4388" s="138">
        <v>13.8</v>
      </c>
      <c r="L4388" s="137">
        <v>0</v>
      </c>
    </row>
    <row r="4389" spans="7:12" x14ac:dyDescent="0.25">
      <c r="G4389" s="136">
        <v>43490</v>
      </c>
      <c r="H4389" t="s">
        <v>25</v>
      </c>
      <c r="I4389" t="s">
        <v>238</v>
      </c>
      <c r="J4389" t="s">
        <v>468</v>
      </c>
      <c r="K4389" s="138">
        <v>13.04</v>
      </c>
      <c r="L4389" s="137">
        <v>0</v>
      </c>
    </row>
    <row r="4390" spans="7:12" x14ac:dyDescent="0.25">
      <c r="G4390" s="136">
        <v>43490</v>
      </c>
      <c r="H4390" t="s">
        <v>181</v>
      </c>
      <c r="I4390" t="s">
        <v>42</v>
      </c>
      <c r="J4390" t="s">
        <v>467</v>
      </c>
      <c r="K4390" s="138">
        <v>112.22</v>
      </c>
      <c r="L4390" s="137">
        <v>0</v>
      </c>
    </row>
    <row r="4391" spans="7:12" x14ac:dyDescent="0.25">
      <c r="G4391" s="136">
        <v>43490</v>
      </c>
      <c r="H4391" t="s">
        <v>179</v>
      </c>
      <c r="I4391" t="s">
        <v>238</v>
      </c>
      <c r="J4391" t="s">
        <v>468</v>
      </c>
      <c r="K4391" s="138">
        <v>838</v>
      </c>
      <c r="L4391" s="137">
        <v>0</v>
      </c>
    </row>
    <row r="4392" spans="7:12" x14ac:dyDescent="0.25">
      <c r="G4392" s="136">
        <v>43490</v>
      </c>
      <c r="H4392" t="s">
        <v>28</v>
      </c>
      <c r="I4392" t="s">
        <v>178</v>
      </c>
      <c r="J4392" t="s">
        <v>467</v>
      </c>
      <c r="K4392" s="138">
        <v>9.7799999999999994</v>
      </c>
      <c r="L4392" s="137">
        <v>0</v>
      </c>
    </row>
    <row r="4393" spans="7:12" x14ac:dyDescent="0.25">
      <c r="G4393" s="136">
        <v>43490</v>
      </c>
      <c r="H4393" t="s">
        <v>28</v>
      </c>
      <c r="I4393" t="s">
        <v>155</v>
      </c>
      <c r="J4393" t="s">
        <v>467</v>
      </c>
      <c r="K4393" s="138">
        <v>48</v>
      </c>
      <c r="L4393" s="137">
        <v>0</v>
      </c>
    </row>
    <row r="4394" spans="7:12" x14ac:dyDescent="0.25">
      <c r="G4394" s="136">
        <v>43490</v>
      </c>
      <c r="H4394" t="s">
        <v>28</v>
      </c>
      <c r="I4394" t="s">
        <v>155</v>
      </c>
      <c r="J4394" t="s">
        <v>467</v>
      </c>
      <c r="K4394" s="138">
        <v>40.92</v>
      </c>
      <c r="L4394" s="137">
        <v>0</v>
      </c>
    </row>
    <row r="4395" spans="7:12" x14ac:dyDescent="0.25">
      <c r="G4395" s="136">
        <v>43490</v>
      </c>
      <c r="H4395" t="s">
        <v>28</v>
      </c>
      <c r="I4395" t="s">
        <v>155</v>
      </c>
      <c r="J4395" t="s">
        <v>467</v>
      </c>
      <c r="K4395" s="138">
        <v>15.95</v>
      </c>
      <c r="L4395" s="137">
        <v>0</v>
      </c>
    </row>
    <row r="4396" spans="7:12" x14ac:dyDescent="0.25">
      <c r="G4396" s="136">
        <v>43490</v>
      </c>
      <c r="H4396" t="s">
        <v>28</v>
      </c>
      <c r="I4396" t="s">
        <v>155</v>
      </c>
      <c r="J4396" t="s">
        <v>467</v>
      </c>
      <c r="K4396" s="138">
        <v>0</v>
      </c>
      <c r="L4396" s="137">
        <v>0.17</v>
      </c>
    </row>
    <row r="4397" spans="7:12" x14ac:dyDescent="0.25">
      <c r="G4397" s="136">
        <v>43490</v>
      </c>
      <c r="H4397" t="s">
        <v>28</v>
      </c>
      <c r="I4397" t="s">
        <v>66</v>
      </c>
      <c r="J4397" t="s">
        <v>139</v>
      </c>
      <c r="K4397" s="138">
        <v>36</v>
      </c>
      <c r="L4397" s="137">
        <v>0</v>
      </c>
    </row>
    <row r="4398" spans="7:12" x14ac:dyDescent="0.25">
      <c r="G4398" s="136">
        <v>43490</v>
      </c>
      <c r="H4398" t="s">
        <v>28</v>
      </c>
      <c r="I4398" t="s">
        <v>238</v>
      </c>
      <c r="J4398" t="s">
        <v>468</v>
      </c>
      <c r="K4398" s="138">
        <v>147.4</v>
      </c>
      <c r="L4398" s="137">
        <v>0</v>
      </c>
    </row>
    <row r="4399" spans="7:12" x14ac:dyDescent="0.25">
      <c r="G4399" s="136">
        <v>43490</v>
      </c>
      <c r="H4399" t="s">
        <v>28</v>
      </c>
      <c r="I4399" t="s">
        <v>238</v>
      </c>
      <c r="J4399" t="s">
        <v>468</v>
      </c>
      <c r="K4399" s="138">
        <v>47.61</v>
      </c>
      <c r="L4399" s="137">
        <v>0</v>
      </c>
    </row>
    <row r="4400" spans="7:12" x14ac:dyDescent="0.25">
      <c r="G4400" s="136">
        <v>43490</v>
      </c>
      <c r="H4400" t="s">
        <v>28</v>
      </c>
      <c r="I4400" t="s">
        <v>238</v>
      </c>
      <c r="J4400" t="s">
        <v>468</v>
      </c>
      <c r="K4400" s="138">
        <v>43.5</v>
      </c>
      <c r="L4400" s="137">
        <v>0</v>
      </c>
    </row>
    <row r="4401" spans="7:12" x14ac:dyDescent="0.25">
      <c r="G4401" s="136">
        <v>43490</v>
      </c>
      <c r="H4401" t="s">
        <v>28</v>
      </c>
      <c r="I4401" t="s">
        <v>238</v>
      </c>
      <c r="J4401" t="s">
        <v>468</v>
      </c>
      <c r="K4401" s="138">
        <v>36.82</v>
      </c>
      <c r="L4401" s="137">
        <v>0</v>
      </c>
    </row>
    <row r="4402" spans="7:12" x14ac:dyDescent="0.25">
      <c r="G4402" s="136">
        <v>43490</v>
      </c>
      <c r="H4402" t="s">
        <v>28</v>
      </c>
      <c r="I4402" t="s">
        <v>42</v>
      </c>
      <c r="J4402" t="s">
        <v>467</v>
      </c>
      <c r="K4402" s="138">
        <v>19</v>
      </c>
      <c r="L4402" s="137">
        <v>0</v>
      </c>
    </row>
    <row r="4403" spans="7:12" x14ac:dyDescent="0.25">
      <c r="G4403" s="136">
        <v>43493</v>
      </c>
      <c r="H4403" t="s">
        <v>188</v>
      </c>
      <c r="I4403" t="s">
        <v>178</v>
      </c>
      <c r="J4403" t="s">
        <v>469</v>
      </c>
      <c r="K4403" s="138">
        <v>49.1</v>
      </c>
      <c r="L4403" s="137">
        <v>0</v>
      </c>
    </row>
    <row r="4404" spans="7:12" x14ac:dyDescent="0.25">
      <c r="G4404" s="136">
        <v>43493</v>
      </c>
      <c r="H4404" t="s">
        <v>188</v>
      </c>
      <c r="I4404" t="s">
        <v>112</v>
      </c>
      <c r="J4404" t="s">
        <v>469</v>
      </c>
      <c r="K4404" s="138">
        <v>58.5</v>
      </c>
      <c r="L4404" s="137">
        <v>0</v>
      </c>
    </row>
    <row r="4405" spans="7:12" x14ac:dyDescent="0.25">
      <c r="G4405" s="136">
        <v>43493</v>
      </c>
      <c r="H4405" t="s">
        <v>188</v>
      </c>
      <c r="I4405" t="s">
        <v>155</v>
      </c>
      <c r="J4405" t="s">
        <v>469</v>
      </c>
      <c r="K4405" s="138">
        <v>131.35</v>
      </c>
      <c r="L4405" s="137">
        <v>0</v>
      </c>
    </row>
    <row r="4406" spans="7:12" x14ac:dyDescent="0.25">
      <c r="G4406" s="136">
        <v>43493</v>
      </c>
      <c r="H4406" t="s">
        <v>187</v>
      </c>
      <c r="I4406" t="s">
        <v>42</v>
      </c>
      <c r="J4406" t="s">
        <v>469</v>
      </c>
      <c r="K4406" s="138">
        <v>87.75</v>
      </c>
      <c r="L4406" s="137">
        <v>0</v>
      </c>
    </row>
    <row r="4407" spans="7:12" x14ac:dyDescent="0.25">
      <c r="G4407" s="136">
        <v>43493</v>
      </c>
      <c r="H4407" t="s">
        <v>28</v>
      </c>
      <c r="I4407" t="s">
        <v>112</v>
      </c>
      <c r="J4407" t="s">
        <v>469</v>
      </c>
      <c r="K4407" s="138">
        <v>23.99</v>
      </c>
      <c r="L4407" s="137">
        <v>0</v>
      </c>
    </row>
    <row r="4408" spans="7:12" x14ac:dyDescent="0.25">
      <c r="G4408" s="136">
        <v>43493</v>
      </c>
      <c r="H4408" t="s">
        <v>28</v>
      </c>
      <c r="I4408" t="s">
        <v>155</v>
      </c>
      <c r="J4408" t="s">
        <v>469</v>
      </c>
      <c r="K4408" s="138">
        <v>236.39</v>
      </c>
      <c r="L4408" s="137">
        <v>0</v>
      </c>
    </row>
    <row r="4409" spans="7:12" x14ac:dyDescent="0.25">
      <c r="G4409" s="136">
        <v>43493</v>
      </c>
      <c r="H4409" t="s">
        <v>28</v>
      </c>
      <c r="I4409" t="s">
        <v>155</v>
      </c>
      <c r="J4409" t="s">
        <v>469</v>
      </c>
      <c r="K4409" s="138">
        <v>78</v>
      </c>
      <c r="L4409" s="137">
        <v>0</v>
      </c>
    </row>
    <row r="4410" spans="7:12" x14ac:dyDescent="0.25">
      <c r="G4410" s="136">
        <v>43493</v>
      </c>
      <c r="H4410" t="s">
        <v>28</v>
      </c>
      <c r="I4410" t="s">
        <v>155</v>
      </c>
      <c r="J4410" t="s">
        <v>469</v>
      </c>
      <c r="K4410" s="138">
        <v>48</v>
      </c>
      <c r="L4410" s="137">
        <v>0</v>
      </c>
    </row>
    <row r="4411" spans="7:12" x14ac:dyDescent="0.25">
      <c r="G4411" s="136">
        <v>43493</v>
      </c>
      <c r="H4411" t="s">
        <v>28</v>
      </c>
      <c r="I4411" t="s">
        <v>66</v>
      </c>
      <c r="J4411" t="s">
        <v>282</v>
      </c>
      <c r="K4411" s="138">
        <v>3</v>
      </c>
      <c r="L4411" s="137">
        <v>0</v>
      </c>
    </row>
    <row r="4412" spans="7:12" x14ac:dyDescent="0.25">
      <c r="G4412" s="136">
        <v>43493</v>
      </c>
      <c r="H4412" t="s">
        <v>28</v>
      </c>
      <c r="I4412" t="s">
        <v>66</v>
      </c>
      <c r="J4412" t="s">
        <v>276</v>
      </c>
      <c r="K4412" s="138">
        <v>5.25</v>
      </c>
      <c r="L4412" s="137">
        <v>0</v>
      </c>
    </row>
    <row r="4413" spans="7:12" x14ac:dyDescent="0.25">
      <c r="G4413" s="136">
        <v>43494</v>
      </c>
      <c r="H4413" t="s">
        <v>183</v>
      </c>
      <c r="I4413" t="s">
        <v>155</v>
      </c>
      <c r="J4413" t="s">
        <v>470</v>
      </c>
      <c r="K4413" s="138">
        <v>182.15</v>
      </c>
      <c r="L4413" s="137">
        <v>0</v>
      </c>
    </row>
    <row r="4414" spans="7:12" x14ac:dyDescent="0.25">
      <c r="G4414" s="136">
        <v>43494</v>
      </c>
      <c r="H4414" t="s">
        <v>193</v>
      </c>
      <c r="I4414" t="s">
        <v>163</v>
      </c>
      <c r="J4414" t="s">
        <v>470</v>
      </c>
      <c r="K4414" s="138">
        <v>141.36000000000001</v>
      </c>
      <c r="L4414" s="137">
        <v>0</v>
      </c>
    </row>
    <row r="4415" spans="7:12" x14ac:dyDescent="0.25">
      <c r="G4415" s="136">
        <v>43494</v>
      </c>
      <c r="H4415" t="s">
        <v>188</v>
      </c>
      <c r="I4415" t="s">
        <v>239</v>
      </c>
      <c r="J4415" t="s">
        <v>471</v>
      </c>
      <c r="K4415" s="138">
        <v>48000</v>
      </c>
      <c r="L4415" s="137">
        <v>0</v>
      </c>
    </row>
    <row r="4416" spans="7:12" x14ac:dyDescent="0.25">
      <c r="G4416" s="136">
        <v>43494</v>
      </c>
      <c r="H4416" t="s">
        <v>201</v>
      </c>
      <c r="I4416" t="s">
        <v>63</v>
      </c>
      <c r="J4416" t="s">
        <v>470</v>
      </c>
      <c r="K4416" s="138">
        <v>34.24</v>
      </c>
      <c r="L4416" s="137">
        <v>0</v>
      </c>
    </row>
    <row r="4417" spans="7:12" x14ac:dyDescent="0.25">
      <c r="G4417" s="136">
        <v>43494</v>
      </c>
      <c r="H4417" t="s">
        <v>180</v>
      </c>
      <c r="I4417" t="s">
        <v>42</v>
      </c>
      <c r="J4417" t="s">
        <v>470</v>
      </c>
      <c r="K4417" s="138">
        <v>12.3</v>
      </c>
      <c r="L4417" s="137">
        <v>0</v>
      </c>
    </row>
    <row r="4418" spans="7:12" x14ac:dyDescent="0.25">
      <c r="G4418" s="136">
        <v>43494</v>
      </c>
      <c r="H4418" t="s">
        <v>28</v>
      </c>
      <c r="I4418" t="s">
        <v>155</v>
      </c>
      <c r="J4418" t="s">
        <v>470</v>
      </c>
      <c r="K4418" s="138">
        <v>27.08</v>
      </c>
      <c r="L4418" s="137">
        <v>0</v>
      </c>
    </row>
    <row r="4419" spans="7:12" x14ac:dyDescent="0.25">
      <c r="G4419" s="136">
        <v>43494</v>
      </c>
      <c r="H4419" t="s">
        <v>28</v>
      </c>
      <c r="I4419" t="s">
        <v>66</v>
      </c>
      <c r="J4419" t="s">
        <v>402</v>
      </c>
      <c r="K4419" s="138">
        <v>3</v>
      </c>
      <c r="L4419" s="137">
        <v>0</v>
      </c>
    </row>
    <row r="4420" spans="7:12" x14ac:dyDescent="0.25">
      <c r="G4420" s="136">
        <v>43494</v>
      </c>
      <c r="H4420" t="s">
        <v>28</v>
      </c>
      <c r="I4420" t="s">
        <v>66</v>
      </c>
      <c r="J4420" t="s">
        <v>120</v>
      </c>
      <c r="K4420" s="138">
        <v>14.7</v>
      </c>
      <c r="L4420" s="137">
        <v>0</v>
      </c>
    </row>
    <row r="4421" spans="7:12" x14ac:dyDescent="0.25">
      <c r="G4421" s="136">
        <v>43494</v>
      </c>
      <c r="H4421" t="s">
        <v>28</v>
      </c>
      <c r="I4421" t="s">
        <v>66</v>
      </c>
      <c r="J4421" t="s">
        <v>139</v>
      </c>
      <c r="K4421" s="138">
        <v>11.5</v>
      </c>
      <c r="L4421" s="137">
        <v>0</v>
      </c>
    </row>
    <row r="4422" spans="7:12" x14ac:dyDescent="0.25">
      <c r="G4422" s="136">
        <v>43494</v>
      </c>
      <c r="H4422" t="s">
        <v>28</v>
      </c>
      <c r="I4422" t="s">
        <v>66</v>
      </c>
      <c r="J4422" t="s">
        <v>372</v>
      </c>
      <c r="K4422" s="138">
        <v>22.5</v>
      </c>
      <c r="L4422" s="137">
        <v>0</v>
      </c>
    </row>
    <row r="4423" spans="7:12" x14ac:dyDescent="0.25">
      <c r="G4423" s="136">
        <v>43495</v>
      </c>
      <c r="H4423" t="s">
        <v>25</v>
      </c>
      <c r="I4423" t="s">
        <v>63</v>
      </c>
      <c r="J4423" t="s">
        <v>472</v>
      </c>
      <c r="K4423" s="138">
        <v>48</v>
      </c>
      <c r="L4423" s="137">
        <v>0</v>
      </c>
    </row>
    <row r="4424" spans="7:12" x14ac:dyDescent="0.25">
      <c r="G4424" s="136">
        <v>43495</v>
      </c>
      <c r="H4424" t="s">
        <v>25</v>
      </c>
      <c r="I4424" t="s">
        <v>63</v>
      </c>
      <c r="J4424" t="s">
        <v>472</v>
      </c>
      <c r="K4424" s="138">
        <v>8</v>
      </c>
      <c r="L4424" s="137">
        <v>0</v>
      </c>
    </row>
    <row r="4425" spans="7:12" x14ac:dyDescent="0.25">
      <c r="G4425" s="136">
        <v>43495</v>
      </c>
      <c r="H4425" t="s">
        <v>207</v>
      </c>
      <c r="I4425" t="s">
        <v>112</v>
      </c>
      <c r="J4425" t="s">
        <v>472</v>
      </c>
      <c r="K4425" s="138">
        <v>31.5</v>
      </c>
      <c r="L4425" s="137">
        <v>0</v>
      </c>
    </row>
    <row r="4426" spans="7:12" x14ac:dyDescent="0.25">
      <c r="G4426" s="136">
        <v>43495</v>
      </c>
      <c r="H4426" t="s">
        <v>180</v>
      </c>
      <c r="I4426" t="s">
        <v>63</v>
      </c>
      <c r="J4426" t="s">
        <v>472</v>
      </c>
      <c r="K4426" s="138">
        <v>75.48</v>
      </c>
      <c r="L4426" s="137">
        <v>0</v>
      </c>
    </row>
    <row r="4427" spans="7:12" x14ac:dyDescent="0.25">
      <c r="G4427" s="136">
        <v>43495</v>
      </c>
      <c r="H4427" t="s">
        <v>180</v>
      </c>
      <c r="I4427" t="s">
        <v>163</v>
      </c>
      <c r="J4427" t="s">
        <v>472</v>
      </c>
      <c r="K4427" s="138">
        <v>25.95</v>
      </c>
      <c r="L4427" s="137">
        <v>0</v>
      </c>
    </row>
    <row r="4428" spans="7:12" x14ac:dyDescent="0.25">
      <c r="G4428" s="136">
        <v>43495</v>
      </c>
      <c r="H4428" t="s">
        <v>180</v>
      </c>
      <c r="I4428" t="s">
        <v>42</v>
      </c>
      <c r="J4428" t="s">
        <v>472</v>
      </c>
      <c r="K4428" s="138">
        <v>51.5</v>
      </c>
      <c r="L4428" s="137">
        <v>0</v>
      </c>
    </row>
    <row r="4429" spans="7:12" x14ac:dyDescent="0.25">
      <c r="G4429" s="136">
        <v>43495</v>
      </c>
      <c r="H4429" t="s">
        <v>28</v>
      </c>
      <c r="I4429" t="s">
        <v>155</v>
      </c>
      <c r="J4429" t="s">
        <v>472</v>
      </c>
      <c r="K4429" s="138">
        <v>354.12</v>
      </c>
      <c r="L4429" s="137">
        <v>0</v>
      </c>
    </row>
    <row r="4430" spans="7:12" x14ac:dyDescent="0.25">
      <c r="G4430" s="136">
        <v>43495</v>
      </c>
      <c r="H4430" t="s">
        <v>28</v>
      </c>
      <c r="I4430" t="s">
        <v>66</v>
      </c>
      <c r="J4430" t="s">
        <v>137</v>
      </c>
      <c r="K4430" s="138">
        <v>9.1999999999999993</v>
      </c>
      <c r="L4430" s="137">
        <v>0</v>
      </c>
    </row>
    <row r="4431" spans="7:12" x14ac:dyDescent="0.25">
      <c r="G4431" s="136">
        <v>43495</v>
      </c>
      <c r="H4431" t="s">
        <v>28</v>
      </c>
      <c r="I4431" t="s">
        <v>66</v>
      </c>
      <c r="J4431" t="s">
        <v>266</v>
      </c>
      <c r="K4431" s="138">
        <v>5</v>
      </c>
      <c r="L4431" s="137">
        <v>0</v>
      </c>
    </row>
    <row r="4432" spans="7:12" x14ac:dyDescent="0.25">
      <c r="G4432" s="136">
        <v>43495</v>
      </c>
      <c r="H4432" t="s">
        <v>28</v>
      </c>
      <c r="I4432" t="s">
        <v>66</v>
      </c>
      <c r="J4432" t="s">
        <v>115</v>
      </c>
      <c r="K4432" s="138">
        <v>9</v>
      </c>
      <c r="L4432" s="137">
        <v>0</v>
      </c>
    </row>
    <row r="4433" spans="7:12" x14ac:dyDescent="0.25">
      <c r="G4433" s="136">
        <v>43496</v>
      </c>
      <c r="H4433" t="s">
        <v>27</v>
      </c>
      <c r="I4433" t="s">
        <v>63</v>
      </c>
      <c r="J4433" t="s">
        <v>473</v>
      </c>
      <c r="K4433" s="138">
        <v>8</v>
      </c>
      <c r="L4433" s="137">
        <v>0</v>
      </c>
    </row>
    <row r="4434" spans="7:12" x14ac:dyDescent="0.25">
      <c r="G4434" s="136">
        <v>43496</v>
      </c>
      <c r="H4434" t="s">
        <v>183</v>
      </c>
      <c r="I4434" t="s">
        <v>163</v>
      </c>
      <c r="J4434" t="s">
        <v>473</v>
      </c>
      <c r="K4434" s="138">
        <v>47.99</v>
      </c>
      <c r="L4434" s="137">
        <v>0</v>
      </c>
    </row>
    <row r="4435" spans="7:12" x14ac:dyDescent="0.25">
      <c r="G4435" s="136">
        <v>43496</v>
      </c>
      <c r="H4435" t="s">
        <v>25</v>
      </c>
      <c r="I4435" t="s">
        <v>63</v>
      </c>
      <c r="J4435" t="s">
        <v>473</v>
      </c>
      <c r="K4435" s="138">
        <v>16</v>
      </c>
      <c r="L4435" s="137">
        <v>0</v>
      </c>
    </row>
    <row r="4436" spans="7:12" x14ac:dyDescent="0.25">
      <c r="G4436" s="136">
        <v>43496</v>
      </c>
      <c r="H4436" t="s">
        <v>28</v>
      </c>
      <c r="I4436" t="s">
        <v>66</v>
      </c>
      <c r="J4436" t="s">
        <v>390</v>
      </c>
      <c r="K4436" s="138">
        <v>3</v>
      </c>
      <c r="L4436" s="137">
        <v>0</v>
      </c>
    </row>
    <row r="4437" spans="7:12" x14ac:dyDescent="0.25">
      <c r="G4437" s="136">
        <v>43496</v>
      </c>
      <c r="H4437" t="s">
        <v>28</v>
      </c>
      <c r="I4437" t="s">
        <v>66</v>
      </c>
      <c r="J4437" t="s">
        <v>124</v>
      </c>
      <c r="K4437" s="138">
        <v>6.5</v>
      </c>
      <c r="L4437" s="137">
        <v>0</v>
      </c>
    </row>
    <row r="4438" spans="7:12" x14ac:dyDescent="0.25">
      <c r="G4438" s="136">
        <v>43496</v>
      </c>
      <c r="H4438" t="s">
        <v>28</v>
      </c>
      <c r="I4438" t="s">
        <v>66</v>
      </c>
      <c r="J4438" t="s">
        <v>98</v>
      </c>
      <c r="K4438" s="138">
        <v>14</v>
      </c>
      <c r="L4438" s="137">
        <v>0</v>
      </c>
    </row>
    <row r="4439" spans="7:12" x14ac:dyDescent="0.25">
      <c r="G4439" s="136">
        <v>43496</v>
      </c>
      <c r="H4439" t="s">
        <v>28</v>
      </c>
      <c r="I4439" t="s">
        <v>66</v>
      </c>
      <c r="J4439" t="s">
        <v>114</v>
      </c>
      <c r="K4439" s="138">
        <v>9.1999999999999993</v>
      </c>
      <c r="L4439" s="137">
        <v>0</v>
      </c>
    </row>
    <row r="4440" spans="7:12" x14ac:dyDescent="0.25">
      <c r="G4440" s="136">
        <v>43497</v>
      </c>
      <c r="H4440" t="s">
        <v>27</v>
      </c>
      <c r="I4440" t="s">
        <v>63</v>
      </c>
      <c r="J4440" t="s">
        <v>474</v>
      </c>
      <c r="K4440" s="138">
        <v>8</v>
      </c>
      <c r="L4440" s="137">
        <v>0</v>
      </c>
    </row>
    <row r="4441" spans="7:12" x14ac:dyDescent="0.25">
      <c r="G4441" s="136">
        <v>43497</v>
      </c>
      <c r="H4441" t="s">
        <v>183</v>
      </c>
      <c r="I4441" t="s">
        <v>163</v>
      </c>
      <c r="J4441" t="s">
        <v>474</v>
      </c>
      <c r="K4441" s="138">
        <v>113.89</v>
      </c>
      <c r="L4441" s="137">
        <v>0</v>
      </c>
    </row>
    <row r="4442" spans="7:12" x14ac:dyDescent="0.25">
      <c r="G4442" s="136">
        <v>43497</v>
      </c>
      <c r="H4442" t="s">
        <v>183</v>
      </c>
      <c r="I4442" t="s">
        <v>178</v>
      </c>
      <c r="J4442" t="s">
        <v>474</v>
      </c>
      <c r="K4442" s="138">
        <v>25</v>
      </c>
      <c r="L4442" s="137">
        <v>0</v>
      </c>
    </row>
    <row r="4443" spans="7:12" x14ac:dyDescent="0.25">
      <c r="G4443" s="136">
        <v>43497</v>
      </c>
      <c r="H4443" t="s">
        <v>191</v>
      </c>
      <c r="I4443" t="s">
        <v>163</v>
      </c>
      <c r="J4443" t="s">
        <v>474</v>
      </c>
      <c r="K4443" s="138">
        <v>66.900000000000006</v>
      </c>
      <c r="L4443" s="137">
        <v>0</v>
      </c>
    </row>
    <row r="4444" spans="7:12" x14ac:dyDescent="0.25">
      <c r="G4444" s="136">
        <v>43497</v>
      </c>
      <c r="H4444" t="s">
        <v>190</v>
      </c>
      <c r="I4444" t="s">
        <v>42</v>
      </c>
      <c r="J4444" t="s">
        <v>474</v>
      </c>
      <c r="K4444" s="138">
        <v>5</v>
      </c>
      <c r="L4444" s="137">
        <v>0</v>
      </c>
    </row>
    <row r="4445" spans="7:12" x14ac:dyDescent="0.25">
      <c r="G4445" s="136">
        <v>43497</v>
      </c>
      <c r="H4445" t="s">
        <v>25</v>
      </c>
      <c r="I4445" t="s">
        <v>63</v>
      </c>
      <c r="J4445" t="s">
        <v>474</v>
      </c>
      <c r="K4445" s="138">
        <v>72</v>
      </c>
      <c r="L4445" s="137">
        <v>0</v>
      </c>
    </row>
    <row r="4446" spans="7:12" x14ac:dyDescent="0.25">
      <c r="G4446" s="136">
        <v>43497</v>
      </c>
      <c r="H4446" t="s">
        <v>25</v>
      </c>
      <c r="I4446" t="s">
        <v>63</v>
      </c>
      <c r="J4446" t="s">
        <v>474</v>
      </c>
      <c r="K4446" s="138">
        <v>40</v>
      </c>
      <c r="L4446" s="137">
        <v>0</v>
      </c>
    </row>
    <row r="4447" spans="7:12" x14ac:dyDescent="0.25">
      <c r="G4447" s="136">
        <v>43497</v>
      </c>
      <c r="H4447" t="s">
        <v>25</v>
      </c>
      <c r="I4447" t="s">
        <v>63</v>
      </c>
      <c r="J4447" t="s">
        <v>474</v>
      </c>
      <c r="K4447" s="138">
        <v>24</v>
      </c>
      <c r="L4447" s="137">
        <v>0</v>
      </c>
    </row>
    <row r="4448" spans="7:12" x14ac:dyDescent="0.25">
      <c r="G4448" s="136">
        <v>43497</v>
      </c>
      <c r="H4448" t="s">
        <v>25</v>
      </c>
      <c r="I4448" t="s">
        <v>63</v>
      </c>
      <c r="J4448" t="s">
        <v>474</v>
      </c>
      <c r="K4448" s="138">
        <v>16</v>
      </c>
      <c r="L4448" s="137">
        <v>0</v>
      </c>
    </row>
    <row r="4449" spans="7:12" x14ac:dyDescent="0.25">
      <c r="G4449" s="136">
        <v>43497</v>
      </c>
      <c r="H4449" t="s">
        <v>25</v>
      </c>
      <c r="I4449" t="s">
        <v>63</v>
      </c>
      <c r="J4449" t="s">
        <v>474</v>
      </c>
      <c r="K4449" s="138">
        <v>8</v>
      </c>
      <c r="L4449" s="137">
        <v>0</v>
      </c>
    </row>
    <row r="4450" spans="7:12" x14ac:dyDescent="0.25">
      <c r="G4450" s="136">
        <v>43497</v>
      </c>
      <c r="H4450" t="s">
        <v>25</v>
      </c>
      <c r="I4450" t="s">
        <v>42</v>
      </c>
      <c r="J4450" t="s">
        <v>474</v>
      </c>
      <c r="K4450" s="138">
        <v>126</v>
      </c>
      <c r="L4450" s="137">
        <v>0</v>
      </c>
    </row>
    <row r="4451" spans="7:12" x14ac:dyDescent="0.25">
      <c r="G4451" s="136">
        <v>43497</v>
      </c>
      <c r="H4451" t="s">
        <v>25</v>
      </c>
      <c r="I4451" t="s">
        <v>42</v>
      </c>
      <c r="J4451" t="s">
        <v>474</v>
      </c>
      <c r="K4451" s="138">
        <v>18</v>
      </c>
      <c r="L4451" s="137">
        <v>0</v>
      </c>
    </row>
    <row r="4452" spans="7:12" x14ac:dyDescent="0.25">
      <c r="G4452" s="136">
        <v>43497</v>
      </c>
      <c r="H4452" t="s">
        <v>207</v>
      </c>
      <c r="I4452" t="s">
        <v>112</v>
      </c>
      <c r="J4452" t="s">
        <v>474</v>
      </c>
      <c r="K4452" s="138">
        <v>39</v>
      </c>
      <c r="L4452" s="137">
        <v>0</v>
      </c>
    </row>
    <row r="4453" spans="7:12" x14ac:dyDescent="0.25">
      <c r="G4453" s="136">
        <v>43497</v>
      </c>
      <c r="H4453" t="s">
        <v>187</v>
      </c>
      <c r="I4453" t="s">
        <v>42</v>
      </c>
      <c r="J4453" t="s">
        <v>474</v>
      </c>
      <c r="K4453" s="138">
        <v>30</v>
      </c>
      <c r="L4453" s="137">
        <v>0</v>
      </c>
    </row>
    <row r="4454" spans="7:12" x14ac:dyDescent="0.25">
      <c r="G4454" s="136">
        <v>43497</v>
      </c>
      <c r="H4454" t="s">
        <v>28</v>
      </c>
      <c r="I4454" t="s">
        <v>112</v>
      </c>
      <c r="J4454" t="s">
        <v>474</v>
      </c>
      <c r="K4454" s="138">
        <v>104</v>
      </c>
      <c r="L4454" s="137">
        <v>0</v>
      </c>
    </row>
    <row r="4455" spans="7:12" x14ac:dyDescent="0.25">
      <c r="G4455" s="136">
        <v>43497</v>
      </c>
      <c r="H4455" t="s">
        <v>28</v>
      </c>
      <c r="I4455" t="s">
        <v>155</v>
      </c>
      <c r="J4455" t="s">
        <v>474</v>
      </c>
      <c r="K4455" s="138">
        <v>102.77</v>
      </c>
      <c r="L4455" s="137">
        <v>0</v>
      </c>
    </row>
    <row r="4456" spans="7:12" x14ac:dyDescent="0.25">
      <c r="G4456" s="136">
        <v>43497</v>
      </c>
      <c r="H4456" t="s">
        <v>28</v>
      </c>
      <c r="I4456" t="s">
        <v>155</v>
      </c>
      <c r="J4456" t="s">
        <v>474</v>
      </c>
      <c r="K4456" s="138">
        <v>18.600000000000001</v>
      </c>
      <c r="L4456" s="137">
        <v>0</v>
      </c>
    </row>
    <row r="4457" spans="7:12" x14ac:dyDescent="0.25">
      <c r="G4457" s="136">
        <v>43497</v>
      </c>
      <c r="H4457" t="s">
        <v>28</v>
      </c>
      <c r="I4457" t="s">
        <v>155</v>
      </c>
      <c r="J4457" t="s">
        <v>474</v>
      </c>
      <c r="K4457" s="138">
        <v>13.5</v>
      </c>
      <c r="L4457" s="137">
        <v>0</v>
      </c>
    </row>
    <row r="4458" spans="7:12" x14ac:dyDescent="0.25">
      <c r="G4458" s="136">
        <v>43497</v>
      </c>
      <c r="H4458" t="s">
        <v>28</v>
      </c>
      <c r="I4458" t="s">
        <v>66</v>
      </c>
      <c r="J4458" t="s">
        <v>390</v>
      </c>
      <c r="K4458" s="138">
        <v>3</v>
      </c>
      <c r="L4458" s="137">
        <v>0</v>
      </c>
    </row>
    <row r="4459" spans="7:12" x14ac:dyDescent="0.25">
      <c r="G4459" s="136">
        <v>43497</v>
      </c>
      <c r="H4459" t="s">
        <v>28</v>
      </c>
      <c r="I4459" t="s">
        <v>66</v>
      </c>
      <c r="J4459" t="s">
        <v>109</v>
      </c>
      <c r="K4459" s="138">
        <v>7</v>
      </c>
      <c r="L4459" s="137">
        <v>0</v>
      </c>
    </row>
    <row r="4460" spans="7:12" x14ac:dyDescent="0.25">
      <c r="G4460" s="136">
        <v>43497</v>
      </c>
      <c r="H4460" t="s">
        <v>28</v>
      </c>
      <c r="I4460" t="s">
        <v>66</v>
      </c>
      <c r="J4460" t="s">
        <v>99</v>
      </c>
      <c r="K4460" s="138">
        <v>31.3</v>
      </c>
      <c r="L4460" s="137">
        <v>0</v>
      </c>
    </row>
    <row r="4461" spans="7:12" x14ac:dyDescent="0.25">
      <c r="G4461" s="136">
        <v>43497</v>
      </c>
      <c r="H4461" t="s">
        <v>28</v>
      </c>
      <c r="I4461" t="s">
        <v>42</v>
      </c>
      <c r="J4461" t="s">
        <v>474</v>
      </c>
      <c r="K4461" s="138">
        <v>110.5</v>
      </c>
      <c r="L4461" s="137">
        <v>0</v>
      </c>
    </row>
    <row r="4462" spans="7:12" x14ac:dyDescent="0.25">
      <c r="G4462" s="136">
        <v>43498</v>
      </c>
      <c r="H4462" t="s">
        <v>183</v>
      </c>
      <c r="I4462" t="s">
        <v>42</v>
      </c>
      <c r="J4462" t="s">
        <v>475</v>
      </c>
      <c r="K4462" s="138">
        <v>37.14</v>
      </c>
      <c r="L4462" s="137">
        <v>0</v>
      </c>
    </row>
    <row r="4463" spans="7:12" x14ac:dyDescent="0.25">
      <c r="G4463" s="136">
        <v>43498</v>
      </c>
      <c r="H4463" t="s">
        <v>191</v>
      </c>
      <c r="I4463" t="s">
        <v>163</v>
      </c>
      <c r="J4463" t="s">
        <v>475</v>
      </c>
      <c r="K4463" s="138">
        <v>25</v>
      </c>
      <c r="L4463" s="137">
        <v>0</v>
      </c>
    </row>
    <row r="4464" spans="7:12" x14ac:dyDescent="0.25">
      <c r="G4464" s="136">
        <v>43498</v>
      </c>
      <c r="H4464" t="s">
        <v>188</v>
      </c>
      <c r="I4464" t="s">
        <v>175</v>
      </c>
      <c r="J4464" t="s">
        <v>475</v>
      </c>
      <c r="K4464" s="138">
        <v>13570</v>
      </c>
      <c r="L4464" s="137">
        <v>0</v>
      </c>
    </row>
    <row r="4465" spans="7:12" x14ac:dyDescent="0.25">
      <c r="G4465" s="136">
        <v>43498</v>
      </c>
      <c r="H4465" t="s">
        <v>187</v>
      </c>
      <c r="I4465" t="s">
        <v>42</v>
      </c>
      <c r="J4465" t="s">
        <v>475</v>
      </c>
      <c r="K4465" s="138">
        <v>40</v>
      </c>
      <c r="L4465" s="137">
        <v>0</v>
      </c>
    </row>
    <row r="4466" spans="7:12" x14ac:dyDescent="0.25">
      <c r="G4466" s="136">
        <v>43498</v>
      </c>
      <c r="H4466" t="s">
        <v>28</v>
      </c>
      <c r="I4466" t="s">
        <v>163</v>
      </c>
      <c r="J4466" t="s">
        <v>475</v>
      </c>
      <c r="K4466" s="138">
        <v>30</v>
      </c>
      <c r="L4466" s="137">
        <v>0</v>
      </c>
    </row>
    <row r="4467" spans="7:12" x14ac:dyDescent="0.25">
      <c r="G4467" s="136">
        <v>43498</v>
      </c>
      <c r="H4467" t="s">
        <v>28</v>
      </c>
      <c r="I4467" t="s">
        <v>66</v>
      </c>
      <c r="J4467" t="s">
        <v>106</v>
      </c>
      <c r="K4467" s="138">
        <v>2.25</v>
      </c>
      <c r="L4467" s="137">
        <v>0</v>
      </c>
    </row>
    <row r="4468" spans="7:12" x14ac:dyDescent="0.25">
      <c r="G4468" s="136">
        <v>43498</v>
      </c>
      <c r="H4468" t="s">
        <v>28</v>
      </c>
      <c r="I4468" t="s">
        <v>66</v>
      </c>
      <c r="J4468" t="s">
        <v>123</v>
      </c>
      <c r="K4468" s="138">
        <v>9.75</v>
      </c>
      <c r="L4468" s="137">
        <v>0</v>
      </c>
    </row>
    <row r="4469" spans="7:12" x14ac:dyDescent="0.25">
      <c r="G4469" s="136">
        <v>43500</v>
      </c>
      <c r="H4469" t="s">
        <v>192</v>
      </c>
      <c r="I4469" t="s">
        <v>63</v>
      </c>
      <c r="J4469" t="s">
        <v>476</v>
      </c>
      <c r="K4469" s="138">
        <v>23.99</v>
      </c>
      <c r="L4469" s="137">
        <v>0</v>
      </c>
    </row>
    <row r="4470" spans="7:12" x14ac:dyDescent="0.25">
      <c r="G4470" s="136">
        <v>43500</v>
      </c>
      <c r="H4470" t="s">
        <v>183</v>
      </c>
      <c r="I4470" t="s">
        <v>171</v>
      </c>
      <c r="J4470" t="s">
        <v>476</v>
      </c>
      <c r="K4470" s="138">
        <v>2250</v>
      </c>
      <c r="L4470" s="137">
        <v>0</v>
      </c>
    </row>
    <row r="4471" spans="7:12" x14ac:dyDescent="0.25">
      <c r="G4471" s="136">
        <v>43500</v>
      </c>
      <c r="H4471" t="s">
        <v>189</v>
      </c>
      <c r="I4471" t="s">
        <v>171</v>
      </c>
      <c r="J4471" t="s">
        <v>476</v>
      </c>
      <c r="K4471" s="138">
        <v>150</v>
      </c>
      <c r="L4471" s="137">
        <v>0</v>
      </c>
    </row>
    <row r="4472" spans="7:12" x14ac:dyDescent="0.25">
      <c r="G4472" s="136">
        <v>43500</v>
      </c>
      <c r="H4472" t="s">
        <v>188</v>
      </c>
      <c r="I4472" t="s">
        <v>171</v>
      </c>
      <c r="J4472" t="s">
        <v>476</v>
      </c>
      <c r="K4472" s="138">
        <v>150</v>
      </c>
      <c r="L4472" s="137">
        <v>0</v>
      </c>
    </row>
    <row r="4473" spans="7:12" x14ac:dyDescent="0.25">
      <c r="G4473" s="136">
        <v>43500</v>
      </c>
      <c r="H4473" t="s">
        <v>25</v>
      </c>
      <c r="I4473" t="s">
        <v>63</v>
      </c>
      <c r="J4473" t="s">
        <v>476</v>
      </c>
      <c r="K4473" s="138">
        <v>96</v>
      </c>
      <c r="L4473" s="137">
        <v>0</v>
      </c>
    </row>
    <row r="4474" spans="7:12" x14ac:dyDescent="0.25">
      <c r="G4474" s="136">
        <v>43500</v>
      </c>
      <c r="H4474" t="s">
        <v>25</v>
      </c>
      <c r="I4474" t="s">
        <v>63</v>
      </c>
      <c r="J4474" t="s">
        <v>476</v>
      </c>
      <c r="K4474" s="138">
        <v>80</v>
      </c>
      <c r="L4474" s="137">
        <v>0</v>
      </c>
    </row>
    <row r="4475" spans="7:12" x14ac:dyDescent="0.25">
      <c r="G4475" s="136">
        <v>43500</v>
      </c>
      <c r="H4475" t="s">
        <v>25</v>
      </c>
      <c r="I4475" t="s">
        <v>63</v>
      </c>
      <c r="J4475" t="s">
        <v>476</v>
      </c>
      <c r="K4475" s="138">
        <v>32</v>
      </c>
      <c r="L4475" s="137">
        <v>0</v>
      </c>
    </row>
    <row r="4476" spans="7:12" x14ac:dyDescent="0.25">
      <c r="G4476" s="136">
        <v>43500</v>
      </c>
      <c r="H4476" t="s">
        <v>25</v>
      </c>
      <c r="I4476" t="s">
        <v>63</v>
      </c>
      <c r="J4476" t="s">
        <v>476</v>
      </c>
      <c r="K4476" s="138">
        <v>24</v>
      </c>
      <c r="L4476" s="137">
        <v>0</v>
      </c>
    </row>
    <row r="4477" spans="7:12" x14ac:dyDescent="0.25">
      <c r="G4477" s="136">
        <v>43500</v>
      </c>
      <c r="H4477" t="s">
        <v>25</v>
      </c>
      <c r="I4477" t="s">
        <v>63</v>
      </c>
      <c r="J4477" t="s">
        <v>476</v>
      </c>
      <c r="K4477" s="138">
        <v>16</v>
      </c>
      <c r="L4477" s="137">
        <v>0</v>
      </c>
    </row>
    <row r="4478" spans="7:12" x14ac:dyDescent="0.25">
      <c r="G4478" s="136">
        <v>43500</v>
      </c>
      <c r="H4478" t="s">
        <v>25</v>
      </c>
      <c r="I4478" t="s">
        <v>63</v>
      </c>
      <c r="J4478" t="s">
        <v>476</v>
      </c>
      <c r="K4478" s="138">
        <v>8</v>
      </c>
      <c r="L4478" s="137">
        <v>0</v>
      </c>
    </row>
    <row r="4479" spans="7:12" x14ac:dyDescent="0.25">
      <c r="G4479" s="136">
        <v>43500</v>
      </c>
      <c r="H4479" t="s">
        <v>211</v>
      </c>
      <c r="I4479" t="s">
        <v>171</v>
      </c>
      <c r="J4479" t="s">
        <v>476</v>
      </c>
      <c r="K4479" s="138">
        <v>303.89999999999998</v>
      </c>
      <c r="L4479" s="137">
        <v>0</v>
      </c>
    </row>
    <row r="4480" spans="7:12" x14ac:dyDescent="0.25">
      <c r="G4480" s="136">
        <v>43500</v>
      </c>
      <c r="H4480" t="s">
        <v>181</v>
      </c>
      <c r="I4480" t="s">
        <v>42</v>
      </c>
      <c r="J4480" t="s">
        <v>476</v>
      </c>
      <c r="K4480" s="138">
        <v>117.85</v>
      </c>
      <c r="L4480" s="137">
        <v>0</v>
      </c>
    </row>
    <row r="4481" spans="7:12" x14ac:dyDescent="0.25">
      <c r="G4481" s="136">
        <v>43500</v>
      </c>
      <c r="H4481" t="s">
        <v>179</v>
      </c>
      <c r="I4481" t="s">
        <v>240</v>
      </c>
      <c r="J4481" t="s">
        <v>478</v>
      </c>
      <c r="K4481" s="138">
        <v>4.68</v>
      </c>
      <c r="L4481" s="137">
        <v>0</v>
      </c>
    </row>
    <row r="4482" spans="7:12" x14ac:dyDescent="0.25">
      <c r="G4482" s="136">
        <v>43500</v>
      </c>
      <c r="H4482" t="s">
        <v>28</v>
      </c>
      <c r="I4482" t="s">
        <v>176</v>
      </c>
      <c r="J4482" t="s">
        <v>476</v>
      </c>
      <c r="K4482" s="138">
        <v>0</v>
      </c>
      <c r="L4482" s="137">
        <v>183.93</v>
      </c>
    </row>
    <row r="4483" spans="7:12" x14ac:dyDescent="0.25">
      <c r="G4483" s="136">
        <v>43500</v>
      </c>
      <c r="H4483" t="s">
        <v>28</v>
      </c>
      <c r="I4483" t="s">
        <v>66</v>
      </c>
      <c r="J4483" t="s">
        <v>477</v>
      </c>
      <c r="K4483" s="138">
        <v>6.4</v>
      </c>
      <c r="L4483" s="137">
        <v>0</v>
      </c>
    </row>
    <row r="4484" spans="7:12" x14ac:dyDescent="0.25">
      <c r="G4484" s="136">
        <v>43500</v>
      </c>
      <c r="H4484" t="s">
        <v>28</v>
      </c>
      <c r="I4484" t="s">
        <v>66</v>
      </c>
      <c r="J4484" t="s">
        <v>301</v>
      </c>
      <c r="K4484" s="138">
        <v>2.4</v>
      </c>
      <c r="L4484" s="137">
        <v>0</v>
      </c>
    </row>
    <row r="4485" spans="7:12" x14ac:dyDescent="0.25">
      <c r="G4485" s="136">
        <v>43500</v>
      </c>
      <c r="H4485" t="s">
        <v>28</v>
      </c>
      <c r="I4485" t="s">
        <v>66</v>
      </c>
      <c r="J4485" t="s">
        <v>124</v>
      </c>
      <c r="K4485" s="138">
        <v>6.4</v>
      </c>
      <c r="L4485" s="137">
        <v>0</v>
      </c>
    </row>
    <row r="4486" spans="7:12" x14ac:dyDescent="0.25">
      <c r="G4486" s="136">
        <v>43500</v>
      </c>
      <c r="H4486" t="s">
        <v>28</v>
      </c>
      <c r="I4486" t="s">
        <v>42</v>
      </c>
      <c r="J4486" t="s">
        <v>476</v>
      </c>
      <c r="K4486" s="138">
        <v>536.4</v>
      </c>
      <c r="L4486" s="137">
        <v>0</v>
      </c>
    </row>
    <row r="4487" spans="7:12" x14ac:dyDescent="0.25">
      <c r="G4487" s="136">
        <v>43500</v>
      </c>
      <c r="H4487" t="s">
        <v>28</v>
      </c>
      <c r="I4487" t="s">
        <v>42</v>
      </c>
      <c r="J4487" t="s">
        <v>476</v>
      </c>
      <c r="K4487" s="138">
        <v>183.93</v>
      </c>
      <c r="L4487" s="137">
        <v>0</v>
      </c>
    </row>
    <row r="4488" spans="7:12" x14ac:dyDescent="0.25">
      <c r="G4488" s="136">
        <v>43501</v>
      </c>
      <c r="H4488" t="s">
        <v>185</v>
      </c>
      <c r="I4488" t="s">
        <v>163</v>
      </c>
      <c r="J4488" t="s">
        <v>479</v>
      </c>
      <c r="K4488" s="138">
        <v>262.48</v>
      </c>
      <c r="L4488" s="137">
        <v>0</v>
      </c>
    </row>
    <row r="4489" spans="7:12" x14ac:dyDescent="0.25">
      <c r="G4489" s="136">
        <v>43501</v>
      </c>
      <c r="H4489" t="s">
        <v>191</v>
      </c>
      <c r="I4489" t="s">
        <v>42</v>
      </c>
      <c r="J4489" t="s">
        <v>479</v>
      </c>
      <c r="K4489" s="138">
        <v>42</v>
      </c>
      <c r="L4489" s="137">
        <v>0</v>
      </c>
    </row>
    <row r="4490" spans="7:12" x14ac:dyDescent="0.25">
      <c r="G4490" s="136">
        <v>43501</v>
      </c>
      <c r="H4490" t="s">
        <v>188</v>
      </c>
      <c r="I4490" t="s">
        <v>155</v>
      </c>
      <c r="J4490" t="s">
        <v>479</v>
      </c>
      <c r="K4490" s="138">
        <v>29.96</v>
      </c>
      <c r="L4490" s="137">
        <v>0</v>
      </c>
    </row>
    <row r="4491" spans="7:12" x14ac:dyDescent="0.25">
      <c r="G4491" s="136">
        <v>43501</v>
      </c>
      <c r="H4491" t="s">
        <v>25</v>
      </c>
      <c r="I4491" t="s">
        <v>241</v>
      </c>
      <c r="J4491" t="s">
        <v>479</v>
      </c>
      <c r="K4491" s="138">
        <v>8</v>
      </c>
      <c r="L4491" s="137">
        <v>0</v>
      </c>
    </row>
    <row r="4492" spans="7:12" x14ac:dyDescent="0.25">
      <c r="G4492" s="136">
        <v>43501</v>
      </c>
      <c r="H4492" t="s">
        <v>25</v>
      </c>
      <c r="I4492" t="s">
        <v>63</v>
      </c>
      <c r="J4492" t="s">
        <v>479</v>
      </c>
      <c r="K4492" s="138">
        <v>32</v>
      </c>
      <c r="L4492" s="137">
        <v>0</v>
      </c>
    </row>
    <row r="4493" spans="7:12" x14ac:dyDescent="0.25">
      <c r="G4493" s="136">
        <v>43501</v>
      </c>
      <c r="H4493" t="s">
        <v>25</v>
      </c>
      <c r="I4493" t="s">
        <v>63</v>
      </c>
      <c r="J4493" t="s">
        <v>479</v>
      </c>
      <c r="K4493" s="138">
        <v>24</v>
      </c>
      <c r="L4493" s="137">
        <v>0</v>
      </c>
    </row>
    <row r="4494" spans="7:12" x14ac:dyDescent="0.25">
      <c r="G4494" s="136">
        <v>43501</v>
      </c>
      <c r="H4494" t="s">
        <v>207</v>
      </c>
      <c r="I4494" t="s">
        <v>112</v>
      </c>
      <c r="J4494" t="s">
        <v>479</v>
      </c>
      <c r="K4494" s="138">
        <v>27.75</v>
      </c>
      <c r="L4494" s="137">
        <v>0</v>
      </c>
    </row>
    <row r="4495" spans="7:12" x14ac:dyDescent="0.25">
      <c r="G4495" s="136">
        <v>43501</v>
      </c>
      <c r="H4495" t="s">
        <v>196</v>
      </c>
      <c r="I4495" t="s">
        <v>42</v>
      </c>
      <c r="J4495" t="s">
        <v>479</v>
      </c>
      <c r="K4495" s="138">
        <v>175.85</v>
      </c>
      <c r="L4495" s="137">
        <v>0</v>
      </c>
    </row>
    <row r="4496" spans="7:12" x14ac:dyDescent="0.25">
      <c r="G4496" s="136">
        <v>43501</v>
      </c>
      <c r="H4496" t="s">
        <v>28</v>
      </c>
      <c r="I4496" t="s">
        <v>163</v>
      </c>
      <c r="J4496" t="s">
        <v>479</v>
      </c>
      <c r="K4496" s="138">
        <v>18</v>
      </c>
      <c r="L4496" s="137">
        <v>0</v>
      </c>
    </row>
    <row r="4497" spans="7:12" x14ac:dyDescent="0.25">
      <c r="G4497" s="136">
        <v>43501</v>
      </c>
      <c r="H4497" t="s">
        <v>28</v>
      </c>
      <c r="I4497" t="s">
        <v>155</v>
      </c>
      <c r="J4497" t="s">
        <v>479</v>
      </c>
      <c r="K4497" s="138">
        <v>79.86</v>
      </c>
      <c r="L4497" s="137">
        <v>0</v>
      </c>
    </row>
    <row r="4498" spans="7:12" x14ac:dyDescent="0.25">
      <c r="G4498" s="136">
        <v>43501</v>
      </c>
      <c r="H4498" t="s">
        <v>28</v>
      </c>
      <c r="I4498" t="s">
        <v>155</v>
      </c>
      <c r="J4498" t="s">
        <v>479</v>
      </c>
      <c r="K4498" s="138">
        <v>66.55</v>
      </c>
      <c r="L4498" s="137">
        <v>0</v>
      </c>
    </row>
    <row r="4499" spans="7:12" x14ac:dyDescent="0.25">
      <c r="G4499" s="136">
        <v>43501</v>
      </c>
      <c r="H4499" t="s">
        <v>28</v>
      </c>
      <c r="I4499" t="s">
        <v>155</v>
      </c>
      <c r="J4499" t="s">
        <v>479</v>
      </c>
      <c r="K4499" s="138">
        <v>44.99</v>
      </c>
      <c r="L4499" s="137">
        <v>0</v>
      </c>
    </row>
    <row r="4500" spans="7:12" x14ac:dyDescent="0.25">
      <c r="G4500" s="136">
        <v>43501</v>
      </c>
      <c r="H4500" t="s">
        <v>28</v>
      </c>
      <c r="I4500" t="s">
        <v>155</v>
      </c>
      <c r="J4500" t="s">
        <v>479</v>
      </c>
      <c r="K4500" s="138">
        <v>37.520000000000003</v>
      </c>
      <c r="L4500" s="137">
        <v>0</v>
      </c>
    </row>
    <row r="4501" spans="7:12" x14ac:dyDescent="0.25">
      <c r="G4501" s="136">
        <v>43501</v>
      </c>
      <c r="H4501" t="s">
        <v>28</v>
      </c>
      <c r="I4501" t="s">
        <v>155</v>
      </c>
      <c r="J4501" t="s">
        <v>479</v>
      </c>
      <c r="K4501" s="138">
        <v>32.61</v>
      </c>
      <c r="L4501" s="137">
        <v>0</v>
      </c>
    </row>
    <row r="4502" spans="7:12" x14ac:dyDescent="0.25">
      <c r="G4502" s="136">
        <v>43501</v>
      </c>
      <c r="H4502" t="s">
        <v>28</v>
      </c>
      <c r="I4502" t="s">
        <v>155</v>
      </c>
      <c r="J4502" t="s">
        <v>479</v>
      </c>
      <c r="K4502" s="138">
        <v>23.98</v>
      </c>
      <c r="L4502" s="137">
        <v>0</v>
      </c>
    </row>
    <row r="4503" spans="7:12" x14ac:dyDescent="0.25">
      <c r="G4503" s="136">
        <v>43501</v>
      </c>
      <c r="H4503" t="s">
        <v>28</v>
      </c>
      <c r="I4503" t="s">
        <v>155</v>
      </c>
      <c r="J4503" t="s">
        <v>479</v>
      </c>
      <c r="K4503" s="138">
        <v>15.95</v>
      </c>
      <c r="L4503" s="137">
        <v>0</v>
      </c>
    </row>
    <row r="4504" spans="7:12" x14ac:dyDescent="0.25">
      <c r="G4504" s="136">
        <v>43501</v>
      </c>
      <c r="H4504" t="s">
        <v>28</v>
      </c>
      <c r="I4504" t="s">
        <v>66</v>
      </c>
      <c r="J4504" t="s">
        <v>139</v>
      </c>
      <c r="K4504" s="138">
        <v>18</v>
      </c>
      <c r="L4504" s="137">
        <v>0</v>
      </c>
    </row>
    <row r="4505" spans="7:12" x14ac:dyDescent="0.25">
      <c r="G4505" s="136">
        <v>43501</v>
      </c>
      <c r="H4505" t="s">
        <v>28</v>
      </c>
      <c r="I4505" t="s">
        <v>66</v>
      </c>
      <c r="J4505" t="s">
        <v>124</v>
      </c>
      <c r="K4505" s="138">
        <v>6.4</v>
      </c>
      <c r="L4505" s="137">
        <v>0</v>
      </c>
    </row>
    <row r="4506" spans="7:12" x14ac:dyDescent="0.25">
      <c r="G4506" s="136">
        <v>43501</v>
      </c>
      <c r="H4506" t="s">
        <v>28</v>
      </c>
      <c r="I4506" t="s">
        <v>42</v>
      </c>
      <c r="J4506" t="s">
        <v>479</v>
      </c>
      <c r="K4506" s="138">
        <v>359.78</v>
      </c>
      <c r="L4506" s="137">
        <v>0</v>
      </c>
    </row>
    <row r="4507" spans="7:12" x14ac:dyDescent="0.25">
      <c r="G4507" s="136">
        <v>43501</v>
      </c>
      <c r="H4507" t="s">
        <v>28</v>
      </c>
      <c r="I4507" t="s">
        <v>42</v>
      </c>
      <c r="J4507" t="s">
        <v>479</v>
      </c>
      <c r="K4507" s="138">
        <v>46.4</v>
      </c>
      <c r="L4507" s="137">
        <v>0</v>
      </c>
    </row>
    <row r="4508" spans="7:12" x14ac:dyDescent="0.25">
      <c r="G4508" s="136">
        <v>43502</v>
      </c>
      <c r="H4508" t="s">
        <v>183</v>
      </c>
      <c r="I4508" t="s">
        <v>42</v>
      </c>
      <c r="J4508" t="s">
        <v>480</v>
      </c>
      <c r="K4508" s="138">
        <v>10.57</v>
      </c>
      <c r="L4508" s="137">
        <v>0</v>
      </c>
    </row>
    <row r="4509" spans="7:12" x14ac:dyDescent="0.25">
      <c r="G4509" s="136">
        <v>43502</v>
      </c>
      <c r="H4509" t="s">
        <v>25</v>
      </c>
      <c r="I4509" t="s">
        <v>63</v>
      </c>
      <c r="J4509" t="s">
        <v>480</v>
      </c>
      <c r="K4509" s="138">
        <v>16</v>
      </c>
      <c r="L4509" s="137">
        <v>0</v>
      </c>
    </row>
    <row r="4510" spans="7:12" x14ac:dyDescent="0.25">
      <c r="G4510" s="136">
        <v>43502</v>
      </c>
      <c r="H4510" t="s">
        <v>181</v>
      </c>
      <c r="I4510" t="s">
        <v>42</v>
      </c>
      <c r="J4510" t="s">
        <v>480</v>
      </c>
      <c r="K4510" s="138">
        <v>334.41</v>
      </c>
      <c r="L4510" s="137">
        <v>0</v>
      </c>
    </row>
    <row r="4511" spans="7:12" x14ac:dyDescent="0.25">
      <c r="G4511" s="136">
        <v>43502</v>
      </c>
      <c r="H4511" t="s">
        <v>28</v>
      </c>
      <c r="I4511" t="s">
        <v>66</v>
      </c>
      <c r="J4511" t="s">
        <v>134</v>
      </c>
      <c r="K4511" s="138">
        <v>2.25</v>
      </c>
      <c r="L4511" s="137">
        <v>0</v>
      </c>
    </row>
    <row r="4512" spans="7:12" x14ac:dyDescent="0.25">
      <c r="G4512" s="136">
        <v>43502</v>
      </c>
      <c r="H4512" t="s">
        <v>28</v>
      </c>
      <c r="I4512" t="s">
        <v>42</v>
      </c>
      <c r="J4512" t="s">
        <v>480</v>
      </c>
      <c r="K4512" s="138">
        <v>25</v>
      </c>
      <c r="L4512" s="137">
        <v>0</v>
      </c>
    </row>
    <row r="4513" spans="7:12" x14ac:dyDescent="0.25">
      <c r="G4513" s="136">
        <v>43503</v>
      </c>
      <c r="H4513" t="s">
        <v>27</v>
      </c>
      <c r="I4513" t="s">
        <v>63</v>
      </c>
      <c r="J4513" t="s">
        <v>481</v>
      </c>
      <c r="K4513" s="138">
        <v>8</v>
      </c>
      <c r="L4513" s="137">
        <v>0</v>
      </c>
    </row>
    <row r="4514" spans="7:12" x14ac:dyDescent="0.25">
      <c r="G4514" s="136">
        <v>43503</v>
      </c>
      <c r="H4514" t="s">
        <v>189</v>
      </c>
      <c r="I4514" t="s">
        <v>42</v>
      </c>
      <c r="J4514" t="s">
        <v>481</v>
      </c>
      <c r="K4514" s="138">
        <v>77</v>
      </c>
      <c r="L4514" s="137">
        <v>0</v>
      </c>
    </row>
    <row r="4515" spans="7:12" x14ac:dyDescent="0.25">
      <c r="G4515" s="136">
        <v>43503</v>
      </c>
      <c r="H4515" t="s">
        <v>191</v>
      </c>
      <c r="I4515" t="s">
        <v>176</v>
      </c>
      <c r="J4515" t="s">
        <v>481</v>
      </c>
      <c r="K4515" s="138">
        <v>517.79</v>
      </c>
      <c r="L4515" s="137">
        <v>0</v>
      </c>
    </row>
    <row r="4516" spans="7:12" x14ac:dyDescent="0.25">
      <c r="G4516" s="136">
        <v>43503</v>
      </c>
      <c r="H4516" t="s">
        <v>25</v>
      </c>
      <c r="I4516" t="s">
        <v>63</v>
      </c>
      <c r="J4516" t="s">
        <v>481</v>
      </c>
      <c r="K4516" s="138">
        <v>64</v>
      </c>
      <c r="L4516" s="137">
        <v>0</v>
      </c>
    </row>
    <row r="4517" spans="7:12" x14ac:dyDescent="0.25">
      <c r="G4517" s="136">
        <v>43503</v>
      </c>
      <c r="H4517" t="s">
        <v>25</v>
      </c>
      <c r="I4517" t="s">
        <v>63</v>
      </c>
      <c r="J4517" t="s">
        <v>481</v>
      </c>
      <c r="K4517" s="138">
        <v>16</v>
      </c>
      <c r="L4517" s="137">
        <v>0</v>
      </c>
    </row>
    <row r="4518" spans="7:12" x14ac:dyDescent="0.25">
      <c r="G4518" s="136">
        <v>43503</v>
      </c>
      <c r="H4518" t="s">
        <v>25</v>
      </c>
      <c r="I4518" t="s">
        <v>63</v>
      </c>
      <c r="J4518" t="s">
        <v>481</v>
      </c>
      <c r="K4518" s="138">
        <v>8</v>
      </c>
      <c r="L4518" s="137">
        <v>0</v>
      </c>
    </row>
    <row r="4519" spans="7:12" x14ac:dyDescent="0.25">
      <c r="G4519" s="136">
        <v>43503</v>
      </c>
      <c r="H4519" t="s">
        <v>28</v>
      </c>
      <c r="I4519" t="s">
        <v>178</v>
      </c>
      <c r="J4519" t="s">
        <v>481</v>
      </c>
      <c r="K4519" s="138">
        <v>32.1</v>
      </c>
      <c r="L4519" s="137">
        <v>0</v>
      </c>
    </row>
    <row r="4520" spans="7:12" x14ac:dyDescent="0.25">
      <c r="G4520" s="136">
        <v>43503</v>
      </c>
      <c r="H4520" t="s">
        <v>28</v>
      </c>
      <c r="I4520" t="s">
        <v>155</v>
      </c>
      <c r="J4520" t="s">
        <v>481</v>
      </c>
      <c r="K4520" s="138">
        <v>101.68</v>
      </c>
      <c r="L4520" s="137">
        <v>0</v>
      </c>
    </row>
    <row r="4521" spans="7:12" x14ac:dyDescent="0.25">
      <c r="G4521" s="136">
        <v>43503</v>
      </c>
      <c r="H4521" t="s">
        <v>28</v>
      </c>
      <c r="I4521" t="s">
        <v>155</v>
      </c>
      <c r="J4521" t="s">
        <v>481</v>
      </c>
      <c r="K4521" s="138">
        <v>66.849999999999994</v>
      </c>
      <c r="L4521" s="137">
        <v>0</v>
      </c>
    </row>
    <row r="4522" spans="7:12" x14ac:dyDescent="0.25">
      <c r="G4522" s="136">
        <v>43503</v>
      </c>
      <c r="H4522" t="s">
        <v>28</v>
      </c>
      <c r="I4522" t="s">
        <v>155</v>
      </c>
      <c r="J4522" t="s">
        <v>481</v>
      </c>
      <c r="K4522" s="138">
        <v>49.11</v>
      </c>
      <c r="L4522" s="137">
        <v>0</v>
      </c>
    </row>
    <row r="4523" spans="7:12" x14ac:dyDescent="0.25">
      <c r="G4523" s="136">
        <v>43503</v>
      </c>
      <c r="H4523" t="s">
        <v>28</v>
      </c>
      <c r="I4523" t="s">
        <v>155</v>
      </c>
      <c r="J4523" t="s">
        <v>481</v>
      </c>
      <c r="K4523" s="138">
        <v>31.13</v>
      </c>
      <c r="L4523" s="137">
        <v>0</v>
      </c>
    </row>
    <row r="4524" spans="7:12" x14ac:dyDescent="0.25">
      <c r="G4524" s="136">
        <v>43503</v>
      </c>
      <c r="H4524" t="s">
        <v>28</v>
      </c>
      <c r="I4524" t="s">
        <v>155</v>
      </c>
      <c r="J4524" t="s">
        <v>481</v>
      </c>
      <c r="K4524" s="138">
        <v>18</v>
      </c>
      <c r="L4524" s="137">
        <v>0</v>
      </c>
    </row>
    <row r="4525" spans="7:12" x14ac:dyDescent="0.25">
      <c r="G4525" s="136">
        <v>43503</v>
      </c>
      <c r="H4525" t="s">
        <v>28</v>
      </c>
      <c r="I4525" t="s">
        <v>155</v>
      </c>
      <c r="J4525" t="s">
        <v>481</v>
      </c>
      <c r="K4525" s="138">
        <v>17.07</v>
      </c>
      <c r="L4525" s="137">
        <v>0</v>
      </c>
    </row>
    <row r="4526" spans="7:12" x14ac:dyDescent="0.25">
      <c r="G4526" s="136">
        <v>43503</v>
      </c>
      <c r="H4526" t="s">
        <v>28</v>
      </c>
      <c r="I4526" t="s">
        <v>176</v>
      </c>
      <c r="J4526" t="s">
        <v>481</v>
      </c>
      <c r="K4526" s="138">
        <v>28</v>
      </c>
      <c r="L4526" s="137">
        <v>0</v>
      </c>
    </row>
    <row r="4527" spans="7:12" x14ac:dyDescent="0.25">
      <c r="G4527" s="136">
        <v>43503</v>
      </c>
      <c r="H4527" t="s">
        <v>28</v>
      </c>
      <c r="I4527" t="s">
        <v>66</v>
      </c>
      <c r="J4527" t="s">
        <v>402</v>
      </c>
      <c r="K4527" s="138">
        <v>2.4</v>
      </c>
      <c r="L4527" s="137">
        <v>0</v>
      </c>
    </row>
    <row r="4528" spans="7:12" x14ac:dyDescent="0.25">
      <c r="G4528" s="136">
        <v>43504</v>
      </c>
      <c r="H4528" t="s">
        <v>27</v>
      </c>
      <c r="I4528" t="s">
        <v>63</v>
      </c>
      <c r="J4528" t="s">
        <v>482</v>
      </c>
      <c r="K4528" s="138">
        <v>8</v>
      </c>
      <c r="L4528" s="137">
        <v>0</v>
      </c>
    </row>
    <row r="4529" spans="7:12" x14ac:dyDescent="0.25">
      <c r="G4529" s="136">
        <v>43504</v>
      </c>
      <c r="H4529" t="s">
        <v>199</v>
      </c>
      <c r="I4529" t="s">
        <v>163</v>
      </c>
      <c r="J4529" t="s">
        <v>482</v>
      </c>
      <c r="K4529" s="138">
        <v>30</v>
      </c>
      <c r="L4529" s="137">
        <v>0</v>
      </c>
    </row>
    <row r="4530" spans="7:12" x14ac:dyDescent="0.25">
      <c r="G4530" s="136">
        <v>43504</v>
      </c>
      <c r="H4530" t="s">
        <v>186</v>
      </c>
      <c r="I4530" t="s">
        <v>112</v>
      </c>
      <c r="J4530" t="s">
        <v>482</v>
      </c>
      <c r="K4530" s="138">
        <v>45.13</v>
      </c>
      <c r="L4530" s="137">
        <v>0</v>
      </c>
    </row>
    <row r="4531" spans="7:12" x14ac:dyDescent="0.25">
      <c r="G4531" s="136">
        <v>43504</v>
      </c>
      <c r="H4531" t="s">
        <v>184</v>
      </c>
      <c r="I4531" t="s">
        <v>42</v>
      </c>
      <c r="J4531" t="s">
        <v>482</v>
      </c>
      <c r="K4531" s="138">
        <v>10</v>
      </c>
      <c r="L4531" s="137">
        <v>0</v>
      </c>
    </row>
    <row r="4532" spans="7:12" x14ac:dyDescent="0.25">
      <c r="G4532" s="136">
        <v>43504</v>
      </c>
      <c r="H4532" t="s">
        <v>195</v>
      </c>
      <c r="I4532" t="s">
        <v>42</v>
      </c>
      <c r="J4532" t="s">
        <v>482</v>
      </c>
      <c r="K4532" s="138">
        <v>8</v>
      </c>
      <c r="L4532" s="137">
        <v>0</v>
      </c>
    </row>
    <row r="4533" spans="7:12" x14ac:dyDescent="0.25">
      <c r="G4533" s="136">
        <v>43504</v>
      </c>
      <c r="H4533" t="s">
        <v>183</v>
      </c>
      <c r="I4533" t="s">
        <v>63</v>
      </c>
      <c r="J4533" t="s">
        <v>482</v>
      </c>
      <c r="K4533" s="138">
        <v>10</v>
      </c>
      <c r="L4533" s="137">
        <v>0</v>
      </c>
    </row>
    <row r="4534" spans="7:12" x14ac:dyDescent="0.25">
      <c r="G4534" s="136">
        <v>43504</v>
      </c>
      <c r="H4534" t="s">
        <v>183</v>
      </c>
      <c r="I4534" t="s">
        <v>42</v>
      </c>
      <c r="J4534" t="s">
        <v>482</v>
      </c>
      <c r="K4534" s="138">
        <v>20.51</v>
      </c>
      <c r="L4534" s="137">
        <v>0</v>
      </c>
    </row>
    <row r="4535" spans="7:12" x14ac:dyDescent="0.25">
      <c r="G4535" s="136">
        <v>43504</v>
      </c>
      <c r="H4535" t="s">
        <v>189</v>
      </c>
      <c r="I4535" t="s">
        <v>163</v>
      </c>
      <c r="J4535" t="s">
        <v>482</v>
      </c>
      <c r="K4535" s="138">
        <v>36</v>
      </c>
      <c r="L4535" s="137">
        <v>0</v>
      </c>
    </row>
    <row r="4536" spans="7:12" x14ac:dyDescent="0.25">
      <c r="G4536" s="136">
        <v>43504</v>
      </c>
      <c r="H4536" t="s">
        <v>189</v>
      </c>
      <c r="I4536" t="s">
        <v>42</v>
      </c>
      <c r="J4536" t="s">
        <v>482</v>
      </c>
      <c r="K4536" s="138">
        <v>24</v>
      </c>
      <c r="L4536" s="137">
        <v>0</v>
      </c>
    </row>
    <row r="4537" spans="7:12" x14ac:dyDescent="0.25">
      <c r="G4537" s="136">
        <v>43504</v>
      </c>
      <c r="H4537" t="s">
        <v>188</v>
      </c>
      <c r="I4537" t="s">
        <v>63</v>
      </c>
      <c r="J4537" t="s">
        <v>482</v>
      </c>
      <c r="K4537" s="138">
        <v>574.17999999999995</v>
      </c>
      <c r="L4537" s="137">
        <v>0</v>
      </c>
    </row>
    <row r="4538" spans="7:12" x14ac:dyDescent="0.25">
      <c r="G4538" s="136">
        <v>43504</v>
      </c>
      <c r="H4538" t="s">
        <v>25</v>
      </c>
      <c r="I4538" t="s">
        <v>63</v>
      </c>
      <c r="J4538" t="s">
        <v>482</v>
      </c>
      <c r="K4538" s="138">
        <v>72</v>
      </c>
      <c r="L4538" s="137">
        <v>0</v>
      </c>
    </row>
    <row r="4539" spans="7:12" x14ac:dyDescent="0.25">
      <c r="G4539" s="136">
        <v>43504</v>
      </c>
      <c r="H4539" t="s">
        <v>25</v>
      </c>
      <c r="I4539" t="s">
        <v>63</v>
      </c>
      <c r="J4539" t="s">
        <v>482</v>
      </c>
      <c r="K4539" s="138">
        <v>40</v>
      </c>
      <c r="L4539" s="137">
        <v>0</v>
      </c>
    </row>
    <row r="4540" spans="7:12" x14ac:dyDescent="0.25">
      <c r="G4540" s="136">
        <v>43504</v>
      </c>
      <c r="H4540" t="s">
        <v>25</v>
      </c>
      <c r="I4540" t="s">
        <v>63</v>
      </c>
      <c r="J4540" t="s">
        <v>482</v>
      </c>
      <c r="K4540" s="138">
        <v>32</v>
      </c>
      <c r="L4540" s="137">
        <v>0</v>
      </c>
    </row>
    <row r="4541" spans="7:12" x14ac:dyDescent="0.25">
      <c r="G4541" s="136">
        <v>43504</v>
      </c>
      <c r="H4541" t="s">
        <v>25</v>
      </c>
      <c r="I4541" t="s">
        <v>63</v>
      </c>
      <c r="J4541" t="s">
        <v>482</v>
      </c>
      <c r="K4541" s="138">
        <v>24</v>
      </c>
      <c r="L4541" s="137">
        <v>0</v>
      </c>
    </row>
    <row r="4542" spans="7:12" x14ac:dyDescent="0.25">
      <c r="G4542" s="136">
        <v>43504</v>
      </c>
      <c r="H4542" t="s">
        <v>25</v>
      </c>
      <c r="I4542" t="s">
        <v>63</v>
      </c>
      <c r="J4542" t="s">
        <v>482</v>
      </c>
      <c r="K4542" s="138">
        <v>16</v>
      </c>
      <c r="L4542" s="137">
        <v>0</v>
      </c>
    </row>
    <row r="4543" spans="7:12" x14ac:dyDescent="0.25">
      <c r="G4543" s="136">
        <v>43504</v>
      </c>
      <c r="H4543" t="s">
        <v>25</v>
      </c>
      <c r="I4543" t="s">
        <v>63</v>
      </c>
      <c r="J4543" t="s">
        <v>482</v>
      </c>
      <c r="K4543" s="138">
        <v>8</v>
      </c>
      <c r="L4543" s="137">
        <v>0</v>
      </c>
    </row>
    <row r="4544" spans="7:12" x14ac:dyDescent="0.25">
      <c r="G4544" s="136">
        <v>43504</v>
      </c>
      <c r="H4544" t="s">
        <v>25</v>
      </c>
      <c r="I4544" t="s">
        <v>42</v>
      </c>
      <c r="J4544" t="s">
        <v>482</v>
      </c>
      <c r="K4544" s="138">
        <v>139.19999999999999</v>
      </c>
      <c r="L4544" s="137">
        <v>0</v>
      </c>
    </row>
    <row r="4545" spans="7:12" x14ac:dyDescent="0.25">
      <c r="G4545" s="136">
        <v>43504</v>
      </c>
      <c r="H4545" t="s">
        <v>207</v>
      </c>
      <c r="I4545" t="s">
        <v>112</v>
      </c>
      <c r="J4545" t="s">
        <v>482</v>
      </c>
      <c r="K4545" s="138">
        <v>158.94999999999999</v>
      </c>
      <c r="L4545" s="137">
        <v>0</v>
      </c>
    </row>
    <row r="4546" spans="7:12" x14ac:dyDescent="0.25">
      <c r="G4546" s="136">
        <v>43504</v>
      </c>
      <c r="H4546" t="s">
        <v>181</v>
      </c>
      <c r="I4546" t="s">
        <v>42</v>
      </c>
      <c r="J4546" t="s">
        <v>482</v>
      </c>
      <c r="K4546" s="138">
        <v>47.6</v>
      </c>
      <c r="L4546" s="137">
        <v>0</v>
      </c>
    </row>
    <row r="4547" spans="7:12" x14ac:dyDescent="0.25">
      <c r="G4547" s="136">
        <v>43504</v>
      </c>
      <c r="H4547" t="s">
        <v>197</v>
      </c>
      <c r="I4547" t="s">
        <v>42</v>
      </c>
      <c r="J4547" t="s">
        <v>482</v>
      </c>
      <c r="K4547" s="138">
        <v>22</v>
      </c>
      <c r="L4547" s="137">
        <v>0</v>
      </c>
    </row>
    <row r="4548" spans="7:12" x14ac:dyDescent="0.25">
      <c r="G4548" s="136">
        <v>43504</v>
      </c>
      <c r="H4548" t="s">
        <v>196</v>
      </c>
      <c r="I4548" t="s">
        <v>42</v>
      </c>
      <c r="J4548" t="s">
        <v>482</v>
      </c>
      <c r="K4548" s="138">
        <v>39</v>
      </c>
      <c r="L4548" s="137">
        <v>0</v>
      </c>
    </row>
    <row r="4549" spans="7:12" x14ac:dyDescent="0.25">
      <c r="G4549" s="136">
        <v>43504</v>
      </c>
      <c r="H4549" t="s">
        <v>180</v>
      </c>
      <c r="I4549" t="s">
        <v>42</v>
      </c>
      <c r="J4549" t="s">
        <v>482</v>
      </c>
      <c r="K4549" s="138">
        <v>14.3</v>
      </c>
      <c r="L4549" s="137">
        <v>0</v>
      </c>
    </row>
    <row r="4550" spans="7:12" x14ac:dyDescent="0.25">
      <c r="G4550" s="136">
        <v>43504</v>
      </c>
      <c r="H4550" t="s">
        <v>28</v>
      </c>
      <c r="I4550" t="s">
        <v>163</v>
      </c>
      <c r="J4550" t="s">
        <v>482</v>
      </c>
      <c r="K4550" s="138">
        <v>22.27</v>
      </c>
      <c r="L4550" s="137">
        <v>0</v>
      </c>
    </row>
    <row r="4551" spans="7:12" x14ac:dyDescent="0.25">
      <c r="G4551" s="136">
        <v>43504</v>
      </c>
      <c r="H4551" t="s">
        <v>28</v>
      </c>
      <c r="I4551" t="s">
        <v>163</v>
      </c>
      <c r="J4551" t="s">
        <v>482</v>
      </c>
      <c r="K4551" s="138">
        <v>17</v>
      </c>
      <c r="L4551" s="137">
        <v>0</v>
      </c>
    </row>
    <row r="4552" spans="7:12" x14ac:dyDescent="0.25">
      <c r="G4552" s="136">
        <v>43504</v>
      </c>
      <c r="H4552" t="s">
        <v>28</v>
      </c>
      <c r="I4552" t="s">
        <v>66</v>
      </c>
      <c r="J4552" t="s">
        <v>110</v>
      </c>
      <c r="K4552" s="138">
        <v>7.2</v>
      </c>
      <c r="L4552" s="137">
        <v>0</v>
      </c>
    </row>
    <row r="4553" spans="7:12" x14ac:dyDescent="0.25">
      <c r="G4553" s="136">
        <v>43504</v>
      </c>
      <c r="H4553" t="s">
        <v>28</v>
      </c>
      <c r="I4553" t="s">
        <v>66</v>
      </c>
      <c r="J4553" t="s">
        <v>101</v>
      </c>
      <c r="K4553" s="138">
        <v>2.4</v>
      </c>
      <c r="L4553" s="137">
        <v>0</v>
      </c>
    </row>
    <row r="4554" spans="7:12" x14ac:dyDescent="0.25">
      <c r="G4554" s="136">
        <v>43504</v>
      </c>
      <c r="H4554" t="s">
        <v>28</v>
      </c>
      <c r="I4554" t="s">
        <v>66</v>
      </c>
      <c r="J4554" t="s">
        <v>115</v>
      </c>
      <c r="K4554" s="138">
        <v>2.25</v>
      </c>
      <c r="L4554" s="137">
        <v>0</v>
      </c>
    </row>
    <row r="4555" spans="7:12" x14ac:dyDescent="0.25">
      <c r="G4555" s="136">
        <v>43505</v>
      </c>
      <c r="H4555" t="s">
        <v>192</v>
      </c>
      <c r="I4555" t="s">
        <v>163</v>
      </c>
      <c r="J4555" t="s">
        <v>484</v>
      </c>
      <c r="K4555" s="138">
        <v>20.100000000000001</v>
      </c>
      <c r="L4555" s="137">
        <v>0</v>
      </c>
    </row>
    <row r="4556" spans="7:12" x14ac:dyDescent="0.25">
      <c r="G4556" s="136">
        <v>43505</v>
      </c>
      <c r="H4556" t="s">
        <v>27</v>
      </c>
      <c r="I4556" t="s">
        <v>242</v>
      </c>
      <c r="J4556" t="s">
        <v>483</v>
      </c>
      <c r="K4556" s="138">
        <v>114.95</v>
      </c>
      <c r="L4556" s="137">
        <v>0</v>
      </c>
    </row>
    <row r="4557" spans="7:12" x14ac:dyDescent="0.25">
      <c r="G4557" s="136">
        <v>43505</v>
      </c>
      <c r="H4557" t="s">
        <v>27</v>
      </c>
      <c r="I4557" t="s">
        <v>242</v>
      </c>
      <c r="J4557" t="s">
        <v>483</v>
      </c>
      <c r="K4557" s="138">
        <v>90.79</v>
      </c>
      <c r="L4557" s="137">
        <v>0</v>
      </c>
    </row>
    <row r="4558" spans="7:12" x14ac:dyDescent="0.25">
      <c r="G4558" s="136">
        <v>43505</v>
      </c>
      <c r="H4558" t="s">
        <v>27</v>
      </c>
      <c r="I4558" t="s">
        <v>242</v>
      </c>
      <c r="J4558" t="s">
        <v>483</v>
      </c>
      <c r="K4558" s="138">
        <v>77.61</v>
      </c>
      <c r="L4558" s="137">
        <v>0</v>
      </c>
    </row>
    <row r="4559" spans="7:12" x14ac:dyDescent="0.25">
      <c r="G4559" s="136">
        <v>43505</v>
      </c>
      <c r="H4559" t="s">
        <v>27</v>
      </c>
      <c r="I4559" t="s">
        <v>242</v>
      </c>
      <c r="J4559" t="s">
        <v>483</v>
      </c>
      <c r="K4559" s="138">
        <v>51.37</v>
      </c>
      <c r="L4559" s="137">
        <v>0</v>
      </c>
    </row>
    <row r="4560" spans="7:12" x14ac:dyDescent="0.25">
      <c r="G4560" s="136">
        <v>43505</v>
      </c>
      <c r="H4560" t="s">
        <v>27</v>
      </c>
      <c r="I4560" t="s">
        <v>242</v>
      </c>
      <c r="J4560" t="s">
        <v>483</v>
      </c>
      <c r="K4560" s="138">
        <v>36.630000000000003</v>
      </c>
      <c r="L4560" s="137">
        <v>0</v>
      </c>
    </row>
    <row r="4561" spans="7:12" x14ac:dyDescent="0.25">
      <c r="G4561" s="136">
        <v>43505</v>
      </c>
      <c r="H4561" t="s">
        <v>27</v>
      </c>
      <c r="I4561" t="s">
        <v>242</v>
      </c>
      <c r="J4561" t="s">
        <v>483</v>
      </c>
      <c r="K4561" s="138">
        <v>28.99</v>
      </c>
      <c r="L4561" s="137">
        <v>0</v>
      </c>
    </row>
    <row r="4562" spans="7:12" x14ac:dyDescent="0.25">
      <c r="G4562" s="136">
        <v>43505</v>
      </c>
      <c r="H4562" t="s">
        <v>27</v>
      </c>
      <c r="I4562" t="s">
        <v>242</v>
      </c>
      <c r="J4562" t="s">
        <v>483</v>
      </c>
      <c r="K4562" s="138">
        <v>27.18</v>
      </c>
      <c r="L4562" s="137">
        <v>0</v>
      </c>
    </row>
    <row r="4563" spans="7:12" x14ac:dyDescent="0.25">
      <c r="G4563" s="136">
        <v>43505</v>
      </c>
      <c r="H4563" t="s">
        <v>27</v>
      </c>
      <c r="I4563" t="s">
        <v>242</v>
      </c>
      <c r="J4563" t="s">
        <v>483</v>
      </c>
      <c r="K4563" s="138">
        <v>25.26</v>
      </c>
      <c r="L4563" s="137">
        <v>0</v>
      </c>
    </row>
    <row r="4564" spans="7:12" x14ac:dyDescent="0.25">
      <c r="G4564" s="136">
        <v>43505</v>
      </c>
      <c r="H4564" t="s">
        <v>27</v>
      </c>
      <c r="I4564" t="s">
        <v>242</v>
      </c>
      <c r="J4564" t="s">
        <v>483</v>
      </c>
      <c r="K4564" s="138">
        <v>24.4</v>
      </c>
      <c r="L4564" s="137">
        <v>0</v>
      </c>
    </row>
    <row r="4565" spans="7:12" x14ac:dyDescent="0.25">
      <c r="G4565" s="136">
        <v>43505</v>
      </c>
      <c r="H4565" t="s">
        <v>27</v>
      </c>
      <c r="I4565" t="s">
        <v>242</v>
      </c>
      <c r="J4565" t="s">
        <v>483</v>
      </c>
      <c r="K4565" s="138">
        <v>23.25</v>
      </c>
      <c r="L4565" s="137">
        <v>0</v>
      </c>
    </row>
    <row r="4566" spans="7:12" x14ac:dyDescent="0.25">
      <c r="G4566" s="136">
        <v>43505</v>
      </c>
      <c r="H4566" t="s">
        <v>27</v>
      </c>
      <c r="I4566" t="s">
        <v>242</v>
      </c>
      <c r="J4566" t="s">
        <v>483</v>
      </c>
      <c r="K4566" s="138">
        <v>18.420000000000002</v>
      </c>
      <c r="L4566" s="137">
        <v>0</v>
      </c>
    </row>
    <row r="4567" spans="7:12" x14ac:dyDescent="0.25">
      <c r="G4567" s="136">
        <v>43505</v>
      </c>
      <c r="H4567" t="s">
        <v>185</v>
      </c>
      <c r="I4567" t="s">
        <v>242</v>
      </c>
      <c r="J4567" t="s">
        <v>483</v>
      </c>
      <c r="K4567" s="138">
        <v>271.64999999999998</v>
      </c>
      <c r="L4567" s="137">
        <v>0</v>
      </c>
    </row>
    <row r="4568" spans="7:12" x14ac:dyDescent="0.25">
      <c r="G4568" s="136">
        <v>43505</v>
      </c>
      <c r="H4568" t="s">
        <v>195</v>
      </c>
      <c r="I4568" t="s">
        <v>242</v>
      </c>
      <c r="J4568" t="s">
        <v>483</v>
      </c>
      <c r="K4568" s="138">
        <v>318.22000000000003</v>
      </c>
      <c r="L4568" s="137">
        <v>0</v>
      </c>
    </row>
    <row r="4569" spans="7:12" x14ac:dyDescent="0.25">
      <c r="G4569" s="136">
        <v>43505</v>
      </c>
      <c r="H4569" t="s">
        <v>183</v>
      </c>
      <c r="I4569" t="s">
        <v>242</v>
      </c>
      <c r="J4569" t="s">
        <v>483</v>
      </c>
      <c r="K4569" s="138">
        <v>506.95</v>
      </c>
      <c r="L4569" s="137">
        <v>0</v>
      </c>
    </row>
    <row r="4570" spans="7:12" x14ac:dyDescent="0.25">
      <c r="G4570" s="136">
        <v>43505</v>
      </c>
      <c r="H4570" t="s">
        <v>183</v>
      </c>
      <c r="I4570" t="s">
        <v>42</v>
      </c>
      <c r="J4570" t="s">
        <v>484</v>
      </c>
      <c r="K4570" s="138">
        <v>154.85</v>
      </c>
      <c r="L4570" s="137">
        <v>0</v>
      </c>
    </row>
    <row r="4571" spans="7:12" x14ac:dyDescent="0.25">
      <c r="G4571" s="136">
        <v>43505</v>
      </c>
      <c r="H4571" t="s">
        <v>189</v>
      </c>
      <c r="I4571" t="s">
        <v>242</v>
      </c>
      <c r="J4571" t="s">
        <v>483</v>
      </c>
      <c r="K4571" s="138">
        <v>1127.55</v>
      </c>
      <c r="L4571" s="137">
        <v>0</v>
      </c>
    </row>
    <row r="4572" spans="7:12" x14ac:dyDescent="0.25">
      <c r="G4572" s="136">
        <v>43505</v>
      </c>
      <c r="H4572" t="s">
        <v>193</v>
      </c>
      <c r="I4572" t="s">
        <v>242</v>
      </c>
      <c r="J4572" t="s">
        <v>483</v>
      </c>
      <c r="K4572" s="138">
        <v>51.85</v>
      </c>
      <c r="L4572" s="137">
        <v>0</v>
      </c>
    </row>
    <row r="4573" spans="7:12" x14ac:dyDescent="0.25">
      <c r="G4573" s="136">
        <v>43505</v>
      </c>
      <c r="H4573" t="s">
        <v>188</v>
      </c>
      <c r="I4573" t="s">
        <v>242</v>
      </c>
      <c r="J4573" t="s">
        <v>483</v>
      </c>
      <c r="K4573" s="138">
        <v>111.49</v>
      </c>
      <c r="L4573" s="137">
        <v>0</v>
      </c>
    </row>
    <row r="4574" spans="7:12" x14ac:dyDescent="0.25">
      <c r="G4574" s="136">
        <v>43505</v>
      </c>
      <c r="H4574" t="s">
        <v>25</v>
      </c>
      <c r="I4574" t="s">
        <v>242</v>
      </c>
      <c r="J4574" t="s">
        <v>483</v>
      </c>
      <c r="K4574" s="138">
        <v>983.14</v>
      </c>
      <c r="L4574" s="137">
        <v>0</v>
      </c>
    </row>
    <row r="4575" spans="7:12" x14ac:dyDescent="0.25">
      <c r="G4575" s="136">
        <v>43505</v>
      </c>
      <c r="H4575" t="s">
        <v>25</v>
      </c>
      <c r="I4575" t="s">
        <v>242</v>
      </c>
      <c r="J4575" t="s">
        <v>483</v>
      </c>
      <c r="K4575" s="138">
        <v>969.56</v>
      </c>
      <c r="L4575" s="137">
        <v>0</v>
      </c>
    </row>
    <row r="4576" spans="7:12" x14ac:dyDescent="0.25">
      <c r="G4576" s="136">
        <v>43505</v>
      </c>
      <c r="H4576" t="s">
        <v>25</v>
      </c>
      <c r="I4576" t="s">
        <v>242</v>
      </c>
      <c r="J4576" t="s">
        <v>483</v>
      </c>
      <c r="K4576" s="138">
        <v>859.78</v>
      </c>
      <c r="L4576" s="137">
        <v>0</v>
      </c>
    </row>
    <row r="4577" spans="7:12" x14ac:dyDescent="0.25">
      <c r="G4577" s="136">
        <v>43505</v>
      </c>
      <c r="H4577" t="s">
        <v>25</v>
      </c>
      <c r="I4577" t="s">
        <v>242</v>
      </c>
      <c r="J4577" t="s">
        <v>483</v>
      </c>
      <c r="K4577" s="138">
        <v>812.98</v>
      </c>
      <c r="L4577" s="137">
        <v>0</v>
      </c>
    </row>
    <row r="4578" spans="7:12" x14ac:dyDescent="0.25">
      <c r="G4578" s="136">
        <v>43505</v>
      </c>
      <c r="H4578" t="s">
        <v>25</v>
      </c>
      <c r="I4578" t="s">
        <v>242</v>
      </c>
      <c r="J4578" t="s">
        <v>483</v>
      </c>
      <c r="K4578" s="138">
        <v>725.25</v>
      </c>
      <c r="L4578" s="137">
        <v>0</v>
      </c>
    </row>
    <row r="4579" spans="7:12" x14ac:dyDescent="0.25">
      <c r="G4579" s="136">
        <v>43505</v>
      </c>
      <c r="H4579" t="s">
        <v>25</v>
      </c>
      <c r="I4579" t="s">
        <v>242</v>
      </c>
      <c r="J4579" t="s">
        <v>483</v>
      </c>
      <c r="K4579" s="138">
        <v>714.31</v>
      </c>
      <c r="L4579" s="137">
        <v>0</v>
      </c>
    </row>
    <row r="4580" spans="7:12" x14ac:dyDescent="0.25">
      <c r="G4580" s="136">
        <v>43505</v>
      </c>
      <c r="H4580" t="s">
        <v>25</v>
      </c>
      <c r="I4580" t="s">
        <v>242</v>
      </c>
      <c r="J4580" t="s">
        <v>483</v>
      </c>
      <c r="K4580" s="138">
        <v>478.22</v>
      </c>
      <c r="L4580" s="137">
        <v>0</v>
      </c>
    </row>
    <row r="4581" spans="7:12" x14ac:dyDescent="0.25">
      <c r="G4581" s="136">
        <v>43505</v>
      </c>
      <c r="H4581" t="s">
        <v>25</v>
      </c>
      <c r="I4581" t="s">
        <v>242</v>
      </c>
      <c r="J4581" t="s">
        <v>483</v>
      </c>
      <c r="K4581" s="138">
        <v>414.19</v>
      </c>
      <c r="L4581" s="137">
        <v>0</v>
      </c>
    </row>
    <row r="4582" spans="7:12" x14ac:dyDescent="0.25">
      <c r="G4582" s="136">
        <v>43505</v>
      </c>
      <c r="H4582" t="s">
        <v>25</v>
      </c>
      <c r="I4582" t="s">
        <v>242</v>
      </c>
      <c r="J4582" t="s">
        <v>483</v>
      </c>
      <c r="K4582" s="138">
        <v>411.2</v>
      </c>
      <c r="L4582" s="137">
        <v>0</v>
      </c>
    </row>
    <row r="4583" spans="7:12" x14ac:dyDescent="0.25">
      <c r="G4583" s="136">
        <v>43505</v>
      </c>
      <c r="H4583" t="s">
        <v>25</v>
      </c>
      <c r="I4583" t="s">
        <v>242</v>
      </c>
      <c r="J4583" t="s">
        <v>483</v>
      </c>
      <c r="K4583" s="138">
        <v>387.82</v>
      </c>
      <c r="L4583" s="137">
        <v>0</v>
      </c>
    </row>
    <row r="4584" spans="7:12" x14ac:dyDescent="0.25">
      <c r="G4584" s="136">
        <v>43505</v>
      </c>
      <c r="H4584" t="s">
        <v>25</v>
      </c>
      <c r="I4584" t="s">
        <v>242</v>
      </c>
      <c r="J4584" t="s">
        <v>483</v>
      </c>
      <c r="K4584" s="138">
        <v>307.33999999999997</v>
      </c>
      <c r="L4584" s="137">
        <v>0</v>
      </c>
    </row>
    <row r="4585" spans="7:12" x14ac:dyDescent="0.25">
      <c r="G4585" s="136">
        <v>43505</v>
      </c>
      <c r="H4585" t="s">
        <v>25</v>
      </c>
      <c r="I4585" t="s">
        <v>242</v>
      </c>
      <c r="J4585" t="s">
        <v>483</v>
      </c>
      <c r="K4585" s="138">
        <v>295.97000000000003</v>
      </c>
      <c r="L4585" s="137">
        <v>0</v>
      </c>
    </row>
    <row r="4586" spans="7:12" x14ac:dyDescent="0.25">
      <c r="G4586" s="136">
        <v>43505</v>
      </c>
      <c r="H4586" t="s">
        <v>25</v>
      </c>
      <c r="I4586" t="s">
        <v>242</v>
      </c>
      <c r="J4586" t="s">
        <v>483</v>
      </c>
      <c r="K4586" s="138">
        <v>264.37</v>
      </c>
      <c r="L4586" s="137">
        <v>0</v>
      </c>
    </row>
    <row r="4587" spans="7:12" x14ac:dyDescent="0.25">
      <c r="G4587" s="136">
        <v>43505</v>
      </c>
      <c r="H4587" t="s">
        <v>25</v>
      </c>
      <c r="I4587" t="s">
        <v>242</v>
      </c>
      <c r="J4587" t="s">
        <v>483</v>
      </c>
      <c r="K4587" s="138">
        <v>219.83</v>
      </c>
      <c r="L4587" s="137">
        <v>0</v>
      </c>
    </row>
    <row r="4588" spans="7:12" x14ac:dyDescent="0.25">
      <c r="G4588" s="136">
        <v>43505</v>
      </c>
      <c r="H4588" t="s">
        <v>25</v>
      </c>
      <c r="I4588" t="s">
        <v>242</v>
      </c>
      <c r="J4588" t="s">
        <v>483</v>
      </c>
      <c r="K4588" s="138">
        <v>212.88</v>
      </c>
      <c r="L4588" s="137">
        <v>0</v>
      </c>
    </row>
    <row r="4589" spans="7:12" x14ac:dyDescent="0.25">
      <c r="G4589" s="136">
        <v>43505</v>
      </c>
      <c r="H4589" t="s">
        <v>25</v>
      </c>
      <c r="I4589" t="s">
        <v>242</v>
      </c>
      <c r="J4589" t="s">
        <v>483</v>
      </c>
      <c r="K4589" s="138">
        <v>209.59</v>
      </c>
      <c r="L4589" s="137">
        <v>0</v>
      </c>
    </row>
    <row r="4590" spans="7:12" x14ac:dyDescent="0.25">
      <c r="G4590" s="136">
        <v>43505</v>
      </c>
      <c r="H4590" t="s">
        <v>25</v>
      </c>
      <c r="I4590" t="s">
        <v>242</v>
      </c>
      <c r="J4590" t="s">
        <v>483</v>
      </c>
      <c r="K4590" s="138">
        <v>200.77</v>
      </c>
      <c r="L4590" s="137">
        <v>0</v>
      </c>
    </row>
    <row r="4591" spans="7:12" x14ac:dyDescent="0.25">
      <c r="G4591" s="136">
        <v>43505</v>
      </c>
      <c r="H4591" t="s">
        <v>25</v>
      </c>
      <c r="I4591" t="s">
        <v>242</v>
      </c>
      <c r="J4591" t="s">
        <v>483</v>
      </c>
      <c r="K4591" s="138">
        <v>123.44</v>
      </c>
      <c r="L4591" s="137">
        <v>0</v>
      </c>
    </row>
    <row r="4592" spans="7:12" x14ac:dyDescent="0.25">
      <c r="G4592" s="136">
        <v>43505</v>
      </c>
      <c r="H4592" t="s">
        <v>25</v>
      </c>
      <c r="I4592" t="s">
        <v>242</v>
      </c>
      <c r="J4592" t="s">
        <v>483</v>
      </c>
      <c r="K4592" s="138">
        <v>85.49</v>
      </c>
      <c r="L4592" s="137">
        <v>0</v>
      </c>
    </row>
    <row r="4593" spans="7:12" x14ac:dyDescent="0.25">
      <c r="G4593" s="136">
        <v>43505</v>
      </c>
      <c r="H4593" t="s">
        <v>25</v>
      </c>
      <c r="I4593" t="s">
        <v>242</v>
      </c>
      <c r="J4593" t="s">
        <v>483</v>
      </c>
      <c r="K4593" s="138">
        <v>84.8</v>
      </c>
      <c r="L4593" s="137">
        <v>0</v>
      </c>
    </row>
    <row r="4594" spans="7:12" x14ac:dyDescent="0.25">
      <c r="G4594" s="136">
        <v>43505</v>
      </c>
      <c r="H4594" t="s">
        <v>25</v>
      </c>
      <c r="I4594" t="s">
        <v>242</v>
      </c>
      <c r="J4594" t="s">
        <v>483</v>
      </c>
      <c r="K4594" s="138">
        <v>39.020000000000003</v>
      </c>
      <c r="L4594" s="137">
        <v>0</v>
      </c>
    </row>
    <row r="4595" spans="7:12" x14ac:dyDescent="0.25">
      <c r="G4595" s="136">
        <v>43505</v>
      </c>
      <c r="H4595" t="s">
        <v>25</v>
      </c>
      <c r="I4595" t="s">
        <v>242</v>
      </c>
      <c r="J4595" t="s">
        <v>483</v>
      </c>
      <c r="K4595" s="138">
        <v>22.42</v>
      </c>
      <c r="L4595" s="137">
        <v>0</v>
      </c>
    </row>
    <row r="4596" spans="7:12" x14ac:dyDescent="0.25">
      <c r="G4596" s="136">
        <v>43505</v>
      </c>
      <c r="H4596" t="s">
        <v>25</v>
      </c>
      <c r="I4596" t="s">
        <v>242</v>
      </c>
      <c r="J4596" t="s">
        <v>483</v>
      </c>
      <c r="K4596" s="138">
        <v>16.690000000000001</v>
      </c>
      <c r="L4596" s="137">
        <v>0</v>
      </c>
    </row>
    <row r="4597" spans="7:12" x14ac:dyDescent="0.25">
      <c r="G4597" s="136">
        <v>43505</v>
      </c>
      <c r="H4597" t="s">
        <v>180</v>
      </c>
      <c r="I4597" t="s">
        <v>242</v>
      </c>
      <c r="J4597" t="s">
        <v>483</v>
      </c>
      <c r="K4597" s="138">
        <v>150.58000000000001</v>
      </c>
      <c r="L4597" s="137">
        <v>0</v>
      </c>
    </row>
    <row r="4598" spans="7:12" x14ac:dyDescent="0.25">
      <c r="G4598" s="136">
        <v>43505</v>
      </c>
      <c r="H4598" t="s">
        <v>179</v>
      </c>
      <c r="I4598" t="s">
        <v>242</v>
      </c>
      <c r="J4598" t="s">
        <v>483</v>
      </c>
      <c r="K4598" s="138">
        <v>5620.07</v>
      </c>
      <c r="L4598" s="137">
        <v>0</v>
      </c>
    </row>
    <row r="4599" spans="7:12" x14ac:dyDescent="0.25">
      <c r="G4599" s="136">
        <v>43505</v>
      </c>
      <c r="H4599" t="s">
        <v>28</v>
      </c>
      <c r="I4599" t="s">
        <v>242</v>
      </c>
      <c r="J4599" t="s">
        <v>483</v>
      </c>
      <c r="K4599" s="138">
        <v>111.83</v>
      </c>
      <c r="L4599" s="137">
        <v>0</v>
      </c>
    </row>
    <row r="4600" spans="7:12" x14ac:dyDescent="0.25">
      <c r="G4600" s="136">
        <v>43505</v>
      </c>
      <c r="H4600" t="s">
        <v>28</v>
      </c>
      <c r="I4600" t="s">
        <v>242</v>
      </c>
      <c r="J4600" t="s">
        <v>483</v>
      </c>
      <c r="K4600" s="138">
        <v>110.17</v>
      </c>
      <c r="L4600" s="137">
        <v>0</v>
      </c>
    </row>
    <row r="4601" spans="7:12" x14ac:dyDescent="0.25">
      <c r="G4601" s="136">
        <v>43505</v>
      </c>
      <c r="H4601" t="s">
        <v>28</v>
      </c>
      <c r="I4601" t="s">
        <v>242</v>
      </c>
      <c r="J4601" t="s">
        <v>483</v>
      </c>
      <c r="K4601" s="138">
        <v>77.08</v>
      </c>
      <c r="L4601" s="137">
        <v>0</v>
      </c>
    </row>
    <row r="4602" spans="7:12" x14ac:dyDescent="0.25">
      <c r="G4602" s="136">
        <v>43505</v>
      </c>
      <c r="H4602" t="s">
        <v>28</v>
      </c>
      <c r="I4602" t="s">
        <v>242</v>
      </c>
      <c r="J4602" t="s">
        <v>483</v>
      </c>
      <c r="K4602" s="138">
        <v>66.95</v>
      </c>
      <c r="L4602" s="137">
        <v>0</v>
      </c>
    </row>
    <row r="4603" spans="7:12" x14ac:dyDescent="0.25">
      <c r="G4603" s="136">
        <v>43505</v>
      </c>
      <c r="H4603" t="s">
        <v>28</v>
      </c>
      <c r="I4603" t="s">
        <v>242</v>
      </c>
      <c r="J4603" t="s">
        <v>483</v>
      </c>
      <c r="K4603" s="138">
        <v>61</v>
      </c>
      <c r="L4603" s="137">
        <v>0</v>
      </c>
    </row>
    <row r="4604" spans="7:12" x14ac:dyDescent="0.25">
      <c r="G4604" s="136">
        <v>43505</v>
      </c>
      <c r="H4604" t="s">
        <v>28</v>
      </c>
      <c r="I4604" t="s">
        <v>242</v>
      </c>
      <c r="J4604" t="s">
        <v>483</v>
      </c>
      <c r="K4604" s="138">
        <v>44.01</v>
      </c>
      <c r="L4604" s="137">
        <v>0</v>
      </c>
    </row>
    <row r="4605" spans="7:12" x14ac:dyDescent="0.25">
      <c r="G4605" s="136">
        <v>43505</v>
      </c>
      <c r="H4605" t="s">
        <v>28</v>
      </c>
      <c r="I4605" t="s">
        <v>242</v>
      </c>
      <c r="J4605" t="s">
        <v>483</v>
      </c>
      <c r="K4605" s="138">
        <v>43.5</v>
      </c>
      <c r="L4605" s="137">
        <v>0</v>
      </c>
    </row>
    <row r="4606" spans="7:12" x14ac:dyDescent="0.25">
      <c r="G4606" s="136">
        <v>43505</v>
      </c>
      <c r="H4606" t="s">
        <v>28</v>
      </c>
      <c r="I4606" t="s">
        <v>242</v>
      </c>
      <c r="J4606" t="s">
        <v>483</v>
      </c>
      <c r="K4606" s="138">
        <v>43.11</v>
      </c>
      <c r="L4606" s="137">
        <v>0</v>
      </c>
    </row>
    <row r="4607" spans="7:12" x14ac:dyDescent="0.25">
      <c r="G4607" s="136">
        <v>43505</v>
      </c>
      <c r="H4607" t="s">
        <v>28</v>
      </c>
      <c r="I4607" t="s">
        <v>242</v>
      </c>
      <c r="J4607" t="s">
        <v>483</v>
      </c>
      <c r="K4607" s="138">
        <v>42.78</v>
      </c>
      <c r="L4607" s="137">
        <v>0</v>
      </c>
    </row>
    <row r="4608" spans="7:12" x14ac:dyDescent="0.25">
      <c r="G4608" s="136">
        <v>43507</v>
      </c>
      <c r="H4608" t="s">
        <v>27</v>
      </c>
      <c r="I4608" t="s">
        <v>63</v>
      </c>
      <c r="J4608" t="s">
        <v>485</v>
      </c>
      <c r="K4608" s="138">
        <v>8</v>
      </c>
      <c r="L4608" s="137">
        <v>0</v>
      </c>
    </row>
    <row r="4609" spans="7:12" x14ac:dyDescent="0.25">
      <c r="G4609" s="136">
        <v>43507</v>
      </c>
      <c r="H4609" t="s">
        <v>191</v>
      </c>
      <c r="I4609" t="s">
        <v>42</v>
      </c>
      <c r="J4609" t="s">
        <v>485</v>
      </c>
      <c r="K4609" s="138">
        <v>12.9</v>
      </c>
      <c r="L4609" s="137">
        <v>0</v>
      </c>
    </row>
    <row r="4610" spans="7:12" x14ac:dyDescent="0.25">
      <c r="G4610" s="136">
        <v>43507</v>
      </c>
      <c r="H4610" t="s">
        <v>188</v>
      </c>
      <c r="I4610" t="s">
        <v>171</v>
      </c>
      <c r="J4610" t="s">
        <v>485</v>
      </c>
      <c r="K4610" s="138">
        <v>1050.5999999999999</v>
      </c>
      <c r="L4610" s="137">
        <v>0</v>
      </c>
    </row>
    <row r="4611" spans="7:12" x14ac:dyDescent="0.25">
      <c r="G4611" s="136">
        <v>43507</v>
      </c>
      <c r="H4611" t="s">
        <v>25</v>
      </c>
      <c r="I4611" t="s">
        <v>63</v>
      </c>
      <c r="J4611" t="s">
        <v>485</v>
      </c>
      <c r="K4611" s="138">
        <v>32</v>
      </c>
      <c r="L4611" s="137">
        <v>0</v>
      </c>
    </row>
    <row r="4612" spans="7:12" x14ac:dyDescent="0.25">
      <c r="G4612" s="136">
        <v>43507</v>
      </c>
      <c r="H4612" t="s">
        <v>25</v>
      </c>
      <c r="I4612" t="s">
        <v>63</v>
      </c>
      <c r="J4612" t="s">
        <v>485</v>
      </c>
      <c r="K4612" s="138">
        <v>8</v>
      </c>
      <c r="L4612" s="137">
        <v>0</v>
      </c>
    </row>
    <row r="4613" spans="7:12" x14ac:dyDescent="0.25">
      <c r="G4613" s="136">
        <v>43507</v>
      </c>
      <c r="H4613" t="s">
        <v>28</v>
      </c>
      <c r="I4613" t="s">
        <v>66</v>
      </c>
      <c r="J4613" t="s">
        <v>134</v>
      </c>
      <c r="K4613" s="138">
        <v>4.5</v>
      </c>
      <c r="L4613" s="137">
        <v>0</v>
      </c>
    </row>
    <row r="4614" spans="7:12" x14ac:dyDescent="0.25">
      <c r="G4614" s="136">
        <v>43507</v>
      </c>
      <c r="H4614" t="s">
        <v>28</v>
      </c>
      <c r="I4614" t="s">
        <v>66</v>
      </c>
      <c r="J4614" t="s">
        <v>139</v>
      </c>
      <c r="K4614" s="138">
        <v>18</v>
      </c>
      <c r="L4614" s="137">
        <v>0</v>
      </c>
    </row>
    <row r="4615" spans="7:12" x14ac:dyDescent="0.25">
      <c r="G4615" s="136">
        <v>43508</v>
      </c>
      <c r="H4615" t="s">
        <v>195</v>
      </c>
      <c r="I4615" t="s">
        <v>42</v>
      </c>
      <c r="J4615" t="s">
        <v>486</v>
      </c>
      <c r="K4615" s="138">
        <v>24</v>
      </c>
      <c r="L4615" s="137">
        <v>0</v>
      </c>
    </row>
    <row r="4616" spans="7:12" x14ac:dyDescent="0.25">
      <c r="G4616" s="136">
        <v>43508</v>
      </c>
      <c r="H4616" t="s">
        <v>196</v>
      </c>
      <c r="I4616" t="s">
        <v>42</v>
      </c>
      <c r="J4616" t="s">
        <v>486</v>
      </c>
      <c r="K4616" s="138">
        <v>91.18</v>
      </c>
      <c r="L4616" s="137">
        <v>0</v>
      </c>
    </row>
    <row r="4617" spans="7:12" x14ac:dyDescent="0.25">
      <c r="G4617" s="136">
        <v>43508</v>
      </c>
      <c r="H4617" t="s">
        <v>28</v>
      </c>
      <c r="I4617" t="s">
        <v>66</v>
      </c>
      <c r="J4617" t="s">
        <v>390</v>
      </c>
      <c r="K4617" s="138">
        <v>3</v>
      </c>
      <c r="L4617" s="137">
        <v>0</v>
      </c>
    </row>
    <row r="4618" spans="7:12" x14ac:dyDescent="0.25">
      <c r="G4618" s="136">
        <v>43508</v>
      </c>
      <c r="H4618" t="s">
        <v>28</v>
      </c>
      <c r="I4618" t="s">
        <v>66</v>
      </c>
      <c r="J4618" t="s">
        <v>142</v>
      </c>
      <c r="K4618" s="138">
        <v>22</v>
      </c>
      <c r="L4618" s="137">
        <v>0</v>
      </c>
    </row>
    <row r="4619" spans="7:12" x14ac:dyDescent="0.25">
      <c r="G4619" s="136">
        <v>43509</v>
      </c>
      <c r="H4619" t="s">
        <v>27</v>
      </c>
      <c r="I4619" t="s">
        <v>63</v>
      </c>
      <c r="J4619" t="s">
        <v>487</v>
      </c>
      <c r="K4619" s="138">
        <v>8</v>
      </c>
      <c r="L4619" s="137">
        <v>0</v>
      </c>
    </row>
    <row r="4620" spans="7:12" x14ac:dyDescent="0.25">
      <c r="G4620" s="136">
        <v>43509</v>
      </c>
      <c r="H4620" t="s">
        <v>189</v>
      </c>
      <c r="I4620" t="s">
        <v>175</v>
      </c>
      <c r="J4620" t="s">
        <v>487</v>
      </c>
      <c r="K4620" s="138">
        <v>100</v>
      </c>
      <c r="L4620" s="137">
        <v>0</v>
      </c>
    </row>
    <row r="4621" spans="7:12" x14ac:dyDescent="0.25">
      <c r="G4621" s="136">
        <v>43509</v>
      </c>
      <c r="H4621" t="s">
        <v>191</v>
      </c>
      <c r="I4621" t="s">
        <v>42</v>
      </c>
      <c r="J4621" t="s">
        <v>487</v>
      </c>
      <c r="K4621" s="138">
        <v>128</v>
      </c>
      <c r="L4621" s="137">
        <v>0</v>
      </c>
    </row>
    <row r="4622" spans="7:12" x14ac:dyDescent="0.25">
      <c r="G4622" s="136">
        <v>43509</v>
      </c>
      <c r="H4622" t="s">
        <v>200</v>
      </c>
      <c r="I4622" t="s">
        <v>63</v>
      </c>
      <c r="J4622" t="s">
        <v>487</v>
      </c>
      <c r="K4622" s="138">
        <v>299</v>
      </c>
      <c r="L4622" s="137">
        <v>0</v>
      </c>
    </row>
    <row r="4623" spans="7:12" x14ac:dyDescent="0.25">
      <c r="G4623" s="136">
        <v>43509</v>
      </c>
      <c r="H4623" t="s">
        <v>25</v>
      </c>
      <c r="I4623" t="s">
        <v>63</v>
      </c>
      <c r="J4623" t="s">
        <v>487</v>
      </c>
      <c r="K4623" s="138">
        <v>48</v>
      </c>
      <c r="L4623" s="137">
        <v>0</v>
      </c>
    </row>
    <row r="4624" spans="7:12" x14ac:dyDescent="0.25">
      <c r="G4624" s="136">
        <v>43509</v>
      </c>
      <c r="H4624" t="s">
        <v>25</v>
      </c>
      <c r="I4624" t="s">
        <v>63</v>
      </c>
      <c r="J4624" t="s">
        <v>487</v>
      </c>
      <c r="K4624" s="138">
        <v>40</v>
      </c>
      <c r="L4624" s="137">
        <v>0</v>
      </c>
    </row>
    <row r="4625" spans="7:12" x14ac:dyDescent="0.25">
      <c r="G4625" s="136">
        <v>43509</v>
      </c>
      <c r="H4625" t="s">
        <v>25</v>
      </c>
      <c r="I4625" t="s">
        <v>63</v>
      </c>
      <c r="J4625" t="s">
        <v>487</v>
      </c>
      <c r="K4625" s="138">
        <v>32</v>
      </c>
      <c r="L4625" s="137">
        <v>0</v>
      </c>
    </row>
    <row r="4626" spans="7:12" x14ac:dyDescent="0.25">
      <c r="G4626" s="136">
        <v>43509</v>
      </c>
      <c r="H4626" t="s">
        <v>25</v>
      </c>
      <c r="I4626" t="s">
        <v>63</v>
      </c>
      <c r="J4626" t="s">
        <v>487</v>
      </c>
      <c r="K4626" s="138">
        <v>24</v>
      </c>
      <c r="L4626" s="137">
        <v>0</v>
      </c>
    </row>
    <row r="4627" spans="7:12" x14ac:dyDescent="0.25">
      <c r="G4627" s="136">
        <v>43509</v>
      </c>
      <c r="H4627" t="s">
        <v>25</v>
      </c>
      <c r="I4627" t="s">
        <v>63</v>
      </c>
      <c r="J4627" t="s">
        <v>487</v>
      </c>
      <c r="K4627" s="138">
        <v>8</v>
      </c>
      <c r="L4627" s="137">
        <v>0</v>
      </c>
    </row>
    <row r="4628" spans="7:12" x14ac:dyDescent="0.25">
      <c r="G4628" s="136">
        <v>43509</v>
      </c>
      <c r="H4628" t="s">
        <v>197</v>
      </c>
      <c r="I4628" t="s">
        <v>112</v>
      </c>
      <c r="J4628" t="s">
        <v>487</v>
      </c>
      <c r="K4628" s="138">
        <v>144.99</v>
      </c>
      <c r="L4628" s="137">
        <v>0</v>
      </c>
    </row>
    <row r="4629" spans="7:12" x14ac:dyDescent="0.25">
      <c r="G4629" s="136">
        <v>43509</v>
      </c>
      <c r="H4629" t="s">
        <v>197</v>
      </c>
      <c r="I4629" t="s">
        <v>176</v>
      </c>
      <c r="J4629" t="s">
        <v>487</v>
      </c>
      <c r="K4629" s="138">
        <v>16.05</v>
      </c>
      <c r="L4629" s="137">
        <v>0</v>
      </c>
    </row>
    <row r="4630" spans="7:12" x14ac:dyDescent="0.25">
      <c r="G4630" s="136">
        <v>43509</v>
      </c>
      <c r="H4630" t="s">
        <v>196</v>
      </c>
      <c r="I4630" t="s">
        <v>112</v>
      </c>
      <c r="J4630" t="s">
        <v>487</v>
      </c>
      <c r="K4630" s="138">
        <v>158.47999999999999</v>
      </c>
      <c r="L4630" s="137">
        <v>0</v>
      </c>
    </row>
    <row r="4631" spans="7:12" x14ac:dyDescent="0.25">
      <c r="G4631" s="136">
        <v>43509</v>
      </c>
      <c r="H4631" t="s">
        <v>180</v>
      </c>
      <c r="I4631" t="s">
        <v>42</v>
      </c>
      <c r="J4631" t="s">
        <v>487</v>
      </c>
      <c r="K4631" s="138">
        <v>20</v>
      </c>
      <c r="L4631" s="137">
        <v>0</v>
      </c>
    </row>
    <row r="4632" spans="7:12" x14ac:dyDescent="0.25">
      <c r="G4632" s="136">
        <v>43509</v>
      </c>
      <c r="H4632" t="s">
        <v>28</v>
      </c>
      <c r="I4632" t="s">
        <v>63</v>
      </c>
      <c r="J4632" t="s">
        <v>487</v>
      </c>
      <c r="K4632" s="138">
        <v>16</v>
      </c>
      <c r="L4632" s="137">
        <v>0</v>
      </c>
    </row>
    <row r="4633" spans="7:12" x14ac:dyDescent="0.25">
      <c r="G4633" s="136">
        <v>43509</v>
      </c>
      <c r="H4633" t="s">
        <v>28</v>
      </c>
      <c r="I4633" t="s">
        <v>163</v>
      </c>
      <c r="J4633" t="s">
        <v>487</v>
      </c>
      <c r="K4633" s="138">
        <v>18</v>
      </c>
      <c r="L4633" s="137">
        <v>0</v>
      </c>
    </row>
    <row r="4634" spans="7:12" x14ac:dyDescent="0.25">
      <c r="G4634" s="136">
        <v>43509</v>
      </c>
      <c r="H4634" t="s">
        <v>28</v>
      </c>
      <c r="I4634" t="s">
        <v>112</v>
      </c>
      <c r="J4634" t="s">
        <v>487</v>
      </c>
      <c r="K4634" s="138">
        <v>83.24</v>
      </c>
      <c r="L4634" s="137">
        <v>0</v>
      </c>
    </row>
    <row r="4635" spans="7:12" x14ac:dyDescent="0.25">
      <c r="G4635" s="136">
        <v>43509</v>
      </c>
      <c r="H4635" t="s">
        <v>28</v>
      </c>
      <c r="I4635" t="s">
        <v>155</v>
      </c>
      <c r="J4635" t="s">
        <v>487</v>
      </c>
      <c r="K4635" s="138">
        <v>250</v>
      </c>
      <c r="L4635" s="137">
        <v>0</v>
      </c>
    </row>
    <row r="4636" spans="7:12" x14ac:dyDescent="0.25">
      <c r="G4636" s="136">
        <v>43509</v>
      </c>
      <c r="H4636" t="s">
        <v>28</v>
      </c>
      <c r="I4636" t="s">
        <v>155</v>
      </c>
      <c r="J4636" t="s">
        <v>487</v>
      </c>
      <c r="K4636" s="138">
        <v>104.61</v>
      </c>
      <c r="L4636" s="137">
        <v>0</v>
      </c>
    </row>
    <row r="4637" spans="7:12" x14ac:dyDescent="0.25">
      <c r="G4637" s="136">
        <v>43509</v>
      </c>
      <c r="H4637" t="s">
        <v>28</v>
      </c>
      <c r="I4637" t="s">
        <v>155</v>
      </c>
      <c r="J4637" t="s">
        <v>487</v>
      </c>
      <c r="K4637" s="138">
        <v>81.83</v>
      </c>
      <c r="L4637" s="137">
        <v>0</v>
      </c>
    </row>
    <row r="4638" spans="7:12" x14ac:dyDescent="0.25">
      <c r="G4638" s="136">
        <v>43509</v>
      </c>
      <c r="H4638" t="s">
        <v>28</v>
      </c>
      <c r="I4638" t="s">
        <v>155</v>
      </c>
      <c r="J4638" t="s">
        <v>487</v>
      </c>
      <c r="K4638" s="138">
        <v>66.099999999999994</v>
      </c>
      <c r="L4638" s="137">
        <v>0</v>
      </c>
    </row>
    <row r="4639" spans="7:12" x14ac:dyDescent="0.25">
      <c r="G4639" s="136">
        <v>43509</v>
      </c>
      <c r="H4639" t="s">
        <v>28</v>
      </c>
      <c r="I4639" t="s">
        <v>155</v>
      </c>
      <c r="J4639" t="s">
        <v>487</v>
      </c>
      <c r="K4639" s="138">
        <v>43.39</v>
      </c>
      <c r="L4639" s="137">
        <v>0</v>
      </c>
    </row>
    <row r="4640" spans="7:12" x14ac:dyDescent="0.25">
      <c r="G4640" s="136">
        <v>43509</v>
      </c>
      <c r="H4640" t="s">
        <v>28</v>
      </c>
      <c r="I4640" t="s">
        <v>155</v>
      </c>
      <c r="J4640" t="s">
        <v>487</v>
      </c>
      <c r="K4640" s="138">
        <v>23.55</v>
      </c>
      <c r="L4640" s="137">
        <v>0</v>
      </c>
    </row>
    <row r="4641" spans="7:12" x14ac:dyDescent="0.25">
      <c r="G4641" s="136">
        <v>43509</v>
      </c>
      <c r="H4641" t="s">
        <v>28</v>
      </c>
      <c r="I4641" t="s">
        <v>155</v>
      </c>
      <c r="J4641" t="s">
        <v>487</v>
      </c>
      <c r="K4641" s="138">
        <v>23.4</v>
      </c>
      <c r="L4641" s="137">
        <v>0</v>
      </c>
    </row>
    <row r="4642" spans="7:12" x14ac:dyDescent="0.25">
      <c r="G4642" s="136">
        <v>43509</v>
      </c>
      <c r="H4642" t="s">
        <v>28</v>
      </c>
      <c r="I4642" t="s">
        <v>66</v>
      </c>
      <c r="J4642" t="s">
        <v>488</v>
      </c>
      <c r="K4642" s="138">
        <v>9.1999999999999993</v>
      </c>
      <c r="L4642" s="137">
        <v>0</v>
      </c>
    </row>
    <row r="4643" spans="7:12" x14ac:dyDescent="0.25">
      <c r="G4643" s="136">
        <v>43509</v>
      </c>
      <c r="H4643" t="s">
        <v>28</v>
      </c>
      <c r="I4643" t="s">
        <v>66</v>
      </c>
      <c r="J4643" t="s">
        <v>110</v>
      </c>
      <c r="K4643" s="138">
        <v>2.25</v>
      </c>
      <c r="L4643" s="137">
        <v>0</v>
      </c>
    </row>
    <row r="4644" spans="7:12" x14ac:dyDescent="0.25">
      <c r="G4644" s="136">
        <v>43509</v>
      </c>
      <c r="H4644" t="s">
        <v>28</v>
      </c>
      <c r="I4644" t="s">
        <v>66</v>
      </c>
      <c r="J4644" t="s">
        <v>142</v>
      </c>
      <c r="K4644" s="138">
        <v>22</v>
      </c>
      <c r="L4644" s="137">
        <v>0</v>
      </c>
    </row>
    <row r="4645" spans="7:12" x14ac:dyDescent="0.25">
      <c r="G4645" s="136">
        <v>43509</v>
      </c>
      <c r="H4645" t="s">
        <v>28</v>
      </c>
      <c r="I4645" t="s">
        <v>66</v>
      </c>
      <c r="J4645" t="s">
        <v>143</v>
      </c>
      <c r="K4645" s="138">
        <v>9</v>
      </c>
      <c r="L4645" s="137">
        <v>0</v>
      </c>
    </row>
    <row r="4646" spans="7:12" x14ac:dyDescent="0.25">
      <c r="G4646" s="136">
        <v>43509</v>
      </c>
      <c r="H4646" t="s">
        <v>28</v>
      </c>
      <c r="I4646" t="s">
        <v>66</v>
      </c>
      <c r="J4646" t="s">
        <v>276</v>
      </c>
      <c r="K4646" s="138">
        <v>2.4</v>
      </c>
      <c r="L4646" s="137">
        <v>0</v>
      </c>
    </row>
    <row r="4647" spans="7:12" x14ac:dyDescent="0.25">
      <c r="G4647" s="136">
        <v>43509</v>
      </c>
      <c r="H4647" t="s">
        <v>28</v>
      </c>
      <c r="I4647" t="s">
        <v>66</v>
      </c>
      <c r="J4647" t="s">
        <v>312</v>
      </c>
      <c r="K4647" s="138">
        <v>7.35</v>
      </c>
      <c r="L4647" s="137">
        <v>0</v>
      </c>
    </row>
    <row r="4648" spans="7:12" x14ac:dyDescent="0.25">
      <c r="G4648" s="136">
        <v>43509</v>
      </c>
      <c r="H4648" t="s">
        <v>28</v>
      </c>
      <c r="I4648" t="s">
        <v>42</v>
      </c>
      <c r="J4648" t="s">
        <v>487</v>
      </c>
      <c r="K4648" s="138">
        <v>12</v>
      </c>
      <c r="L4648" s="137">
        <v>0</v>
      </c>
    </row>
    <row r="4649" spans="7:12" x14ac:dyDescent="0.25">
      <c r="G4649" s="136">
        <v>43510</v>
      </c>
      <c r="H4649" t="s">
        <v>185</v>
      </c>
      <c r="I4649" t="s">
        <v>42</v>
      </c>
      <c r="J4649" t="s">
        <v>489</v>
      </c>
      <c r="K4649" s="138">
        <v>5</v>
      </c>
      <c r="L4649" s="137">
        <v>0</v>
      </c>
    </row>
    <row r="4650" spans="7:12" x14ac:dyDescent="0.25">
      <c r="G4650" s="136">
        <v>43510</v>
      </c>
      <c r="H4650" t="s">
        <v>184</v>
      </c>
      <c r="I4650" t="s">
        <v>42</v>
      </c>
      <c r="J4650" t="s">
        <v>489</v>
      </c>
      <c r="K4650" s="138">
        <v>10</v>
      </c>
      <c r="L4650" s="137">
        <v>0</v>
      </c>
    </row>
    <row r="4651" spans="7:12" x14ac:dyDescent="0.25">
      <c r="G4651" s="136">
        <v>43510</v>
      </c>
      <c r="H4651" t="s">
        <v>25</v>
      </c>
      <c r="I4651" t="s">
        <v>63</v>
      </c>
      <c r="J4651" t="s">
        <v>489</v>
      </c>
      <c r="K4651" s="138">
        <v>8</v>
      </c>
      <c r="L4651" s="137">
        <v>0</v>
      </c>
    </row>
    <row r="4652" spans="7:12" x14ac:dyDescent="0.25">
      <c r="G4652" s="136">
        <v>43510</v>
      </c>
      <c r="H4652" t="s">
        <v>28</v>
      </c>
      <c r="I4652" t="s">
        <v>66</v>
      </c>
      <c r="J4652" t="s">
        <v>285</v>
      </c>
      <c r="K4652" s="138">
        <v>6.4</v>
      </c>
      <c r="L4652" s="137">
        <v>0</v>
      </c>
    </row>
    <row r="4653" spans="7:12" x14ac:dyDescent="0.25">
      <c r="G4653" s="136">
        <v>43510</v>
      </c>
      <c r="H4653" t="s">
        <v>28</v>
      </c>
      <c r="I4653" t="s">
        <v>66</v>
      </c>
      <c r="J4653" t="s">
        <v>125</v>
      </c>
      <c r="K4653" s="138">
        <v>7.35</v>
      </c>
      <c r="L4653" s="137">
        <v>0</v>
      </c>
    </row>
    <row r="4654" spans="7:12" x14ac:dyDescent="0.25">
      <c r="G4654" s="136">
        <v>43510</v>
      </c>
      <c r="H4654" t="s">
        <v>28</v>
      </c>
      <c r="I4654" t="s">
        <v>66</v>
      </c>
      <c r="J4654" t="s">
        <v>279</v>
      </c>
      <c r="K4654" s="138">
        <v>9.1999999999999993</v>
      </c>
      <c r="L4654" s="137">
        <v>0</v>
      </c>
    </row>
    <row r="4655" spans="7:12" x14ac:dyDescent="0.25">
      <c r="G4655" s="136">
        <v>43510</v>
      </c>
      <c r="H4655" t="s">
        <v>28</v>
      </c>
      <c r="I4655" t="s">
        <v>66</v>
      </c>
      <c r="J4655" t="s">
        <v>266</v>
      </c>
      <c r="K4655" s="138">
        <v>7.45</v>
      </c>
      <c r="L4655" s="137">
        <v>0</v>
      </c>
    </row>
    <row r="4656" spans="7:12" x14ac:dyDescent="0.25">
      <c r="G4656" s="136">
        <v>43510</v>
      </c>
      <c r="H4656" t="s">
        <v>28</v>
      </c>
      <c r="I4656" t="s">
        <v>66</v>
      </c>
      <c r="J4656" t="s">
        <v>107</v>
      </c>
      <c r="K4656" s="138">
        <v>11.3</v>
      </c>
      <c r="L4656" s="137">
        <v>0</v>
      </c>
    </row>
    <row r="4657" spans="7:12" x14ac:dyDescent="0.25">
      <c r="G4657" s="136">
        <v>43511</v>
      </c>
      <c r="H4657" t="s">
        <v>204</v>
      </c>
      <c r="I4657" t="s">
        <v>176</v>
      </c>
      <c r="J4657" t="s">
        <v>490</v>
      </c>
      <c r="K4657" s="138">
        <v>114.25</v>
      </c>
      <c r="L4657" s="137">
        <v>0</v>
      </c>
    </row>
    <row r="4658" spans="7:12" x14ac:dyDescent="0.25">
      <c r="G4658" s="136">
        <v>43511</v>
      </c>
      <c r="H4658" t="s">
        <v>203</v>
      </c>
      <c r="I4658" t="s">
        <v>176</v>
      </c>
      <c r="J4658" t="s">
        <v>490</v>
      </c>
      <c r="K4658" s="138">
        <v>622.45000000000005</v>
      </c>
      <c r="L4658" s="137">
        <v>0</v>
      </c>
    </row>
    <row r="4659" spans="7:12" x14ac:dyDescent="0.25">
      <c r="G4659" s="136">
        <v>43511</v>
      </c>
      <c r="H4659" t="s">
        <v>192</v>
      </c>
      <c r="I4659" t="s">
        <v>112</v>
      </c>
      <c r="J4659" t="s">
        <v>490</v>
      </c>
      <c r="K4659" s="138">
        <v>62.65</v>
      </c>
      <c r="L4659" s="137">
        <v>0</v>
      </c>
    </row>
    <row r="4660" spans="7:12" x14ac:dyDescent="0.25">
      <c r="G4660" s="136">
        <v>43511</v>
      </c>
      <c r="H4660" t="s">
        <v>192</v>
      </c>
      <c r="I4660" t="s">
        <v>176</v>
      </c>
      <c r="J4660" t="s">
        <v>490</v>
      </c>
      <c r="K4660" s="138">
        <v>448.15</v>
      </c>
      <c r="L4660" s="137">
        <v>0</v>
      </c>
    </row>
    <row r="4661" spans="7:12" x14ac:dyDescent="0.25">
      <c r="G4661" s="136">
        <v>43511</v>
      </c>
      <c r="H4661" t="s">
        <v>27</v>
      </c>
      <c r="I4661" t="s">
        <v>63</v>
      </c>
      <c r="J4661" t="s">
        <v>490</v>
      </c>
      <c r="K4661" s="138">
        <v>8</v>
      </c>
      <c r="L4661" s="137">
        <v>0</v>
      </c>
    </row>
    <row r="4662" spans="7:12" x14ac:dyDescent="0.25">
      <c r="G4662" s="136">
        <v>43511</v>
      </c>
      <c r="H4662" t="s">
        <v>185</v>
      </c>
      <c r="I4662" t="s">
        <v>42</v>
      </c>
      <c r="J4662" t="s">
        <v>490</v>
      </c>
      <c r="K4662" s="138">
        <v>5</v>
      </c>
      <c r="L4662" s="137">
        <v>0</v>
      </c>
    </row>
    <row r="4663" spans="7:12" x14ac:dyDescent="0.25">
      <c r="G4663" s="136">
        <v>43511</v>
      </c>
      <c r="H4663" t="s">
        <v>184</v>
      </c>
      <c r="I4663" t="s">
        <v>42</v>
      </c>
      <c r="J4663" t="s">
        <v>490</v>
      </c>
      <c r="K4663" s="138">
        <v>73</v>
      </c>
      <c r="L4663" s="137">
        <v>0</v>
      </c>
    </row>
    <row r="4664" spans="7:12" x14ac:dyDescent="0.25">
      <c r="G4664" s="136">
        <v>43511</v>
      </c>
      <c r="H4664" t="s">
        <v>183</v>
      </c>
      <c r="I4664" t="s">
        <v>42</v>
      </c>
      <c r="J4664" t="s">
        <v>490</v>
      </c>
      <c r="K4664" s="138">
        <v>20.69</v>
      </c>
      <c r="L4664" s="137">
        <v>0</v>
      </c>
    </row>
    <row r="4665" spans="7:12" x14ac:dyDescent="0.25">
      <c r="G4665" s="136">
        <v>43511</v>
      </c>
      <c r="H4665" t="s">
        <v>189</v>
      </c>
      <c r="I4665" t="s">
        <v>42</v>
      </c>
      <c r="J4665" t="s">
        <v>490</v>
      </c>
      <c r="K4665" s="138">
        <v>93</v>
      </c>
      <c r="L4665" s="137">
        <v>0</v>
      </c>
    </row>
    <row r="4666" spans="7:12" x14ac:dyDescent="0.25">
      <c r="G4666" s="136">
        <v>43511</v>
      </c>
      <c r="H4666" t="s">
        <v>25</v>
      </c>
      <c r="I4666" t="s">
        <v>63</v>
      </c>
      <c r="J4666" t="s">
        <v>490</v>
      </c>
      <c r="K4666" s="138">
        <v>32</v>
      </c>
      <c r="L4666" s="137">
        <v>0</v>
      </c>
    </row>
    <row r="4667" spans="7:12" x14ac:dyDescent="0.25">
      <c r="G4667" s="136">
        <v>43511</v>
      </c>
      <c r="H4667" t="s">
        <v>25</v>
      </c>
      <c r="I4667" t="s">
        <v>63</v>
      </c>
      <c r="J4667" t="s">
        <v>490</v>
      </c>
      <c r="K4667" s="138">
        <v>16</v>
      </c>
      <c r="L4667" s="137">
        <v>0</v>
      </c>
    </row>
    <row r="4668" spans="7:12" x14ac:dyDescent="0.25">
      <c r="G4668" s="136">
        <v>43511</v>
      </c>
      <c r="H4668" t="s">
        <v>201</v>
      </c>
      <c r="I4668" t="s">
        <v>176</v>
      </c>
      <c r="J4668" t="s">
        <v>490</v>
      </c>
      <c r="K4668" s="138">
        <v>60.95</v>
      </c>
      <c r="L4668" s="137">
        <v>0</v>
      </c>
    </row>
    <row r="4669" spans="7:12" x14ac:dyDescent="0.25">
      <c r="G4669" s="136">
        <v>43511</v>
      </c>
      <c r="H4669" t="s">
        <v>207</v>
      </c>
      <c r="I4669" t="s">
        <v>176</v>
      </c>
      <c r="J4669" t="s">
        <v>490</v>
      </c>
      <c r="K4669" s="138">
        <v>23</v>
      </c>
      <c r="L4669" s="137">
        <v>0</v>
      </c>
    </row>
    <row r="4670" spans="7:12" x14ac:dyDescent="0.25">
      <c r="G4670" s="136">
        <v>43511</v>
      </c>
      <c r="H4670" t="s">
        <v>197</v>
      </c>
      <c r="I4670" t="s">
        <v>112</v>
      </c>
      <c r="J4670" t="s">
        <v>490</v>
      </c>
      <c r="K4670" s="138">
        <v>16.260000000000002</v>
      </c>
      <c r="L4670" s="137">
        <v>0</v>
      </c>
    </row>
    <row r="4671" spans="7:12" x14ac:dyDescent="0.25">
      <c r="G4671" s="136">
        <v>43511</v>
      </c>
      <c r="H4671" t="s">
        <v>197</v>
      </c>
      <c r="I4671" t="s">
        <v>176</v>
      </c>
      <c r="J4671" t="s">
        <v>490</v>
      </c>
      <c r="K4671" s="138">
        <v>47.11</v>
      </c>
      <c r="L4671" s="137">
        <v>0</v>
      </c>
    </row>
    <row r="4672" spans="7:12" x14ac:dyDescent="0.25">
      <c r="G4672" s="136">
        <v>43511</v>
      </c>
      <c r="H4672" t="s">
        <v>180</v>
      </c>
      <c r="I4672" t="s">
        <v>176</v>
      </c>
      <c r="J4672" t="s">
        <v>490</v>
      </c>
      <c r="K4672" s="138">
        <v>193.8</v>
      </c>
      <c r="L4672" s="137">
        <v>0</v>
      </c>
    </row>
    <row r="4673" spans="7:12" x14ac:dyDescent="0.25">
      <c r="G4673" s="136">
        <v>43511</v>
      </c>
      <c r="H4673" t="s">
        <v>179</v>
      </c>
      <c r="I4673" t="s">
        <v>176</v>
      </c>
      <c r="J4673" t="s">
        <v>490</v>
      </c>
      <c r="K4673" s="138">
        <v>524.4</v>
      </c>
      <c r="L4673" s="137">
        <v>0</v>
      </c>
    </row>
    <row r="4674" spans="7:12" x14ac:dyDescent="0.25">
      <c r="G4674" s="136">
        <v>43511</v>
      </c>
      <c r="H4674" t="s">
        <v>28</v>
      </c>
      <c r="I4674" t="s">
        <v>63</v>
      </c>
      <c r="J4674" t="s">
        <v>490</v>
      </c>
      <c r="K4674" s="138">
        <v>24</v>
      </c>
      <c r="L4674" s="137">
        <v>0</v>
      </c>
    </row>
    <row r="4675" spans="7:12" x14ac:dyDescent="0.25">
      <c r="G4675" s="136">
        <v>43511</v>
      </c>
      <c r="H4675" t="s">
        <v>28</v>
      </c>
      <c r="I4675" t="s">
        <v>112</v>
      </c>
      <c r="J4675" t="s">
        <v>490</v>
      </c>
      <c r="K4675" s="138">
        <v>56.18</v>
      </c>
      <c r="L4675" s="137">
        <v>0</v>
      </c>
    </row>
    <row r="4676" spans="7:12" x14ac:dyDescent="0.25">
      <c r="G4676" s="136">
        <v>43511</v>
      </c>
      <c r="H4676" t="s">
        <v>28</v>
      </c>
      <c r="I4676" t="s">
        <v>112</v>
      </c>
      <c r="J4676" t="s">
        <v>490</v>
      </c>
      <c r="K4676" s="138">
        <v>25.25</v>
      </c>
      <c r="L4676" s="137">
        <v>0</v>
      </c>
    </row>
    <row r="4677" spans="7:12" x14ac:dyDescent="0.25">
      <c r="G4677" s="136">
        <v>43511</v>
      </c>
      <c r="H4677" t="s">
        <v>28</v>
      </c>
      <c r="I4677" t="s">
        <v>155</v>
      </c>
      <c r="J4677" t="s">
        <v>490</v>
      </c>
      <c r="K4677" s="138">
        <v>142.96</v>
      </c>
      <c r="L4677" s="137">
        <v>0</v>
      </c>
    </row>
    <row r="4678" spans="7:12" x14ac:dyDescent="0.25">
      <c r="G4678" s="136">
        <v>43511</v>
      </c>
      <c r="H4678" t="s">
        <v>28</v>
      </c>
      <c r="I4678" t="s">
        <v>155</v>
      </c>
      <c r="J4678" t="s">
        <v>490</v>
      </c>
      <c r="K4678" s="138">
        <v>46.18</v>
      </c>
      <c r="L4678" s="137">
        <v>0</v>
      </c>
    </row>
    <row r="4679" spans="7:12" x14ac:dyDescent="0.25">
      <c r="G4679" s="136">
        <v>43511</v>
      </c>
      <c r="H4679" t="s">
        <v>28</v>
      </c>
      <c r="I4679" t="s">
        <v>155</v>
      </c>
      <c r="J4679" t="s">
        <v>490</v>
      </c>
      <c r="K4679" s="138">
        <v>38.64</v>
      </c>
      <c r="L4679" s="137">
        <v>0</v>
      </c>
    </row>
    <row r="4680" spans="7:12" x14ac:dyDescent="0.25">
      <c r="G4680" s="136">
        <v>43511</v>
      </c>
      <c r="H4680" t="s">
        <v>28</v>
      </c>
      <c r="I4680" t="s">
        <v>155</v>
      </c>
      <c r="J4680" t="s">
        <v>490</v>
      </c>
      <c r="K4680" s="138">
        <v>23.78</v>
      </c>
      <c r="L4680" s="137">
        <v>0</v>
      </c>
    </row>
    <row r="4681" spans="7:12" x14ac:dyDescent="0.25">
      <c r="G4681" s="136">
        <v>43511</v>
      </c>
      <c r="H4681" t="s">
        <v>28</v>
      </c>
      <c r="I4681" t="s">
        <v>66</v>
      </c>
      <c r="J4681" t="s">
        <v>110</v>
      </c>
      <c r="K4681" s="138">
        <v>7.35</v>
      </c>
      <c r="L4681" s="137">
        <v>0</v>
      </c>
    </row>
    <row r="4682" spans="7:12" x14ac:dyDescent="0.25">
      <c r="G4682" s="136">
        <v>43511</v>
      </c>
      <c r="H4682" t="s">
        <v>28</v>
      </c>
      <c r="I4682" t="s">
        <v>66</v>
      </c>
      <c r="J4682" t="s">
        <v>285</v>
      </c>
      <c r="K4682" s="138">
        <v>8.6999999999999993</v>
      </c>
      <c r="L4682" s="137">
        <v>0</v>
      </c>
    </row>
    <row r="4683" spans="7:12" x14ac:dyDescent="0.25">
      <c r="G4683" s="136">
        <v>43511</v>
      </c>
      <c r="H4683" t="s">
        <v>28</v>
      </c>
      <c r="I4683" t="s">
        <v>66</v>
      </c>
      <c r="J4683" t="s">
        <v>128</v>
      </c>
      <c r="K4683" s="138">
        <v>7.35</v>
      </c>
      <c r="L4683" s="137">
        <v>0</v>
      </c>
    </row>
    <row r="4684" spans="7:12" x14ac:dyDescent="0.25">
      <c r="G4684" s="136">
        <v>43511</v>
      </c>
      <c r="H4684" t="s">
        <v>28</v>
      </c>
      <c r="I4684" t="s">
        <v>66</v>
      </c>
      <c r="J4684" t="s">
        <v>116</v>
      </c>
      <c r="K4684" s="138">
        <v>7.35</v>
      </c>
      <c r="L4684" s="137">
        <v>0</v>
      </c>
    </row>
    <row r="4685" spans="7:12" x14ac:dyDescent="0.25">
      <c r="G4685" s="136">
        <v>43512</v>
      </c>
      <c r="H4685" t="s">
        <v>214</v>
      </c>
      <c r="I4685" t="s">
        <v>163</v>
      </c>
      <c r="J4685" t="s">
        <v>491</v>
      </c>
      <c r="K4685" s="138">
        <v>1000</v>
      </c>
      <c r="L4685" s="137">
        <v>0</v>
      </c>
    </row>
    <row r="4686" spans="7:12" x14ac:dyDescent="0.25">
      <c r="G4686" s="136">
        <v>43512</v>
      </c>
      <c r="H4686" t="s">
        <v>187</v>
      </c>
      <c r="I4686" t="s">
        <v>42</v>
      </c>
      <c r="J4686" t="s">
        <v>491</v>
      </c>
      <c r="K4686" s="138">
        <v>33</v>
      </c>
      <c r="L4686" s="137">
        <v>0</v>
      </c>
    </row>
    <row r="4687" spans="7:12" x14ac:dyDescent="0.25">
      <c r="G4687" s="136">
        <v>43512</v>
      </c>
      <c r="H4687" t="s">
        <v>28</v>
      </c>
      <c r="I4687" t="s">
        <v>66</v>
      </c>
      <c r="J4687" t="s">
        <v>390</v>
      </c>
      <c r="K4687" s="138">
        <v>2.25</v>
      </c>
      <c r="L4687" s="137">
        <v>0</v>
      </c>
    </row>
    <row r="4688" spans="7:12" x14ac:dyDescent="0.25">
      <c r="G4688" s="136">
        <v>43512</v>
      </c>
      <c r="H4688" t="s">
        <v>28</v>
      </c>
      <c r="I4688" t="s">
        <v>66</v>
      </c>
      <c r="J4688" t="s">
        <v>118</v>
      </c>
      <c r="K4688" s="138">
        <v>10.5</v>
      </c>
      <c r="L4688" s="137">
        <v>0</v>
      </c>
    </row>
    <row r="4689" spans="7:12" x14ac:dyDescent="0.25">
      <c r="G4689" s="136">
        <v>43514</v>
      </c>
      <c r="H4689" t="s">
        <v>192</v>
      </c>
      <c r="I4689" t="s">
        <v>163</v>
      </c>
      <c r="J4689" t="s">
        <v>492</v>
      </c>
      <c r="K4689" s="138">
        <v>58.47</v>
      </c>
      <c r="L4689" s="137">
        <v>0</v>
      </c>
    </row>
    <row r="4690" spans="7:12" x14ac:dyDescent="0.25">
      <c r="G4690" s="136">
        <v>43514</v>
      </c>
      <c r="H4690" t="s">
        <v>27</v>
      </c>
      <c r="I4690" t="s">
        <v>63</v>
      </c>
      <c r="J4690" t="s">
        <v>492</v>
      </c>
      <c r="K4690" s="138">
        <v>8</v>
      </c>
      <c r="L4690" s="137">
        <v>0</v>
      </c>
    </row>
    <row r="4691" spans="7:12" x14ac:dyDescent="0.25">
      <c r="G4691" s="136">
        <v>43514</v>
      </c>
      <c r="H4691" t="s">
        <v>185</v>
      </c>
      <c r="I4691" t="s">
        <v>42</v>
      </c>
      <c r="J4691" t="s">
        <v>492</v>
      </c>
      <c r="K4691" s="138">
        <v>28.17</v>
      </c>
      <c r="L4691" s="137">
        <v>0</v>
      </c>
    </row>
    <row r="4692" spans="7:12" x14ac:dyDescent="0.25">
      <c r="G4692" s="136">
        <v>43514</v>
      </c>
      <c r="H4692" t="s">
        <v>183</v>
      </c>
      <c r="I4692" t="s">
        <v>42</v>
      </c>
      <c r="J4692" t="s">
        <v>492</v>
      </c>
      <c r="K4692" s="138">
        <v>5.96</v>
      </c>
      <c r="L4692" s="137">
        <v>0</v>
      </c>
    </row>
    <row r="4693" spans="7:12" x14ac:dyDescent="0.25">
      <c r="G4693" s="136">
        <v>43514</v>
      </c>
      <c r="H4693" t="s">
        <v>191</v>
      </c>
      <c r="I4693" t="s">
        <v>171</v>
      </c>
      <c r="J4693" t="s">
        <v>492</v>
      </c>
      <c r="K4693" s="138">
        <v>48</v>
      </c>
      <c r="L4693" s="137">
        <v>0</v>
      </c>
    </row>
    <row r="4694" spans="7:12" x14ac:dyDescent="0.25">
      <c r="G4694" s="136">
        <v>43514</v>
      </c>
      <c r="H4694" t="s">
        <v>25</v>
      </c>
      <c r="I4694" t="s">
        <v>63</v>
      </c>
      <c r="J4694" t="s">
        <v>492</v>
      </c>
      <c r="K4694" s="138">
        <v>64</v>
      </c>
      <c r="L4694" s="137">
        <v>0</v>
      </c>
    </row>
    <row r="4695" spans="7:12" x14ac:dyDescent="0.25">
      <c r="G4695" s="136">
        <v>43514</v>
      </c>
      <c r="H4695" t="s">
        <v>25</v>
      </c>
      <c r="I4695" t="s">
        <v>63</v>
      </c>
      <c r="J4695" t="s">
        <v>492</v>
      </c>
      <c r="K4695" s="138">
        <v>48</v>
      </c>
      <c r="L4695" s="137">
        <v>0</v>
      </c>
    </row>
    <row r="4696" spans="7:12" x14ac:dyDescent="0.25">
      <c r="G4696" s="136">
        <v>43514</v>
      </c>
      <c r="H4696" t="s">
        <v>25</v>
      </c>
      <c r="I4696" t="s">
        <v>63</v>
      </c>
      <c r="J4696" t="s">
        <v>492</v>
      </c>
      <c r="K4696" s="138">
        <v>40</v>
      </c>
      <c r="L4696" s="137">
        <v>0</v>
      </c>
    </row>
    <row r="4697" spans="7:12" x14ac:dyDescent="0.25">
      <c r="G4697" s="136">
        <v>43514</v>
      </c>
      <c r="H4697" t="s">
        <v>25</v>
      </c>
      <c r="I4697" t="s">
        <v>63</v>
      </c>
      <c r="J4697" t="s">
        <v>492</v>
      </c>
      <c r="K4697" s="138">
        <v>32</v>
      </c>
      <c r="L4697" s="137">
        <v>0</v>
      </c>
    </row>
    <row r="4698" spans="7:12" x14ac:dyDescent="0.25">
      <c r="G4698" s="136">
        <v>43514</v>
      </c>
      <c r="H4698" t="s">
        <v>25</v>
      </c>
      <c r="I4698" t="s">
        <v>63</v>
      </c>
      <c r="J4698" t="s">
        <v>492</v>
      </c>
      <c r="K4698" s="138">
        <v>16</v>
      </c>
      <c r="L4698" s="137">
        <v>0</v>
      </c>
    </row>
    <row r="4699" spans="7:12" x14ac:dyDescent="0.25">
      <c r="G4699" s="136">
        <v>43514</v>
      </c>
      <c r="H4699" t="s">
        <v>25</v>
      </c>
      <c r="I4699" t="s">
        <v>63</v>
      </c>
      <c r="J4699" t="s">
        <v>492</v>
      </c>
      <c r="K4699" s="138">
        <v>8</v>
      </c>
      <c r="L4699" s="137">
        <v>0</v>
      </c>
    </row>
    <row r="4700" spans="7:12" x14ac:dyDescent="0.25">
      <c r="G4700" s="136">
        <v>43514</v>
      </c>
      <c r="H4700" t="s">
        <v>187</v>
      </c>
      <c r="I4700" t="s">
        <v>42</v>
      </c>
      <c r="J4700" t="s">
        <v>492</v>
      </c>
      <c r="K4700" s="138">
        <v>56.25</v>
      </c>
      <c r="L4700" s="137">
        <v>0</v>
      </c>
    </row>
    <row r="4701" spans="7:12" x14ac:dyDescent="0.25">
      <c r="G4701" s="136">
        <v>43514</v>
      </c>
      <c r="H4701" t="s">
        <v>196</v>
      </c>
      <c r="I4701" t="s">
        <v>42</v>
      </c>
      <c r="J4701" t="s">
        <v>492</v>
      </c>
      <c r="K4701" s="138">
        <v>32.01</v>
      </c>
      <c r="L4701" s="137">
        <v>0</v>
      </c>
    </row>
    <row r="4702" spans="7:12" x14ac:dyDescent="0.25">
      <c r="G4702" s="136">
        <v>43514</v>
      </c>
      <c r="H4702" t="s">
        <v>196</v>
      </c>
      <c r="I4702" t="s">
        <v>171</v>
      </c>
      <c r="J4702" t="s">
        <v>492</v>
      </c>
      <c r="K4702" s="138">
        <v>259.26</v>
      </c>
      <c r="L4702" s="137">
        <v>0</v>
      </c>
    </row>
    <row r="4703" spans="7:12" x14ac:dyDescent="0.25">
      <c r="G4703" s="136">
        <v>43514</v>
      </c>
      <c r="H4703" t="s">
        <v>28</v>
      </c>
      <c r="I4703" t="s">
        <v>112</v>
      </c>
      <c r="J4703" t="s">
        <v>492</v>
      </c>
      <c r="K4703" s="138">
        <v>80</v>
      </c>
      <c r="L4703" s="137">
        <v>0</v>
      </c>
    </row>
    <row r="4704" spans="7:12" x14ac:dyDescent="0.25">
      <c r="G4704" s="136">
        <v>43514</v>
      </c>
      <c r="H4704" t="s">
        <v>28</v>
      </c>
      <c r="I4704" t="s">
        <v>66</v>
      </c>
      <c r="J4704" t="s">
        <v>390</v>
      </c>
      <c r="K4704" s="138">
        <v>9.1999999999999993</v>
      </c>
      <c r="L4704" s="137">
        <v>0</v>
      </c>
    </row>
    <row r="4705" spans="7:12" x14ac:dyDescent="0.25">
      <c r="G4705" s="136">
        <v>43514</v>
      </c>
      <c r="H4705" t="s">
        <v>28</v>
      </c>
      <c r="I4705" t="s">
        <v>66</v>
      </c>
      <c r="J4705" t="s">
        <v>144</v>
      </c>
      <c r="K4705" s="138">
        <v>18</v>
      </c>
      <c r="L4705" s="137">
        <v>0</v>
      </c>
    </row>
    <row r="4706" spans="7:12" x14ac:dyDescent="0.25">
      <c r="G4706" s="136">
        <v>43514</v>
      </c>
      <c r="H4706" t="s">
        <v>28</v>
      </c>
      <c r="I4706" t="s">
        <v>66</v>
      </c>
      <c r="J4706" t="s">
        <v>143</v>
      </c>
      <c r="K4706" s="138">
        <v>26</v>
      </c>
      <c r="L4706" s="137">
        <v>0</v>
      </c>
    </row>
    <row r="4707" spans="7:12" x14ac:dyDescent="0.25">
      <c r="G4707" s="136">
        <v>43514</v>
      </c>
      <c r="H4707" t="s">
        <v>28</v>
      </c>
      <c r="I4707" t="s">
        <v>66</v>
      </c>
      <c r="J4707" t="s">
        <v>122</v>
      </c>
      <c r="K4707" s="138">
        <v>7.45</v>
      </c>
      <c r="L4707" s="137">
        <v>0</v>
      </c>
    </row>
    <row r="4708" spans="7:12" x14ac:dyDescent="0.25">
      <c r="G4708" s="136">
        <v>43514</v>
      </c>
      <c r="H4708" t="s">
        <v>28</v>
      </c>
      <c r="I4708" t="s">
        <v>66</v>
      </c>
      <c r="J4708" t="s">
        <v>378</v>
      </c>
      <c r="K4708" s="138">
        <v>9.5500000000000007</v>
      </c>
      <c r="L4708" s="137">
        <v>0</v>
      </c>
    </row>
    <row r="4709" spans="7:12" x14ac:dyDescent="0.25">
      <c r="G4709" s="136">
        <v>43514</v>
      </c>
      <c r="H4709" t="s">
        <v>28</v>
      </c>
      <c r="I4709" t="s">
        <v>66</v>
      </c>
      <c r="J4709" t="s">
        <v>290</v>
      </c>
      <c r="K4709" s="138">
        <v>12.08</v>
      </c>
      <c r="L4709" s="137">
        <v>0</v>
      </c>
    </row>
    <row r="4710" spans="7:12" x14ac:dyDescent="0.25">
      <c r="G4710" s="136">
        <v>43514</v>
      </c>
      <c r="H4710" t="s">
        <v>28</v>
      </c>
      <c r="I4710" t="s">
        <v>42</v>
      </c>
      <c r="J4710" t="s">
        <v>492</v>
      </c>
      <c r="K4710" s="138">
        <v>137.5</v>
      </c>
      <c r="L4710" s="137">
        <v>0</v>
      </c>
    </row>
    <row r="4711" spans="7:12" x14ac:dyDescent="0.25">
      <c r="G4711" s="136">
        <v>43514</v>
      </c>
      <c r="H4711" t="s">
        <v>28</v>
      </c>
      <c r="I4711" t="s">
        <v>42</v>
      </c>
      <c r="J4711" t="s">
        <v>492</v>
      </c>
      <c r="K4711" s="138">
        <v>29.33</v>
      </c>
      <c r="L4711" s="137">
        <v>0</v>
      </c>
    </row>
    <row r="4712" spans="7:12" x14ac:dyDescent="0.25">
      <c r="G4712" s="136">
        <v>43514</v>
      </c>
      <c r="H4712" t="s">
        <v>28</v>
      </c>
      <c r="I4712" t="s">
        <v>42</v>
      </c>
      <c r="J4712" t="s">
        <v>492</v>
      </c>
      <c r="K4712" s="138">
        <v>12</v>
      </c>
      <c r="L4712" s="137">
        <v>0</v>
      </c>
    </row>
    <row r="4713" spans="7:12" x14ac:dyDescent="0.25">
      <c r="G4713" s="136">
        <v>43515</v>
      </c>
      <c r="H4713" t="s">
        <v>27</v>
      </c>
      <c r="I4713" t="s">
        <v>63</v>
      </c>
      <c r="J4713" t="s">
        <v>493</v>
      </c>
      <c r="K4713" s="138">
        <v>8</v>
      </c>
      <c r="L4713" s="137">
        <v>0</v>
      </c>
    </row>
    <row r="4714" spans="7:12" x14ac:dyDescent="0.25">
      <c r="G4714" s="136">
        <v>43515</v>
      </c>
      <c r="H4714" t="s">
        <v>184</v>
      </c>
      <c r="I4714" t="s">
        <v>42</v>
      </c>
      <c r="J4714" t="s">
        <v>493</v>
      </c>
      <c r="K4714" s="138">
        <v>64</v>
      </c>
      <c r="L4714" s="137">
        <v>0</v>
      </c>
    </row>
    <row r="4715" spans="7:12" x14ac:dyDescent="0.25">
      <c r="G4715" s="136">
        <v>43515</v>
      </c>
      <c r="H4715" t="s">
        <v>184</v>
      </c>
      <c r="I4715" t="s">
        <v>171</v>
      </c>
      <c r="J4715" t="s">
        <v>493</v>
      </c>
      <c r="K4715" s="138">
        <v>1539.2</v>
      </c>
      <c r="L4715" s="137">
        <v>0</v>
      </c>
    </row>
    <row r="4716" spans="7:12" x14ac:dyDescent="0.25">
      <c r="G4716" s="136">
        <v>43515</v>
      </c>
      <c r="H4716" t="s">
        <v>183</v>
      </c>
      <c r="I4716" t="s">
        <v>155</v>
      </c>
      <c r="J4716" t="s">
        <v>493</v>
      </c>
      <c r="K4716" s="138">
        <v>47.52</v>
      </c>
      <c r="L4716" s="137">
        <v>0</v>
      </c>
    </row>
    <row r="4717" spans="7:12" x14ac:dyDescent="0.25">
      <c r="G4717" s="136">
        <v>43515</v>
      </c>
      <c r="H4717" t="s">
        <v>188</v>
      </c>
      <c r="I4717" t="s">
        <v>176</v>
      </c>
      <c r="J4717" t="s">
        <v>493</v>
      </c>
      <c r="K4717" s="138">
        <v>39.9</v>
      </c>
      <c r="L4717" s="137">
        <v>0</v>
      </c>
    </row>
    <row r="4718" spans="7:12" x14ac:dyDescent="0.25">
      <c r="G4718" s="136">
        <v>43515</v>
      </c>
      <c r="H4718" t="s">
        <v>25</v>
      </c>
      <c r="I4718" t="s">
        <v>63</v>
      </c>
      <c r="J4718" t="s">
        <v>493</v>
      </c>
      <c r="K4718" s="138">
        <v>32</v>
      </c>
      <c r="L4718" s="137">
        <v>0</v>
      </c>
    </row>
    <row r="4719" spans="7:12" x14ac:dyDescent="0.25">
      <c r="G4719" s="136">
        <v>43515</v>
      </c>
      <c r="H4719" t="s">
        <v>25</v>
      </c>
      <c r="I4719" t="s">
        <v>63</v>
      </c>
      <c r="J4719" t="s">
        <v>493</v>
      </c>
      <c r="K4719" s="138">
        <v>16</v>
      </c>
      <c r="L4719" s="137">
        <v>0</v>
      </c>
    </row>
    <row r="4720" spans="7:12" x14ac:dyDescent="0.25">
      <c r="G4720" s="136">
        <v>43515</v>
      </c>
      <c r="H4720" t="s">
        <v>181</v>
      </c>
      <c r="I4720" t="s">
        <v>42</v>
      </c>
      <c r="J4720" t="s">
        <v>493</v>
      </c>
      <c r="K4720" s="138">
        <v>156.4</v>
      </c>
      <c r="L4720" s="137">
        <v>0</v>
      </c>
    </row>
    <row r="4721" spans="7:12" x14ac:dyDescent="0.25">
      <c r="G4721" s="136">
        <v>43515</v>
      </c>
      <c r="H4721" t="s">
        <v>196</v>
      </c>
      <c r="I4721" t="s">
        <v>112</v>
      </c>
      <c r="J4721" t="s">
        <v>493</v>
      </c>
      <c r="K4721" s="138">
        <v>20.75</v>
      </c>
      <c r="L4721" s="137">
        <v>0</v>
      </c>
    </row>
    <row r="4722" spans="7:12" x14ac:dyDescent="0.25">
      <c r="G4722" s="136">
        <v>43515</v>
      </c>
      <c r="H4722" t="s">
        <v>28</v>
      </c>
      <c r="I4722" t="s">
        <v>112</v>
      </c>
      <c r="J4722" t="s">
        <v>493</v>
      </c>
      <c r="K4722" s="138">
        <v>14.35</v>
      </c>
      <c r="L4722" s="137">
        <v>0</v>
      </c>
    </row>
    <row r="4723" spans="7:12" x14ac:dyDescent="0.25">
      <c r="G4723" s="136">
        <v>43515</v>
      </c>
      <c r="H4723" t="s">
        <v>28</v>
      </c>
      <c r="I4723" t="s">
        <v>155</v>
      </c>
      <c r="J4723" t="s">
        <v>493</v>
      </c>
      <c r="K4723" s="138">
        <v>189.2</v>
      </c>
      <c r="L4723" s="137">
        <v>0</v>
      </c>
    </row>
    <row r="4724" spans="7:12" x14ac:dyDescent="0.25">
      <c r="G4724" s="136">
        <v>43515</v>
      </c>
      <c r="H4724" t="s">
        <v>28</v>
      </c>
      <c r="I4724" t="s">
        <v>155</v>
      </c>
      <c r="J4724" t="s">
        <v>493</v>
      </c>
      <c r="K4724" s="138">
        <v>188.88</v>
      </c>
      <c r="L4724" s="137">
        <v>0</v>
      </c>
    </row>
    <row r="4725" spans="7:12" x14ac:dyDescent="0.25">
      <c r="G4725" s="136">
        <v>43515</v>
      </c>
      <c r="H4725" t="s">
        <v>28</v>
      </c>
      <c r="I4725" t="s">
        <v>155</v>
      </c>
      <c r="J4725" t="s">
        <v>493</v>
      </c>
      <c r="K4725" s="138">
        <v>100.68</v>
      </c>
      <c r="L4725" s="137">
        <v>0</v>
      </c>
    </row>
    <row r="4726" spans="7:12" x14ac:dyDescent="0.25">
      <c r="G4726" s="136">
        <v>43515</v>
      </c>
      <c r="H4726" t="s">
        <v>28</v>
      </c>
      <c r="I4726" t="s">
        <v>155</v>
      </c>
      <c r="J4726" t="s">
        <v>493</v>
      </c>
      <c r="K4726" s="138">
        <v>49.83</v>
      </c>
      <c r="L4726" s="137">
        <v>0</v>
      </c>
    </row>
    <row r="4727" spans="7:12" x14ac:dyDescent="0.25">
      <c r="G4727" s="136">
        <v>43515</v>
      </c>
      <c r="H4727" t="s">
        <v>28</v>
      </c>
      <c r="I4727" t="s">
        <v>155</v>
      </c>
      <c r="J4727" t="s">
        <v>493</v>
      </c>
      <c r="K4727" s="138">
        <v>24.5</v>
      </c>
      <c r="L4727" s="137">
        <v>0</v>
      </c>
    </row>
    <row r="4728" spans="7:12" x14ac:dyDescent="0.25">
      <c r="G4728" s="136">
        <v>43515</v>
      </c>
      <c r="H4728" t="s">
        <v>28</v>
      </c>
      <c r="I4728" t="s">
        <v>155</v>
      </c>
      <c r="J4728" t="s">
        <v>493</v>
      </c>
      <c r="K4728" s="138">
        <v>10.43</v>
      </c>
      <c r="L4728" s="137">
        <v>0</v>
      </c>
    </row>
    <row r="4729" spans="7:12" x14ac:dyDescent="0.25">
      <c r="G4729" s="136">
        <v>43515</v>
      </c>
      <c r="H4729" t="s">
        <v>28</v>
      </c>
      <c r="I4729" t="s">
        <v>66</v>
      </c>
      <c r="J4729" t="s">
        <v>320</v>
      </c>
      <c r="K4729" s="138">
        <v>10.25</v>
      </c>
      <c r="L4729" s="137">
        <v>0</v>
      </c>
    </row>
    <row r="4730" spans="7:12" x14ac:dyDescent="0.25">
      <c r="G4730" s="136">
        <v>43515</v>
      </c>
      <c r="H4730" t="s">
        <v>28</v>
      </c>
      <c r="I4730" t="s">
        <v>66</v>
      </c>
      <c r="J4730" t="s">
        <v>282</v>
      </c>
      <c r="K4730" s="138">
        <v>11.3</v>
      </c>
      <c r="L4730" s="137">
        <v>0</v>
      </c>
    </row>
    <row r="4731" spans="7:12" x14ac:dyDescent="0.25">
      <c r="G4731" s="136">
        <v>43515</v>
      </c>
      <c r="H4731" t="s">
        <v>28</v>
      </c>
      <c r="I4731" t="s">
        <v>66</v>
      </c>
      <c r="J4731" t="s">
        <v>110</v>
      </c>
      <c r="K4731" s="138">
        <v>7.35</v>
      </c>
      <c r="L4731" s="137">
        <v>0</v>
      </c>
    </row>
    <row r="4732" spans="7:12" x14ac:dyDescent="0.25">
      <c r="G4732" s="136">
        <v>43515</v>
      </c>
      <c r="H4732" t="s">
        <v>28</v>
      </c>
      <c r="I4732" t="s">
        <v>66</v>
      </c>
      <c r="J4732" t="s">
        <v>389</v>
      </c>
      <c r="K4732" s="138">
        <v>9.1999999999999993</v>
      </c>
      <c r="L4732" s="137">
        <v>0</v>
      </c>
    </row>
    <row r="4733" spans="7:12" x14ac:dyDescent="0.25">
      <c r="G4733" s="136">
        <v>43515</v>
      </c>
      <c r="H4733" t="s">
        <v>28</v>
      </c>
      <c r="I4733" t="s">
        <v>66</v>
      </c>
      <c r="J4733" t="s">
        <v>105</v>
      </c>
      <c r="K4733" s="138">
        <v>40</v>
      </c>
      <c r="L4733" s="137">
        <v>0</v>
      </c>
    </row>
    <row r="4734" spans="7:12" x14ac:dyDescent="0.25">
      <c r="G4734" s="136">
        <v>43515</v>
      </c>
      <c r="H4734" t="s">
        <v>28</v>
      </c>
      <c r="I4734" t="s">
        <v>66</v>
      </c>
      <c r="J4734" t="s">
        <v>408</v>
      </c>
      <c r="K4734" s="138">
        <v>20.5</v>
      </c>
      <c r="L4734" s="137">
        <v>0</v>
      </c>
    </row>
    <row r="4735" spans="7:12" x14ac:dyDescent="0.25">
      <c r="G4735" s="136">
        <v>43515</v>
      </c>
      <c r="H4735" t="s">
        <v>28</v>
      </c>
      <c r="I4735" t="s">
        <v>66</v>
      </c>
      <c r="J4735" t="s">
        <v>116</v>
      </c>
      <c r="K4735" s="138">
        <v>2.4</v>
      </c>
      <c r="L4735" s="137">
        <v>0</v>
      </c>
    </row>
    <row r="4736" spans="7:12" x14ac:dyDescent="0.25">
      <c r="G4736" s="136">
        <v>43515</v>
      </c>
      <c r="H4736" t="s">
        <v>28</v>
      </c>
      <c r="I4736" t="s">
        <v>66</v>
      </c>
      <c r="J4736" t="s">
        <v>115</v>
      </c>
      <c r="K4736" s="138">
        <v>25</v>
      </c>
      <c r="L4736" s="137">
        <v>0</v>
      </c>
    </row>
    <row r="4737" spans="7:12" x14ac:dyDescent="0.25">
      <c r="G4737" s="136">
        <v>43515</v>
      </c>
      <c r="H4737" t="s">
        <v>28</v>
      </c>
      <c r="I4737" t="s">
        <v>66</v>
      </c>
      <c r="J4737" t="s">
        <v>121</v>
      </c>
      <c r="K4737" s="138">
        <v>25.9</v>
      </c>
      <c r="L4737" s="137">
        <v>0</v>
      </c>
    </row>
    <row r="4738" spans="7:12" x14ac:dyDescent="0.25">
      <c r="G4738" s="136">
        <v>43515</v>
      </c>
      <c r="H4738" t="s">
        <v>28</v>
      </c>
      <c r="I4738" t="s">
        <v>66</v>
      </c>
      <c r="J4738" t="s">
        <v>130</v>
      </c>
      <c r="K4738" s="138">
        <v>10.25</v>
      </c>
      <c r="L4738" s="137">
        <v>0</v>
      </c>
    </row>
    <row r="4739" spans="7:12" x14ac:dyDescent="0.25">
      <c r="G4739" s="136">
        <v>43516</v>
      </c>
      <c r="H4739" t="s">
        <v>202</v>
      </c>
      <c r="I4739" t="s">
        <v>163</v>
      </c>
      <c r="J4739" t="s">
        <v>494</v>
      </c>
      <c r="K4739" s="138">
        <v>625</v>
      </c>
      <c r="L4739" s="137">
        <v>0</v>
      </c>
    </row>
    <row r="4740" spans="7:12" x14ac:dyDescent="0.25">
      <c r="G4740" s="136">
        <v>43516</v>
      </c>
      <c r="H4740" t="s">
        <v>184</v>
      </c>
      <c r="I4740" t="s">
        <v>42</v>
      </c>
      <c r="J4740" t="s">
        <v>494</v>
      </c>
      <c r="K4740" s="138">
        <v>8</v>
      </c>
      <c r="L4740" s="137">
        <v>0</v>
      </c>
    </row>
    <row r="4741" spans="7:12" x14ac:dyDescent="0.25">
      <c r="G4741" s="136">
        <v>43516</v>
      </c>
      <c r="H4741" t="s">
        <v>184</v>
      </c>
      <c r="I4741" t="s">
        <v>171</v>
      </c>
      <c r="J4741" t="s">
        <v>494</v>
      </c>
      <c r="K4741" s="138">
        <v>353.6</v>
      </c>
      <c r="L4741" s="137">
        <v>0</v>
      </c>
    </row>
    <row r="4742" spans="7:12" x14ac:dyDescent="0.25">
      <c r="G4742" s="136">
        <v>43516</v>
      </c>
      <c r="H4742" t="s">
        <v>195</v>
      </c>
      <c r="I4742" t="s">
        <v>42</v>
      </c>
      <c r="J4742" t="s">
        <v>494</v>
      </c>
      <c r="K4742" s="138">
        <v>4.8</v>
      </c>
      <c r="L4742" s="137">
        <v>0</v>
      </c>
    </row>
    <row r="4743" spans="7:12" x14ac:dyDescent="0.25">
      <c r="G4743" s="136">
        <v>43516</v>
      </c>
      <c r="H4743" t="s">
        <v>191</v>
      </c>
      <c r="I4743" t="s">
        <v>163</v>
      </c>
      <c r="J4743" t="s">
        <v>494</v>
      </c>
      <c r="K4743" s="138">
        <v>25</v>
      </c>
      <c r="L4743" s="137">
        <v>0</v>
      </c>
    </row>
    <row r="4744" spans="7:12" x14ac:dyDescent="0.25">
      <c r="G4744" s="136">
        <v>43516</v>
      </c>
      <c r="H4744" t="s">
        <v>188</v>
      </c>
      <c r="I4744" t="s">
        <v>42</v>
      </c>
      <c r="J4744" t="s">
        <v>494</v>
      </c>
      <c r="K4744" s="138">
        <v>21</v>
      </c>
      <c r="L4744" s="137">
        <v>0</v>
      </c>
    </row>
    <row r="4745" spans="7:12" x14ac:dyDescent="0.25">
      <c r="G4745" s="136">
        <v>43516</v>
      </c>
      <c r="H4745" t="s">
        <v>200</v>
      </c>
      <c r="I4745" t="s">
        <v>63</v>
      </c>
      <c r="J4745" t="s">
        <v>494</v>
      </c>
      <c r="K4745" s="138">
        <v>68.53</v>
      </c>
      <c r="L4745" s="137">
        <v>0</v>
      </c>
    </row>
    <row r="4746" spans="7:12" x14ac:dyDescent="0.25">
      <c r="G4746" s="136">
        <v>43516</v>
      </c>
      <c r="H4746" t="s">
        <v>25</v>
      </c>
      <c r="I4746" t="s">
        <v>63</v>
      </c>
      <c r="J4746" t="s">
        <v>494</v>
      </c>
      <c r="K4746" s="138">
        <v>48</v>
      </c>
      <c r="L4746" s="137">
        <v>0</v>
      </c>
    </row>
    <row r="4747" spans="7:12" x14ac:dyDescent="0.25">
      <c r="G4747" s="136">
        <v>43516</v>
      </c>
      <c r="H4747" t="s">
        <v>25</v>
      </c>
      <c r="I4747" t="s">
        <v>63</v>
      </c>
      <c r="J4747" t="s">
        <v>494</v>
      </c>
      <c r="K4747" s="138">
        <v>40</v>
      </c>
      <c r="L4747" s="137">
        <v>0</v>
      </c>
    </row>
    <row r="4748" spans="7:12" x14ac:dyDescent="0.25">
      <c r="G4748" s="136">
        <v>43516</v>
      </c>
      <c r="H4748" t="s">
        <v>25</v>
      </c>
      <c r="I4748" t="s">
        <v>63</v>
      </c>
      <c r="J4748" t="s">
        <v>494</v>
      </c>
      <c r="K4748" s="138">
        <v>8</v>
      </c>
      <c r="L4748" s="137">
        <v>0</v>
      </c>
    </row>
    <row r="4749" spans="7:12" x14ac:dyDescent="0.25">
      <c r="G4749" s="136">
        <v>43516</v>
      </c>
      <c r="H4749" t="s">
        <v>28</v>
      </c>
      <c r="I4749" t="s">
        <v>66</v>
      </c>
      <c r="J4749" t="s">
        <v>128</v>
      </c>
      <c r="K4749" s="138">
        <v>7.35</v>
      </c>
      <c r="L4749" s="137">
        <v>0</v>
      </c>
    </row>
    <row r="4750" spans="7:12" x14ac:dyDescent="0.25">
      <c r="G4750" s="136">
        <v>43516</v>
      </c>
      <c r="H4750" t="s">
        <v>28</v>
      </c>
      <c r="I4750" t="s">
        <v>66</v>
      </c>
      <c r="J4750" t="s">
        <v>120</v>
      </c>
      <c r="K4750" s="138">
        <v>7.35</v>
      </c>
      <c r="L4750" s="137">
        <v>0</v>
      </c>
    </row>
    <row r="4751" spans="7:12" x14ac:dyDescent="0.25">
      <c r="G4751" s="136">
        <v>43516</v>
      </c>
      <c r="H4751" t="s">
        <v>28</v>
      </c>
      <c r="I4751" t="s">
        <v>66</v>
      </c>
      <c r="J4751" t="s">
        <v>477</v>
      </c>
      <c r="K4751" s="138">
        <v>7.4</v>
      </c>
      <c r="L4751" s="137">
        <v>0</v>
      </c>
    </row>
    <row r="4752" spans="7:12" x14ac:dyDescent="0.25">
      <c r="G4752" s="136">
        <v>43516</v>
      </c>
      <c r="H4752" t="s">
        <v>28</v>
      </c>
      <c r="I4752" t="s">
        <v>66</v>
      </c>
      <c r="J4752" t="s">
        <v>131</v>
      </c>
      <c r="K4752" s="138">
        <v>9.1999999999999993</v>
      </c>
      <c r="L4752" s="137">
        <v>0</v>
      </c>
    </row>
    <row r="4753" spans="7:12" x14ac:dyDescent="0.25">
      <c r="G4753" s="136">
        <v>43516</v>
      </c>
      <c r="H4753" t="s">
        <v>28</v>
      </c>
      <c r="I4753" t="s">
        <v>66</v>
      </c>
      <c r="J4753" t="s">
        <v>276</v>
      </c>
      <c r="K4753" s="138">
        <v>9.1999999999999993</v>
      </c>
      <c r="L4753" s="137">
        <v>0</v>
      </c>
    </row>
    <row r="4754" spans="7:12" x14ac:dyDescent="0.25">
      <c r="G4754" s="136">
        <v>43516</v>
      </c>
      <c r="H4754" t="s">
        <v>28</v>
      </c>
      <c r="I4754" t="s">
        <v>66</v>
      </c>
      <c r="J4754" t="s">
        <v>114</v>
      </c>
      <c r="K4754" s="138">
        <v>9.1999999999999993</v>
      </c>
      <c r="L4754" s="137">
        <v>0</v>
      </c>
    </row>
    <row r="4755" spans="7:12" x14ac:dyDescent="0.25">
      <c r="G4755" s="136">
        <v>43516</v>
      </c>
      <c r="H4755" t="s">
        <v>28</v>
      </c>
      <c r="I4755" t="s">
        <v>66</v>
      </c>
      <c r="J4755" t="s">
        <v>130</v>
      </c>
      <c r="K4755" s="138">
        <v>10.25</v>
      </c>
      <c r="L4755" s="137">
        <v>0</v>
      </c>
    </row>
    <row r="4756" spans="7:12" x14ac:dyDescent="0.25">
      <c r="G4756" s="136">
        <v>43516</v>
      </c>
      <c r="H4756" t="s">
        <v>28</v>
      </c>
      <c r="I4756" t="s">
        <v>66</v>
      </c>
      <c r="J4756" t="s">
        <v>107</v>
      </c>
      <c r="K4756" s="138">
        <v>5</v>
      </c>
      <c r="L4756" s="137">
        <v>0</v>
      </c>
    </row>
    <row r="4757" spans="7:12" x14ac:dyDescent="0.25">
      <c r="G4757" s="136">
        <v>43517</v>
      </c>
      <c r="H4757" t="s">
        <v>184</v>
      </c>
      <c r="I4757" t="s">
        <v>176</v>
      </c>
      <c r="J4757" t="s">
        <v>495</v>
      </c>
      <c r="K4757" s="138">
        <v>0</v>
      </c>
      <c r="L4757" s="137">
        <v>2.4</v>
      </c>
    </row>
    <row r="4758" spans="7:12" x14ac:dyDescent="0.25">
      <c r="G4758" s="136">
        <v>43517</v>
      </c>
      <c r="H4758" t="s">
        <v>25</v>
      </c>
      <c r="I4758" t="s">
        <v>63</v>
      </c>
      <c r="J4758" t="s">
        <v>495</v>
      </c>
      <c r="K4758" s="138">
        <v>16</v>
      </c>
      <c r="L4758" s="137">
        <v>0</v>
      </c>
    </row>
    <row r="4759" spans="7:12" x14ac:dyDescent="0.25">
      <c r="G4759" s="136">
        <v>43517</v>
      </c>
      <c r="H4759" t="s">
        <v>25</v>
      </c>
      <c r="I4759" t="s">
        <v>63</v>
      </c>
      <c r="J4759" t="s">
        <v>495</v>
      </c>
      <c r="K4759" s="138">
        <v>8</v>
      </c>
      <c r="L4759" s="137">
        <v>0</v>
      </c>
    </row>
    <row r="4760" spans="7:12" x14ac:dyDescent="0.25">
      <c r="G4760" s="136">
        <v>43517</v>
      </c>
      <c r="H4760" t="s">
        <v>28</v>
      </c>
      <c r="I4760" t="s">
        <v>66</v>
      </c>
      <c r="J4760" t="s">
        <v>111</v>
      </c>
      <c r="K4760" s="138">
        <v>18.399999999999999</v>
      </c>
      <c r="L4760" s="137">
        <v>0</v>
      </c>
    </row>
    <row r="4761" spans="7:12" x14ac:dyDescent="0.25">
      <c r="G4761" s="136">
        <v>43517</v>
      </c>
      <c r="H4761" t="s">
        <v>28</v>
      </c>
      <c r="I4761" t="s">
        <v>66</v>
      </c>
      <c r="J4761" t="s">
        <v>131</v>
      </c>
      <c r="K4761" s="138">
        <v>7.15</v>
      </c>
      <c r="L4761" s="137">
        <v>0</v>
      </c>
    </row>
    <row r="4762" spans="7:12" x14ac:dyDescent="0.25">
      <c r="G4762" s="136">
        <v>43517</v>
      </c>
      <c r="H4762" t="s">
        <v>28</v>
      </c>
      <c r="I4762" t="s">
        <v>66</v>
      </c>
      <c r="J4762" t="s">
        <v>389</v>
      </c>
      <c r="K4762" s="138">
        <v>9.1999999999999993</v>
      </c>
      <c r="L4762" s="137">
        <v>0</v>
      </c>
    </row>
    <row r="4763" spans="7:12" x14ac:dyDescent="0.25">
      <c r="G4763" s="136">
        <v>43517</v>
      </c>
      <c r="H4763" t="s">
        <v>28</v>
      </c>
      <c r="I4763" t="s">
        <v>66</v>
      </c>
      <c r="J4763" t="s">
        <v>301</v>
      </c>
      <c r="K4763" s="138">
        <v>2.4</v>
      </c>
      <c r="L4763" s="137">
        <v>0</v>
      </c>
    </row>
    <row r="4764" spans="7:12" x14ac:dyDescent="0.25">
      <c r="G4764" s="136">
        <v>43517</v>
      </c>
      <c r="H4764" t="s">
        <v>28</v>
      </c>
      <c r="I4764" t="s">
        <v>66</v>
      </c>
      <c r="J4764" t="s">
        <v>318</v>
      </c>
      <c r="K4764" s="138">
        <v>3</v>
      </c>
      <c r="L4764" s="137">
        <v>0</v>
      </c>
    </row>
    <row r="4765" spans="7:12" x14ac:dyDescent="0.25">
      <c r="G4765" s="136">
        <v>43517</v>
      </c>
      <c r="H4765" t="s">
        <v>28</v>
      </c>
      <c r="I4765" t="s">
        <v>66</v>
      </c>
      <c r="J4765" t="s">
        <v>266</v>
      </c>
      <c r="K4765" s="138">
        <v>7.45</v>
      </c>
      <c r="L4765" s="137">
        <v>0</v>
      </c>
    </row>
    <row r="4766" spans="7:12" x14ac:dyDescent="0.25">
      <c r="G4766" s="136">
        <v>43517</v>
      </c>
      <c r="H4766" t="s">
        <v>28</v>
      </c>
      <c r="I4766" t="s">
        <v>66</v>
      </c>
      <c r="J4766" t="s">
        <v>378</v>
      </c>
      <c r="K4766" s="138">
        <v>110.45</v>
      </c>
      <c r="L4766" s="137">
        <v>0</v>
      </c>
    </row>
    <row r="4767" spans="7:12" x14ac:dyDescent="0.25">
      <c r="G4767" s="136">
        <v>43518</v>
      </c>
      <c r="H4767" t="s">
        <v>203</v>
      </c>
      <c r="I4767" t="s">
        <v>112</v>
      </c>
      <c r="J4767" t="s">
        <v>496</v>
      </c>
      <c r="K4767" s="138">
        <v>84.12</v>
      </c>
      <c r="L4767" s="137">
        <v>0</v>
      </c>
    </row>
    <row r="4768" spans="7:12" x14ac:dyDescent="0.25">
      <c r="G4768" s="136">
        <v>43518</v>
      </c>
      <c r="H4768" t="s">
        <v>203</v>
      </c>
      <c r="I4768" t="s">
        <v>176</v>
      </c>
      <c r="J4768" t="s">
        <v>496</v>
      </c>
      <c r="K4768" s="138">
        <v>157.69999999999999</v>
      </c>
      <c r="L4768" s="137">
        <v>0</v>
      </c>
    </row>
    <row r="4769" spans="7:12" x14ac:dyDescent="0.25">
      <c r="G4769" s="136">
        <v>43518</v>
      </c>
      <c r="H4769" t="s">
        <v>185</v>
      </c>
      <c r="I4769" t="s">
        <v>42</v>
      </c>
      <c r="J4769" t="s">
        <v>496</v>
      </c>
      <c r="K4769" s="138">
        <v>10</v>
      </c>
      <c r="L4769" s="137">
        <v>0</v>
      </c>
    </row>
    <row r="4770" spans="7:12" x14ac:dyDescent="0.25">
      <c r="G4770" s="136">
        <v>43518</v>
      </c>
      <c r="H4770" t="s">
        <v>184</v>
      </c>
      <c r="I4770" t="s">
        <v>163</v>
      </c>
      <c r="J4770" t="s">
        <v>496</v>
      </c>
      <c r="K4770" s="138">
        <v>15.25</v>
      </c>
      <c r="L4770" s="137">
        <v>0</v>
      </c>
    </row>
    <row r="4771" spans="7:12" x14ac:dyDescent="0.25">
      <c r="G4771" s="136">
        <v>43518</v>
      </c>
      <c r="H4771" t="s">
        <v>184</v>
      </c>
      <c r="I4771" t="s">
        <v>42</v>
      </c>
      <c r="J4771" t="s">
        <v>496</v>
      </c>
      <c r="K4771" s="138">
        <v>20.8</v>
      </c>
      <c r="L4771" s="137">
        <v>0</v>
      </c>
    </row>
    <row r="4772" spans="7:12" x14ac:dyDescent="0.25">
      <c r="G4772" s="136">
        <v>43518</v>
      </c>
      <c r="H4772" t="s">
        <v>183</v>
      </c>
      <c r="I4772" t="s">
        <v>112</v>
      </c>
      <c r="J4772" t="s">
        <v>496</v>
      </c>
      <c r="K4772" s="138">
        <v>27.5</v>
      </c>
      <c r="L4772" s="137">
        <v>0</v>
      </c>
    </row>
    <row r="4773" spans="7:12" x14ac:dyDescent="0.25">
      <c r="G4773" s="136">
        <v>43518</v>
      </c>
      <c r="H4773" t="s">
        <v>188</v>
      </c>
      <c r="I4773" t="s">
        <v>155</v>
      </c>
      <c r="J4773" t="s">
        <v>496</v>
      </c>
      <c r="K4773" s="138">
        <v>56.75</v>
      </c>
      <c r="L4773" s="137">
        <v>0</v>
      </c>
    </row>
    <row r="4774" spans="7:12" x14ac:dyDescent="0.25">
      <c r="G4774" s="136">
        <v>43518</v>
      </c>
      <c r="H4774" t="s">
        <v>188</v>
      </c>
      <c r="I4774" t="s">
        <v>171</v>
      </c>
      <c r="J4774" t="s">
        <v>496</v>
      </c>
      <c r="K4774" s="138">
        <v>1026.1199999999999</v>
      </c>
      <c r="L4774" s="137">
        <v>0</v>
      </c>
    </row>
    <row r="4775" spans="7:12" x14ac:dyDescent="0.25">
      <c r="G4775" s="136">
        <v>43518</v>
      </c>
      <c r="H4775" t="s">
        <v>25</v>
      </c>
      <c r="I4775" t="s">
        <v>63</v>
      </c>
      <c r="J4775" t="s">
        <v>496</v>
      </c>
      <c r="K4775" s="138">
        <v>16</v>
      </c>
      <c r="L4775" s="137">
        <v>0</v>
      </c>
    </row>
    <row r="4776" spans="7:12" x14ac:dyDescent="0.25">
      <c r="G4776" s="136">
        <v>43518</v>
      </c>
      <c r="H4776" t="s">
        <v>181</v>
      </c>
      <c r="I4776" t="s">
        <v>42</v>
      </c>
      <c r="J4776" t="s">
        <v>496</v>
      </c>
      <c r="K4776" s="138">
        <v>232.86</v>
      </c>
      <c r="L4776" s="137">
        <v>0</v>
      </c>
    </row>
    <row r="4777" spans="7:12" x14ac:dyDescent="0.25">
      <c r="G4777" s="136">
        <v>43518</v>
      </c>
      <c r="H4777" t="s">
        <v>197</v>
      </c>
      <c r="I4777" t="s">
        <v>112</v>
      </c>
      <c r="J4777" t="s">
        <v>496</v>
      </c>
      <c r="K4777" s="138">
        <v>171.21</v>
      </c>
      <c r="L4777" s="137">
        <v>0</v>
      </c>
    </row>
    <row r="4778" spans="7:12" x14ac:dyDescent="0.25">
      <c r="G4778" s="136">
        <v>43518</v>
      </c>
      <c r="H4778" t="s">
        <v>196</v>
      </c>
      <c r="I4778" t="s">
        <v>42</v>
      </c>
      <c r="J4778" t="s">
        <v>496</v>
      </c>
      <c r="K4778" s="138">
        <v>85.51</v>
      </c>
      <c r="L4778" s="137">
        <v>0</v>
      </c>
    </row>
    <row r="4779" spans="7:12" x14ac:dyDescent="0.25">
      <c r="G4779" s="136">
        <v>43518</v>
      </c>
      <c r="H4779" t="s">
        <v>28</v>
      </c>
      <c r="I4779" t="s">
        <v>112</v>
      </c>
      <c r="J4779" t="s">
        <v>496</v>
      </c>
      <c r="K4779" s="138">
        <v>41.84</v>
      </c>
      <c r="L4779" s="137">
        <v>0</v>
      </c>
    </row>
    <row r="4780" spans="7:12" x14ac:dyDescent="0.25">
      <c r="G4780" s="136">
        <v>43518</v>
      </c>
      <c r="H4780" t="s">
        <v>28</v>
      </c>
      <c r="I4780" t="s">
        <v>155</v>
      </c>
      <c r="J4780" t="s">
        <v>496</v>
      </c>
      <c r="K4780" s="138">
        <v>44.91</v>
      </c>
      <c r="L4780" s="137">
        <v>0</v>
      </c>
    </row>
    <row r="4781" spans="7:12" x14ac:dyDescent="0.25">
      <c r="G4781" s="136">
        <v>43518</v>
      </c>
      <c r="H4781" t="s">
        <v>28</v>
      </c>
      <c r="I4781" t="s">
        <v>155</v>
      </c>
      <c r="J4781" t="s">
        <v>496</v>
      </c>
      <c r="K4781" s="138">
        <v>39.19</v>
      </c>
      <c r="L4781" s="137">
        <v>0</v>
      </c>
    </row>
    <row r="4782" spans="7:12" x14ac:dyDescent="0.25">
      <c r="G4782" s="136">
        <v>43518</v>
      </c>
      <c r="H4782" t="s">
        <v>28</v>
      </c>
      <c r="I4782" t="s">
        <v>155</v>
      </c>
      <c r="J4782" t="s">
        <v>496</v>
      </c>
      <c r="K4782" s="138">
        <v>23.32</v>
      </c>
      <c r="L4782" s="137">
        <v>0</v>
      </c>
    </row>
    <row r="4783" spans="7:12" x14ac:dyDescent="0.25">
      <c r="G4783" s="136">
        <v>43518</v>
      </c>
      <c r="H4783" t="s">
        <v>28</v>
      </c>
      <c r="I4783" t="s">
        <v>155</v>
      </c>
      <c r="J4783" t="s">
        <v>496</v>
      </c>
      <c r="K4783" s="138">
        <v>17.66</v>
      </c>
      <c r="L4783" s="137">
        <v>0</v>
      </c>
    </row>
    <row r="4784" spans="7:12" x14ac:dyDescent="0.25">
      <c r="G4784" s="136">
        <v>43518</v>
      </c>
      <c r="H4784" t="s">
        <v>28</v>
      </c>
      <c r="I4784" t="s">
        <v>66</v>
      </c>
      <c r="J4784" t="s">
        <v>374</v>
      </c>
      <c r="K4784" s="138">
        <v>11.2</v>
      </c>
      <c r="L4784" s="137">
        <v>0</v>
      </c>
    </row>
    <row r="4785" spans="7:12" x14ac:dyDescent="0.25">
      <c r="G4785" s="136">
        <v>43518</v>
      </c>
      <c r="H4785" t="s">
        <v>28</v>
      </c>
      <c r="I4785" t="s">
        <v>66</v>
      </c>
      <c r="J4785" t="s">
        <v>128</v>
      </c>
      <c r="K4785" s="138">
        <v>2.9</v>
      </c>
      <c r="L4785" s="137">
        <v>0</v>
      </c>
    </row>
    <row r="4786" spans="7:12" x14ac:dyDescent="0.25">
      <c r="G4786" s="136">
        <v>43518</v>
      </c>
      <c r="H4786" t="s">
        <v>28</v>
      </c>
      <c r="I4786" t="s">
        <v>66</v>
      </c>
      <c r="J4786" t="s">
        <v>106</v>
      </c>
      <c r="K4786" s="138">
        <v>3.6</v>
      </c>
      <c r="L4786" s="137">
        <v>0</v>
      </c>
    </row>
    <row r="4787" spans="7:12" x14ac:dyDescent="0.25">
      <c r="G4787" s="136">
        <v>43518</v>
      </c>
      <c r="H4787" t="s">
        <v>28</v>
      </c>
      <c r="I4787" t="s">
        <v>66</v>
      </c>
      <c r="J4787" t="s">
        <v>131</v>
      </c>
      <c r="K4787" s="138">
        <v>9.1999999999999993</v>
      </c>
      <c r="L4787" s="137">
        <v>0</v>
      </c>
    </row>
    <row r="4788" spans="7:12" x14ac:dyDescent="0.25">
      <c r="G4788" s="136">
        <v>43518</v>
      </c>
      <c r="H4788" t="s">
        <v>28</v>
      </c>
      <c r="I4788" t="s">
        <v>66</v>
      </c>
      <c r="J4788" t="s">
        <v>400</v>
      </c>
      <c r="K4788" s="138">
        <v>3</v>
      </c>
      <c r="L4788" s="137">
        <v>0</v>
      </c>
    </row>
    <row r="4789" spans="7:12" x14ac:dyDescent="0.25">
      <c r="G4789" s="136">
        <v>43518</v>
      </c>
      <c r="H4789" t="s">
        <v>28</v>
      </c>
      <c r="I4789" t="s">
        <v>66</v>
      </c>
      <c r="J4789" t="s">
        <v>75</v>
      </c>
      <c r="K4789" s="138">
        <v>23.05</v>
      </c>
      <c r="L4789" s="137">
        <v>0</v>
      </c>
    </row>
    <row r="4790" spans="7:12" x14ac:dyDescent="0.25">
      <c r="G4790" s="136">
        <v>43518</v>
      </c>
      <c r="H4790" t="s">
        <v>28</v>
      </c>
      <c r="I4790" t="s">
        <v>66</v>
      </c>
      <c r="J4790" t="s">
        <v>104</v>
      </c>
      <c r="K4790" s="138">
        <v>12.65</v>
      </c>
      <c r="L4790" s="137">
        <v>0</v>
      </c>
    </row>
    <row r="4791" spans="7:12" x14ac:dyDescent="0.25">
      <c r="G4791" s="136">
        <v>43518</v>
      </c>
      <c r="H4791" t="s">
        <v>28</v>
      </c>
      <c r="I4791" t="s">
        <v>66</v>
      </c>
      <c r="J4791" t="s">
        <v>408</v>
      </c>
      <c r="K4791" s="138">
        <v>10.25</v>
      </c>
      <c r="L4791" s="137">
        <v>0</v>
      </c>
    </row>
    <row r="4792" spans="7:12" x14ac:dyDescent="0.25">
      <c r="G4792" s="136">
        <v>43521</v>
      </c>
      <c r="H4792" t="s">
        <v>192</v>
      </c>
      <c r="I4792" t="s">
        <v>243</v>
      </c>
      <c r="J4792" t="s">
        <v>498</v>
      </c>
      <c r="K4792" s="138">
        <v>327.85</v>
      </c>
      <c r="L4792" s="137">
        <v>0</v>
      </c>
    </row>
    <row r="4793" spans="7:12" x14ac:dyDescent="0.25">
      <c r="G4793" s="136">
        <v>43521</v>
      </c>
      <c r="H4793" t="s">
        <v>27</v>
      </c>
      <c r="I4793" t="s">
        <v>63</v>
      </c>
      <c r="J4793" t="s">
        <v>497</v>
      </c>
      <c r="K4793" s="138">
        <v>8</v>
      </c>
      <c r="L4793" s="137">
        <v>0</v>
      </c>
    </row>
    <row r="4794" spans="7:12" x14ac:dyDescent="0.25">
      <c r="G4794" s="136">
        <v>43521</v>
      </c>
      <c r="H4794" t="s">
        <v>27</v>
      </c>
      <c r="I4794" t="s">
        <v>243</v>
      </c>
      <c r="J4794" t="s">
        <v>498</v>
      </c>
      <c r="K4794" s="138">
        <v>159.63</v>
      </c>
      <c r="L4794" s="137">
        <v>0</v>
      </c>
    </row>
    <row r="4795" spans="7:12" x14ac:dyDescent="0.25">
      <c r="G4795" s="136">
        <v>43521</v>
      </c>
      <c r="H4795" t="s">
        <v>27</v>
      </c>
      <c r="I4795" t="s">
        <v>243</v>
      </c>
      <c r="J4795" t="s">
        <v>498</v>
      </c>
      <c r="K4795" s="138">
        <v>61.62</v>
      </c>
      <c r="L4795" s="137">
        <v>0</v>
      </c>
    </row>
    <row r="4796" spans="7:12" x14ac:dyDescent="0.25">
      <c r="G4796" s="136">
        <v>43521</v>
      </c>
      <c r="H4796" t="s">
        <v>27</v>
      </c>
      <c r="I4796" t="s">
        <v>243</v>
      </c>
      <c r="J4796" t="s">
        <v>498</v>
      </c>
      <c r="K4796" s="138">
        <v>60.58</v>
      </c>
      <c r="L4796" s="137">
        <v>0</v>
      </c>
    </row>
    <row r="4797" spans="7:12" x14ac:dyDescent="0.25">
      <c r="G4797" s="136">
        <v>43521</v>
      </c>
      <c r="H4797" t="s">
        <v>27</v>
      </c>
      <c r="I4797" t="s">
        <v>243</v>
      </c>
      <c r="J4797" t="s">
        <v>498</v>
      </c>
      <c r="K4797" s="138">
        <v>56.43</v>
      </c>
      <c r="L4797" s="137">
        <v>0</v>
      </c>
    </row>
    <row r="4798" spans="7:12" x14ac:dyDescent="0.25">
      <c r="G4798" s="136">
        <v>43521</v>
      </c>
      <c r="H4798" t="s">
        <v>27</v>
      </c>
      <c r="I4798" t="s">
        <v>243</v>
      </c>
      <c r="J4798" t="s">
        <v>498</v>
      </c>
      <c r="K4798" s="138">
        <v>55.12</v>
      </c>
      <c r="L4798" s="137">
        <v>0</v>
      </c>
    </row>
    <row r="4799" spans="7:12" x14ac:dyDescent="0.25">
      <c r="G4799" s="136">
        <v>43521</v>
      </c>
      <c r="H4799" t="s">
        <v>27</v>
      </c>
      <c r="I4799" t="s">
        <v>243</v>
      </c>
      <c r="J4799" t="s">
        <v>498</v>
      </c>
      <c r="K4799" s="138">
        <v>28.57</v>
      </c>
      <c r="L4799" s="137">
        <v>0</v>
      </c>
    </row>
    <row r="4800" spans="7:12" x14ac:dyDescent="0.25">
      <c r="G4800" s="136">
        <v>43521</v>
      </c>
      <c r="H4800" t="s">
        <v>27</v>
      </c>
      <c r="I4800" t="s">
        <v>243</v>
      </c>
      <c r="J4800" t="s">
        <v>498</v>
      </c>
      <c r="K4800" s="138">
        <v>27.72</v>
      </c>
      <c r="L4800" s="137">
        <v>0</v>
      </c>
    </row>
    <row r="4801" spans="7:12" x14ac:dyDescent="0.25">
      <c r="G4801" s="136">
        <v>43521</v>
      </c>
      <c r="H4801" t="s">
        <v>27</v>
      </c>
      <c r="I4801" t="s">
        <v>243</v>
      </c>
      <c r="J4801" t="s">
        <v>498</v>
      </c>
      <c r="K4801" s="138">
        <v>21.76</v>
      </c>
      <c r="L4801" s="137">
        <v>0</v>
      </c>
    </row>
    <row r="4802" spans="7:12" x14ac:dyDescent="0.25">
      <c r="G4802" s="136">
        <v>43521</v>
      </c>
      <c r="H4802" t="s">
        <v>27</v>
      </c>
      <c r="I4802" t="s">
        <v>243</v>
      </c>
      <c r="J4802" t="s">
        <v>498</v>
      </c>
      <c r="K4802" s="138">
        <v>17.510000000000002</v>
      </c>
      <c r="L4802" s="137">
        <v>0</v>
      </c>
    </row>
    <row r="4803" spans="7:12" x14ac:dyDescent="0.25">
      <c r="G4803" s="136">
        <v>43521</v>
      </c>
      <c r="H4803" t="s">
        <v>27</v>
      </c>
      <c r="I4803" t="s">
        <v>243</v>
      </c>
      <c r="J4803" t="s">
        <v>498</v>
      </c>
      <c r="K4803" s="138">
        <v>11.08</v>
      </c>
      <c r="L4803" s="137">
        <v>0</v>
      </c>
    </row>
    <row r="4804" spans="7:12" x14ac:dyDescent="0.25">
      <c r="G4804" s="136">
        <v>43521</v>
      </c>
      <c r="H4804" t="s">
        <v>27</v>
      </c>
      <c r="I4804" t="s">
        <v>243</v>
      </c>
      <c r="J4804" t="s">
        <v>498</v>
      </c>
      <c r="K4804" s="138">
        <v>10.71</v>
      </c>
      <c r="L4804" s="137">
        <v>0</v>
      </c>
    </row>
    <row r="4805" spans="7:12" x14ac:dyDescent="0.25">
      <c r="G4805" s="136">
        <v>43521</v>
      </c>
      <c r="H4805" t="s">
        <v>27</v>
      </c>
      <c r="I4805" t="s">
        <v>243</v>
      </c>
      <c r="J4805" t="s">
        <v>498</v>
      </c>
      <c r="K4805" s="138">
        <v>10.6</v>
      </c>
      <c r="L4805" s="137">
        <v>0</v>
      </c>
    </row>
    <row r="4806" spans="7:12" x14ac:dyDescent="0.25">
      <c r="G4806" s="136">
        <v>43521</v>
      </c>
      <c r="H4806" t="s">
        <v>199</v>
      </c>
      <c r="I4806" t="s">
        <v>163</v>
      </c>
      <c r="J4806" t="s">
        <v>497</v>
      </c>
      <c r="K4806" s="138">
        <v>29.96</v>
      </c>
      <c r="L4806" s="137">
        <v>0</v>
      </c>
    </row>
    <row r="4807" spans="7:12" x14ac:dyDescent="0.25">
      <c r="G4807" s="136">
        <v>43521</v>
      </c>
      <c r="H4807" t="s">
        <v>184</v>
      </c>
      <c r="I4807" t="s">
        <v>42</v>
      </c>
      <c r="J4807" t="s">
        <v>497</v>
      </c>
      <c r="K4807" s="138">
        <v>74.400000000000006</v>
      </c>
      <c r="L4807" s="137">
        <v>0</v>
      </c>
    </row>
    <row r="4808" spans="7:12" x14ac:dyDescent="0.25">
      <c r="G4808" s="136">
        <v>43521</v>
      </c>
      <c r="H4808" t="s">
        <v>183</v>
      </c>
      <c r="I4808" t="s">
        <v>243</v>
      </c>
      <c r="J4808" t="s">
        <v>498</v>
      </c>
      <c r="K4808" s="138">
        <v>156.97</v>
      </c>
      <c r="L4808" s="137">
        <v>0</v>
      </c>
    </row>
    <row r="4809" spans="7:12" x14ac:dyDescent="0.25">
      <c r="G4809" s="136">
        <v>43521</v>
      </c>
      <c r="H4809" t="s">
        <v>183</v>
      </c>
      <c r="I4809" t="s">
        <v>42</v>
      </c>
      <c r="J4809" t="s">
        <v>497</v>
      </c>
      <c r="K4809" s="138">
        <v>293</v>
      </c>
      <c r="L4809" s="137">
        <v>0</v>
      </c>
    </row>
    <row r="4810" spans="7:12" x14ac:dyDescent="0.25">
      <c r="G4810" s="136">
        <v>43521</v>
      </c>
      <c r="H4810" t="s">
        <v>189</v>
      </c>
      <c r="I4810" t="s">
        <v>243</v>
      </c>
      <c r="J4810" t="s">
        <v>498</v>
      </c>
      <c r="K4810" s="138">
        <v>191.12</v>
      </c>
      <c r="L4810" s="137">
        <v>0</v>
      </c>
    </row>
    <row r="4811" spans="7:12" x14ac:dyDescent="0.25">
      <c r="G4811" s="136">
        <v>43521</v>
      </c>
      <c r="H4811" t="s">
        <v>191</v>
      </c>
      <c r="I4811" t="s">
        <v>63</v>
      </c>
      <c r="J4811" t="s">
        <v>497</v>
      </c>
      <c r="K4811" s="138">
        <v>24</v>
      </c>
      <c r="L4811" s="137">
        <v>0</v>
      </c>
    </row>
    <row r="4812" spans="7:12" x14ac:dyDescent="0.25">
      <c r="G4812" s="136">
        <v>43521</v>
      </c>
      <c r="H4812" t="s">
        <v>191</v>
      </c>
      <c r="I4812" t="s">
        <v>42</v>
      </c>
      <c r="J4812" t="s">
        <v>497</v>
      </c>
      <c r="K4812" s="138">
        <v>9.85</v>
      </c>
      <c r="L4812" s="137">
        <v>0</v>
      </c>
    </row>
    <row r="4813" spans="7:12" x14ac:dyDescent="0.25">
      <c r="G4813" s="136">
        <v>43521</v>
      </c>
      <c r="H4813" t="s">
        <v>193</v>
      </c>
      <c r="I4813" t="s">
        <v>243</v>
      </c>
      <c r="J4813" t="s">
        <v>498</v>
      </c>
      <c r="K4813" s="138">
        <v>90.45</v>
      </c>
      <c r="L4813" s="137">
        <v>0</v>
      </c>
    </row>
    <row r="4814" spans="7:12" x14ac:dyDescent="0.25">
      <c r="G4814" s="136">
        <v>43521</v>
      </c>
      <c r="H4814" t="s">
        <v>25</v>
      </c>
      <c r="I4814" t="s">
        <v>63</v>
      </c>
      <c r="J4814" t="s">
        <v>497</v>
      </c>
      <c r="K4814" s="138">
        <v>48</v>
      </c>
      <c r="L4814" s="137">
        <v>0</v>
      </c>
    </row>
    <row r="4815" spans="7:12" x14ac:dyDescent="0.25">
      <c r="G4815" s="136">
        <v>43521</v>
      </c>
      <c r="H4815" t="s">
        <v>25</v>
      </c>
      <c r="I4815" t="s">
        <v>63</v>
      </c>
      <c r="J4815" t="s">
        <v>497</v>
      </c>
      <c r="K4815" s="138">
        <v>32</v>
      </c>
      <c r="L4815" s="137">
        <v>0</v>
      </c>
    </row>
    <row r="4816" spans="7:12" x14ac:dyDescent="0.25">
      <c r="G4816" s="136">
        <v>43521</v>
      </c>
      <c r="H4816" t="s">
        <v>25</v>
      </c>
      <c r="I4816" t="s">
        <v>63</v>
      </c>
      <c r="J4816" t="s">
        <v>497</v>
      </c>
      <c r="K4816" s="138">
        <v>24</v>
      </c>
      <c r="L4816" s="137">
        <v>0</v>
      </c>
    </row>
    <row r="4817" spans="7:12" x14ac:dyDescent="0.25">
      <c r="G4817" s="136">
        <v>43521</v>
      </c>
      <c r="H4817" t="s">
        <v>25</v>
      </c>
      <c r="I4817" t="s">
        <v>63</v>
      </c>
      <c r="J4817" t="s">
        <v>497</v>
      </c>
      <c r="K4817" s="138">
        <v>16</v>
      </c>
      <c r="L4817" s="137">
        <v>0</v>
      </c>
    </row>
    <row r="4818" spans="7:12" x14ac:dyDescent="0.25">
      <c r="G4818" s="136">
        <v>43521</v>
      </c>
      <c r="H4818" t="s">
        <v>25</v>
      </c>
      <c r="I4818" t="s">
        <v>63</v>
      </c>
      <c r="J4818" t="s">
        <v>497</v>
      </c>
      <c r="K4818" s="138">
        <v>8</v>
      </c>
      <c r="L4818" s="137">
        <v>0</v>
      </c>
    </row>
    <row r="4819" spans="7:12" x14ac:dyDescent="0.25">
      <c r="G4819" s="136">
        <v>43521</v>
      </c>
      <c r="H4819" t="s">
        <v>25</v>
      </c>
      <c r="I4819" t="s">
        <v>243</v>
      </c>
      <c r="J4819" t="s">
        <v>498</v>
      </c>
      <c r="K4819" s="138">
        <v>739.91</v>
      </c>
      <c r="L4819" s="137">
        <v>0</v>
      </c>
    </row>
    <row r="4820" spans="7:12" x14ac:dyDescent="0.25">
      <c r="G4820" s="136">
        <v>43521</v>
      </c>
      <c r="H4820" t="s">
        <v>25</v>
      </c>
      <c r="I4820" t="s">
        <v>243</v>
      </c>
      <c r="J4820" t="s">
        <v>498</v>
      </c>
      <c r="K4820" s="138">
        <v>717.11</v>
      </c>
      <c r="L4820" s="137">
        <v>0</v>
      </c>
    </row>
    <row r="4821" spans="7:12" x14ac:dyDescent="0.25">
      <c r="G4821" s="136">
        <v>43521</v>
      </c>
      <c r="H4821" t="s">
        <v>25</v>
      </c>
      <c r="I4821" t="s">
        <v>243</v>
      </c>
      <c r="J4821" t="s">
        <v>498</v>
      </c>
      <c r="K4821" s="138">
        <v>646.41</v>
      </c>
      <c r="L4821" s="137">
        <v>0</v>
      </c>
    </row>
    <row r="4822" spans="7:12" x14ac:dyDescent="0.25">
      <c r="G4822" s="136">
        <v>43521</v>
      </c>
      <c r="H4822" t="s">
        <v>25</v>
      </c>
      <c r="I4822" t="s">
        <v>243</v>
      </c>
      <c r="J4822" t="s">
        <v>498</v>
      </c>
      <c r="K4822" s="138">
        <v>639.91999999999996</v>
      </c>
      <c r="L4822" s="137">
        <v>0</v>
      </c>
    </row>
    <row r="4823" spans="7:12" x14ac:dyDescent="0.25">
      <c r="G4823" s="136">
        <v>43521</v>
      </c>
      <c r="H4823" t="s">
        <v>25</v>
      </c>
      <c r="I4823" t="s">
        <v>243</v>
      </c>
      <c r="J4823" t="s">
        <v>498</v>
      </c>
      <c r="K4823" s="138">
        <v>536.64</v>
      </c>
      <c r="L4823" s="137">
        <v>0</v>
      </c>
    </row>
    <row r="4824" spans="7:12" x14ac:dyDescent="0.25">
      <c r="G4824" s="136">
        <v>43521</v>
      </c>
      <c r="H4824" t="s">
        <v>25</v>
      </c>
      <c r="I4824" t="s">
        <v>243</v>
      </c>
      <c r="J4824" t="s">
        <v>498</v>
      </c>
      <c r="K4824" s="138">
        <v>486.58</v>
      </c>
      <c r="L4824" s="137">
        <v>0</v>
      </c>
    </row>
    <row r="4825" spans="7:12" x14ac:dyDescent="0.25">
      <c r="G4825" s="136">
        <v>43521</v>
      </c>
      <c r="H4825" t="s">
        <v>25</v>
      </c>
      <c r="I4825" t="s">
        <v>243</v>
      </c>
      <c r="J4825" t="s">
        <v>498</v>
      </c>
      <c r="K4825" s="138">
        <v>395.45</v>
      </c>
      <c r="L4825" s="137">
        <v>0</v>
      </c>
    </row>
    <row r="4826" spans="7:12" x14ac:dyDescent="0.25">
      <c r="G4826" s="136">
        <v>43521</v>
      </c>
      <c r="H4826" t="s">
        <v>25</v>
      </c>
      <c r="I4826" t="s">
        <v>243</v>
      </c>
      <c r="J4826" t="s">
        <v>498</v>
      </c>
      <c r="K4826" s="138">
        <v>371.65</v>
      </c>
      <c r="L4826" s="137">
        <v>0</v>
      </c>
    </row>
    <row r="4827" spans="7:12" x14ac:dyDescent="0.25">
      <c r="G4827" s="136">
        <v>43521</v>
      </c>
      <c r="H4827" t="s">
        <v>25</v>
      </c>
      <c r="I4827" t="s">
        <v>243</v>
      </c>
      <c r="J4827" t="s">
        <v>498</v>
      </c>
      <c r="K4827" s="138">
        <v>319.01</v>
      </c>
      <c r="L4827" s="137">
        <v>0</v>
      </c>
    </row>
    <row r="4828" spans="7:12" x14ac:dyDescent="0.25">
      <c r="G4828" s="136">
        <v>43521</v>
      </c>
      <c r="H4828" t="s">
        <v>25</v>
      </c>
      <c r="I4828" t="s">
        <v>243</v>
      </c>
      <c r="J4828" t="s">
        <v>498</v>
      </c>
      <c r="K4828" s="138">
        <v>308.57</v>
      </c>
      <c r="L4828" s="137">
        <v>0</v>
      </c>
    </row>
    <row r="4829" spans="7:12" x14ac:dyDescent="0.25">
      <c r="G4829" s="136">
        <v>43521</v>
      </c>
      <c r="H4829" t="s">
        <v>25</v>
      </c>
      <c r="I4829" t="s">
        <v>243</v>
      </c>
      <c r="J4829" t="s">
        <v>498</v>
      </c>
      <c r="K4829" s="138">
        <v>287.85000000000002</v>
      </c>
      <c r="L4829" s="137">
        <v>0</v>
      </c>
    </row>
    <row r="4830" spans="7:12" x14ac:dyDescent="0.25">
      <c r="G4830" s="136">
        <v>43521</v>
      </c>
      <c r="H4830" t="s">
        <v>25</v>
      </c>
      <c r="I4830" t="s">
        <v>243</v>
      </c>
      <c r="J4830" t="s">
        <v>498</v>
      </c>
      <c r="K4830" s="138">
        <v>243.25</v>
      </c>
      <c r="L4830" s="137">
        <v>0</v>
      </c>
    </row>
    <row r="4831" spans="7:12" x14ac:dyDescent="0.25">
      <c r="G4831" s="136">
        <v>43521</v>
      </c>
      <c r="H4831" t="s">
        <v>25</v>
      </c>
      <c r="I4831" t="s">
        <v>243</v>
      </c>
      <c r="J4831" t="s">
        <v>498</v>
      </c>
      <c r="K4831" s="138">
        <v>231.33</v>
      </c>
      <c r="L4831" s="137">
        <v>0</v>
      </c>
    </row>
    <row r="4832" spans="7:12" x14ac:dyDescent="0.25">
      <c r="G4832" s="136">
        <v>43521</v>
      </c>
      <c r="H4832" t="s">
        <v>25</v>
      </c>
      <c r="I4832" t="s">
        <v>243</v>
      </c>
      <c r="J4832" t="s">
        <v>498</v>
      </c>
      <c r="K4832" s="138">
        <v>215.46</v>
      </c>
      <c r="L4832" s="137">
        <v>0</v>
      </c>
    </row>
    <row r="4833" spans="7:12" x14ac:dyDescent="0.25">
      <c r="G4833" s="136">
        <v>43521</v>
      </c>
      <c r="H4833" t="s">
        <v>25</v>
      </c>
      <c r="I4833" t="s">
        <v>243</v>
      </c>
      <c r="J4833" t="s">
        <v>498</v>
      </c>
      <c r="K4833" s="138">
        <v>162.05000000000001</v>
      </c>
      <c r="L4833" s="137">
        <v>0</v>
      </c>
    </row>
    <row r="4834" spans="7:12" x14ac:dyDescent="0.25">
      <c r="G4834" s="136">
        <v>43521</v>
      </c>
      <c r="H4834" t="s">
        <v>25</v>
      </c>
      <c r="I4834" t="s">
        <v>243</v>
      </c>
      <c r="J4834" t="s">
        <v>498</v>
      </c>
      <c r="K4834" s="138">
        <v>140.37</v>
      </c>
      <c r="L4834" s="137">
        <v>0</v>
      </c>
    </row>
    <row r="4835" spans="7:12" x14ac:dyDescent="0.25">
      <c r="G4835" s="136">
        <v>43521</v>
      </c>
      <c r="H4835" t="s">
        <v>25</v>
      </c>
      <c r="I4835" t="s">
        <v>243</v>
      </c>
      <c r="J4835" t="s">
        <v>498</v>
      </c>
      <c r="K4835" s="138">
        <v>129.44999999999999</v>
      </c>
      <c r="L4835" s="137">
        <v>0</v>
      </c>
    </row>
    <row r="4836" spans="7:12" x14ac:dyDescent="0.25">
      <c r="G4836" s="136">
        <v>43521</v>
      </c>
      <c r="H4836" t="s">
        <v>25</v>
      </c>
      <c r="I4836" t="s">
        <v>243</v>
      </c>
      <c r="J4836" t="s">
        <v>498</v>
      </c>
      <c r="K4836" s="138">
        <v>127.85</v>
      </c>
      <c r="L4836" s="137">
        <v>0</v>
      </c>
    </row>
    <row r="4837" spans="7:12" x14ac:dyDescent="0.25">
      <c r="G4837" s="136">
        <v>43521</v>
      </c>
      <c r="H4837" t="s">
        <v>25</v>
      </c>
      <c r="I4837" t="s">
        <v>243</v>
      </c>
      <c r="J4837" t="s">
        <v>498</v>
      </c>
      <c r="K4837" s="138">
        <v>101.38</v>
      </c>
      <c r="L4837" s="137">
        <v>0</v>
      </c>
    </row>
    <row r="4838" spans="7:12" x14ac:dyDescent="0.25">
      <c r="G4838" s="136">
        <v>43521</v>
      </c>
      <c r="H4838" t="s">
        <v>25</v>
      </c>
      <c r="I4838" t="s">
        <v>243</v>
      </c>
      <c r="J4838" t="s">
        <v>498</v>
      </c>
      <c r="K4838" s="138">
        <v>99.42</v>
      </c>
      <c r="L4838" s="137">
        <v>0</v>
      </c>
    </row>
    <row r="4839" spans="7:12" x14ac:dyDescent="0.25">
      <c r="G4839" s="136">
        <v>43521</v>
      </c>
      <c r="H4839" t="s">
        <v>25</v>
      </c>
      <c r="I4839" t="s">
        <v>243</v>
      </c>
      <c r="J4839" t="s">
        <v>498</v>
      </c>
      <c r="K4839" s="138">
        <v>47.09</v>
      </c>
      <c r="L4839" s="137">
        <v>0</v>
      </c>
    </row>
    <row r="4840" spans="7:12" x14ac:dyDescent="0.25">
      <c r="G4840" s="136">
        <v>43521</v>
      </c>
      <c r="H4840" t="s">
        <v>25</v>
      </c>
      <c r="I4840" t="s">
        <v>243</v>
      </c>
      <c r="J4840" t="s">
        <v>498</v>
      </c>
      <c r="K4840" s="138">
        <v>45.85</v>
      </c>
      <c r="L4840" s="137">
        <v>0</v>
      </c>
    </row>
    <row r="4841" spans="7:12" x14ac:dyDescent="0.25">
      <c r="G4841" s="136">
        <v>43521</v>
      </c>
      <c r="H4841" t="s">
        <v>25</v>
      </c>
      <c r="I4841" t="s">
        <v>243</v>
      </c>
      <c r="J4841" t="s">
        <v>498</v>
      </c>
      <c r="K4841" s="138">
        <v>45.01</v>
      </c>
      <c r="L4841" s="137">
        <v>0</v>
      </c>
    </row>
    <row r="4842" spans="7:12" x14ac:dyDescent="0.25">
      <c r="G4842" s="136">
        <v>43521</v>
      </c>
      <c r="H4842" t="s">
        <v>25</v>
      </c>
      <c r="I4842" t="s">
        <v>243</v>
      </c>
      <c r="J4842" t="s">
        <v>498</v>
      </c>
      <c r="K4842" s="138">
        <v>12.59</v>
      </c>
      <c r="L4842" s="137">
        <v>0</v>
      </c>
    </row>
    <row r="4843" spans="7:12" x14ac:dyDescent="0.25">
      <c r="G4843" s="136">
        <v>43521</v>
      </c>
      <c r="H4843" t="s">
        <v>25</v>
      </c>
      <c r="I4843" t="s">
        <v>243</v>
      </c>
      <c r="J4843" t="s">
        <v>498</v>
      </c>
      <c r="K4843" s="138">
        <v>10.29</v>
      </c>
      <c r="L4843" s="137">
        <v>0</v>
      </c>
    </row>
    <row r="4844" spans="7:12" x14ac:dyDescent="0.25">
      <c r="G4844" s="136">
        <v>43521</v>
      </c>
      <c r="H4844" t="s">
        <v>187</v>
      </c>
      <c r="I4844" t="s">
        <v>42</v>
      </c>
      <c r="J4844" t="s">
        <v>497</v>
      </c>
      <c r="K4844" s="138">
        <v>35</v>
      </c>
      <c r="L4844" s="137">
        <v>0</v>
      </c>
    </row>
    <row r="4845" spans="7:12" x14ac:dyDescent="0.25">
      <c r="G4845" s="136">
        <v>43521</v>
      </c>
      <c r="H4845" t="s">
        <v>180</v>
      </c>
      <c r="I4845" t="s">
        <v>243</v>
      </c>
      <c r="J4845" t="s">
        <v>498</v>
      </c>
      <c r="K4845" s="138">
        <v>99.97</v>
      </c>
      <c r="L4845" s="137">
        <v>0</v>
      </c>
    </row>
    <row r="4846" spans="7:12" x14ac:dyDescent="0.25">
      <c r="G4846" s="136">
        <v>43521</v>
      </c>
      <c r="H4846" t="s">
        <v>179</v>
      </c>
      <c r="I4846" t="s">
        <v>243</v>
      </c>
      <c r="J4846" t="s">
        <v>498</v>
      </c>
      <c r="K4846" s="138">
        <v>983.17</v>
      </c>
      <c r="L4846" s="137">
        <v>0</v>
      </c>
    </row>
    <row r="4847" spans="7:12" x14ac:dyDescent="0.25">
      <c r="G4847" s="136">
        <v>43521</v>
      </c>
      <c r="H4847" t="s">
        <v>28</v>
      </c>
      <c r="I4847" t="s">
        <v>63</v>
      </c>
      <c r="J4847" t="s">
        <v>497</v>
      </c>
      <c r="K4847" s="138">
        <v>8</v>
      </c>
      <c r="L4847" s="137">
        <v>0</v>
      </c>
    </row>
    <row r="4848" spans="7:12" x14ac:dyDescent="0.25">
      <c r="G4848" s="136">
        <v>43521</v>
      </c>
      <c r="H4848" t="s">
        <v>28</v>
      </c>
      <c r="I4848" t="s">
        <v>66</v>
      </c>
      <c r="J4848" t="s">
        <v>128</v>
      </c>
      <c r="K4848" s="138">
        <v>4.05</v>
      </c>
      <c r="L4848" s="137">
        <v>0</v>
      </c>
    </row>
    <row r="4849" spans="7:12" x14ac:dyDescent="0.25">
      <c r="G4849" s="136">
        <v>43521</v>
      </c>
      <c r="H4849" t="s">
        <v>28</v>
      </c>
      <c r="I4849" t="s">
        <v>66</v>
      </c>
      <c r="J4849" t="s">
        <v>139</v>
      </c>
      <c r="K4849" s="138">
        <v>3.25</v>
      </c>
      <c r="L4849" s="137">
        <v>0</v>
      </c>
    </row>
    <row r="4850" spans="7:12" x14ac:dyDescent="0.25">
      <c r="G4850" s="136">
        <v>43521</v>
      </c>
      <c r="H4850" t="s">
        <v>28</v>
      </c>
      <c r="I4850" t="s">
        <v>66</v>
      </c>
      <c r="J4850" t="s">
        <v>115</v>
      </c>
      <c r="K4850" s="138">
        <v>25</v>
      </c>
      <c r="L4850" s="137">
        <v>0</v>
      </c>
    </row>
    <row r="4851" spans="7:12" x14ac:dyDescent="0.25">
      <c r="G4851" s="136">
        <v>43521</v>
      </c>
      <c r="H4851" t="s">
        <v>28</v>
      </c>
      <c r="I4851" t="s">
        <v>243</v>
      </c>
      <c r="J4851" t="s">
        <v>498</v>
      </c>
      <c r="K4851" s="138">
        <v>44.84</v>
      </c>
      <c r="L4851" s="137">
        <v>0</v>
      </c>
    </row>
    <row r="4852" spans="7:12" x14ac:dyDescent="0.25">
      <c r="G4852" s="136">
        <v>43521</v>
      </c>
      <c r="H4852" t="s">
        <v>28</v>
      </c>
      <c r="I4852" t="s">
        <v>243</v>
      </c>
      <c r="J4852" t="s">
        <v>498</v>
      </c>
      <c r="K4852" s="138">
        <v>43.5</v>
      </c>
      <c r="L4852" s="137">
        <v>0</v>
      </c>
    </row>
    <row r="4853" spans="7:12" x14ac:dyDescent="0.25">
      <c r="G4853" s="136">
        <v>43521</v>
      </c>
      <c r="H4853" t="s">
        <v>28</v>
      </c>
      <c r="I4853" t="s">
        <v>243</v>
      </c>
      <c r="J4853" t="s">
        <v>498</v>
      </c>
      <c r="K4853" s="138">
        <v>21.09</v>
      </c>
      <c r="L4853" s="137">
        <v>0</v>
      </c>
    </row>
    <row r="4854" spans="7:12" x14ac:dyDescent="0.25">
      <c r="G4854" s="136">
        <v>43522</v>
      </c>
      <c r="H4854" t="s">
        <v>192</v>
      </c>
      <c r="I4854" t="s">
        <v>63</v>
      </c>
      <c r="J4854" t="s">
        <v>499</v>
      </c>
      <c r="K4854" s="138">
        <v>75.5</v>
      </c>
      <c r="L4854" s="137">
        <v>0</v>
      </c>
    </row>
    <row r="4855" spans="7:12" x14ac:dyDescent="0.25">
      <c r="G4855" s="136">
        <v>43522</v>
      </c>
      <c r="H4855" t="s">
        <v>185</v>
      </c>
      <c r="I4855" t="s">
        <v>42</v>
      </c>
      <c r="J4855" t="s">
        <v>499</v>
      </c>
      <c r="K4855" s="138">
        <v>181</v>
      </c>
      <c r="L4855" s="137">
        <v>0</v>
      </c>
    </row>
    <row r="4856" spans="7:12" x14ac:dyDescent="0.25">
      <c r="G4856" s="136">
        <v>43522</v>
      </c>
      <c r="H4856" t="s">
        <v>209</v>
      </c>
      <c r="I4856" t="s">
        <v>155</v>
      </c>
      <c r="J4856" t="s">
        <v>499</v>
      </c>
      <c r="K4856" s="138">
        <v>69.900000000000006</v>
      </c>
      <c r="L4856" s="137">
        <v>0</v>
      </c>
    </row>
    <row r="4857" spans="7:12" x14ac:dyDescent="0.25">
      <c r="G4857" s="136">
        <v>43522</v>
      </c>
      <c r="H4857" t="s">
        <v>191</v>
      </c>
      <c r="I4857" t="s">
        <v>42</v>
      </c>
      <c r="J4857" t="s">
        <v>499</v>
      </c>
      <c r="K4857" s="138">
        <v>10.25</v>
      </c>
      <c r="L4857" s="137">
        <v>0</v>
      </c>
    </row>
    <row r="4858" spans="7:12" x14ac:dyDescent="0.25">
      <c r="G4858" s="136">
        <v>43522</v>
      </c>
      <c r="H4858" t="s">
        <v>188</v>
      </c>
      <c r="I4858" t="s">
        <v>155</v>
      </c>
      <c r="J4858" t="s">
        <v>499</v>
      </c>
      <c r="K4858" s="138">
        <v>26.25</v>
      </c>
      <c r="L4858" s="137">
        <v>0</v>
      </c>
    </row>
    <row r="4859" spans="7:12" x14ac:dyDescent="0.25">
      <c r="G4859" s="136">
        <v>43522</v>
      </c>
      <c r="H4859" t="s">
        <v>188</v>
      </c>
      <c r="I4859" t="s">
        <v>176</v>
      </c>
      <c r="J4859" t="s">
        <v>499</v>
      </c>
      <c r="K4859" s="138">
        <v>56.9</v>
      </c>
      <c r="L4859" s="137">
        <v>0</v>
      </c>
    </row>
    <row r="4860" spans="7:12" x14ac:dyDescent="0.25">
      <c r="G4860" s="136">
        <v>43522</v>
      </c>
      <c r="H4860" t="s">
        <v>188</v>
      </c>
      <c r="I4860" t="s">
        <v>244</v>
      </c>
      <c r="J4860" t="s">
        <v>500</v>
      </c>
      <c r="K4860" s="138">
        <v>0</v>
      </c>
      <c r="L4860" s="137">
        <v>13600</v>
      </c>
    </row>
    <row r="4861" spans="7:12" x14ac:dyDescent="0.25">
      <c r="G4861" s="136">
        <v>43522</v>
      </c>
      <c r="H4861" t="s">
        <v>188</v>
      </c>
      <c r="I4861" t="s">
        <v>42</v>
      </c>
      <c r="J4861" t="s">
        <v>499</v>
      </c>
      <c r="K4861" s="138">
        <v>366.01</v>
      </c>
      <c r="L4861" s="137">
        <v>0</v>
      </c>
    </row>
    <row r="4862" spans="7:12" x14ac:dyDescent="0.25">
      <c r="G4862" s="136">
        <v>43522</v>
      </c>
      <c r="H4862" t="s">
        <v>25</v>
      </c>
      <c r="I4862" t="s">
        <v>63</v>
      </c>
      <c r="J4862" t="s">
        <v>499</v>
      </c>
      <c r="K4862" s="138">
        <v>8</v>
      </c>
      <c r="L4862" s="137">
        <v>0</v>
      </c>
    </row>
    <row r="4863" spans="7:12" x14ac:dyDescent="0.25">
      <c r="G4863" s="136">
        <v>43522</v>
      </c>
      <c r="H4863" t="s">
        <v>207</v>
      </c>
      <c r="I4863" t="s">
        <v>155</v>
      </c>
      <c r="J4863" t="s">
        <v>499</v>
      </c>
      <c r="K4863" s="138">
        <v>65</v>
      </c>
      <c r="L4863" s="137">
        <v>0</v>
      </c>
    </row>
    <row r="4864" spans="7:12" x14ac:dyDescent="0.25">
      <c r="G4864" s="136">
        <v>43522</v>
      </c>
      <c r="H4864" t="s">
        <v>196</v>
      </c>
      <c r="I4864" t="s">
        <v>42</v>
      </c>
      <c r="J4864" t="s">
        <v>499</v>
      </c>
      <c r="K4864" s="138">
        <v>584.82000000000005</v>
      </c>
      <c r="L4864" s="137">
        <v>0</v>
      </c>
    </row>
    <row r="4865" spans="7:12" x14ac:dyDescent="0.25">
      <c r="G4865" s="136">
        <v>43522</v>
      </c>
      <c r="H4865" t="s">
        <v>179</v>
      </c>
      <c r="I4865" t="s">
        <v>163</v>
      </c>
      <c r="J4865" t="s">
        <v>499</v>
      </c>
      <c r="K4865" s="138">
        <v>28</v>
      </c>
      <c r="L4865" s="137">
        <v>0</v>
      </c>
    </row>
    <row r="4866" spans="7:12" x14ac:dyDescent="0.25">
      <c r="G4866" s="136">
        <v>43522</v>
      </c>
      <c r="H4866" t="s">
        <v>28</v>
      </c>
      <c r="I4866" t="s">
        <v>112</v>
      </c>
      <c r="J4866" t="s">
        <v>499</v>
      </c>
      <c r="K4866" s="138">
        <v>157.56</v>
      </c>
      <c r="L4866" s="137">
        <v>0</v>
      </c>
    </row>
    <row r="4867" spans="7:12" x14ac:dyDescent="0.25">
      <c r="G4867" s="136">
        <v>43522</v>
      </c>
      <c r="H4867" t="s">
        <v>28</v>
      </c>
      <c r="I4867" t="s">
        <v>112</v>
      </c>
      <c r="J4867" t="s">
        <v>499</v>
      </c>
      <c r="K4867" s="138">
        <v>115.77</v>
      </c>
      <c r="L4867" s="137">
        <v>0</v>
      </c>
    </row>
    <row r="4868" spans="7:12" x14ac:dyDescent="0.25">
      <c r="G4868" s="136">
        <v>43522</v>
      </c>
      <c r="H4868" t="s">
        <v>28</v>
      </c>
      <c r="I4868" t="s">
        <v>155</v>
      </c>
      <c r="J4868" t="s">
        <v>499</v>
      </c>
      <c r="K4868" s="138">
        <v>82.83</v>
      </c>
      <c r="L4868" s="137">
        <v>0</v>
      </c>
    </row>
    <row r="4869" spans="7:12" x14ac:dyDescent="0.25">
      <c r="G4869" s="136">
        <v>43522</v>
      </c>
      <c r="H4869" t="s">
        <v>28</v>
      </c>
      <c r="I4869" t="s">
        <v>155</v>
      </c>
      <c r="J4869" t="s">
        <v>499</v>
      </c>
      <c r="K4869" s="138">
        <v>80</v>
      </c>
      <c r="L4869" s="137">
        <v>0</v>
      </c>
    </row>
    <row r="4870" spans="7:12" x14ac:dyDescent="0.25">
      <c r="G4870" s="136">
        <v>43522</v>
      </c>
      <c r="H4870" t="s">
        <v>28</v>
      </c>
      <c r="I4870" t="s">
        <v>155</v>
      </c>
      <c r="J4870" t="s">
        <v>499</v>
      </c>
      <c r="K4870" s="138">
        <v>65.94</v>
      </c>
      <c r="L4870" s="137">
        <v>0</v>
      </c>
    </row>
    <row r="4871" spans="7:12" x14ac:dyDescent="0.25">
      <c r="G4871" s="136">
        <v>43522</v>
      </c>
      <c r="H4871" t="s">
        <v>28</v>
      </c>
      <c r="I4871" t="s">
        <v>155</v>
      </c>
      <c r="J4871" t="s">
        <v>499</v>
      </c>
      <c r="K4871" s="138">
        <v>53.96</v>
      </c>
      <c r="L4871" s="137">
        <v>0</v>
      </c>
    </row>
    <row r="4872" spans="7:12" x14ac:dyDescent="0.25">
      <c r="G4872" s="136">
        <v>43522</v>
      </c>
      <c r="H4872" t="s">
        <v>28</v>
      </c>
      <c r="I4872" t="s">
        <v>155</v>
      </c>
      <c r="J4872" t="s">
        <v>499</v>
      </c>
      <c r="K4872" s="138">
        <v>34.56</v>
      </c>
      <c r="L4872" s="137">
        <v>0</v>
      </c>
    </row>
    <row r="4873" spans="7:12" x14ac:dyDescent="0.25">
      <c r="G4873" s="136">
        <v>43522</v>
      </c>
      <c r="H4873" t="s">
        <v>28</v>
      </c>
      <c r="I4873" t="s">
        <v>155</v>
      </c>
      <c r="J4873" t="s">
        <v>499</v>
      </c>
      <c r="K4873" s="138">
        <v>16.350000000000001</v>
      </c>
      <c r="L4873" s="137">
        <v>0</v>
      </c>
    </row>
    <row r="4874" spans="7:12" x14ac:dyDescent="0.25">
      <c r="G4874" s="136">
        <v>43522</v>
      </c>
      <c r="H4874" t="s">
        <v>28</v>
      </c>
      <c r="I4874" t="s">
        <v>155</v>
      </c>
      <c r="J4874" t="s">
        <v>499</v>
      </c>
      <c r="K4874" s="138">
        <v>10.99</v>
      </c>
      <c r="L4874" s="137">
        <v>0</v>
      </c>
    </row>
    <row r="4875" spans="7:12" x14ac:dyDescent="0.25">
      <c r="G4875" s="136">
        <v>43522</v>
      </c>
      <c r="H4875" t="s">
        <v>28</v>
      </c>
      <c r="I4875" t="s">
        <v>66</v>
      </c>
      <c r="J4875" t="s">
        <v>123</v>
      </c>
      <c r="K4875" s="138">
        <v>9.75</v>
      </c>
      <c r="L4875" s="137">
        <v>0</v>
      </c>
    </row>
    <row r="4876" spans="7:12" x14ac:dyDescent="0.25">
      <c r="G4876" s="136">
        <v>43522</v>
      </c>
      <c r="H4876" t="s">
        <v>28</v>
      </c>
      <c r="I4876" t="s">
        <v>42</v>
      </c>
      <c r="J4876" t="s">
        <v>499</v>
      </c>
      <c r="K4876" s="138">
        <v>183.93</v>
      </c>
      <c r="L4876" s="137">
        <v>0</v>
      </c>
    </row>
    <row r="4877" spans="7:12" x14ac:dyDescent="0.25">
      <c r="G4877" s="136">
        <v>43522</v>
      </c>
      <c r="H4877" t="s">
        <v>28</v>
      </c>
      <c r="I4877" t="s">
        <v>42</v>
      </c>
      <c r="J4877" t="s">
        <v>499</v>
      </c>
      <c r="K4877" s="138">
        <v>39</v>
      </c>
      <c r="L4877" s="137">
        <v>0</v>
      </c>
    </row>
    <row r="4878" spans="7:12" x14ac:dyDescent="0.25">
      <c r="G4878" s="136">
        <v>43523</v>
      </c>
      <c r="H4878" t="s">
        <v>27</v>
      </c>
      <c r="I4878" t="s">
        <v>63</v>
      </c>
      <c r="J4878" t="s">
        <v>501</v>
      </c>
      <c r="K4878" s="138">
        <v>16</v>
      </c>
      <c r="L4878" s="137">
        <v>0</v>
      </c>
    </row>
    <row r="4879" spans="7:12" x14ac:dyDescent="0.25">
      <c r="G4879" s="136">
        <v>43523</v>
      </c>
      <c r="H4879" t="s">
        <v>27</v>
      </c>
      <c r="I4879" t="s">
        <v>63</v>
      </c>
      <c r="J4879" t="s">
        <v>501</v>
      </c>
      <c r="K4879" s="138">
        <v>8</v>
      </c>
      <c r="L4879" s="137">
        <v>0</v>
      </c>
    </row>
    <row r="4880" spans="7:12" x14ac:dyDescent="0.25">
      <c r="G4880" s="136">
        <v>43523</v>
      </c>
      <c r="H4880" t="s">
        <v>191</v>
      </c>
      <c r="I4880" t="s">
        <v>163</v>
      </c>
      <c r="J4880" t="s">
        <v>501</v>
      </c>
      <c r="K4880" s="138">
        <v>72</v>
      </c>
      <c r="L4880" s="137">
        <v>0</v>
      </c>
    </row>
    <row r="4881" spans="7:12" x14ac:dyDescent="0.25">
      <c r="G4881" s="136">
        <v>43523</v>
      </c>
      <c r="H4881" t="s">
        <v>188</v>
      </c>
      <c r="I4881" t="s">
        <v>112</v>
      </c>
      <c r="J4881" t="s">
        <v>501</v>
      </c>
      <c r="K4881" s="138">
        <v>44</v>
      </c>
      <c r="L4881" s="137">
        <v>0</v>
      </c>
    </row>
    <row r="4882" spans="7:12" x14ac:dyDescent="0.25">
      <c r="G4882" s="136">
        <v>43523</v>
      </c>
      <c r="H4882" t="s">
        <v>25</v>
      </c>
      <c r="I4882" t="s">
        <v>63</v>
      </c>
      <c r="J4882" t="s">
        <v>501</v>
      </c>
      <c r="K4882" s="138">
        <v>32</v>
      </c>
      <c r="L4882" s="137">
        <v>0</v>
      </c>
    </row>
    <row r="4883" spans="7:12" x14ac:dyDescent="0.25">
      <c r="G4883" s="136">
        <v>43523</v>
      </c>
      <c r="H4883" t="s">
        <v>25</v>
      </c>
      <c r="I4883" t="s">
        <v>63</v>
      </c>
      <c r="J4883" t="s">
        <v>501</v>
      </c>
      <c r="K4883" s="138">
        <v>24</v>
      </c>
      <c r="L4883" s="137">
        <v>0</v>
      </c>
    </row>
    <row r="4884" spans="7:12" x14ac:dyDescent="0.25">
      <c r="G4884" s="136">
        <v>43523</v>
      </c>
      <c r="H4884" t="s">
        <v>25</v>
      </c>
      <c r="I4884" t="s">
        <v>240</v>
      </c>
      <c r="J4884" t="s">
        <v>502</v>
      </c>
      <c r="K4884" s="138">
        <v>75.819999999999993</v>
      </c>
      <c r="L4884" s="137">
        <v>0</v>
      </c>
    </row>
    <row r="4885" spans="7:12" x14ac:dyDescent="0.25">
      <c r="G4885" s="136">
        <v>43523</v>
      </c>
      <c r="H4885" t="s">
        <v>28</v>
      </c>
      <c r="I4885" t="s">
        <v>163</v>
      </c>
      <c r="J4885" t="s">
        <v>501</v>
      </c>
      <c r="K4885" s="138">
        <v>47.15</v>
      </c>
      <c r="L4885" s="137">
        <v>0</v>
      </c>
    </row>
    <row r="4886" spans="7:12" x14ac:dyDescent="0.25">
      <c r="G4886" s="136">
        <v>43523</v>
      </c>
      <c r="H4886" t="s">
        <v>28</v>
      </c>
      <c r="I4886" t="s">
        <v>112</v>
      </c>
      <c r="J4886" t="s">
        <v>501</v>
      </c>
      <c r="K4886" s="138">
        <v>39.25</v>
      </c>
      <c r="L4886" s="137">
        <v>0</v>
      </c>
    </row>
    <row r="4887" spans="7:12" x14ac:dyDescent="0.25">
      <c r="G4887" s="136">
        <v>43523</v>
      </c>
      <c r="H4887" t="s">
        <v>28</v>
      </c>
      <c r="I4887" t="s">
        <v>155</v>
      </c>
      <c r="J4887" t="s">
        <v>501</v>
      </c>
      <c r="K4887" s="138">
        <v>23.98</v>
      </c>
      <c r="L4887" s="137">
        <v>0</v>
      </c>
    </row>
    <row r="4888" spans="7:12" x14ac:dyDescent="0.25">
      <c r="G4888" s="136">
        <v>43523</v>
      </c>
      <c r="H4888" t="s">
        <v>28</v>
      </c>
      <c r="I4888" t="s">
        <v>66</v>
      </c>
      <c r="J4888" t="s">
        <v>109</v>
      </c>
      <c r="K4888" s="138">
        <v>28</v>
      </c>
      <c r="L4888" s="137">
        <v>0</v>
      </c>
    </row>
    <row r="4889" spans="7:12" x14ac:dyDescent="0.25">
      <c r="G4889" s="136">
        <v>43523</v>
      </c>
      <c r="H4889" t="s">
        <v>28</v>
      </c>
      <c r="I4889" t="s">
        <v>42</v>
      </c>
      <c r="J4889" t="s">
        <v>501</v>
      </c>
      <c r="K4889" s="138">
        <v>51.6</v>
      </c>
      <c r="L4889" s="137">
        <v>0</v>
      </c>
    </row>
    <row r="4890" spans="7:12" x14ac:dyDescent="0.25">
      <c r="G4890" s="136">
        <v>43524</v>
      </c>
      <c r="H4890" t="s">
        <v>28</v>
      </c>
      <c r="I4890" t="s">
        <v>66</v>
      </c>
      <c r="J4890" t="s">
        <v>116</v>
      </c>
      <c r="K4890" s="138">
        <v>7.35</v>
      </c>
      <c r="L4890" s="137">
        <v>0</v>
      </c>
    </row>
    <row r="4891" spans="7:12" x14ac:dyDescent="0.25">
      <c r="G4891" s="136">
        <v>43525</v>
      </c>
      <c r="H4891" t="s">
        <v>27</v>
      </c>
      <c r="I4891" t="s">
        <v>42</v>
      </c>
      <c r="J4891" t="s">
        <v>503</v>
      </c>
      <c r="K4891" s="138">
        <v>171.6</v>
      </c>
      <c r="L4891" s="137">
        <v>0</v>
      </c>
    </row>
    <row r="4892" spans="7:12" x14ac:dyDescent="0.25">
      <c r="G4892" s="136">
        <v>43525</v>
      </c>
      <c r="H4892" t="s">
        <v>27</v>
      </c>
      <c r="I4892" t="s">
        <v>42</v>
      </c>
      <c r="J4892" t="s">
        <v>503</v>
      </c>
      <c r="K4892" s="138">
        <v>140</v>
      </c>
      <c r="L4892" s="137">
        <v>0</v>
      </c>
    </row>
    <row r="4893" spans="7:12" x14ac:dyDescent="0.25">
      <c r="G4893" s="136">
        <v>43525</v>
      </c>
      <c r="H4893" t="s">
        <v>183</v>
      </c>
      <c r="I4893" t="s">
        <v>171</v>
      </c>
      <c r="J4893" t="s">
        <v>503</v>
      </c>
      <c r="K4893" s="138">
        <v>1950</v>
      </c>
      <c r="L4893" s="137">
        <v>0</v>
      </c>
    </row>
    <row r="4894" spans="7:12" x14ac:dyDescent="0.25">
      <c r="G4894" s="136">
        <v>43525</v>
      </c>
      <c r="H4894" t="s">
        <v>189</v>
      </c>
      <c r="I4894" t="s">
        <v>171</v>
      </c>
      <c r="J4894" t="s">
        <v>503</v>
      </c>
      <c r="K4894" s="138">
        <v>150</v>
      </c>
      <c r="L4894" s="137">
        <v>0</v>
      </c>
    </row>
    <row r="4895" spans="7:12" x14ac:dyDescent="0.25">
      <c r="G4895" s="136">
        <v>43525</v>
      </c>
      <c r="H4895" t="s">
        <v>191</v>
      </c>
      <c r="I4895" t="s">
        <v>42</v>
      </c>
      <c r="J4895" t="s">
        <v>503</v>
      </c>
      <c r="K4895" s="138">
        <v>28.95</v>
      </c>
      <c r="L4895" s="137">
        <v>0</v>
      </c>
    </row>
    <row r="4896" spans="7:12" x14ac:dyDescent="0.25">
      <c r="G4896" s="136">
        <v>43525</v>
      </c>
      <c r="H4896" t="s">
        <v>188</v>
      </c>
      <c r="I4896" t="s">
        <v>171</v>
      </c>
      <c r="J4896" t="s">
        <v>503</v>
      </c>
      <c r="K4896" s="138">
        <v>150</v>
      </c>
      <c r="L4896" s="137">
        <v>0</v>
      </c>
    </row>
    <row r="4897" spans="7:12" x14ac:dyDescent="0.25">
      <c r="G4897" s="136">
        <v>43525</v>
      </c>
      <c r="H4897" t="s">
        <v>201</v>
      </c>
      <c r="I4897" t="s">
        <v>112</v>
      </c>
      <c r="J4897" t="s">
        <v>503</v>
      </c>
      <c r="K4897" s="138">
        <v>38.96</v>
      </c>
      <c r="L4897" s="137">
        <v>0</v>
      </c>
    </row>
    <row r="4898" spans="7:12" x14ac:dyDescent="0.25">
      <c r="G4898" s="136">
        <v>43525</v>
      </c>
      <c r="H4898" t="s">
        <v>179</v>
      </c>
      <c r="I4898" t="s">
        <v>112</v>
      </c>
      <c r="J4898" t="s">
        <v>503</v>
      </c>
      <c r="K4898" s="138">
        <v>71.97</v>
      </c>
      <c r="L4898" s="137">
        <v>0</v>
      </c>
    </row>
    <row r="4899" spans="7:12" x14ac:dyDescent="0.25">
      <c r="G4899" s="136">
        <v>43525</v>
      </c>
      <c r="H4899" t="s">
        <v>28</v>
      </c>
      <c r="I4899" t="s">
        <v>112</v>
      </c>
      <c r="J4899" t="s">
        <v>503</v>
      </c>
      <c r="K4899" s="138">
        <v>80</v>
      </c>
      <c r="L4899" s="137">
        <v>0</v>
      </c>
    </row>
    <row r="4900" spans="7:12" x14ac:dyDescent="0.25">
      <c r="G4900" s="136">
        <v>43525</v>
      </c>
      <c r="H4900" t="s">
        <v>28</v>
      </c>
      <c r="I4900" t="s">
        <v>112</v>
      </c>
      <c r="J4900" t="s">
        <v>503</v>
      </c>
      <c r="K4900" s="138">
        <v>47.98</v>
      </c>
      <c r="L4900" s="137">
        <v>0</v>
      </c>
    </row>
    <row r="4901" spans="7:12" x14ac:dyDescent="0.25">
      <c r="G4901" s="136">
        <v>43525</v>
      </c>
      <c r="H4901" t="s">
        <v>28</v>
      </c>
      <c r="I4901" t="s">
        <v>112</v>
      </c>
      <c r="J4901" t="s">
        <v>503</v>
      </c>
      <c r="K4901" s="138">
        <v>12.9</v>
      </c>
      <c r="L4901" s="137">
        <v>0</v>
      </c>
    </row>
    <row r="4902" spans="7:12" x14ac:dyDescent="0.25">
      <c r="G4902" s="136">
        <v>43525</v>
      </c>
      <c r="H4902" t="s">
        <v>28</v>
      </c>
      <c r="I4902" t="s">
        <v>155</v>
      </c>
      <c r="J4902" t="s">
        <v>503</v>
      </c>
      <c r="K4902" s="138">
        <v>65.44</v>
      </c>
      <c r="L4902" s="137">
        <v>0</v>
      </c>
    </row>
    <row r="4903" spans="7:12" x14ac:dyDescent="0.25">
      <c r="G4903" s="136">
        <v>43525</v>
      </c>
      <c r="H4903" t="s">
        <v>28</v>
      </c>
      <c r="I4903" t="s">
        <v>155</v>
      </c>
      <c r="J4903" t="s">
        <v>503</v>
      </c>
      <c r="K4903" s="138">
        <v>60.87</v>
      </c>
      <c r="L4903" s="137">
        <v>0</v>
      </c>
    </row>
    <row r="4904" spans="7:12" x14ac:dyDescent="0.25">
      <c r="G4904" s="136">
        <v>43525</v>
      </c>
      <c r="H4904" t="s">
        <v>28</v>
      </c>
      <c r="I4904" t="s">
        <v>155</v>
      </c>
      <c r="J4904" t="s">
        <v>503</v>
      </c>
      <c r="K4904" s="138">
        <v>59.15</v>
      </c>
      <c r="L4904" s="137">
        <v>0</v>
      </c>
    </row>
    <row r="4905" spans="7:12" x14ac:dyDescent="0.25">
      <c r="G4905" s="136">
        <v>43525</v>
      </c>
      <c r="H4905" t="s">
        <v>28</v>
      </c>
      <c r="I4905" t="s">
        <v>155</v>
      </c>
      <c r="J4905" t="s">
        <v>503</v>
      </c>
      <c r="K4905" s="138">
        <v>26.15</v>
      </c>
      <c r="L4905" s="137">
        <v>0</v>
      </c>
    </row>
    <row r="4906" spans="7:12" x14ac:dyDescent="0.25">
      <c r="G4906" s="136">
        <v>43525</v>
      </c>
      <c r="H4906" t="s">
        <v>28</v>
      </c>
      <c r="I4906" t="s">
        <v>155</v>
      </c>
      <c r="J4906" t="s">
        <v>503</v>
      </c>
      <c r="K4906" s="138">
        <v>15.92</v>
      </c>
      <c r="L4906" s="137">
        <v>0</v>
      </c>
    </row>
    <row r="4907" spans="7:12" x14ac:dyDescent="0.25">
      <c r="G4907" s="136">
        <v>43525</v>
      </c>
      <c r="H4907" t="s">
        <v>28</v>
      </c>
      <c r="I4907" t="s">
        <v>66</v>
      </c>
      <c r="J4907" t="s">
        <v>139</v>
      </c>
      <c r="K4907" s="138">
        <v>18</v>
      </c>
      <c r="L4907" s="137">
        <v>0</v>
      </c>
    </row>
    <row r="4908" spans="7:12" x14ac:dyDescent="0.25">
      <c r="G4908" s="136">
        <v>43525</v>
      </c>
      <c r="H4908" t="s">
        <v>28</v>
      </c>
      <c r="I4908" t="s">
        <v>66</v>
      </c>
      <c r="J4908" t="s">
        <v>109</v>
      </c>
      <c r="K4908" s="138">
        <v>14</v>
      </c>
      <c r="L4908" s="137">
        <v>0</v>
      </c>
    </row>
    <row r="4909" spans="7:12" x14ac:dyDescent="0.25">
      <c r="G4909" s="136">
        <v>43526</v>
      </c>
      <c r="H4909" t="s">
        <v>28</v>
      </c>
      <c r="I4909" t="s">
        <v>66</v>
      </c>
      <c r="J4909" t="s">
        <v>75</v>
      </c>
      <c r="K4909" s="138">
        <v>52.2</v>
      </c>
      <c r="L4909" s="137">
        <v>0</v>
      </c>
    </row>
    <row r="4910" spans="7:12" x14ac:dyDescent="0.25">
      <c r="G4910" s="136">
        <v>43530</v>
      </c>
      <c r="H4910" t="s">
        <v>192</v>
      </c>
      <c r="I4910" t="s">
        <v>163</v>
      </c>
      <c r="J4910" t="s">
        <v>504</v>
      </c>
      <c r="K4910" s="138">
        <v>19.559999999999999</v>
      </c>
      <c r="L4910" s="137">
        <v>0</v>
      </c>
    </row>
    <row r="4911" spans="7:12" x14ac:dyDescent="0.25">
      <c r="G4911" s="136">
        <v>43530</v>
      </c>
      <c r="H4911" t="s">
        <v>27</v>
      </c>
      <c r="I4911" t="s">
        <v>63</v>
      </c>
      <c r="J4911" t="s">
        <v>504</v>
      </c>
      <c r="K4911" s="138">
        <v>16</v>
      </c>
      <c r="L4911" s="137">
        <v>0</v>
      </c>
    </row>
    <row r="4912" spans="7:12" x14ac:dyDescent="0.25">
      <c r="G4912" s="136">
        <v>43530</v>
      </c>
      <c r="H4912" t="s">
        <v>183</v>
      </c>
      <c r="I4912" t="s">
        <v>163</v>
      </c>
      <c r="J4912" t="s">
        <v>504</v>
      </c>
      <c r="K4912" s="138">
        <v>88</v>
      </c>
      <c r="L4912" s="137">
        <v>0</v>
      </c>
    </row>
    <row r="4913" spans="7:12" x14ac:dyDescent="0.25">
      <c r="G4913" s="136">
        <v>43530</v>
      </c>
      <c r="H4913" t="s">
        <v>183</v>
      </c>
      <c r="I4913" t="s">
        <v>42</v>
      </c>
      <c r="J4913" t="s">
        <v>504</v>
      </c>
      <c r="K4913" s="138">
        <v>21.24</v>
      </c>
      <c r="L4913" s="137">
        <v>0</v>
      </c>
    </row>
    <row r="4914" spans="7:12" x14ac:dyDescent="0.25">
      <c r="G4914" s="136">
        <v>43530</v>
      </c>
      <c r="H4914" t="s">
        <v>191</v>
      </c>
      <c r="I4914" t="s">
        <v>42</v>
      </c>
      <c r="J4914" t="s">
        <v>504</v>
      </c>
      <c r="K4914" s="138">
        <v>42.5</v>
      </c>
      <c r="L4914" s="137">
        <v>0</v>
      </c>
    </row>
    <row r="4915" spans="7:12" x14ac:dyDescent="0.25">
      <c r="G4915" s="136">
        <v>43530</v>
      </c>
      <c r="H4915" t="s">
        <v>25</v>
      </c>
      <c r="I4915" t="s">
        <v>63</v>
      </c>
      <c r="J4915" t="s">
        <v>504</v>
      </c>
      <c r="K4915" s="138">
        <v>128</v>
      </c>
      <c r="L4915" s="137">
        <v>0</v>
      </c>
    </row>
    <row r="4916" spans="7:12" x14ac:dyDescent="0.25">
      <c r="G4916" s="136">
        <v>43530</v>
      </c>
      <c r="H4916" t="s">
        <v>25</v>
      </c>
      <c r="I4916" t="s">
        <v>63</v>
      </c>
      <c r="J4916" t="s">
        <v>504</v>
      </c>
      <c r="K4916" s="138">
        <v>64</v>
      </c>
      <c r="L4916" s="137">
        <v>0</v>
      </c>
    </row>
    <row r="4917" spans="7:12" x14ac:dyDescent="0.25">
      <c r="G4917" s="136">
        <v>43530</v>
      </c>
      <c r="H4917" t="s">
        <v>25</v>
      </c>
      <c r="I4917" t="s">
        <v>63</v>
      </c>
      <c r="J4917" t="s">
        <v>504</v>
      </c>
      <c r="K4917" s="138">
        <v>48</v>
      </c>
      <c r="L4917" s="137">
        <v>0</v>
      </c>
    </row>
    <row r="4918" spans="7:12" x14ac:dyDescent="0.25">
      <c r="G4918" s="136">
        <v>43530</v>
      </c>
      <c r="H4918" t="s">
        <v>25</v>
      </c>
      <c r="I4918" t="s">
        <v>63</v>
      </c>
      <c r="J4918" t="s">
        <v>504</v>
      </c>
      <c r="K4918" s="138">
        <v>40</v>
      </c>
      <c r="L4918" s="137">
        <v>0</v>
      </c>
    </row>
    <row r="4919" spans="7:12" x14ac:dyDescent="0.25">
      <c r="G4919" s="136">
        <v>43530</v>
      </c>
      <c r="H4919" t="s">
        <v>25</v>
      </c>
      <c r="I4919" t="s">
        <v>63</v>
      </c>
      <c r="J4919" t="s">
        <v>504</v>
      </c>
      <c r="K4919" s="138">
        <v>24</v>
      </c>
      <c r="L4919" s="137">
        <v>0</v>
      </c>
    </row>
    <row r="4920" spans="7:12" x14ac:dyDescent="0.25">
      <c r="G4920" s="136">
        <v>43530</v>
      </c>
      <c r="H4920" t="s">
        <v>25</v>
      </c>
      <c r="I4920" t="s">
        <v>63</v>
      </c>
      <c r="J4920" t="s">
        <v>504</v>
      </c>
      <c r="K4920" s="138">
        <v>16</v>
      </c>
      <c r="L4920" s="137">
        <v>0</v>
      </c>
    </row>
    <row r="4921" spans="7:12" x14ac:dyDescent="0.25">
      <c r="G4921" s="136">
        <v>43530</v>
      </c>
      <c r="H4921" t="s">
        <v>25</v>
      </c>
      <c r="I4921" t="s">
        <v>63</v>
      </c>
      <c r="J4921" t="s">
        <v>504</v>
      </c>
      <c r="K4921" s="138">
        <v>8</v>
      </c>
      <c r="L4921" s="137">
        <v>0</v>
      </c>
    </row>
    <row r="4922" spans="7:12" x14ac:dyDescent="0.25">
      <c r="G4922" s="136">
        <v>43530</v>
      </c>
      <c r="H4922" t="s">
        <v>181</v>
      </c>
      <c r="I4922" t="s">
        <v>42</v>
      </c>
      <c r="J4922" t="s">
        <v>504</v>
      </c>
      <c r="K4922" s="138">
        <v>161.44999999999999</v>
      </c>
      <c r="L4922" s="137">
        <v>0</v>
      </c>
    </row>
    <row r="4923" spans="7:12" x14ac:dyDescent="0.25">
      <c r="G4923" s="136">
        <v>43530</v>
      </c>
      <c r="H4923" t="s">
        <v>187</v>
      </c>
      <c r="I4923" t="s">
        <v>42</v>
      </c>
      <c r="J4923" t="s">
        <v>504</v>
      </c>
      <c r="K4923" s="138">
        <v>196.4</v>
      </c>
      <c r="L4923" s="137">
        <v>0</v>
      </c>
    </row>
    <row r="4924" spans="7:12" x14ac:dyDescent="0.25">
      <c r="G4924" s="136">
        <v>43531</v>
      </c>
      <c r="H4924" t="s">
        <v>27</v>
      </c>
      <c r="I4924" t="s">
        <v>63</v>
      </c>
      <c r="J4924" t="s">
        <v>505</v>
      </c>
      <c r="K4924" s="138">
        <v>8</v>
      </c>
      <c r="L4924" s="137">
        <v>0</v>
      </c>
    </row>
    <row r="4925" spans="7:12" x14ac:dyDescent="0.25">
      <c r="G4925" s="136">
        <v>43531</v>
      </c>
      <c r="H4925" t="s">
        <v>185</v>
      </c>
      <c r="I4925" t="s">
        <v>163</v>
      </c>
      <c r="J4925" t="s">
        <v>505</v>
      </c>
      <c r="K4925" s="138">
        <v>255.93</v>
      </c>
      <c r="L4925" s="137">
        <v>0</v>
      </c>
    </row>
    <row r="4926" spans="7:12" x14ac:dyDescent="0.25">
      <c r="G4926" s="136">
        <v>43531</v>
      </c>
      <c r="H4926" t="s">
        <v>185</v>
      </c>
      <c r="I4926" t="s">
        <v>42</v>
      </c>
      <c r="J4926" t="s">
        <v>505</v>
      </c>
      <c r="K4926" s="138">
        <v>176</v>
      </c>
      <c r="L4926" s="137">
        <v>0</v>
      </c>
    </row>
    <row r="4927" spans="7:12" x14ac:dyDescent="0.25">
      <c r="G4927" s="136">
        <v>43531</v>
      </c>
      <c r="H4927" t="s">
        <v>189</v>
      </c>
      <c r="I4927" t="s">
        <v>42</v>
      </c>
      <c r="J4927" t="s">
        <v>505</v>
      </c>
      <c r="K4927" s="138">
        <v>53</v>
      </c>
      <c r="L4927" s="137">
        <v>0</v>
      </c>
    </row>
    <row r="4928" spans="7:12" x14ac:dyDescent="0.25">
      <c r="G4928" s="136">
        <v>43531</v>
      </c>
      <c r="H4928" t="s">
        <v>188</v>
      </c>
      <c r="I4928" t="s">
        <v>42</v>
      </c>
      <c r="J4928" t="s">
        <v>505</v>
      </c>
      <c r="K4928" s="138">
        <v>195.57</v>
      </c>
      <c r="L4928" s="137">
        <v>0</v>
      </c>
    </row>
    <row r="4929" spans="7:12" x14ac:dyDescent="0.25">
      <c r="G4929" s="136">
        <v>43531</v>
      </c>
      <c r="H4929" t="s">
        <v>25</v>
      </c>
      <c r="I4929" t="s">
        <v>63</v>
      </c>
      <c r="J4929" t="s">
        <v>505</v>
      </c>
      <c r="K4929" s="138">
        <v>80</v>
      </c>
      <c r="L4929" s="137">
        <v>0</v>
      </c>
    </row>
    <row r="4930" spans="7:12" x14ac:dyDescent="0.25">
      <c r="G4930" s="136">
        <v>43531</v>
      </c>
      <c r="H4930" t="s">
        <v>25</v>
      </c>
      <c r="I4930" t="s">
        <v>63</v>
      </c>
      <c r="J4930" t="s">
        <v>505</v>
      </c>
      <c r="K4930" s="138">
        <v>64</v>
      </c>
      <c r="L4930" s="137">
        <v>0</v>
      </c>
    </row>
    <row r="4931" spans="7:12" x14ac:dyDescent="0.25">
      <c r="G4931" s="136">
        <v>43531</v>
      </c>
      <c r="H4931" t="s">
        <v>25</v>
      </c>
      <c r="I4931" t="s">
        <v>63</v>
      </c>
      <c r="J4931" t="s">
        <v>505</v>
      </c>
      <c r="K4931" s="138">
        <v>32</v>
      </c>
      <c r="L4931" s="137">
        <v>0</v>
      </c>
    </row>
    <row r="4932" spans="7:12" x14ac:dyDescent="0.25">
      <c r="G4932" s="136">
        <v>43531</v>
      </c>
      <c r="H4932" t="s">
        <v>197</v>
      </c>
      <c r="I4932" t="s">
        <v>112</v>
      </c>
      <c r="J4932" t="s">
        <v>505</v>
      </c>
      <c r="K4932" s="138">
        <v>57.09</v>
      </c>
      <c r="L4932" s="137">
        <v>0</v>
      </c>
    </row>
    <row r="4933" spans="7:12" x14ac:dyDescent="0.25">
      <c r="G4933" s="136">
        <v>43531</v>
      </c>
      <c r="H4933" t="s">
        <v>197</v>
      </c>
      <c r="I4933" t="s">
        <v>176</v>
      </c>
      <c r="J4933" t="s">
        <v>505</v>
      </c>
      <c r="K4933" s="138">
        <v>40</v>
      </c>
      <c r="L4933" s="137">
        <v>0</v>
      </c>
    </row>
    <row r="4934" spans="7:12" x14ac:dyDescent="0.25">
      <c r="G4934" s="136">
        <v>43531</v>
      </c>
      <c r="H4934" t="s">
        <v>28</v>
      </c>
      <c r="I4934" t="s">
        <v>163</v>
      </c>
      <c r="J4934" t="s">
        <v>505</v>
      </c>
      <c r="K4934" s="138">
        <v>18</v>
      </c>
      <c r="L4934" s="137">
        <v>0</v>
      </c>
    </row>
    <row r="4935" spans="7:12" x14ac:dyDescent="0.25">
      <c r="G4935" s="136">
        <v>43531</v>
      </c>
      <c r="H4935" t="s">
        <v>28</v>
      </c>
      <c r="I4935" t="s">
        <v>112</v>
      </c>
      <c r="J4935" t="s">
        <v>505</v>
      </c>
      <c r="K4935" s="138">
        <v>60</v>
      </c>
      <c r="L4935" s="137">
        <v>0</v>
      </c>
    </row>
    <row r="4936" spans="7:12" x14ac:dyDescent="0.25">
      <c r="G4936" s="136">
        <v>43531</v>
      </c>
      <c r="H4936" t="s">
        <v>28</v>
      </c>
      <c r="I4936" t="s">
        <v>112</v>
      </c>
      <c r="J4936" t="s">
        <v>505</v>
      </c>
      <c r="K4936" s="138">
        <v>23.99</v>
      </c>
      <c r="L4936" s="137">
        <v>0</v>
      </c>
    </row>
    <row r="4937" spans="7:12" x14ac:dyDescent="0.25">
      <c r="G4937" s="136">
        <v>43531</v>
      </c>
      <c r="H4937" t="s">
        <v>28</v>
      </c>
      <c r="I4937" t="s">
        <v>155</v>
      </c>
      <c r="J4937" t="s">
        <v>505</v>
      </c>
      <c r="K4937" s="138">
        <v>86.12</v>
      </c>
      <c r="L4937" s="137">
        <v>0</v>
      </c>
    </row>
    <row r="4938" spans="7:12" x14ac:dyDescent="0.25">
      <c r="G4938" s="136">
        <v>43531</v>
      </c>
      <c r="H4938" t="s">
        <v>28</v>
      </c>
      <c r="I4938" t="s">
        <v>155</v>
      </c>
      <c r="J4938" t="s">
        <v>505</v>
      </c>
      <c r="K4938" s="138">
        <v>63.01</v>
      </c>
      <c r="L4938" s="137">
        <v>0</v>
      </c>
    </row>
    <row r="4939" spans="7:12" x14ac:dyDescent="0.25">
      <c r="G4939" s="136">
        <v>43531</v>
      </c>
      <c r="H4939" t="s">
        <v>28</v>
      </c>
      <c r="I4939" t="s">
        <v>155</v>
      </c>
      <c r="J4939" t="s">
        <v>505</v>
      </c>
      <c r="K4939" s="138">
        <v>37.68</v>
      </c>
      <c r="L4939" s="137">
        <v>0</v>
      </c>
    </row>
    <row r="4940" spans="7:12" x14ac:dyDescent="0.25">
      <c r="G4940" s="136">
        <v>43531</v>
      </c>
      <c r="H4940" t="s">
        <v>28</v>
      </c>
      <c r="I4940" t="s">
        <v>155</v>
      </c>
      <c r="J4940" t="s">
        <v>505</v>
      </c>
      <c r="K4940" s="138">
        <v>36.450000000000003</v>
      </c>
      <c r="L4940" s="137">
        <v>0</v>
      </c>
    </row>
    <row r="4941" spans="7:12" x14ac:dyDescent="0.25">
      <c r="G4941" s="136">
        <v>43531</v>
      </c>
      <c r="H4941" t="s">
        <v>28</v>
      </c>
      <c r="I4941" t="s">
        <v>66</v>
      </c>
      <c r="J4941" t="s">
        <v>101</v>
      </c>
      <c r="K4941" s="138">
        <v>1.8</v>
      </c>
      <c r="L4941" s="137">
        <v>0</v>
      </c>
    </row>
    <row r="4942" spans="7:12" x14ac:dyDescent="0.25">
      <c r="G4942" s="136">
        <v>43531</v>
      </c>
      <c r="H4942" t="s">
        <v>28</v>
      </c>
      <c r="I4942" t="s">
        <v>66</v>
      </c>
      <c r="J4942" t="s">
        <v>131</v>
      </c>
      <c r="K4942" s="138">
        <v>3</v>
      </c>
      <c r="L4942" s="137">
        <v>0</v>
      </c>
    </row>
    <row r="4943" spans="7:12" x14ac:dyDescent="0.25">
      <c r="G4943" s="136">
        <v>43531</v>
      </c>
      <c r="H4943" t="s">
        <v>28</v>
      </c>
      <c r="I4943" t="s">
        <v>66</v>
      </c>
      <c r="J4943" t="s">
        <v>276</v>
      </c>
      <c r="K4943" s="138">
        <v>3.15</v>
      </c>
      <c r="L4943" s="137">
        <v>0</v>
      </c>
    </row>
    <row r="4944" spans="7:12" x14ac:dyDescent="0.25">
      <c r="G4944" s="136">
        <v>43532</v>
      </c>
      <c r="H4944" t="s">
        <v>27</v>
      </c>
      <c r="I4944" t="s">
        <v>63</v>
      </c>
      <c r="J4944" t="s">
        <v>506</v>
      </c>
      <c r="K4944" s="138">
        <v>16</v>
      </c>
      <c r="L4944" s="137">
        <v>0</v>
      </c>
    </row>
    <row r="4945" spans="7:12" x14ac:dyDescent="0.25">
      <c r="G4945" s="136">
        <v>43532</v>
      </c>
      <c r="H4945" t="s">
        <v>184</v>
      </c>
      <c r="I4945" t="s">
        <v>42</v>
      </c>
      <c r="J4945" t="s">
        <v>506</v>
      </c>
      <c r="K4945" s="138">
        <v>24</v>
      </c>
      <c r="L4945" s="137">
        <v>0</v>
      </c>
    </row>
    <row r="4946" spans="7:12" x14ac:dyDescent="0.25">
      <c r="G4946" s="136">
        <v>43532</v>
      </c>
      <c r="H4946" t="s">
        <v>200</v>
      </c>
      <c r="I4946" t="s">
        <v>42</v>
      </c>
      <c r="J4946" t="s">
        <v>506</v>
      </c>
      <c r="K4946" s="138">
        <v>24</v>
      </c>
      <c r="L4946" s="137">
        <v>0</v>
      </c>
    </row>
    <row r="4947" spans="7:12" x14ac:dyDescent="0.25">
      <c r="G4947" s="136">
        <v>43532</v>
      </c>
      <c r="H4947" t="s">
        <v>25</v>
      </c>
      <c r="I4947" t="s">
        <v>63</v>
      </c>
      <c r="J4947" t="s">
        <v>506</v>
      </c>
      <c r="K4947" s="138">
        <v>96</v>
      </c>
      <c r="L4947" s="137">
        <v>0</v>
      </c>
    </row>
    <row r="4948" spans="7:12" x14ac:dyDescent="0.25">
      <c r="G4948" s="136">
        <v>43532</v>
      </c>
      <c r="H4948" t="s">
        <v>25</v>
      </c>
      <c r="I4948" t="s">
        <v>63</v>
      </c>
      <c r="J4948" t="s">
        <v>506</v>
      </c>
      <c r="K4948" s="138">
        <v>24</v>
      </c>
      <c r="L4948" s="137">
        <v>0</v>
      </c>
    </row>
    <row r="4949" spans="7:12" x14ac:dyDescent="0.25">
      <c r="G4949" s="136">
        <v>43532</v>
      </c>
      <c r="H4949" t="s">
        <v>25</v>
      </c>
      <c r="I4949" t="s">
        <v>63</v>
      </c>
      <c r="J4949" t="s">
        <v>506</v>
      </c>
      <c r="K4949" s="138">
        <v>16</v>
      </c>
      <c r="L4949" s="137">
        <v>0</v>
      </c>
    </row>
    <row r="4950" spans="7:12" x14ac:dyDescent="0.25">
      <c r="G4950" s="136">
        <v>43532</v>
      </c>
      <c r="H4950" t="s">
        <v>181</v>
      </c>
      <c r="I4950" t="s">
        <v>42</v>
      </c>
      <c r="J4950" t="s">
        <v>506</v>
      </c>
      <c r="K4950" s="138">
        <v>98.1</v>
      </c>
      <c r="L4950" s="137">
        <v>0</v>
      </c>
    </row>
    <row r="4951" spans="7:12" x14ac:dyDescent="0.25">
      <c r="G4951" s="136">
        <v>43532</v>
      </c>
      <c r="H4951" t="s">
        <v>180</v>
      </c>
      <c r="I4951" t="s">
        <v>42</v>
      </c>
      <c r="J4951" t="s">
        <v>506</v>
      </c>
      <c r="K4951" s="138">
        <v>9.1999999999999993</v>
      </c>
      <c r="L4951" s="137">
        <v>0</v>
      </c>
    </row>
    <row r="4952" spans="7:12" x14ac:dyDescent="0.25">
      <c r="G4952" s="136">
        <v>43532</v>
      </c>
      <c r="H4952" t="s">
        <v>28</v>
      </c>
      <c r="I4952" t="s">
        <v>163</v>
      </c>
      <c r="J4952" t="s">
        <v>506</v>
      </c>
      <c r="K4952" s="138">
        <v>24.7</v>
      </c>
      <c r="L4952" s="137">
        <v>0</v>
      </c>
    </row>
    <row r="4953" spans="7:12" x14ac:dyDescent="0.25">
      <c r="G4953" s="136">
        <v>43532</v>
      </c>
      <c r="H4953" t="s">
        <v>28</v>
      </c>
      <c r="I4953" t="s">
        <v>66</v>
      </c>
      <c r="J4953" t="s">
        <v>142</v>
      </c>
      <c r="K4953" s="138">
        <v>3.5</v>
      </c>
      <c r="L4953" s="137">
        <v>0</v>
      </c>
    </row>
    <row r="4954" spans="7:12" x14ac:dyDescent="0.25">
      <c r="G4954" s="136">
        <v>43532</v>
      </c>
      <c r="H4954" t="s">
        <v>28</v>
      </c>
      <c r="I4954" t="s">
        <v>66</v>
      </c>
      <c r="J4954" t="s">
        <v>143</v>
      </c>
      <c r="K4954" s="138">
        <v>26</v>
      </c>
      <c r="L4954" s="137">
        <v>0</v>
      </c>
    </row>
    <row r="4955" spans="7:12" x14ac:dyDescent="0.25">
      <c r="G4955" s="136">
        <v>43532</v>
      </c>
      <c r="H4955" t="s">
        <v>28</v>
      </c>
      <c r="I4955" t="s">
        <v>66</v>
      </c>
      <c r="J4955" t="s">
        <v>116</v>
      </c>
      <c r="K4955" s="138">
        <v>14.7</v>
      </c>
      <c r="L4955" s="137">
        <v>0</v>
      </c>
    </row>
    <row r="4956" spans="7:12" x14ac:dyDescent="0.25">
      <c r="G4956" s="136">
        <v>43532</v>
      </c>
      <c r="H4956" t="s">
        <v>28</v>
      </c>
      <c r="I4956" t="s">
        <v>42</v>
      </c>
      <c r="J4956" t="s">
        <v>506</v>
      </c>
      <c r="K4956" s="138">
        <v>42</v>
      </c>
      <c r="L4956" s="137">
        <v>0</v>
      </c>
    </row>
    <row r="4957" spans="7:12" x14ac:dyDescent="0.25">
      <c r="G4957" s="136">
        <v>43533</v>
      </c>
      <c r="H4957" t="s">
        <v>27</v>
      </c>
      <c r="I4957" t="s">
        <v>245</v>
      </c>
      <c r="J4957" t="s">
        <v>508</v>
      </c>
      <c r="K4957" s="138">
        <v>61.2</v>
      </c>
      <c r="L4957" s="137">
        <v>0</v>
      </c>
    </row>
    <row r="4958" spans="7:12" x14ac:dyDescent="0.25">
      <c r="G4958" s="136">
        <v>43533</v>
      </c>
      <c r="H4958" t="s">
        <v>27</v>
      </c>
      <c r="I4958" t="s">
        <v>245</v>
      </c>
      <c r="J4958" t="s">
        <v>508</v>
      </c>
      <c r="K4958" s="138">
        <v>49.31</v>
      </c>
      <c r="L4958" s="137">
        <v>0</v>
      </c>
    </row>
    <row r="4959" spans="7:12" x14ac:dyDescent="0.25">
      <c r="G4959" s="136">
        <v>43533</v>
      </c>
      <c r="H4959" t="s">
        <v>27</v>
      </c>
      <c r="I4959" t="s">
        <v>245</v>
      </c>
      <c r="J4959" t="s">
        <v>508</v>
      </c>
      <c r="K4959" s="138">
        <v>48.03</v>
      </c>
      <c r="L4959" s="137">
        <v>0</v>
      </c>
    </row>
    <row r="4960" spans="7:12" x14ac:dyDescent="0.25">
      <c r="G4960" s="136">
        <v>43533</v>
      </c>
      <c r="H4960" t="s">
        <v>27</v>
      </c>
      <c r="I4960" t="s">
        <v>245</v>
      </c>
      <c r="J4960" t="s">
        <v>508</v>
      </c>
      <c r="K4960" s="138">
        <v>38.9</v>
      </c>
      <c r="L4960" s="137">
        <v>0</v>
      </c>
    </row>
    <row r="4961" spans="7:12" x14ac:dyDescent="0.25">
      <c r="G4961" s="136">
        <v>43533</v>
      </c>
      <c r="H4961" t="s">
        <v>27</v>
      </c>
      <c r="I4961" t="s">
        <v>245</v>
      </c>
      <c r="J4961" t="s">
        <v>508</v>
      </c>
      <c r="K4961" s="138">
        <v>28.12</v>
      </c>
      <c r="L4961" s="137">
        <v>0</v>
      </c>
    </row>
    <row r="4962" spans="7:12" x14ac:dyDescent="0.25">
      <c r="G4962" s="136">
        <v>43533</v>
      </c>
      <c r="H4962" t="s">
        <v>27</v>
      </c>
      <c r="I4962" t="s">
        <v>245</v>
      </c>
      <c r="J4962" t="s">
        <v>508</v>
      </c>
      <c r="K4962" s="138">
        <v>26.84</v>
      </c>
      <c r="L4962" s="137">
        <v>0</v>
      </c>
    </row>
    <row r="4963" spans="7:12" x14ac:dyDescent="0.25">
      <c r="G4963" s="136">
        <v>43533</v>
      </c>
      <c r="H4963" t="s">
        <v>27</v>
      </c>
      <c r="I4963" t="s">
        <v>245</v>
      </c>
      <c r="J4963" t="s">
        <v>508</v>
      </c>
      <c r="K4963" s="138">
        <v>20.75</v>
      </c>
      <c r="L4963" s="137">
        <v>0</v>
      </c>
    </row>
    <row r="4964" spans="7:12" x14ac:dyDescent="0.25">
      <c r="G4964" s="136">
        <v>43533</v>
      </c>
      <c r="H4964" t="s">
        <v>27</v>
      </c>
      <c r="I4964" t="s">
        <v>245</v>
      </c>
      <c r="J4964" t="s">
        <v>508</v>
      </c>
      <c r="K4964" s="138">
        <v>17.7</v>
      </c>
      <c r="L4964" s="137">
        <v>0</v>
      </c>
    </row>
    <row r="4965" spans="7:12" x14ac:dyDescent="0.25">
      <c r="G4965" s="136">
        <v>43533</v>
      </c>
      <c r="H4965" t="s">
        <v>27</v>
      </c>
      <c r="I4965" t="s">
        <v>245</v>
      </c>
      <c r="J4965" t="s">
        <v>508</v>
      </c>
      <c r="K4965" s="138">
        <v>15.93</v>
      </c>
      <c r="L4965" s="137">
        <v>0</v>
      </c>
    </row>
    <row r="4966" spans="7:12" x14ac:dyDescent="0.25">
      <c r="G4966" s="136">
        <v>43533</v>
      </c>
      <c r="H4966" t="s">
        <v>27</v>
      </c>
      <c r="I4966" t="s">
        <v>245</v>
      </c>
      <c r="J4966" t="s">
        <v>508</v>
      </c>
      <c r="K4966" s="138">
        <v>14.14</v>
      </c>
      <c r="L4966" s="137">
        <v>0</v>
      </c>
    </row>
    <row r="4967" spans="7:12" x14ac:dyDescent="0.25">
      <c r="G4967" s="136">
        <v>43533</v>
      </c>
      <c r="H4967" t="s">
        <v>27</v>
      </c>
      <c r="I4967" t="s">
        <v>245</v>
      </c>
      <c r="J4967" t="s">
        <v>508</v>
      </c>
      <c r="K4967" s="138">
        <v>12.49</v>
      </c>
      <c r="L4967" s="137">
        <v>0</v>
      </c>
    </row>
    <row r="4968" spans="7:12" x14ac:dyDescent="0.25">
      <c r="G4968" s="136">
        <v>43533</v>
      </c>
      <c r="H4968" t="s">
        <v>27</v>
      </c>
      <c r="I4968" t="s">
        <v>245</v>
      </c>
      <c r="J4968" t="s">
        <v>508</v>
      </c>
      <c r="K4968" s="138">
        <v>12.27</v>
      </c>
      <c r="L4968" s="137">
        <v>0</v>
      </c>
    </row>
    <row r="4969" spans="7:12" x14ac:dyDescent="0.25">
      <c r="G4969" s="136">
        <v>43533</v>
      </c>
      <c r="H4969" t="s">
        <v>214</v>
      </c>
      <c r="I4969" t="s">
        <v>42</v>
      </c>
      <c r="J4969" t="s">
        <v>507</v>
      </c>
      <c r="K4969" s="138">
        <v>150</v>
      </c>
      <c r="L4969" s="137">
        <v>0</v>
      </c>
    </row>
    <row r="4970" spans="7:12" x14ac:dyDescent="0.25">
      <c r="G4970" s="136">
        <v>43533</v>
      </c>
      <c r="H4970" t="s">
        <v>185</v>
      </c>
      <c r="I4970" t="s">
        <v>245</v>
      </c>
      <c r="J4970" t="s">
        <v>508</v>
      </c>
      <c r="K4970" s="138">
        <v>86.5</v>
      </c>
      <c r="L4970" s="137">
        <v>0</v>
      </c>
    </row>
    <row r="4971" spans="7:12" x14ac:dyDescent="0.25">
      <c r="G4971" s="136">
        <v>43533</v>
      </c>
      <c r="H4971" t="s">
        <v>195</v>
      </c>
      <c r="I4971" t="s">
        <v>245</v>
      </c>
      <c r="J4971" t="s">
        <v>508</v>
      </c>
      <c r="K4971" s="138">
        <v>259.77</v>
      </c>
      <c r="L4971" s="137">
        <v>0</v>
      </c>
    </row>
    <row r="4972" spans="7:12" x14ac:dyDescent="0.25">
      <c r="G4972" s="136">
        <v>43533</v>
      </c>
      <c r="H4972" t="s">
        <v>183</v>
      </c>
      <c r="I4972" t="s">
        <v>155</v>
      </c>
      <c r="J4972" t="s">
        <v>507</v>
      </c>
      <c r="K4972" s="138">
        <v>167.84</v>
      </c>
      <c r="L4972" s="137">
        <v>0</v>
      </c>
    </row>
    <row r="4973" spans="7:12" x14ac:dyDescent="0.25">
      <c r="G4973" s="136">
        <v>43533</v>
      </c>
      <c r="H4973" t="s">
        <v>183</v>
      </c>
      <c r="I4973" t="s">
        <v>245</v>
      </c>
      <c r="J4973" t="s">
        <v>508</v>
      </c>
      <c r="K4973" s="138">
        <v>444.29</v>
      </c>
      <c r="L4973" s="137">
        <v>0</v>
      </c>
    </row>
    <row r="4974" spans="7:12" x14ac:dyDescent="0.25">
      <c r="G4974" s="136">
        <v>43533</v>
      </c>
      <c r="H4974" t="s">
        <v>189</v>
      </c>
      <c r="I4974" t="s">
        <v>245</v>
      </c>
      <c r="J4974" t="s">
        <v>508</v>
      </c>
      <c r="K4974" s="138">
        <v>305.36</v>
      </c>
      <c r="L4974" s="137">
        <v>0</v>
      </c>
    </row>
    <row r="4975" spans="7:12" x14ac:dyDescent="0.25">
      <c r="G4975" s="136">
        <v>43533</v>
      </c>
      <c r="H4975" t="s">
        <v>25</v>
      </c>
      <c r="I4975" t="s">
        <v>245</v>
      </c>
      <c r="J4975" t="s">
        <v>508</v>
      </c>
      <c r="K4975" s="138">
        <v>1181.26</v>
      </c>
      <c r="L4975" s="137">
        <v>0</v>
      </c>
    </row>
    <row r="4976" spans="7:12" x14ac:dyDescent="0.25">
      <c r="G4976" s="136">
        <v>43533</v>
      </c>
      <c r="H4976" t="s">
        <v>25</v>
      </c>
      <c r="I4976" t="s">
        <v>245</v>
      </c>
      <c r="J4976" t="s">
        <v>508</v>
      </c>
      <c r="K4976" s="138">
        <v>1090.04</v>
      </c>
      <c r="L4976" s="137">
        <v>0</v>
      </c>
    </row>
    <row r="4977" spans="7:12" x14ac:dyDescent="0.25">
      <c r="G4977" s="136">
        <v>43533</v>
      </c>
      <c r="H4977" t="s">
        <v>25</v>
      </c>
      <c r="I4977" t="s">
        <v>245</v>
      </c>
      <c r="J4977" t="s">
        <v>508</v>
      </c>
      <c r="K4977" s="138">
        <v>976.58</v>
      </c>
      <c r="L4977" s="137">
        <v>0</v>
      </c>
    </row>
    <row r="4978" spans="7:12" x14ac:dyDescent="0.25">
      <c r="G4978" s="136">
        <v>43533</v>
      </c>
      <c r="H4978" t="s">
        <v>25</v>
      </c>
      <c r="I4978" t="s">
        <v>245</v>
      </c>
      <c r="J4978" t="s">
        <v>508</v>
      </c>
      <c r="K4978" s="138">
        <v>827.43</v>
      </c>
      <c r="L4978" s="137">
        <v>0</v>
      </c>
    </row>
    <row r="4979" spans="7:12" x14ac:dyDescent="0.25">
      <c r="G4979" s="136">
        <v>43533</v>
      </c>
      <c r="H4979" t="s">
        <v>25</v>
      </c>
      <c r="I4979" t="s">
        <v>245</v>
      </c>
      <c r="J4979" t="s">
        <v>508</v>
      </c>
      <c r="K4979" s="138">
        <v>708.43</v>
      </c>
      <c r="L4979" s="137">
        <v>0</v>
      </c>
    </row>
    <row r="4980" spans="7:12" x14ac:dyDescent="0.25">
      <c r="G4980" s="136">
        <v>43533</v>
      </c>
      <c r="H4980" t="s">
        <v>25</v>
      </c>
      <c r="I4980" t="s">
        <v>245</v>
      </c>
      <c r="J4980" t="s">
        <v>508</v>
      </c>
      <c r="K4980" s="138">
        <v>480.58</v>
      </c>
      <c r="L4980" s="137">
        <v>0</v>
      </c>
    </row>
    <row r="4981" spans="7:12" x14ac:dyDescent="0.25">
      <c r="G4981" s="136">
        <v>43533</v>
      </c>
      <c r="H4981" t="s">
        <v>25</v>
      </c>
      <c r="I4981" t="s">
        <v>245</v>
      </c>
      <c r="J4981" t="s">
        <v>508</v>
      </c>
      <c r="K4981" s="138">
        <v>474.74</v>
      </c>
      <c r="L4981" s="137">
        <v>0</v>
      </c>
    </row>
    <row r="4982" spans="7:12" x14ac:dyDescent="0.25">
      <c r="G4982" s="136">
        <v>43533</v>
      </c>
      <c r="H4982" t="s">
        <v>25</v>
      </c>
      <c r="I4982" t="s">
        <v>245</v>
      </c>
      <c r="J4982" t="s">
        <v>508</v>
      </c>
      <c r="K4982" s="138">
        <v>371.73</v>
      </c>
      <c r="L4982" s="137">
        <v>0</v>
      </c>
    </row>
    <row r="4983" spans="7:12" x14ac:dyDescent="0.25">
      <c r="G4983" s="136">
        <v>43533</v>
      </c>
      <c r="H4983" t="s">
        <v>25</v>
      </c>
      <c r="I4983" t="s">
        <v>245</v>
      </c>
      <c r="J4983" t="s">
        <v>508</v>
      </c>
      <c r="K4983" s="138">
        <v>297.5</v>
      </c>
      <c r="L4983" s="137">
        <v>0</v>
      </c>
    </row>
    <row r="4984" spans="7:12" x14ac:dyDescent="0.25">
      <c r="G4984" s="136">
        <v>43533</v>
      </c>
      <c r="H4984" t="s">
        <v>25</v>
      </c>
      <c r="I4984" t="s">
        <v>245</v>
      </c>
      <c r="J4984" t="s">
        <v>508</v>
      </c>
      <c r="K4984" s="138">
        <v>277.94</v>
      </c>
      <c r="L4984" s="137">
        <v>0</v>
      </c>
    </row>
    <row r="4985" spans="7:12" x14ac:dyDescent="0.25">
      <c r="G4985" s="136">
        <v>43533</v>
      </c>
      <c r="H4985" t="s">
        <v>25</v>
      </c>
      <c r="I4985" t="s">
        <v>245</v>
      </c>
      <c r="J4985" t="s">
        <v>508</v>
      </c>
      <c r="K4985" s="138">
        <v>261.7</v>
      </c>
      <c r="L4985" s="137">
        <v>0</v>
      </c>
    </row>
    <row r="4986" spans="7:12" x14ac:dyDescent="0.25">
      <c r="G4986" s="136">
        <v>43533</v>
      </c>
      <c r="H4986" t="s">
        <v>25</v>
      </c>
      <c r="I4986" t="s">
        <v>245</v>
      </c>
      <c r="J4986" t="s">
        <v>508</v>
      </c>
      <c r="K4986" s="138">
        <v>258.82</v>
      </c>
      <c r="L4986" s="137">
        <v>0</v>
      </c>
    </row>
    <row r="4987" spans="7:12" x14ac:dyDescent="0.25">
      <c r="G4987" s="136">
        <v>43533</v>
      </c>
      <c r="H4987" t="s">
        <v>25</v>
      </c>
      <c r="I4987" t="s">
        <v>245</v>
      </c>
      <c r="J4987" t="s">
        <v>508</v>
      </c>
      <c r="K4987" s="138">
        <v>256.25</v>
      </c>
      <c r="L4987" s="137">
        <v>0</v>
      </c>
    </row>
    <row r="4988" spans="7:12" x14ac:dyDescent="0.25">
      <c r="G4988" s="136">
        <v>43533</v>
      </c>
      <c r="H4988" t="s">
        <v>25</v>
      </c>
      <c r="I4988" t="s">
        <v>245</v>
      </c>
      <c r="J4988" t="s">
        <v>508</v>
      </c>
      <c r="K4988" s="138">
        <v>247.68</v>
      </c>
      <c r="L4988" s="137">
        <v>0</v>
      </c>
    </row>
    <row r="4989" spans="7:12" x14ac:dyDescent="0.25">
      <c r="G4989" s="136">
        <v>43533</v>
      </c>
      <c r="H4989" t="s">
        <v>25</v>
      </c>
      <c r="I4989" t="s">
        <v>245</v>
      </c>
      <c r="J4989" t="s">
        <v>508</v>
      </c>
      <c r="K4989" s="138">
        <v>199.74</v>
      </c>
      <c r="L4989" s="137">
        <v>0</v>
      </c>
    </row>
    <row r="4990" spans="7:12" x14ac:dyDescent="0.25">
      <c r="G4990" s="136">
        <v>43533</v>
      </c>
      <c r="H4990" t="s">
        <v>25</v>
      </c>
      <c r="I4990" t="s">
        <v>245</v>
      </c>
      <c r="J4990" t="s">
        <v>508</v>
      </c>
      <c r="K4990" s="138">
        <v>181.12</v>
      </c>
      <c r="L4990" s="137">
        <v>0</v>
      </c>
    </row>
    <row r="4991" spans="7:12" x14ac:dyDescent="0.25">
      <c r="G4991" s="136">
        <v>43533</v>
      </c>
      <c r="H4991" t="s">
        <v>25</v>
      </c>
      <c r="I4991" t="s">
        <v>245</v>
      </c>
      <c r="J4991" t="s">
        <v>508</v>
      </c>
      <c r="K4991" s="138">
        <v>132.91</v>
      </c>
      <c r="L4991" s="137">
        <v>0</v>
      </c>
    </row>
    <row r="4992" spans="7:12" x14ac:dyDescent="0.25">
      <c r="G4992" s="136">
        <v>43533</v>
      </c>
      <c r="H4992" t="s">
        <v>25</v>
      </c>
      <c r="I4992" t="s">
        <v>245</v>
      </c>
      <c r="J4992" t="s">
        <v>508</v>
      </c>
      <c r="K4992" s="138">
        <v>131.81</v>
      </c>
      <c r="L4992" s="137">
        <v>0</v>
      </c>
    </row>
    <row r="4993" spans="7:12" x14ac:dyDescent="0.25">
      <c r="G4993" s="136">
        <v>43533</v>
      </c>
      <c r="H4993" t="s">
        <v>25</v>
      </c>
      <c r="I4993" t="s">
        <v>245</v>
      </c>
      <c r="J4993" t="s">
        <v>508</v>
      </c>
      <c r="K4993" s="138">
        <v>105.88</v>
      </c>
      <c r="L4993" s="137">
        <v>0</v>
      </c>
    </row>
    <row r="4994" spans="7:12" x14ac:dyDescent="0.25">
      <c r="G4994" s="136">
        <v>43533</v>
      </c>
      <c r="H4994" t="s">
        <v>25</v>
      </c>
      <c r="I4994" t="s">
        <v>245</v>
      </c>
      <c r="J4994" t="s">
        <v>508</v>
      </c>
      <c r="K4994" s="138">
        <v>98.19</v>
      </c>
      <c r="L4994" s="137">
        <v>0</v>
      </c>
    </row>
    <row r="4995" spans="7:12" x14ac:dyDescent="0.25">
      <c r="G4995" s="136">
        <v>43533</v>
      </c>
      <c r="H4995" t="s">
        <v>25</v>
      </c>
      <c r="I4995" t="s">
        <v>245</v>
      </c>
      <c r="J4995" t="s">
        <v>508</v>
      </c>
      <c r="K4995" s="138">
        <v>59.91</v>
      </c>
      <c r="L4995" s="137">
        <v>0</v>
      </c>
    </row>
    <row r="4996" spans="7:12" x14ac:dyDescent="0.25">
      <c r="G4996" s="136">
        <v>43533</v>
      </c>
      <c r="H4996" t="s">
        <v>25</v>
      </c>
      <c r="I4996" t="s">
        <v>245</v>
      </c>
      <c r="J4996" t="s">
        <v>508</v>
      </c>
      <c r="K4996" s="138">
        <v>29.99</v>
      </c>
      <c r="L4996" s="137">
        <v>0</v>
      </c>
    </row>
    <row r="4997" spans="7:12" x14ac:dyDescent="0.25">
      <c r="G4997" s="136">
        <v>43533</v>
      </c>
      <c r="H4997" t="s">
        <v>25</v>
      </c>
      <c r="I4997" t="s">
        <v>245</v>
      </c>
      <c r="J4997" t="s">
        <v>508</v>
      </c>
      <c r="K4997" s="138">
        <v>24.81</v>
      </c>
      <c r="L4997" s="137">
        <v>0</v>
      </c>
    </row>
    <row r="4998" spans="7:12" x14ac:dyDescent="0.25">
      <c r="G4998" s="136">
        <v>43533</v>
      </c>
      <c r="H4998" t="s">
        <v>25</v>
      </c>
      <c r="I4998" t="s">
        <v>245</v>
      </c>
      <c r="J4998" t="s">
        <v>508</v>
      </c>
      <c r="K4998" s="138">
        <v>9.5</v>
      </c>
      <c r="L4998" s="137">
        <v>0</v>
      </c>
    </row>
    <row r="4999" spans="7:12" x14ac:dyDescent="0.25">
      <c r="G4999" s="136">
        <v>43533</v>
      </c>
      <c r="H4999" t="s">
        <v>25</v>
      </c>
      <c r="I4999" t="s">
        <v>245</v>
      </c>
      <c r="J4999" t="s">
        <v>508</v>
      </c>
      <c r="K4999" s="138">
        <v>6.56</v>
      </c>
      <c r="L4999" s="137">
        <v>0</v>
      </c>
    </row>
    <row r="5000" spans="7:12" x14ac:dyDescent="0.25">
      <c r="G5000" s="136">
        <v>43533</v>
      </c>
      <c r="H5000" t="s">
        <v>211</v>
      </c>
      <c r="I5000" t="s">
        <v>176</v>
      </c>
      <c r="J5000" t="s">
        <v>507</v>
      </c>
      <c r="K5000" s="138">
        <v>796.5</v>
      </c>
      <c r="L5000" s="137">
        <v>0</v>
      </c>
    </row>
    <row r="5001" spans="7:12" x14ac:dyDescent="0.25">
      <c r="G5001" s="136">
        <v>43533</v>
      </c>
      <c r="H5001" t="s">
        <v>179</v>
      </c>
      <c r="I5001" t="s">
        <v>245</v>
      </c>
      <c r="J5001" t="s">
        <v>508</v>
      </c>
      <c r="K5001" s="138">
        <v>1232.6199999999999</v>
      </c>
      <c r="L5001" s="137">
        <v>0</v>
      </c>
    </row>
    <row r="5002" spans="7:12" x14ac:dyDescent="0.25">
      <c r="G5002" s="136">
        <v>43533</v>
      </c>
      <c r="H5002" t="s">
        <v>28</v>
      </c>
      <c r="I5002" t="s">
        <v>112</v>
      </c>
      <c r="J5002" t="s">
        <v>507</v>
      </c>
      <c r="K5002" s="138">
        <v>40.75</v>
      </c>
      <c r="L5002" s="137">
        <v>0</v>
      </c>
    </row>
    <row r="5003" spans="7:12" x14ac:dyDescent="0.25">
      <c r="G5003" s="136">
        <v>43533</v>
      </c>
      <c r="H5003" t="s">
        <v>28</v>
      </c>
      <c r="I5003" t="s">
        <v>112</v>
      </c>
      <c r="J5003" t="s">
        <v>507</v>
      </c>
      <c r="K5003" s="138">
        <v>23.99</v>
      </c>
      <c r="L5003" s="137">
        <v>0</v>
      </c>
    </row>
    <row r="5004" spans="7:12" x14ac:dyDescent="0.25">
      <c r="G5004" s="136">
        <v>43533</v>
      </c>
      <c r="H5004" t="s">
        <v>28</v>
      </c>
      <c r="I5004" t="s">
        <v>155</v>
      </c>
      <c r="J5004" t="s">
        <v>507</v>
      </c>
      <c r="K5004" s="138">
        <v>36.590000000000003</v>
      </c>
      <c r="L5004" s="137">
        <v>0</v>
      </c>
    </row>
    <row r="5005" spans="7:12" x14ac:dyDescent="0.25">
      <c r="G5005" s="136">
        <v>43533</v>
      </c>
      <c r="H5005" t="s">
        <v>28</v>
      </c>
      <c r="I5005" t="s">
        <v>155</v>
      </c>
      <c r="J5005" t="s">
        <v>507</v>
      </c>
      <c r="K5005" s="138">
        <v>32.049999999999997</v>
      </c>
      <c r="L5005" s="137">
        <v>0</v>
      </c>
    </row>
    <row r="5006" spans="7:12" x14ac:dyDescent="0.25">
      <c r="G5006" s="136">
        <v>43533</v>
      </c>
      <c r="H5006" t="s">
        <v>28</v>
      </c>
      <c r="I5006" t="s">
        <v>155</v>
      </c>
      <c r="J5006" t="s">
        <v>507</v>
      </c>
      <c r="K5006" s="138">
        <v>21.2</v>
      </c>
      <c r="L5006" s="137">
        <v>0</v>
      </c>
    </row>
    <row r="5007" spans="7:12" x14ac:dyDescent="0.25">
      <c r="G5007" s="136">
        <v>43533</v>
      </c>
      <c r="H5007" t="s">
        <v>28</v>
      </c>
      <c r="I5007" t="s">
        <v>66</v>
      </c>
      <c r="J5007" t="s">
        <v>101</v>
      </c>
      <c r="K5007" s="138">
        <v>2.4</v>
      </c>
      <c r="L5007" s="137">
        <v>0</v>
      </c>
    </row>
    <row r="5008" spans="7:12" x14ac:dyDescent="0.25">
      <c r="G5008" s="136">
        <v>43533</v>
      </c>
      <c r="H5008" t="s">
        <v>28</v>
      </c>
      <c r="I5008" t="s">
        <v>66</v>
      </c>
      <c r="J5008" t="s">
        <v>139</v>
      </c>
      <c r="K5008" s="138">
        <v>18</v>
      </c>
      <c r="L5008" s="137">
        <v>0</v>
      </c>
    </row>
    <row r="5009" spans="7:12" x14ac:dyDescent="0.25">
      <c r="G5009" s="136">
        <v>43533</v>
      </c>
      <c r="H5009" t="s">
        <v>28</v>
      </c>
      <c r="I5009" t="s">
        <v>245</v>
      </c>
      <c r="J5009" t="s">
        <v>508</v>
      </c>
      <c r="K5009" s="138">
        <v>127.17</v>
      </c>
      <c r="L5009" s="137">
        <v>0</v>
      </c>
    </row>
    <row r="5010" spans="7:12" x14ac:dyDescent="0.25">
      <c r="G5010" s="136">
        <v>43533</v>
      </c>
      <c r="H5010" t="s">
        <v>28</v>
      </c>
      <c r="I5010" t="s">
        <v>245</v>
      </c>
      <c r="J5010" t="s">
        <v>508</v>
      </c>
      <c r="K5010" s="138">
        <v>88.26</v>
      </c>
      <c r="L5010" s="137">
        <v>0</v>
      </c>
    </row>
    <row r="5011" spans="7:12" x14ac:dyDescent="0.25">
      <c r="G5011" s="136">
        <v>43533</v>
      </c>
      <c r="H5011" t="s">
        <v>28</v>
      </c>
      <c r="I5011" t="s">
        <v>245</v>
      </c>
      <c r="J5011" t="s">
        <v>508</v>
      </c>
      <c r="K5011" s="138">
        <v>42.17</v>
      </c>
      <c r="L5011" s="137">
        <v>0</v>
      </c>
    </row>
    <row r="5012" spans="7:12" x14ac:dyDescent="0.25">
      <c r="G5012" s="136">
        <v>43533</v>
      </c>
      <c r="H5012" t="s">
        <v>28</v>
      </c>
      <c r="I5012" t="s">
        <v>245</v>
      </c>
      <c r="J5012" t="s">
        <v>508</v>
      </c>
      <c r="K5012" s="138">
        <v>41.44</v>
      </c>
      <c r="L5012" s="137">
        <v>0</v>
      </c>
    </row>
    <row r="5013" spans="7:12" x14ac:dyDescent="0.25">
      <c r="G5013" s="136">
        <v>43533</v>
      </c>
      <c r="H5013" t="s">
        <v>28</v>
      </c>
      <c r="I5013" t="s">
        <v>245</v>
      </c>
      <c r="J5013" t="s">
        <v>508</v>
      </c>
      <c r="K5013" s="138">
        <v>37.57</v>
      </c>
      <c r="L5013" s="137">
        <v>0</v>
      </c>
    </row>
    <row r="5014" spans="7:12" x14ac:dyDescent="0.25">
      <c r="G5014" s="136">
        <v>43533</v>
      </c>
      <c r="H5014" t="s">
        <v>28</v>
      </c>
      <c r="I5014" t="s">
        <v>245</v>
      </c>
      <c r="J5014" t="s">
        <v>508</v>
      </c>
      <c r="K5014" s="138">
        <v>32.450000000000003</v>
      </c>
      <c r="L5014" s="137">
        <v>0</v>
      </c>
    </row>
    <row r="5015" spans="7:12" x14ac:dyDescent="0.25">
      <c r="G5015" s="136">
        <v>43533</v>
      </c>
      <c r="H5015" t="s">
        <v>28</v>
      </c>
      <c r="I5015" t="s">
        <v>245</v>
      </c>
      <c r="J5015" t="s">
        <v>508</v>
      </c>
      <c r="K5015" s="138">
        <v>21.27</v>
      </c>
      <c r="L5015" s="137">
        <v>0</v>
      </c>
    </row>
    <row r="5016" spans="7:12" x14ac:dyDescent="0.25">
      <c r="G5016" s="136">
        <v>43535</v>
      </c>
      <c r="H5016" t="s">
        <v>27</v>
      </c>
      <c r="I5016" t="s">
        <v>63</v>
      </c>
      <c r="J5016" t="s">
        <v>509</v>
      </c>
      <c r="K5016" s="138">
        <v>8</v>
      </c>
      <c r="L5016" s="137">
        <v>0</v>
      </c>
    </row>
    <row r="5017" spans="7:12" x14ac:dyDescent="0.25">
      <c r="G5017" s="136">
        <v>43535</v>
      </c>
      <c r="H5017" t="s">
        <v>27</v>
      </c>
      <c r="I5017" t="s">
        <v>42</v>
      </c>
      <c r="J5017" t="s">
        <v>509</v>
      </c>
      <c r="K5017" s="138">
        <v>6.3</v>
      </c>
      <c r="L5017" s="137">
        <v>0</v>
      </c>
    </row>
    <row r="5018" spans="7:12" x14ac:dyDescent="0.25">
      <c r="G5018" s="136">
        <v>43535</v>
      </c>
      <c r="H5018" t="s">
        <v>183</v>
      </c>
      <c r="I5018" t="s">
        <v>42</v>
      </c>
      <c r="J5018" t="s">
        <v>509</v>
      </c>
      <c r="K5018" s="138">
        <v>5.22</v>
      </c>
      <c r="L5018" s="137">
        <v>0</v>
      </c>
    </row>
    <row r="5019" spans="7:12" x14ac:dyDescent="0.25">
      <c r="G5019" s="136">
        <v>43535</v>
      </c>
      <c r="H5019" t="s">
        <v>189</v>
      </c>
      <c r="I5019" t="s">
        <v>42</v>
      </c>
      <c r="J5019" t="s">
        <v>509</v>
      </c>
      <c r="K5019" s="138">
        <v>8</v>
      </c>
      <c r="L5019" s="137">
        <v>0</v>
      </c>
    </row>
    <row r="5020" spans="7:12" x14ac:dyDescent="0.25">
      <c r="G5020" s="136">
        <v>43535</v>
      </c>
      <c r="H5020" t="s">
        <v>25</v>
      </c>
      <c r="I5020" t="s">
        <v>63</v>
      </c>
      <c r="J5020" t="s">
        <v>509</v>
      </c>
      <c r="K5020" s="138">
        <v>80</v>
      </c>
      <c r="L5020" s="137">
        <v>0</v>
      </c>
    </row>
    <row r="5021" spans="7:12" x14ac:dyDescent="0.25">
      <c r="G5021" s="136">
        <v>43535</v>
      </c>
      <c r="H5021" t="s">
        <v>25</v>
      </c>
      <c r="I5021" t="s">
        <v>63</v>
      </c>
      <c r="J5021" t="s">
        <v>509</v>
      </c>
      <c r="K5021" s="138">
        <v>56</v>
      </c>
      <c r="L5021" s="137">
        <v>0</v>
      </c>
    </row>
    <row r="5022" spans="7:12" x14ac:dyDescent="0.25">
      <c r="G5022" s="136">
        <v>43535</v>
      </c>
      <c r="H5022" t="s">
        <v>25</v>
      </c>
      <c r="I5022" t="s">
        <v>63</v>
      </c>
      <c r="J5022" t="s">
        <v>509</v>
      </c>
      <c r="K5022" s="138">
        <v>40</v>
      </c>
      <c r="L5022" s="137">
        <v>0</v>
      </c>
    </row>
    <row r="5023" spans="7:12" x14ac:dyDescent="0.25">
      <c r="G5023" s="136">
        <v>43535</v>
      </c>
      <c r="H5023" t="s">
        <v>25</v>
      </c>
      <c r="I5023" t="s">
        <v>63</v>
      </c>
      <c r="J5023" t="s">
        <v>509</v>
      </c>
      <c r="K5023" s="138">
        <v>24</v>
      </c>
      <c r="L5023" s="137">
        <v>0</v>
      </c>
    </row>
    <row r="5024" spans="7:12" x14ac:dyDescent="0.25">
      <c r="G5024" s="136">
        <v>43535</v>
      </c>
      <c r="H5024" t="s">
        <v>25</v>
      </c>
      <c r="I5024" t="s">
        <v>63</v>
      </c>
      <c r="J5024" t="s">
        <v>509</v>
      </c>
      <c r="K5024" s="138">
        <v>16</v>
      </c>
      <c r="L5024" s="137">
        <v>0</v>
      </c>
    </row>
    <row r="5025" spans="7:12" x14ac:dyDescent="0.25">
      <c r="G5025" s="136">
        <v>43535</v>
      </c>
      <c r="H5025" t="s">
        <v>25</v>
      </c>
      <c r="I5025" t="s">
        <v>63</v>
      </c>
      <c r="J5025" t="s">
        <v>509</v>
      </c>
      <c r="K5025" s="138">
        <v>8</v>
      </c>
      <c r="L5025" s="137">
        <v>0</v>
      </c>
    </row>
    <row r="5026" spans="7:12" x14ac:dyDescent="0.25">
      <c r="G5026" s="136">
        <v>43535</v>
      </c>
      <c r="H5026" t="s">
        <v>25</v>
      </c>
      <c r="I5026" t="s">
        <v>42</v>
      </c>
      <c r="J5026" t="s">
        <v>509</v>
      </c>
      <c r="K5026" s="138">
        <v>139.19999999999999</v>
      </c>
      <c r="L5026" s="137">
        <v>0</v>
      </c>
    </row>
    <row r="5027" spans="7:12" x14ac:dyDescent="0.25">
      <c r="G5027" s="136">
        <v>43535</v>
      </c>
      <c r="H5027" t="s">
        <v>211</v>
      </c>
      <c r="I5027" t="s">
        <v>175</v>
      </c>
      <c r="J5027" t="s">
        <v>509</v>
      </c>
      <c r="K5027" s="138">
        <v>127.57</v>
      </c>
      <c r="L5027" s="137">
        <v>0</v>
      </c>
    </row>
    <row r="5028" spans="7:12" x14ac:dyDescent="0.25">
      <c r="G5028" s="136">
        <v>43535</v>
      </c>
      <c r="H5028" t="s">
        <v>187</v>
      </c>
      <c r="I5028" t="s">
        <v>42</v>
      </c>
      <c r="J5028" t="s">
        <v>509</v>
      </c>
      <c r="K5028" s="138">
        <v>93.11</v>
      </c>
      <c r="L5028" s="137">
        <v>0</v>
      </c>
    </row>
    <row r="5029" spans="7:12" x14ac:dyDescent="0.25">
      <c r="G5029" s="136">
        <v>43535</v>
      </c>
      <c r="H5029" t="s">
        <v>180</v>
      </c>
      <c r="I5029" t="s">
        <v>42</v>
      </c>
      <c r="J5029" t="s">
        <v>509</v>
      </c>
      <c r="K5029" s="138">
        <v>22.3</v>
      </c>
      <c r="L5029" s="137">
        <v>0</v>
      </c>
    </row>
    <row r="5030" spans="7:12" x14ac:dyDescent="0.25">
      <c r="G5030" s="136">
        <v>43535</v>
      </c>
      <c r="H5030" t="s">
        <v>28</v>
      </c>
      <c r="I5030" t="s">
        <v>112</v>
      </c>
      <c r="J5030" t="s">
        <v>509</v>
      </c>
      <c r="K5030" s="138">
        <v>0</v>
      </c>
      <c r="L5030" s="137">
        <v>136</v>
      </c>
    </row>
    <row r="5031" spans="7:12" x14ac:dyDescent="0.25">
      <c r="G5031" s="136">
        <v>43535</v>
      </c>
      <c r="H5031" t="s">
        <v>28</v>
      </c>
      <c r="I5031" t="s">
        <v>66</v>
      </c>
      <c r="J5031" t="s">
        <v>134</v>
      </c>
      <c r="K5031" s="138">
        <v>2.25</v>
      </c>
      <c r="L5031" s="137">
        <v>0</v>
      </c>
    </row>
    <row r="5032" spans="7:12" x14ac:dyDescent="0.25">
      <c r="G5032" s="136">
        <v>43535</v>
      </c>
      <c r="H5032" t="s">
        <v>28</v>
      </c>
      <c r="I5032" t="s">
        <v>66</v>
      </c>
      <c r="J5032" t="s">
        <v>101</v>
      </c>
      <c r="K5032" s="138">
        <v>1.8</v>
      </c>
      <c r="L5032" s="137">
        <v>0</v>
      </c>
    </row>
    <row r="5033" spans="7:12" x14ac:dyDescent="0.25">
      <c r="G5033" s="136">
        <v>43535</v>
      </c>
      <c r="H5033" t="s">
        <v>28</v>
      </c>
      <c r="I5033" t="s">
        <v>66</v>
      </c>
      <c r="J5033" t="s">
        <v>139</v>
      </c>
      <c r="K5033" s="138">
        <v>18</v>
      </c>
      <c r="L5033" s="137">
        <v>0</v>
      </c>
    </row>
    <row r="5034" spans="7:12" x14ac:dyDescent="0.25">
      <c r="G5034" s="136">
        <v>43535</v>
      </c>
      <c r="H5034" t="s">
        <v>28</v>
      </c>
      <c r="I5034" t="s">
        <v>66</v>
      </c>
      <c r="J5034" t="s">
        <v>378</v>
      </c>
      <c r="K5034" s="138">
        <v>4.2</v>
      </c>
      <c r="L5034" s="137">
        <v>0</v>
      </c>
    </row>
    <row r="5035" spans="7:12" x14ac:dyDescent="0.25">
      <c r="G5035" s="136">
        <v>43536</v>
      </c>
      <c r="H5035" t="s">
        <v>27</v>
      </c>
      <c r="I5035" t="s">
        <v>63</v>
      </c>
      <c r="J5035" t="s">
        <v>510</v>
      </c>
      <c r="K5035" s="138">
        <v>8</v>
      </c>
      <c r="L5035" s="137">
        <v>0</v>
      </c>
    </row>
    <row r="5036" spans="7:12" x14ac:dyDescent="0.25">
      <c r="G5036" s="136">
        <v>43536</v>
      </c>
      <c r="H5036" t="s">
        <v>184</v>
      </c>
      <c r="I5036" t="s">
        <v>63</v>
      </c>
      <c r="J5036" t="s">
        <v>510</v>
      </c>
      <c r="K5036" s="138">
        <v>10</v>
      </c>
      <c r="L5036" s="137">
        <v>0</v>
      </c>
    </row>
    <row r="5037" spans="7:12" x14ac:dyDescent="0.25">
      <c r="G5037" s="136">
        <v>43536</v>
      </c>
      <c r="H5037" t="s">
        <v>183</v>
      </c>
      <c r="I5037" t="s">
        <v>163</v>
      </c>
      <c r="J5037" t="s">
        <v>510</v>
      </c>
      <c r="K5037" s="138">
        <v>12.95</v>
      </c>
      <c r="L5037" s="137">
        <v>0</v>
      </c>
    </row>
    <row r="5038" spans="7:12" x14ac:dyDescent="0.25">
      <c r="G5038" s="136">
        <v>43536</v>
      </c>
      <c r="H5038" t="s">
        <v>189</v>
      </c>
      <c r="I5038" t="s">
        <v>246</v>
      </c>
      <c r="J5038" t="s">
        <v>511</v>
      </c>
      <c r="K5038" s="138">
        <v>158.78</v>
      </c>
      <c r="L5038" s="137">
        <v>0</v>
      </c>
    </row>
    <row r="5039" spans="7:12" x14ac:dyDescent="0.25">
      <c r="G5039" s="136">
        <v>43536</v>
      </c>
      <c r="H5039" t="s">
        <v>191</v>
      </c>
      <c r="I5039" t="s">
        <v>42</v>
      </c>
      <c r="J5039" t="s">
        <v>510</v>
      </c>
      <c r="K5039" s="138">
        <v>436</v>
      </c>
      <c r="L5039" s="137">
        <v>0</v>
      </c>
    </row>
    <row r="5040" spans="7:12" x14ac:dyDescent="0.25">
      <c r="G5040" s="136">
        <v>43536</v>
      </c>
      <c r="H5040" t="s">
        <v>188</v>
      </c>
      <c r="I5040" t="s">
        <v>63</v>
      </c>
      <c r="J5040" t="s">
        <v>510</v>
      </c>
      <c r="K5040" s="138">
        <v>40</v>
      </c>
      <c r="L5040" s="137">
        <v>0</v>
      </c>
    </row>
    <row r="5041" spans="7:12" x14ac:dyDescent="0.25">
      <c r="G5041" s="136">
        <v>43536</v>
      </c>
      <c r="H5041" t="s">
        <v>25</v>
      </c>
      <c r="I5041" t="s">
        <v>63</v>
      </c>
      <c r="J5041" t="s">
        <v>510</v>
      </c>
      <c r="K5041" s="138">
        <v>56</v>
      </c>
      <c r="L5041" s="137">
        <v>0</v>
      </c>
    </row>
    <row r="5042" spans="7:12" x14ac:dyDescent="0.25">
      <c r="G5042" s="136">
        <v>43536</v>
      </c>
      <c r="H5042" t="s">
        <v>25</v>
      </c>
      <c r="I5042" t="s">
        <v>63</v>
      </c>
      <c r="J5042" t="s">
        <v>510</v>
      </c>
      <c r="K5042" s="138">
        <v>32</v>
      </c>
      <c r="L5042" s="137">
        <v>0</v>
      </c>
    </row>
    <row r="5043" spans="7:12" x14ac:dyDescent="0.25">
      <c r="G5043" s="136">
        <v>43536</v>
      </c>
      <c r="H5043" t="s">
        <v>25</v>
      </c>
      <c r="I5043" t="s">
        <v>63</v>
      </c>
      <c r="J5043" t="s">
        <v>510</v>
      </c>
      <c r="K5043" s="138">
        <v>24</v>
      </c>
      <c r="L5043" s="137">
        <v>0</v>
      </c>
    </row>
    <row r="5044" spans="7:12" x14ac:dyDescent="0.25">
      <c r="G5044" s="136">
        <v>43536</v>
      </c>
      <c r="H5044" t="s">
        <v>25</v>
      </c>
      <c r="I5044" t="s">
        <v>63</v>
      </c>
      <c r="J5044" t="s">
        <v>510</v>
      </c>
      <c r="K5044" s="138">
        <v>16</v>
      </c>
      <c r="L5044" s="137">
        <v>0</v>
      </c>
    </row>
    <row r="5045" spans="7:12" x14ac:dyDescent="0.25">
      <c r="G5045" s="136">
        <v>43536</v>
      </c>
      <c r="H5045" t="s">
        <v>25</v>
      </c>
      <c r="I5045" t="s">
        <v>63</v>
      </c>
      <c r="J5045" t="s">
        <v>510</v>
      </c>
      <c r="K5045" s="138">
        <v>8</v>
      </c>
      <c r="L5045" s="137">
        <v>0</v>
      </c>
    </row>
    <row r="5046" spans="7:12" x14ac:dyDescent="0.25">
      <c r="G5046" s="136">
        <v>43536</v>
      </c>
      <c r="H5046" t="s">
        <v>211</v>
      </c>
      <c r="I5046" t="s">
        <v>42</v>
      </c>
      <c r="J5046" t="s">
        <v>510</v>
      </c>
      <c r="K5046" s="138">
        <v>382.02</v>
      </c>
      <c r="L5046" s="137">
        <v>0</v>
      </c>
    </row>
    <row r="5047" spans="7:12" x14ac:dyDescent="0.25">
      <c r="G5047" s="136">
        <v>43536</v>
      </c>
      <c r="H5047" t="s">
        <v>197</v>
      </c>
      <c r="I5047" t="s">
        <v>176</v>
      </c>
      <c r="J5047" t="s">
        <v>510</v>
      </c>
      <c r="K5047" s="138">
        <v>631.71</v>
      </c>
      <c r="L5047" s="137">
        <v>0</v>
      </c>
    </row>
    <row r="5048" spans="7:12" x14ac:dyDescent="0.25">
      <c r="G5048" s="136">
        <v>43536</v>
      </c>
      <c r="H5048" t="s">
        <v>187</v>
      </c>
      <c r="I5048" t="s">
        <v>42</v>
      </c>
      <c r="J5048" t="s">
        <v>510</v>
      </c>
      <c r="K5048" s="138">
        <v>32</v>
      </c>
      <c r="L5048" s="137">
        <v>0</v>
      </c>
    </row>
    <row r="5049" spans="7:12" x14ac:dyDescent="0.25">
      <c r="G5049" s="136">
        <v>43536</v>
      </c>
      <c r="H5049" t="s">
        <v>196</v>
      </c>
      <c r="I5049" t="s">
        <v>63</v>
      </c>
      <c r="J5049" t="s">
        <v>510</v>
      </c>
      <c r="K5049" s="138">
        <v>121.95</v>
      </c>
      <c r="L5049" s="137">
        <v>0</v>
      </c>
    </row>
    <row r="5050" spans="7:12" x14ac:dyDescent="0.25">
      <c r="G5050" s="136">
        <v>43536</v>
      </c>
      <c r="H5050" t="s">
        <v>179</v>
      </c>
      <c r="I5050" t="s">
        <v>63</v>
      </c>
      <c r="J5050" t="s">
        <v>510</v>
      </c>
      <c r="K5050" s="138">
        <v>41.16</v>
      </c>
      <c r="L5050" s="137">
        <v>0</v>
      </c>
    </row>
    <row r="5051" spans="7:12" x14ac:dyDescent="0.25">
      <c r="G5051" s="136">
        <v>43536</v>
      </c>
      <c r="H5051" t="s">
        <v>179</v>
      </c>
      <c r="I5051" t="s">
        <v>163</v>
      </c>
      <c r="J5051" t="s">
        <v>510</v>
      </c>
      <c r="K5051" s="138">
        <v>41.97</v>
      </c>
      <c r="L5051" s="137">
        <v>0</v>
      </c>
    </row>
    <row r="5052" spans="7:12" x14ac:dyDescent="0.25">
      <c r="G5052" s="136">
        <v>43536</v>
      </c>
      <c r="H5052" t="s">
        <v>179</v>
      </c>
      <c r="I5052" t="s">
        <v>112</v>
      </c>
      <c r="J5052" t="s">
        <v>510</v>
      </c>
      <c r="K5052" s="138">
        <v>158.16999999999999</v>
      </c>
      <c r="L5052" s="137">
        <v>0</v>
      </c>
    </row>
    <row r="5053" spans="7:12" x14ac:dyDescent="0.25">
      <c r="G5053" s="136">
        <v>43536</v>
      </c>
      <c r="H5053" t="s">
        <v>28</v>
      </c>
      <c r="I5053" t="s">
        <v>63</v>
      </c>
      <c r="J5053" t="s">
        <v>510</v>
      </c>
      <c r="K5053" s="138">
        <v>8</v>
      </c>
      <c r="L5053" s="137">
        <v>0</v>
      </c>
    </row>
    <row r="5054" spans="7:12" x14ac:dyDescent="0.25">
      <c r="G5054" s="136">
        <v>43536</v>
      </c>
      <c r="H5054" t="s">
        <v>28</v>
      </c>
      <c r="I5054" t="s">
        <v>112</v>
      </c>
      <c r="J5054" t="s">
        <v>510</v>
      </c>
      <c r="K5054" s="138">
        <v>272</v>
      </c>
      <c r="L5054" s="137">
        <v>0</v>
      </c>
    </row>
    <row r="5055" spans="7:12" x14ac:dyDescent="0.25">
      <c r="G5055" s="136">
        <v>43536</v>
      </c>
      <c r="H5055" t="s">
        <v>28</v>
      </c>
      <c r="I5055" t="s">
        <v>112</v>
      </c>
      <c r="J5055" t="s">
        <v>510</v>
      </c>
      <c r="K5055" s="138">
        <v>156.4</v>
      </c>
      <c r="L5055" s="137">
        <v>0</v>
      </c>
    </row>
    <row r="5056" spans="7:12" x14ac:dyDescent="0.25">
      <c r="G5056" s="136">
        <v>43536</v>
      </c>
      <c r="H5056" t="s">
        <v>28</v>
      </c>
      <c r="I5056" t="s">
        <v>112</v>
      </c>
      <c r="J5056" t="s">
        <v>510</v>
      </c>
      <c r="K5056" s="138">
        <v>47.25</v>
      </c>
      <c r="L5056" s="137">
        <v>0</v>
      </c>
    </row>
    <row r="5057" spans="7:12" x14ac:dyDescent="0.25">
      <c r="G5057" s="136">
        <v>43536</v>
      </c>
      <c r="H5057" t="s">
        <v>28</v>
      </c>
      <c r="I5057" t="s">
        <v>112</v>
      </c>
      <c r="J5057" t="s">
        <v>510</v>
      </c>
      <c r="K5057" s="138">
        <v>37.979999999999997</v>
      </c>
      <c r="L5057" s="137">
        <v>0</v>
      </c>
    </row>
    <row r="5058" spans="7:12" x14ac:dyDescent="0.25">
      <c r="G5058" s="136">
        <v>43536</v>
      </c>
      <c r="H5058" t="s">
        <v>28</v>
      </c>
      <c r="I5058" t="s">
        <v>112</v>
      </c>
      <c r="J5058" t="s">
        <v>510</v>
      </c>
      <c r="K5058" s="138">
        <v>15.91</v>
      </c>
      <c r="L5058" s="137">
        <v>0</v>
      </c>
    </row>
    <row r="5059" spans="7:12" x14ac:dyDescent="0.25">
      <c r="G5059" s="136">
        <v>43536</v>
      </c>
      <c r="H5059" t="s">
        <v>28</v>
      </c>
      <c r="I5059" t="s">
        <v>155</v>
      </c>
      <c r="J5059" t="s">
        <v>510</v>
      </c>
      <c r="K5059" s="138">
        <v>112.85</v>
      </c>
      <c r="L5059" s="137">
        <v>0</v>
      </c>
    </row>
    <row r="5060" spans="7:12" x14ac:dyDescent="0.25">
      <c r="G5060" s="136">
        <v>43536</v>
      </c>
      <c r="H5060" t="s">
        <v>28</v>
      </c>
      <c r="I5060" t="s">
        <v>155</v>
      </c>
      <c r="J5060" t="s">
        <v>510</v>
      </c>
      <c r="K5060" s="138">
        <v>50.45</v>
      </c>
      <c r="L5060" s="137">
        <v>0</v>
      </c>
    </row>
    <row r="5061" spans="7:12" x14ac:dyDescent="0.25">
      <c r="G5061" s="136">
        <v>43536</v>
      </c>
      <c r="H5061" t="s">
        <v>28</v>
      </c>
      <c r="I5061" t="s">
        <v>155</v>
      </c>
      <c r="J5061" t="s">
        <v>510</v>
      </c>
      <c r="K5061" s="138">
        <v>26.75</v>
      </c>
      <c r="L5061" s="137">
        <v>0</v>
      </c>
    </row>
    <row r="5062" spans="7:12" x14ac:dyDescent="0.25">
      <c r="G5062" s="136">
        <v>43536</v>
      </c>
      <c r="H5062" t="s">
        <v>28</v>
      </c>
      <c r="I5062" t="s">
        <v>155</v>
      </c>
      <c r="J5062" t="s">
        <v>510</v>
      </c>
      <c r="K5062" s="138">
        <v>19.95</v>
      </c>
      <c r="L5062" s="137">
        <v>0</v>
      </c>
    </row>
    <row r="5063" spans="7:12" x14ac:dyDescent="0.25">
      <c r="G5063" s="136">
        <v>43536</v>
      </c>
      <c r="H5063" t="s">
        <v>28</v>
      </c>
      <c r="I5063" t="s">
        <v>155</v>
      </c>
      <c r="J5063" t="s">
        <v>510</v>
      </c>
      <c r="K5063" s="138">
        <v>18</v>
      </c>
      <c r="L5063" s="137">
        <v>0</v>
      </c>
    </row>
    <row r="5064" spans="7:12" x14ac:dyDescent="0.25">
      <c r="G5064" s="136">
        <v>43536</v>
      </c>
      <c r="H5064" t="s">
        <v>28</v>
      </c>
      <c r="I5064" t="s">
        <v>66</v>
      </c>
      <c r="J5064" t="s">
        <v>320</v>
      </c>
      <c r="K5064" s="138">
        <v>3</v>
      </c>
      <c r="L5064" s="137">
        <v>0</v>
      </c>
    </row>
    <row r="5065" spans="7:12" x14ac:dyDescent="0.25">
      <c r="G5065" s="136">
        <v>43536</v>
      </c>
      <c r="H5065" t="s">
        <v>28</v>
      </c>
      <c r="I5065" t="s">
        <v>66</v>
      </c>
      <c r="J5065" t="s">
        <v>282</v>
      </c>
      <c r="K5065" s="138">
        <v>3</v>
      </c>
      <c r="L5065" s="137">
        <v>0</v>
      </c>
    </row>
    <row r="5066" spans="7:12" x14ac:dyDescent="0.25">
      <c r="G5066" s="136">
        <v>43536</v>
      </c>
      <c r="H5066" t="s">
        <v>28</v>
      </c>
      <c r="I5066" t="s">
        <v>66</v>
      </c>
      <c r="J5066" t="s">
        <v>285</v>
      </c>
      <c r="K5066" s="138">
        <v>3.15</v>
      </c>
      <c r="L5066" s="137">
        <v>0</v>
      </c>
    </row>
    <row r="5067" spans="7:12" x14ac:dyDescent="0.25">
      <c r="G5067" s="136">
        <v>43536</v>
      </c>
      <c r="H5067" t="s">
        <v>28</v>
      </c>
      <c r="I5067" t="s">
        <v>66</v>
      </c>
      <c r="J5067" t="s">
        <v>367</v>
      </c>
      <c r="K5067" s="138">
        <v>2.1</v>
      </c>
      <c r="L5067" s="137">
        <v>0</v>
      </c>
    </row>
    <row r="5068" spans="7:12" x14ac:dyDescent="0.25">
      <c r="G5068" s="136">
        <v>43536</v>
      </c>
      <c r="H5068" t="s">
        <v>28</v>
      </c>
      <c r="I5068" t="s">
        <v>66</v>
      </c>
      <c r="J5068" t="s">
        <v>131</v>
      </c>
      <c r="K5068" s="138">
        <v>1.8</v>
      </c>
      <c r="L5068" s="137">
        <v>0</v>
      </c>
    </row>
    <row r="5069" spans="7:12" x14ac:dyDescent="0.25">
      <c r="G5069" s="136">
        <v>43537</v>
      </c>
      <c r="H5069" t="s">
        <v>27</v>
      </c>
      <c r="I5069" t="s">
        <v>63</v>
      </c>
      <c r="J5069" t="s">
        <v>512</v>
      </c>
      <c r="K5069" s="138">
        <v>8</v>
      </c>
      <c r="L5069" s="137">
        <v>0</v>
      </c>
    </row>
    <row r="5070" spans="7:12" x14ac:dyDescent="0.25">
      <c r="G5070" s="136">
        <v>43537</v>
      </c>
      <c r="H5070" t="s">
        <v>27</v>
      </c>
      <c r="I5070" t="s">
        <v>171</v>
      </c>
      <c r="J5070" t="s">
        <v>512</v>
      </c>
      <c r="K5070" s="138">
        <v>516</v>
      </c>
      <c r="L5070" s="137">
        <v>0</v>
      </c>
    </row>
    <row r="5071" spans="7:12" x14ac:dyDescent="0.25">
      <c r="G5071" s="136">
        <v>43537</v>
      </c>
      <c r="H5071" t="s">
        <v>27</v>
      </c>
      <c r="I5071" t="s">
        <v>171</v>
      </c>
      <c r="J5071" t="s">
        <v>512</v>
      </c>
      <c r="K5071" s="138">
        <v>96</v>
      </c>
      <c r="L5071" s="137">
        <v>0</v>
      </c>
    </row>
    <row r="5072" spans="7:12" x14ac:dyDescent="0.25">
      <c r="G5072" s="136">
        <v>43537</v>
      </c>
      <c r="H5072" t="s">
        <v>185</v>
      </c>
      <c r="I5072" t="s">
        <v>42</v>
      </c>
      <c r="J5072" t="s">
        <v>512</v>
      </c>
      <c r="K5072" s="138">
        <v>71</v>
      </c>
      <c r="L5072" s="137">
        <v>0</v>
      </c>
    </row>
    <row r="5073" spans="7:12" x14ac:dyDescent="0.25">
      <c r="G5073" s="136">
        <v>43537</v>
      </c>
      <c r="H5073" t="s">
        <v>208</v>
      </c>
      <c r="I5073" t="s">
        <v>171</v>
      </c>
      <c r="J5073" t="s">
        <v>512</v>
      </c>
      <c r="K5073" s="138">
        <v>1320</v>
      </c>
      <c r="L5073" s="137">
        <v>0</v>
      </c>
    </row>
    <row r="5074" spans="7:12" x14ac:dyDescent="0.25">
      <c r="G5074" s="136">
        <v>43537</v>
      </c>
      <c r="H5074" t="s">
        <v>191</v>
      </c>
      <c r="I5074" t="s">
        <v>178</v>
      </c>
      <c r="J5074" t="s">
        <v>512</v>
      </c>
      <c r="K5074" s="138">
        <v>4413.76</v>
      </c>
      <c r="L5074" s="137">
        <v>0</v>
      </c>
    </row>
    <row r="5075" spans="7:12" x14ac:dyDescent="0.25">
      <c r="G5075" s="136">
        <v>43537</v>
      </c>
      <c r="H5075" t="s">
        <v>193</v>
      </c>
      <c r="I5075" t="s">
        <v>112</v>
      </c>
      <c r="J5075" t="s">
        <v>512</v>
      </c>
      <c r="K5075" s="138">
        <v>339.18</v>
      </c>
      <c r="L5075" s="137">
        <v>0</v>
      </c>
    </row>
    <row r="5076" spans="7:12" x14ac:dyDescent="0.25">
      <c r="G5076" s="136">
        <v>43537</v>
      </c>
      <c r="H5076" t="s">
        <v>193</v>
      </c>
      <c r="I5076" t="s">
        <v>155</v>
      </c>
      <c r="J5076" t="s">
        <v>512</v>
      </c>
      <c r="K5076" s="138">
        <v>34.22</v>
      </c>
      <c r="L5076" s="137">
        <v>0</v>
      </c>
    </row>
    <row r="5077" spans="7:12" x14ac:dyDescent="0.25">
      <c r="G5077" s="136">
        <v>43537</v>
      </c>
      <c r="H5077" t="s">
        <v>25</v>
      </c>
      <c r="I5077" t="s">
        <v>63</v>
      </c>
      <c r="J5077" t="s">
        <v>512</v>
      </c>
      <c r="K5077" s="138">
        <v>16</v>
      </c>
      <c r="L5077" s="137">
        <v>0</v>
      </c>
    </row>
    <row r="5078" spans="7:12" x14ac:dyDescent="0.25">
      <c r="G5078" s="136">
        <v>43537</v>
      </c>
      <c r="H5078" t="s">
        <v>181</v>
      </c>
      <c r="I5078" t="s">
        <v>42</v>
      </c>
      <c r="J5078" t="s">
        <v>512</v>
      </c>
      <c r="K5078" s="138">
        <v>100.15</v>
      </c>
      <c r="L5078" s="137">
        <v>0</v>
      </c>
    </row>
    <row r="5079" spans="7:12" x14ac:dyDescent="0.25">
      <c r="G5079" s="136">
        <v>43537</v>
      </c>
      <c r="H5079" t="s">
        <v>187</v>
      </c>
      <c r="I5079" t="s">
        <v>42</v>
      </c>
      <c r="J5079" t="s">
        <v>512</v>
      </c>
      <c r="K5079" s="138">
        <v>60.85</v>
      </c>
      <c r="L5079" s="137">
        <v>0</v>
      </c>
    </row>
    <row r="5080" spans="7:12" x14ac:dyDescent="0.25">
      <c r="G5080" s="136">
        <v>43537</v>
      </c>
      <c r="H5080" t="s">
        <v>28</v>
      </c>
      <c r="I5080" t="s">
        <v>112</v>
      </c>
      <c r="J5080" t="s">
        <v>512</v>
      </c>
      <c r="K5080" s="138">
        <v>67.16</v>
      </c>
      <c r="L5080" s="137">
        <v>0</v>
      </c>
    </row>
    <row r="5081" spans="7:12" x14ac:dyDescent="0.25">
      <c r="G5081" s="136">
        <v>43537</v>
      </c>
      <c r="H5081" t="s">
        <v>28</v>
      </c>
      <c r="I5081" t="s">
        <v>155</v>
      </c>
      <c r="J5081" t="s">
        <v>512</v>
      </c>
      <c r="K5081" s="138">
        <v>114.05</v>
      </c>
      <c r="L5081" s="137">
        <v>0</v>
      </c>
    </row>
    <row r="5082" spans="7:12" x14ac:dyDescent="0.25">
      <c r="G5082" s="136">
        <v>43537</v>
      </c>
      <c r="H5082" t="s">
        <v>28</v>
      </c>
      <c r="I5082" t="s">
        <v>155</v>
      </c>
      <c r="J5082" t="s">
        <v>512</v>
      </c>
      <c r="K5082" s="138">
        <v>32.75</v>
      </c>
      <c r="L5082" s="137">
        <v>0</v>
      </c>
    </row>
    <row r="5083" spans="7:12" x14ac:dyDescent="0.25">
      <c r="G5083" s="136">
        <v>43537</v>
      </c>
      <c r="H5083" t="s">
        <v>28</v>
      </c>
      <c r="I5083" t="s">
        <v>66</v>
      </c>
      <c r="J5083" t="s">
        <v>282</v>
      </c>
      <c r="K5083" s="138">
        <v>3</v>
      </c>
      <c r="L5083" s="137">
        <v>0</v>
      </c>
    </row>
    <row r="5084" spans="7:12" x14ac:dyDescent="0.25">
      <c r="G5084" s="136">
        <v>43537</v>
      </c>
      <c r="H5084" t="s">
        <v>28</v>
      </c>
      <c r="I5084" t="s">
        <v>66</v>
      </c>
      <c r="J5084" t="s">
        <v>134</v>
      </c>
      <c r="K5084" s="138">
        <v>12</v>
      </c>
      <c r="L5084" s="137">
        <v>0</v>
      </c>
    </row>
    <row r="5085" spans="7:12" x14ac:dyDescent="0.25">
      <c r="G5085" s="136">
        <v>43537</v>
      </c>
      <c r="H5085" t="s">
        <v>28</v>
      </c>
      <c r="I5085" t="s">
        <v>66</v>
      </c>
      <c r="J5085" t="s">
        <v>141</v>
      </c>
      <c r="K5085" s="138">
        <v>3.15</v>
      </c>
      <c r="L5085" s="137">
        <v>0</v>
      </c>
    </row>
    <row r="5086" spans="7:12" x14ac:dyDescent="0.25">
      <c r="G5086" s="136">
        <v>43537</v>
      </c>
      <c r="H5086" t="s">
        <v>28</v>
      </c>
      <c r="I5086" t="s">
        <v>66</v>
      </c>
      <c r="J5086" t="s">
        <v>142</v>
      </c>
      <c r="K5086" s="138">
        <v>7</v>
      </c>
      <c r="L5086" s="137">
        <v>0</v>
      </c>
    </row>
    <row r="5087" spans="7:12" x14ac:dyDescent="0.25">
      <c r="G5087" s="136">
        <v>43537</v>
      </c>
      <c r="H5087" t="s">
        <v>28</v>
      </c>
      <c r="I5087" t="s">
        <v>66</v>
      </c>
      <c r="J5087" t="s">
        <v>129</v>
      </c>
      <c r="K5087" s="138">
        <v>2.25</v>
      </c>
      <c r="L5087" s="137">
        <v>0</v>
      </c>
    </row>
    <row r="5088" spans="7:12" x14ac:dyDescent="0.25">
      <c r="G5088" s="136">
        <v>43537</v>
      </c>
      <c r="H5088" t="s">
        <v>28</v>
      </c>
      <c r="I5088" t="s">
        <v>171</v>
      </c>
      <c r="J5088" t="s">
        <v>512</v>
      </c>
      <c r="K5088" s="138">
        <v>132</v>
      </c>
      <c r="L5088" s="137">
        <v>0</v>
      </c>
    </row>
    <row r="5089" spans="7:12" x14ac:dyDescent="0.25">
      <c r="G5089" s="136">
        <v>43537</v>
      </c>
      <c r="H5089" t="s">
        <v>28</v>
      </c>
      <c r="I5089" t="s">
        <v>171</v>
      </c>
      <c r="J5089" t="s">
        <v>512</v>
      </c>
      <c r="K5089" s="138">
        <v>120</v>
      </c>
      <c r="L5089" s="137">
        <v>0</v>
      </c>
    </row>
    <row r="5090" spans="7:12" x14ac:dyDescent="0.25">
      <c r="G5090" s="136">
        <v>43538</v>
      </c>
      <c r="H5090" t="s">
        <v>204</v>
      </c>
      <c r="I5090" t="s">
        <v>42</v>
      </c>
      <c r="J5090" t="s">
        <v>513</v>
      </c>
      <c r="K5090" s="138">
        <v>4.5999999999999996</v>
      </c>
      <c r="L5090" s="137">
        <v>0</v>
      </c>
    </row>
    <row r="5091" spans="7:12" x14ac:dyDescent="0.25">
      <c r="G5091" s="136">
        <v>43538</v>
      </c>
      <c r="H5091" t="s">
        <v>192</v>
      </c>
      <c r="I5091" t="s">
        <v>163</v>
      </c>
      <c r="J5091" t="s">
        <v>513</v>
      </c>
      <c r="K5091" s="138">
        <v>69.45</v>
      </c>
      <c r="L5091" s="137">
        <v>0</v>
      </c>
    </row>
    <row r="5092" spans="7:12" x14ac:dyDescent="0.25">
      <c r="G5092" s="136">
        <v>43538</v>
      </c>
      <c r="H5092" t="s">
        <v>27</v>
      </c>
      <c r="I5092" t="s">
        <v>42</v>
      </c>
      <c r="J5092" t="s">
        <v>513</v>
      </c>
      <c r="K5092" s="138">
        <v>187.2</v>
      </c>
      <c r="L5092" s="137">
        <v>0</v>
      </c>
    </row>
    <row r="5093" spans="7:12" x14ac:dyDescent="0.25">
      <c r="G5093" s="136">
        <v>43538</v>
      </c>
      <c r="H5093" t="s">
        <v>27</v>
      </c>
      <c r="I5093" t="s">
        <v>42</v>
      </c>
      <c r="J5093" t="s">
        <v>513</v>
      </c>
      <c r="K5093" s="138">
        <v>168</v>
      </c>
      <c r="L5093" s="137">
        <v>0</v>
      </c>
    </row>
    <row r="5094" spans="7:12" x14ac:dyDescent="0.25">
      <c r="G5094" s="136">
        <v>43538</v>
      </c>
      <c r="H5094" t="s">
        <v>214</v>
      </c>
      <c r="I5094" t="s">
        <v>155</v>
      </c>
      <c r="J5094" t="s">
        <v>513</v>
      </c>
      <c r="K5094" s="138">
        <v>1000</v>
      </c>
      <c r="L5094" s="137">
        <v>0</v>
      </c>
    </row>
    <row r="5095" spans="7:12" x14ac:dyDescent="0.25">
      <c r="G5095" s="136">
        <v>43538</v>
      </c>
      <c r="H5095" t="s">
        <v>185</v>
      </c>
      <c r="I5095" t="s">
        <v>42</v>
      </c>
      <c r="J5095" t="s">
        <v>513</v>
      </c>
      <c r="K5095" s="138">
        <v>101</v>
      </c>
      <c r="L5095" s="137">
        <v>0</v>
      </c>
    </row>
    <row r="5096" spans="7:12" x14ac:dyDescent="0.25">
      <c r="G5096" s="136">
        <v>43538</v>
      </c>
      <c r="H5096" t="s">
        <v>184</v>
      </c>
      <c r="I5096" t="s">
        <v>171</v>
      </c>
      <c r="J5096" t="s">
        <v>513</v>
      </c>
      <c r="K5096" s="138">
        <v>35</v>
      </c>
      <c r="L5096" s="137">
        <v>0</v>
      </c>
    </row>
    <row r="5097" spans="7:12" x14ac:dyDescent="0.25">
      <c r="G5097" s="136">
        <v>43538</v>
      </c>
      <c r="H5097" t="s">
        <v>188</v>
      </c>
      <c r="I5097" t="s">
        <v>163</v>
      </c>
      <c r="J5097" t="s">
        <v>513</v>
      </c>
      <c r="K5097" s="138">
        <v>3.35</v>
      </c>
      <c r="L5097" s="137">
        <v>0</v>
      </c>
    </row>
    <row r="5098" spans="7:12" x14ac:dyDescent="0.25">
      <c r="G5098" s="136">
        <v>43538</v>
      </c>
      <c r="H5098" t="s">
        <v>25</v>
      </c>
      <c r="I5098" t="s">
        <v>63</v>
      </c>
      <c r="J5098" t="s">
        <v>513</v>
      </c>
      <c r="K5098" s="138">
        <v>16</v>
      </c>
      <c r="L5098" s="137">
        <v>0</v>
      </c>
    </row>
    <row r="5099" spans="7:12" x14ac:dyDescent="0.25">
      <c r="G5099" s="136">
        <v>43538</v>
      </c>
      <c r="H5099" t="s">
        <v>28</v>
      </c>
      <c r="I5099" t="s">
        <v>66</v>
      </c>
      <c r="J5099" t="s">
        <v>372</v>
      </c>
      <c r="K5099" s="138">
        <v>22.5</v>
      </c>
      <c r="L5099" s="137">
        <v>0</v>
      </c>
    </row>
    <row r="5100" spans="7:12" x14ac:dyDescent="0.25">
      <c r="G5100" s="136">
        <v>43538</v>
      </c>
      <c r="H5100" t="s">
        <v>28</v>
      </c>
      <c r="I5100" t="s">
        <v>66</v>
      </c>
      <c r="J5100" t="s">
        <v>125</v>
      </c>
      <c r="K5100" s="138">
        <v>7.35</v>
      </c>
      <c r="L5100" s="137">
        <v>0</v>
      </c>
    </row>
    <row r="5101" spans="7:12" x14ac:dyDescent="0.25">
      <c r="G5101" s="136">
        <v>43538</v>
      </c>
      <c r="H5101" t="s">
        <v>28</v>
      </c>
      <c r="I5101" t="s">
        <v>66</v>
      </c>
      <c r="J5101" t="s">
        <v>109</v>
      </c>
      <c r="K5101" s="138">
        <v>14</v>
      </c>
      <c r="L5101" s="137">
        <v>0</v>
      </c>
    </row>
    <row r="5102" spans="7:12" x14ac:dyDescent="0.25">
      <c r="G5102" s="136">
        <v>43538</v>
      </c>
      <c r="H5102" t="s">
        <v>28</v>
      </c>
      <c r="I5102" t="s">
        <v>66</v>
      </c>
      <c r="J5102" t="s">
        <v>143</v>
      </c>
      <c r="K5102" s="138">
        <v>26</v>
      </c>
      <c r="L5102" s="137">
        <v>0</v>
      </c>
    </row>
    <row r="5103" spans="7:12" x14ac:dyDescent="0.25">
      <c r="G5103" s="136">
        <v>43539</v>
      </c>
      <c r="H5103" t="s">
        <v>27</v>
      </c>
      <c r="I5103" t="s">
        <v>63</v>
      </c>
      <c r="J5103" t="s">
        <v>514</v>
      </c>
      <c r="K5103" s="138">
        <v>24</v>
      </c>
      <c r="L5103" s="137">
        <v>0</v>
      </c>
    </row>
    <row r="5104" spans="7:12" x14ac:dyDescent="0.25">
      <c r="G5104" s="136">
        <v>43539</v>
      </c>
      <c r="H5104" t="s">
        <v>184</v>
      </c>
      <c r="I5104" t="s">
        <v>42</v>
      </c>
      <c r="J5104" t="s">
        <v>514</v>
      </c>
      <c r="K5104" s="138">
        <v>26</v>
      </c>
      <c r="L5104" s="137">
        <v>0</v>
      </c>
    </row>
    <row r="5105" spans="7:12" x14ac:dyDescent="0.25">
      <c r="G5105" s="136">
        <v>43539</v>
      </c>
      <c r="H5105" t="s">
        <v>183</v>
      </c>
      <c r="I5105" t="s">
        <v>42</v>
      </c>
      <c r="J5105" t="s">
        <v>514</v>
      </c>
      <c r="K5105" s="138">
        <v>17.27</v>
      </c>
      <c r="L5105" s="137">
        <v>0</v>
      </c>
    </row>
    <row r="5106" spans="7:12" x14ac:dyDescent="0.25">
      <c r="G5106" s="136">
        <v>43539</v>
      </c>
      <c r="H5106" t="s">
        <v>188</v>
      </c>
      <c r="I5106" t="s">
        <v>42</v>
      </c>
      <c r="J5106" t="s">
        <v>514</v>
      </c>
      <c r="K5106" s="138">
        <v>132</v>
      </c>
      <c r="L5106" s="137">
        <v>0</v>
      </c>
    </row>
    <row r="5107" spans="7:12" x14ac:dyDescent="0.25">
      <c r="G5107" s="136">
        <v>43539</v>
      </c>
      <c r="H5107" t="s">
        <v>200</v>
      </c>
      <c r="I5107" t="s">
        <v>42</v>
      </c>
      <c r="J5107" t="s">
        <v>514</v>
      </c>
      <c r="K5107" s="138">
        <v>261</v>
      </c>
      <c r="L5107" s="137">
        <v>0</v>
      </c>
    </row>
    <row r="5108" spans="7:12" x14ac:dyDescent="0.25">
      <c r="G5108" s="136">
        <v>43539</v>
      </c>
      <c r="H5108" t="s">
        <v>25</v>
      </c>
      <c r="I5108" t="s">
        <v>63</v>
      </c>
      <c r="J5108" t="s">
        <v>514</v>
      </c>
      <c r="K5108" s="138">
        <v>16</v>
      </c>
      <c r="L5108" s="137">
        <v>0</v>
      </c>
    </row>
    <row r="5109" spans="7:12" x14ac:dyDescent="0.25">
      <c r="G5109" s="136">
        <v>43539</v>
      </c>
      <c r="H5109" t="s">
        <v>180</v>
      </c>
      <c r="I5109" t="s">
        <v>42</v>
      </c>
      <c r="J5109" t="s">
        <v>514</v>
      </c>
      <c r="K5109" s="138">
        <v>15</v>
      </c>
      <c r="L5109" s="137">
        <v>0</v>
      </c>
    </row>
    <row r="5110" spans="7:12" x14ac:dyDescent="0.25">
      <c r="G5110" s="136">
        <v>43539</v>
      </c>
      <c r="H5110" t="s">
        <v>28</v>
      </c>
      <c r="I5110" t="s">
        <v>112</v>
      </c>
      <c r="J5110" t="s">
        <v>514</v>
      </c>
      <c r="K5110" s="138">
        <v>53.96</v>
      </c>
      <c r="L5110" s="137">
        <v>0</v>
      </c>
    </row>
    <row r="5111" spans="7:12" x14ac:dyDescent="0.25">
      <c r="G5111" s="136">
        <v>43539</v>
      </c>
      <c r="H5111" t="s">
        <v>28</v>
      </c>
      <c r="I5111" t="s">
        <v>112</v>
      </c>
      <c r="J5111" t="s">
        <v>514</v>
      </c>
      <c r="K5111" s="138">
        <v>16.21</v>
      </c>
      <c r="L5111" s="137">
        <v>0</v>
      </c>
    </row>
    <row r="5112" spans="7:12" x14ac:dyDescent="0.25">
      <c r="G5112" s="136">
        <v>43539</v>
      </c>
      <c r="H5112" t="s">
        <v>28</v>
      </c>
      <c r="I5112" t="s">
        <v>112</v>
      </c>
      <c r="J5112" t="s">
        <v>514</v>
      </c>
      <c r="K5112" s="138">
        <v>9.5</v>
      </c>
      <c r="L5112" s="137">
        <v>0</v>
      </c>
    </row>
    <row r="5113" spans="7:12" x14ac:dyDescent="0.25">
      <c r="G5113" s="136">
        <v>43539</v>
      </c>
      <c r="H5113" t="s">
        <v>28</v>
      </c>
      <c r="I5113" t="s">
        <v>112</v>
      </c>
      <c r="J5113" t="s">
        <v>514</v>
      </c>
      <c r="K5113" s="138">
        <v>4.8</v>
      </c>
      <c r="L5113" s="137">
        <v>0</v>
      </c>
    </row>
    <row r="5114" spans="7:12" x14ac:dyDescent="0.25">
      <c r="G5114" s="136">
        <v>43539</v>
      </c>
      <c r="H5114" t="s">
        <v>28</v>
      </c>
      <c r="I5114" t="s">
        <v>155</v>
      </c>
      <c r="J5114" t="s">
        <v>514</v>
      </c>
      <c r="K5114" s="138">
        <v>35.47</v>
      </c>
      <c r="L5114" s="137">
        <v>0</v>
      </c>
    </row>
    <row r="5115" spans="7:12" x14ac:dyDescent="0.25">
      <c r="G5115" s="136">
        <v>43539</v>
      </c>
      <c r="H5115" t="s">
        <v>28</v>
      </c>
      <c r="I5115" t="s">
        <v>155</v>
      </c>
      <c r="J5115" t="s">
        <v>514</v>
      </c>
      <c r="K5115" s="138">
        <v>33.86</v>
      </c>
      <c r="L5115" s="137">
        <v>0</v>
      </c>
    </row>
    <row r="5116" spans="7:12" x14ac:dyDescent="0.25">
      <c r="G5116" s="136">
        <v>43539</v>
      </c>
      <c r="H5116" t="s">
        <v>28</v>
      </c>
      <c r="I5116" t="s">
        <v>66</v>
      </c>
      <c r="J5116" t="s">
        <v>134</v>
      </c>
      <c r="K5116" s="138">
        <v>10.5</v>
      </c>
      <c r="L5116" s="137">
        <v>0</v>
      </c>
    </row>
    <row r="5117" spans="7:12" x14ac:dyDescent="0.25">
      <c r="G5117" s="136">
        <v>43539</v>
      </c>
      <c r="H5117" t="s">
        <v>28</v>
      </c>
      <c r="I5117" t="s">
        <v>66</v>
      </c>
      <c r="J5117" t="s">
        <v>120</v>
      </c>
      <c r="K5117" s="138">
        <v>3.95</v>
      </c>
      <c r="L5117" s="137">
        <v>0</v>
      </c>
    </row>
    <row r="5118" spans="7:12" x14ac:dyDescent="0.25">
      <c r="G5118" s="136">
        <v>43539</v>
      </c>
      <c r="H5118" t="s">
        <v>28</v>
      </c>
      <c r="I5118" t="s">
        <v>66</v>
      </c>
      <c r="J5118" t="s">
        <v>276</v>
      </c>
      <c r="K5118" s="138">
        <v>4.75</v>
      </c>
      <c r="L5118" s="137">
        <v>0</v>
      </c>
    </row>
    <row r="5119" spans="7:12" x14ac:dyDescent="0.25">
      <c r="G5119" s="136">
        <v>43540</v>
      </c>
      <c r="H5119" t="s">
        <v>184</v>
      </c>
      <c r="I5119" t="s">
        <v>63</v>
      </c>
      <c r="J5119" t="s">
        <v>515</v>
      </c>
      <c r="K5119" s="138">
        <v>24</v>
      </c>
      <c r="L5119" s="137">
        <v>0</v>
      </c>
    </row>
    <row r="5120" spans="7:12" x14ac:dyDescent="0.25">
      <c r="G5120" s="136">
        <v>43540</v>
      </c>
      <c r="H5120" t="s">
        <v>188</v>
      </c>
      <c r="I5120" t="s">
        <v>42</v>
      </c>
      <c r="J5120" t="s">
        <v>515</v>
      </c>
      <c r="K5120" s="138">
        <v>136</v>
      </c>
      <c r="L5120" s="137">
        <v>0</v>
      </c>
    </row>
    <row r="5121" spans="7:12" x14ac:dyDescent="0.25">
      <c r="G5121" s="136">
        <v>43540</v>
      </c>
      <c r="H5121" t="s">
        <v>25</v>
      </c>
      <c r="I5121" t="s">
        <v>63</v>
      </c>
      <c r="J5121" t="s">
        <v>515</v>
      </c>
      <c r="K5121" s="138">
        <v>24</v>
      </c>
      <c r="L5121" s="137">
        <v>0</v>
      </c>
    </row>
    <row r="5122" spans="7:12" x14ac:dyDescent="0.25">
      <c r="G5122" s="136">
        <v>43540</v>
      </c>
      <c r="H5122" t="s">
        <v>187</v>
      </c>
      <c r="I5122" t="s">
        <v>42</v>
      </c>
      <c r="J5122" t="s">
        <v>515</v>
      </c>
      <c r="K5122" s="138">
        <v>83</v>
      </c>
      <c r="L5122" s="137">
        <v>0</v>
      </c>
    </row>
    <row r="5123" spans="7:12" x14ac:dyDescent="0.25">
      <c r="G5123" s="136">
        <v>43540</v>
      </c>
      <c r="H5123" t="s">
        <v>28</v>
      </c>
      <c r="I5123" t="s">
        <v>112</v>
      </c>
      <c r="J5123" t="s">
        <v>515</v>
      </c>
      <c r="K5123" s="138">
        <v>104</v>
      </c>
      <c r="L5123" s="137">
        <v>0</v>
      </c>
    </row>
    <row r="5124" spans="7:12" x14ac:dyDescent="0.25">
      <c r="G5124" s="136">
        <v>43540</v>
      </c>
      <c r="H5124" t="s">
        <v>28</v>
      </c>
      <c r="I5124" t="s">
        <v>66</v>
      </c>
      <c r="J5124" t="s">
        <v>123</v>
      </c>
      <c r="K5124" s="138">
        <v>4.5</v>
      </c>
      <c r="L5124" s="137">
        <v>0</v>
      </c>
    </row>
    <row r="5125" spans="7:12" x14ac:dyDescent="0.25">
      <c r="G5125" s="136">
        <v>43542</v>
      </c>
      <c r="H5125" t="s">
        <v>27</v>
      </c>
      <c r="I5125" t="s">
        <v>63</v>
      </c>
      <c r="J5125" t="s">
        <v>516</v>
      </c>
      <c r="K5125" s="138">
        <v>16</v>
      </c>
      <c r="L5125" s="137">
        <v>0</v>
      </c>
    </row>
    <row r="5126" spans="7:12" x14ac:dyDescent="0.25">
      <c r="G5126" s="136">
        <v>43542</v>
      </c>
      <c r="H5126" t="s">
        <v>27</v>
      </c>
      <c r="I5126" t="s">
        <v>63</v>
      </c>
      <c r="J5126" t="s">
        <v>516</v>
      </c>
      <c r="K5126" s="138">
        <v>8</v>
      </c>
      <c r="L5126" s="137">
        <v>0</v>
      </c>
    </row>
    <row r="5127" spans="7:12" x14ac:dyDescent="0.25">
      <c r="G5127" s="136">
        <v>43542</v>
      </c>
      <c r="H5127" t="s">
        <v>183</v>
      </c>
      <c r="I5127" t="s">
        <v>42</v>
      </c>
      <c r="J5127" t="s">
        <v>516</v>
      </c>
      <c r="K5127" s="138">
        <v>11.36</v>
      </c>
      <c r="L5127" s="137">
        <v>0</v>
      </c>
    </row>
    <row r="5128" spans="7:12" x14ac:dyDescent="0.25">
      <c r="G5128" s="136">
        <v>43542</v>
      </c>
      <c r="H5128" t="s">
        <v>189</v>
      </c>
      <c r="I5128" t="s">
        <v>42</v>
      </c>
      <c r="J5128" t="s">
        <v>516</v>
      </c>
      <c r="K5128" s="138">
        <v>48</v>
      </c>
      <c r="L5128" s="137">
        <v>0</v>
      </c>
    </row>
    <row r="5129" spans="7:12" x14ac:dyDescent="0.25">
      <c r="G5129" s="136">
        <v>43542</v>
      </c>
      <c r="H5129" t="s">
        <v>25</v>
      </c>
      <c r="I5129" t="s">
        <v>63</v>
      </c>
      <c r="J5129" t="s">
        <v>516</v>
      </c>
      <c r="K5129" s="138">
        <v>72</v>
      </c>
      <c r="L5129" s="137">
        <v>0</v>
      </c>
    </row>
    <row r="5130" spans="7:12" x14ac:dyDescent="0.25">
      <c r="G5130" s="136">
        <v>43542</v>
      </c>
      <c r="H5130" t="s">
        <v>25</v>
      </c>
      <c r="I5130" t="s">
        <v>63</v>
      </c>
      <c r="J5130" t="s">
        <v>516</v>
      </c>
      <c r="K5130" s="138">
        <v>56</v>
      </c>
      <c r="L5130" s="137">
        <v>0</v>
      </c>
    </row>
    <row r="5131" spans="7:12" x14ac:dyDescent="0.25">
      <c r="G5131" s="136">
        <v>43542</v>
      </c>
      <c r="H5131" t="s">
        <v>25</v>
      </c>
      <c r="I5131" t="s">
        <v>63</v>
      </c>
      <c r="J5131" t="s">
        <v>516</v>
      </c>
      <c r="K5131" s="138">
        <v>40</v>
      </c>
      <c r="L5131" s="137">
        <v>0</v>
      </c>
    </row>
    <row r="5132" spans="7:12" x14ac:dyDescent="0.25">
      <c r="G5132" s="136">
        <v>43542</v>
      </c>
      <c r="H5132" t="s">
        <v>25</v>
      </c>
      <c r="I5132" t="s">
        <v>63</v>
      </c>
      <c r="J5132" t="s">
        <v>516</v>
      </c>
      <c r="K5132" s="138">
        <v>24</v>
      </c>
      <c r="L5132" s="137">
        <v>0</v>
      </c>
    </row>
    <row r="5133" spans="7:12" x14ac:dyDescent="0.25">
      <c r="G5133" s="136">
        <v>43542</v>
      </c>
      <c r="H5133" t="s">
        <v>25</v>
      </c>
      <c r="I5133" t="s">
        <v>63</v>
      </c>
      <c r="J5133" t="s">
        <v>516</v>
      </c>
      <c r="K5133" s="138">
        <v>16</v>
      </c>
      <c r="L5133" s="137">
        <v>0</v>
      </c>
    </row>
    <row r="5134" spans="7:12" x14ac:dyDescent="0.25">
      <c r="G5134" s="136">
        <v>43542</v>
      </c>
      <c r="H5134" t="s">
        <v>25</v>
      </c>
      <c r="I5134" t="s">
        <v>63</v>
      </c>
      <c r="J5134" t="s">
        <v>516</v>
      </c>
      <c r="K5134" s="138">
        <v>8</v>
      </c>
      <c r="L5134" s="137">
        <v>0</v>
      </c>
    </row>
    <row r="5135" spans="7:12" x14ac:dyDescent="0.25">
      <c r="G5135" s="136">
        <v>43542</v>
      </c>
      <c r="H5135" t="s">
        <v>28</v>
      </c>
      <c r="I5135" t="s">
        <v>66</v>
      </c>
      <c r="J5135" t="s">
        <v>320</v>
      </c>
      <c r="K5135" s="138">
        <v>3</v>
      </c>
      <c r="L5135" s="137">
        <v>0</v>
      </c>
    </row>
    <row r="5136" spans="7:12" x14ac:dyDescent="0.25">
      <c r="G5136" s="136">
        <v>43542</v>
      </c>
      <c r="H5136" t="s">
        <v>28</v>
      </c>
      <c r="I5136" t="s">
        <v>66</v>
      </c>
      <c r="J5136" t="s">
        <v>101</v>
      </c>
      <c r="K5136" s="138">
        <v>1.8</v>
      </c>
      <c r="L5136" s="137">
        <v>0</v>
      </c>
    </row>
    <row r="5137" spans="7:12" x14ac:dyDescent="0.25">
      <c r="G5137" s="136">
        <v>43542</v>
      </c>
      <c r="H5137" t="s">
        <v>28</v>
      </c>
      <c r="I5137" t="s">
        <v>66</v>
      </c>
      <c r="J5137" t="s">
        <v>120</v>
      </c>
      <c r="K5137" s="138">
        <v>3.95</v>
      </c>
      <c r="L5137" s="137">
        <v>0</v>
      </c>
    </row>
    <row r="5138" spans="7:12" x14ac:dyDescent="0.25">
      <c r="G5138" s="136">
        <v>43542</v>
      </c>
      <c r="H5138" t="s">
        <v>28</v>
      </c>
      <c r="I5138" t="s">
        <v>66</v>
      </c>
      <c r="J5138" t="s">
        <v>276</v>
      </c>
      <c r="K5138" s="138">
        <v>3</v>
      </c>
      <c r="L5138" s="137">
        <v>0</v>
      </c>
    </row>
    <row r="5139" spans="7:12" x14ac:dyDescent="0.25">
      <c r="G5139" s="136">
        <v>43542</v>
      </c>
      <c r="H5139" t="s">
        <v>28</v>
      </c>
      <c r="I5139" t="s">
        <v>66</v>
      </c>
      <c r="J5139" t="s">
        <v>107</v>
      </c>
      <c r="K5139" s="138">
        <v>5</v>
      </c>
      <c r="L5139" s="137">
        <v>0</v>
      </c>
    </row>
    <row r="5140" spans="7:12" x14ac:dyDescent="0.25">
      <c r="G5140" s="136">
        <v>43543</v>
      </c>
      <c r="H5140" t="s">
        <v>27</v>
      </c>
      <c r="I5140" t="s">
        <v>63</v>
      </c>
      <c r="J5140" t="s">
        <v>517</v>
      </c>
      <c r="K5140" s="138">
        <v>8</v>
      </c>
      <c r="L5140" s="137">
        <v>0</v>
      </c>
    </row>
    <row r="5141" spans="7:12" x14ac:dyDescent="0.25">
      <c r="G5141" s="136">
        <v>43543</v>
      </c>
      <c r="H5141" t="s">
        <v>188</v>
      </c>
      <c r="I5141" t="s">
        <v>63</v>
      </c>
      <c r="J5141" t="s">
        <v>517</v>
      </c>
      <c r="K5141" s="138">
        <v>139.08000000000001</v>
      </c>
      <c r="L5141" s="137">
        <v>0</v>
      </c>
    </row>
    <row r="5142" spans="7:12" x14ac:dyDescent="0.25">
      <c r="G5142" s="136">
        <v>43543</v>
      </c>
      <c r="H5142" t="s">
        <v>25</v>
      </c>
      <c r="I5142" t="s">
        <v>63</v>
      </c>
      <c r="J5142" t="s">
        <v>517</v>
      </c>
      <c r="K5142" s="138">
        <v>96</v>
      </c>
      <c r="L5142" s="137">
        <v>0</v>
      </c>
    </row>
    <row r="5143" spans="7:12" x14ac:dyDescent="0.25">
      <c r="G5143" s="136">
        <v>43543</v>
      </c>
      <c r="H5143" t="s">
        <v>25</v>
      </c>
      <c r="I5143" t="s">
        <v>63</v>
      </c>
      <c r="J5143" t="s">
        <v>517</v>
      </c>
      <c r="K5143" s="138">
        <v>48</v>
      </c>
      <c r="L5143" s="137">
        <v>0</v>
      </c>
    </row>
    <row r="5144" spans="7:12" x14ac:dyDescent="0.25">
      <c r="G5144" s="136">
        <v>43543</v>
      </c>
      <c r="H5144" t="s">
        <v>25</v>
      </c>
      <c r="I5144" t="s">
        <v>63</v>
      </c>
      <c r="J5144" t="s">
        <v>517</v>
      </c>
      <c r="K5144" s="138">
        <v>32</v>
      </c>
      <c r="L5144" s="137">
        <v>0</v>
      </c>
    </row>
    <row r="5145" spans="7:12" x14ac:dyDescent="0.25">
      <c r="G5145" s="136">
        <v>43543</v>
      </c>
      <c r="H5145" t="s">
        <v>25</v>
      </c>
      <c r="I5145" t="s">
        <v>63</v>
      </c>
      <c r="J5145" t="s">
        <v>517</v>
      </c>
      <c r="K5145" s="138">
        <v>16</v>
      </c>
      <c r="L5145" s="137">
        <v>0</v>
      </c>
    </row>
    <row r="5146" spans="7:12" x14ac:dyDescent="0.25">
      <c r="G5146" s="136">
        <v>43543</v>
      </c>
      <c r="H5146" t="s">
        <v>25</v>
      </c>
      <c r="I5146" t="s">
        <v>63</v>
      </c>
      <c r="J5146" t="s">
        <v>517</v>
      </c>
      <c r="K5146" s="138">
        <v>8</v>
      </c>
      <c r="L5146" s="137">
        <v>0</v>
      </c>
    </row>
    <row r="5147" spans="7:12" x14ac:dyDescent="0.25">
      <c r="G5147" s="136">
        <v>43543</v>
      </c>
      <c r="H5147" t="s">
        <v>181</v>
      </c>
      <c r="I5147" t="s">
        <v>63</v>
      </c>
      <c r="J5147" t="s">
        <v>517</v>
      </c>
      <c r="K5147" s="138">
        <v>100</v>
      </c>
      <c r="L5147" s="137">
        <v>0</v>
      </c>
    </row>
    <row r="5148" spans="7:12" x14ac:dyDescent="0.25">
      <c r="G5148" s="136">
        <v>43543</v>
      </c>
      <c r="H5148" t="s">
        <v>181</v>
      </c>
      <c r="I5148" t="s">
        <v>112</v>
      </c>
      <c r="J5148" t="s">
        <v>517</v>
      </c>
      <c r="K5148" s="138">
        <v>87.63</v>
      </c>
      <c r="L5148" s="137">
        <v>0</v>
      </c>
    </row>
    <row r="5149" spans="7:12" x14ac:dyDescent="0.25">
      <c r="G5149" s="136">
        <v>43543</v>
      </c>
      <c r="H5149" t="s">
        <v>196</v>
      </c>
      <c r="I5149" t="s">
        <v>42</v>
      </c>
      <c r="J5149" t="s">
        <v>517</v>
      </c>
      <c r="K5149" s="138">
        <v>34</v>
      </c>
      <c r="L5149" s="137">
        <v>0</v>
      </c>
    </row>
    <row r="5150" spans="7:12" x14ac:dyDescent="0.25">
      <c r="G5150" s="136">
        <v>43543</v>
      </c>
      <c r="H5150" t="s">
        <v>28</v>
      </c>
      <c r="I5150" t="s">
        <v>63</v>
      </c>
      <c r="J5150" t="s">
        <v>517</v>
      </c>
      <c r="K5150" s="138">
        <v>8</v>
      </c>
      <c r="L5150" s="137">
        <v>0</v>
      </c>
    </row>
    <row r="5151" spans="7:12" x14ac:dyDescent="0.25">
      <c r="G5151" s="136">
        <v>43543</v>
      </c>
      <c r="H5151" t="s">
        <v>28</v>
      </c>
      <c r="I5151" t="s">
        <v>163</v>
      </c>
      <c r="J5151" t="s">
        <v>517</v>
      </c>
      <c r="K5151" s="138">
        <v>15.95</v>
      </c>
      <c r="L5151" s="137">
        <v>0</v>
      </c>
    </row>
    <row r="5152" spans="7:12" x14ac:dyDescent="0.25">
      <c r="G5152" s="136">
        <v>43543</v>
      </c>
      <c r="H5152" t="s">
        <v>28</v>
      </c>
      <c r="I5152" t="s">
        <v>112</v>
      </c>
      <c r="J5152" t="s">
        <v>517</v>
      </c>
      <c r="K5152" s="138">
        <v>147.55000000000001</v>
      </c>
      <c r="L5152" s="137">
        <v>0</v>
      </c>
    </row>
    <row r="5153" spans="7:12" x14ac:dyDescent="0.25">
      <c r="G5153" s="136">
        <v>43543</v>
      </c>
      <c r="H5153" t="s">
        <v>28</v>
      </c>
      <c r="I5153" t="s">
        <v>112</v>
      </c>
      <c r="J5153" t="s">
        <v>517</v>
      </c>
      <c r="K5153" s="138">
        <v>40.49</v>
      </c>
      <c r="L5153" s="137">
        <v>0</v>
      </c>
    </row>
    <row r="5154" spans="7:12" x14ac:dyDescent="0.25">
      <c r="G5154" s="136">
        <v>43543</v>
      </c>
      <c r="H5154" t="s">
        <v>28</v>
      </c>
      <c r="I5154" t="s">
        <v>112</v>
      </c>
      <c r="J5154" t="s">
        <v>517</v>
      </c>
      <c r="K5154" s="138">
        <v>35.950000000000003</v>
      </c>
      <c r="L5154" s="137">
        <v>0</v>
      </c>
    </row>
    <row r="5155" spans="7:12" x14ac:dyDescent="0.25">
      <c r="G5155" s="136">
        <v>43543</v>
      </c>
      <c r="H5155" t="s">
        <v>28</v>
      </c>
      <c r="I5155" t="s">
        <v>112</v>
      </c>
      <c r="J5155" t="s">
        <v>517</v>
      </c>
      <c r="K5155" s="138">
        <v>15.08</v>
      </c>
      <c r="L5155" s="137">
        <v>0</v>
      </c>
    </row>
    <row r="5156" spans="7:12" x14ac:dyDescent="0.25">
      <c r="G5156" s="136">
        <v>43543</v>
      </c>
      <c r="H5156" t="s">
        <v>28</v>
      </c>
      <c r="I5156" t="s">
        <v>112</v>
      </c>
      <c r="J5156" t="s">
        <v>517</v>
      </c>
      <c r="K5156" s="138">
        <v>12.99</v>
      </c>
      <c r="L5156" s="137">
        <v>0</v>
      </c>
    </row>
    <row r="5157" spans="7:12" x14ac:dyDescent="0.25">
      <c r="G5157" s="136">
        <v>43543</v>
      </c>
      <c r="H5157" t="s">
        <v>28</v>
      </c>
      <c r="I5157" t="s">
        <v>155</v>
      </c>
      <c r="J5157" t="s">
        <v>517</v>
      </c>
      <c r="K5157" s="138">
        <v>110</v>
      </c>
      <c r="L5157" s="137">
        <v>0</v>
      </c>
    </row>
    <row r="5158" spans="7:12" x14ac:dyDescent="0.25">
      <c r="G5158" s="136">
        <v>43543</v>
      </c>
      <c r="H5158" t="s">
        <v>28</v>
      </c>
      <c r="I5158" t="s">
        <v>155</v>
      </c>
      <c r="J5158" t="s">
        <v>517</v>
      </c>
      <c r="K5158" s="138">
        <v>71.349999999999994</v>
      </c>
      <c r="L5158" s="137">
        <v>0</v>
      </c>
    </row>
    <row r="5159" spans="7:12" x14ac:dyDescent="0.25">
      <c r="G5159" s="136">
        <v>43543</v>
      </c>
      <c r="H5159" t="s">
        <v>28</v>
      </c>
      <c r="I5159" t="s">
        <v>155</v>
      </c>
      <c r="J5159" t="s">
        <v>517</v>
      </c>
      <c r="K5159" s="138">
        <v>52.73</v>
      </c>
      <c r="L5159" s="137">
        <v>0</v>
      </c>
    </row>
    <row r="5160" spans="7:12" x14ac:dyDescent="0.25">
      <c r="G5160" s="136">
        <v>43543</v>
      </c>
      <c r="H5160" t="s">
        <v>28</v>
      </c>
      <c r="I5160" t="s">
        <v>155</v>
      </c>
      <c r="J5160" t="s">
        <v>517</v>
      </c>
      <c r="K5160" s="138">
        <v>48</v>
      </c>
      <c r="L5160" s="137">
        <v>0</v>
      </c>
    </row>
    <row r="5161" spans="7:12" x14ac:dyDescent="0.25">
      <c r="G5161" s="136">
        <v>43543</v>
      </c>
      <c r="H5161" t="s">
        <v>28</v>
      </c>
      <c r="I5161" t="s">
        <v>155</v>
      </c>
      <c r="J5161" t="s">
        <v>517</v>
      </c>
      <c r="K5161" s="138">
        <v>41.59</v>
      </c>
      <c r="L5161" s="137">
        <v>0</v>
      </c>
    </row>
    <row r="5162" spans="7:12" x14ac:dyDescent="0.25">
      <c r="G5162" s="136">
        <v>43543</v>
      </c>
      <c r="H5162" t="s">
        <v>28</v>
      </c>
      <c r="I5162" t="s">
        <v>155</v>
      </c>
      <c r="J5162" t="s">
        <v>517</v>
      </c>
      <c r="K5162" s="138">
        <v>38.1</v>
      </c>
      <c r="L5162" s="137">
        <v>0</v>
      </c>
    </row>
    <row r="5163" spans="7:12" x14ac:dyDescent="0.25">
      <c r="G5163" s="136">
        <v>43543</v>
      </c>
      <c r="H5163" t="s">
        <v>28</v>
      </c>
      <c r="I5163" t="s">
        <v>155</v>
      </c>
      <c r="J5163" t="s">
        <v>517</v>
      </c>
      <c r="K5163" s="138">
        <v>34.86</v>
      </c>
      <c r="L5163" s="137">
        <v>0</v>
      </c>
    </row>
    <row r="5164" spans="7:12" x14ac:dyDescent="0.25">
      <c r="G5164" s="136">
        <v>43543</v>
      </c>
      <c r="H5164" t="s">
        <v>28</v>
      </c>
      <c r="I5164" t="s">
        <v>155</v>
      </c>
      <c r="J5164" t="s">
        <v>517</v>
      </c>
      <c r="K5164" s="138">
        <v>2.95</v>
      </c>
      <c r="L5164" s="137">
        <v>0</v>
      </c>
    </row>
    <row r="5165" spans="7:12" x14ac:dyDescent="0.25">
      <c r="G5165" s="136">
        <v>43543</v>
      </c>
      <c r="H5165" t="s">
        <v>28</v>
      </c>
      <c r="I5165" t="s">
        <v>66</v>
      </c>
      <c r="J5165" t="s">
        <v>136</v>
      </c>
      <c r="K5165" s="138">
        <v>7.35</v>
      </c>
      <c r="L5165" s="137">
        <v>0</v>
      </c>
    </row>
    <row r="5166" spans="7:12" x14ac:dyDescent="0.25">
      <c r="G5166" s="136">
        <v>43543</v>
      </c>
      <c r="H5166" t="s">
        <v>28</v>
      </c>
      <c r="I5166" t="s">
        <v>66</v>
      </c>
      <c r="J5166" t="s">
        <v>116</v>
      </c>
      <c r="K5166" s="138">
        <v>2.4</v>
      </c>
      <c r="L5166" s="137">
        <v>0</v>
      </c>
    </row>
    <row r="5167" spans="7:12" x14ac:dyDescent="0.25">
      <c r="G5167" s="136">
        <v>43543</v>
      </c>
      <c r="H5167" t="s">
        <v>28</v>
      </c>
      <c r="I5167" t="s">
        <v>66</v>
      </c>
      <c r="J5167" t="s">
        <v>276</v>
      </c>
      <c r="K5167" s="138">
        <v>3</v>
      </c>
      <c r="L5167" s="137">
        <v>0</v>
      </c>
    </row>
    <row r="5168" spans="7:12" x14ac:dyDescent="0.25">
      <c r="G5168" s="136">
        <v>43543</v>
      </c>
      <c r="H5168" t="s">
        <v>28</v>
      </c>
      <c r="I5168" t="s">
        <v>171</v>
      </c>
      <c r="J5168" t="s">
        <v>517</v>
      </c>
      <c r="K5168" s="138">
        <v>80</v>
      </c>
      <c r="L5168" s="137">
        <v>0</v>
      </c>
    </row>
    <row r="5169" spans="7:12" x14ac:dyDescent="0.25">
      <c r="G5169" s="136">
        <v>43544</v>
      </c>
      <c r="H5169" t="s">
        <v>192</v>
      </c>
      <c r="I5169" t="s">
        <v>171</v>
      </c>
      <c r="J5169" t="s">
        <v>518</v>
      </c>
      <c r="K5169" s="138">
        <v>18.399999999999999</v>
      </c>
      <c r="L5169" s="137">
        <v>0</v>
      </c>
    </row>
    <row r="5170" spans="7:12" x14ac:dyDescent="0.25">
      <c r="G5170" s="136">
        <v>43544</v>
      </c>
      <c r="H5170" t="s">
        <v>184</v>
      </c>
      <c r="I5170" t="s">
        <v>63</v>
      </c>
      <c r="J5170" t="s">
        <v>518</v>
      </c>
      <c r="K5170" s="138">
        <v>5</v>
      </c>
      <c r="L5170" s="137">
        <v>0</v>
      </c>
    </row>
    <row r="5171" spans="7:12" x14ac:dyDescent="0.25">
      <c r="G5171" s="136">
        <v>43544</v>
      </c>
      <c r="H5171" t="s">
        <v>183</v>
      </c>
      <c r="I5171" t="s">
        <v>171</v>
      </c>
      <c r="J5171" t="s">
        <v>518</v>
      </c>
      <c r="K5171" s="138">
        <v>10.54</v>
      </c>
      <c r="L5171" s="137">
        <v>0</v>
      </c>
    </row>
    <row r="5172" spans="7:12" x14ac:dyDescent="0.25">
      <c r="G5172" s="136">
        <v>43544</v>
      </c>
      <c r="H5172" t="s">
        <v>188</v>
      </c>
      <c r="I5172" t="s">
        <v>171</v>
      </c>
      <c r="J5172" t="s">
        <v>518</v>
      </c>
      <c r="K5172" s="138">
        <v>293.3</v>
      </c>
      <c r="L5172" s="137">
        <v>0</v>
      </c>
    </row>
    <row r="5173" spans="7:12" x14ac:dyDescent="0.25">
      <c r="G5173" s="136">
        <v>43544</v>
      </c>
      <c r="H5173" t="s">
        <v>200</v>
      </c>
      <c r="I5173" t="s">
        <v>171</v>
      </c>
      <c r="J5173" t="s">
        <v>518</v>
      </c>
      <c r="K5173" s="138">
        <v>172.7</v>
      </c>
      <c r="L5173" s="137">
        <v>0</v>
      </c>
    </row>
    <row r="5174" spans="7:12" x14ac:dyDescent="0.25">
      <c r="G5174" s="136">
        <v>43544</v>
      </c>
      <c r="H5174" t="s">
        <v>25</v>
      </c>
      <c r="I5174" t="s">
        <v>63</v>
      </c>
      <c r="J5174" t="s">
        <v>518</v>
      </c>
      <c r="K5174" s="138">
        <v>32</v>
      </c>
      <c r="L5174" s="137">
        <v>0</v>
      </c>
    </row>
    <row r="5175" spans="7:12" x14ac:dyDescent="0.25">
      <c r="G5175" s="136">
        <v>43544</v>
      </c>
      <c r="H5175" t="s">
        <v>25</v>
      </c>
      <c r="I5175" t="s">
        <v>63</v>
      </c>
      <c r="J5175" t="s">
        <v>518</v>
      </c>
      <c r="K5175" s="138">
        <v>8</v>
      </c>
      <c r="L5175" s="137">
        <v>0</v>
      </c>
    </row>
    <row r="5176" spans="7:12" x14ac:dyDescent="0.25">
      <c r="G5176" s="136">
        <v>43544</v>
      </c>
      <c r="H5176" t="s">
        <v>211</v>
      </c>
      <c r="I5176" t="s">
        <v>171</v>
      </c>
      <c r="J5176" t="s">
        <v>518</v>
      </c>
      <c r="K5176" s="138">
        <v>120.6</v>
      </c>
      <c r="L5176" s="137">
        <v>0</v>
      </c>
    </row>
    <row r="5177" spans="7:12" x14ac:dyDescent="0.25">
      <c r="G5177" s="136">
        <v>43544</v>
      </c>
      <c r="H5177" t="s">
        <v>181</v>
      </c>
      <c r="I5177" t="s">
        <v>42</v>
      </c>
      <c r="J5177" t="s">
        <v>518</v>
      </c>
      <c r="K5177" s="138">
        <v>115.25</v>
      </c>
      <c r="L5177" s="137">
        <v>0</v>
      </c>
    </row>
    <row r="5178" spans="7:12" x14ac:dyDescent="0.25">
      <c r="G5178" s="136">
        <v>43544</v>
      </c>
      <c r="H5178" t="s">
        <v>187</v>
      </c>
      <c r="I5178" t="s">
        <v>42</v>
      </c>
      <c r="J5178" t="s">
        <v>518</v>
      </c>
      <c r="K5178" s="138">
        <v>70.239999999999995</v>
      </c>
      <c r="L5178" s="137">
        <v>0</v>
      </c>
    </row>
    <row r="5179" spans="7:12" x14ac:dyDescent="0.25">
      <c r="G5179" s="136">
        <v>43544</v>
      </c>
      <c r="H5179" t="s">
        <v>196</v>
      </c>
      <c r="I5179" t="s">
        <v>171</v>
      </c>
      <c r="J5179" t="s">
        <v>518</v>
      </c>
      <c r="K5179" s="138">
        <v>1496</v>
      </c>
      <c r="L5179" s="137">
        <v>0</v>
      </c>
    </row>
    <row r="5180" spans="7:12" x14ac:dyDescent="0.25">
      <c r="G5180" s="136">
        <v>43544</v>
      </c>
      <c r="H5180" t="s">
        <v>28</v>
      </c>
      <c r="I5180" t="s">
        <v>66</v>
      </c>
      <c r="J5180" t="s">
        <v>137</v>
      </c>
      <c r="K5180" s="138">
        <v>6.85</v>
      </c>
      <c r="L5180" s="137">
        <v>0</v>
      </c>
    </row>
    <row r="5181" spans="7:12" x14ac:dyDescent="0.25">
      <c r="G5181" s="136">
        <v>43544</v>
      </c>
      <c r="H5181" t="s">
        <v>28</v>
      </c>
      <c r="I5181" t="s">
        <v>171</v>
      </c>
      <c r="J5181" t="s">
        <v>518</v>
      </c>
      <c r="K5181" s="138">
        <v>193</v>
      </c>
      <c r="L5181" s="137">
        <v>0</v>
      </c>
    </row>
    <row r="5182" spans="7:12" x14ac:dyDescent="0.25">
      <c r="G5182" s="136">
        <v>43544</v>
      </c>
      <c r="H5182" t="s">
        <v>28</v>
      </c>
      <c r="I5182" t="s">
        <v>171</v>
      </c>
      <c r="J5182" t="s">
        <v>518</v>
      </c>
      <c r="K5182" s="138">
        <v>130</v>
      </c>
      <c r="L5182" s="137">
        <v>0</v>
      </c>
    </row>
    <row r="5183" spans="7:12" x14ac:dyDescent="0.25">
      <c r="G5183" s="136">
        <v>43545</v>
      </c>
      <c r="H5183" t="s">
        <v>183</v>
      </c>
      <c r="I5183" t="s">
        <v>63</v>
      </c>
      <c r="J5183" t="s">
        <v>519</v>
      </c>
      <c r="K5183" s="138">
        <v>39.96</v>
      </c>
      <c r="L5183" s="137">
        <v>0</v>
      </c>
    </row>
    <row r="5184" spans="7:12" x14ac:dyDescent="0.25">
      <c r="G5184" s="136">
        <v>43545</v>
      </c>
      <c r="H5184" t="s">
        <v>191</v>
      </c>
      <c r="I5184" t="s">
        <v>171</v>
      </c>
      <c r="J5184" t="s">
        <v>519</v>
      </c>
      <c r="K5184" s="138">
        <v>33.25</v>
      </c>
      <c r="L5184" s="137">
        <v>0</v>
      </c>
    </row>
    <row r="5185" spans="7:12" x14ac:dyDescent="0.25">
      <c r="G5185" s="136">
        <v>43545</v>
      </c>
      <c r="H5185" t="s">
        <v>25</v>
      </c>
      <c r="I5185" t="s">
        <v>63</v>
      </c>
      <c r="J5185" t="s">
        <v>519</v>
      </c>
      <c r="K5185" s="138">
        <v>16</v>
      </c>
      <c r="L5185" s="137">
        <v>0</v>
      </c>
    </row>
    <row r="5186" spans="7:12" x14ac:dyDescent="0.25">
      <c r="G5186" s="136">
        <v>43545</v>
      </c>
      <c r="H5186" t="s">
        <v>25</v>
      </c>
      <c r="I5186" t="s">
        <v>63</v>
      </c>
      <c r="J5186" t="s">
        <v>519</v>
      </c>
      <c r="K5186" s="138">
        <v>8</v>
      </c>
      <c r="L5186" s="137">
        <v>0</v>
      </c>
    </row>
    <row r="5187" spans="7:12" x14ac:dyDescent="0.25">
      <c r="G5187" s="136">
        <v>43545</v>
      </c>
      <c r="H5187" t="s">
        <v>211</v>
      </c>
      <c r="I5187" t="s">
        <v>175</v>
      </c>
      <c r="J5187" t="s">
        <v>519</v>
      </c>
      <c r="K5187" s="138">
        <v>1396.4</v>
      </c>
      <c r="L5187" s="137">
        <v>0</v>
      </c>
    </row>
    <row r="5188" spans="7:12" x14ac:dyDescent="0.25">
      <c r="G5188" s="136">
        <v>43545</v>
      </c>
      <c r="H5188" t="s">
        <v>197</v>
      </c>
      <c r="I5188" t="s">
        <v>171</v>
      </c>
      <c r="J5188" t="s">
        <v>519</v>
      </c>
      <c r="K5188" s="138">
        <v>204.35</v>
      </c>
      <c r="L5188" s="137">
        <v>0</v>
      </c>
    </row>
    <row r="5189" spans="7:12" x14ac:dyDescent="0.25">
      <c r="G5189" s="136">
        <v>43545</v>
      </c>
      <c r="H5189" t="s">
        <v>28</v>
      </c>
      <c r="I5189" t="s">
        <v>66</v>
      </c>
      <c r="J5189" t="s">
        <v>116</v>
      </c>
      <c r="K5189" s="138">
        <v>7.35</v>
      </c>
      <c r="L5189" s="137">
        <v>0</v>
      </c>
    </row>
    <row r="5190" spans="7:12" x14ac:dyDescent="0.25">
      <c r="G5190" s="136">
        <v>43546</v>
      </c>
      <c r="H5190" t="s">
        <v>204</v>
      </c>
      <c r="I5190" t="s">
        <v>176</v>
      </c>
      <c r="J5190" t="s">
        <v>521</v>
      </c>
      <c r="K5190" s="138">
        <v>102.8</v>
      </c>
      <c r="L5190" s="137">
        <v>0</v>
      </c>
    </row>
    <row r="5191" spans="7:12" x14ac:dyDescent="0.25">
      <c r="G5191" s="136">
        <v>43546</v>
      </c>
      <c r="H5191" t="s">
        <v>203</v>
      </c>
      <c r="I5191" t="s">
        <v>176</v>
      </c>
      <c r="J5191" t="s">
        <v>521</v>
      </c>
      <c r="K5191" s="138">
        <v>386.65</v>
      </c>
      <c r="L5191" s="137">
        <v>0</v>
      </c>
    </row>
    <row r="5192" spans="7:12" x14ac:dyDescent="0.25">
      <c r="G5192" s="136">
        <v>43546</v>
      </c>
      <c r="H5192" t="s">
        <v>192</v>
      </c>
      <c r="I5192" t="s">
        <v>176</v>
      </c>
      <c r="J5192" t="s">
        <v>521</v>
      </c>
      <c r="K5192" s="138">
        <v>444.3</v>
      </c>
      <c r="L5192" s="137">
        <v>0</v>
      </c>
    </row>
    <row r="5193" spans="7:12" x14ac:dyDescent="0.25">
      <c r="G5193" s="136">
        <v>43546</v>
      </c>
      <c r="H5193" t="s">
        <v>212</v>
      </c>
      <c r="I5193" t="s">
        <v>176</v>
      </c>
      <c r="J5193" t="s">
        <v>521</v>
      </c>
      <c r="K5193" s="138">
        <v>99.66</v>
      </c>
      <c r="L5193" s="137">
        <v>0</v>
      </c>
    </row>
    <row r="5194" spans="7:12" x14ac:dyDescent="0.25">
      <c r="G5194" s="136">
        <v>43546</v>
      </c>
      <c r="H5194" t="s">
        <v>184</v>
      </c>
      <c r="I5194" t="s">
        <v>42</v>
      </c>
      <c r="J5194" t="s">
        <v>521</v>
      </c>
      <c r="K5194" s="138">
        <v>30</v>
      </c>
      <c r="L5194" s="137">
        <v>0</v>
      </c>
    </row>
    <row r="5195" spans="7:12" x14ac:dyDescent="0.25">
      <c r="G5195" s="136">
        <v>43546</v>
      </c>
      <c r="H5195" t="s">
        <v>25</v>
      </c>
      <c r="I5195" t="s">
        <v>63</v>
      </c>
      <c r="J5195" t="s">
        <v>521</v>
      </c>
      <c r="K5195" s="138">
        <v>16</v>
      </c>
      <c r="L5195" s="137">
        <v>0</v>
      </c>
    </row>
    <row r="5196" spans="7:12" x14ac:dyDescent="0.25">
      <c r="G5196" s="136">
        <v>43546</v>
      </c>
      <c r="H5196" t="s">
        <v>201</v>
      </c>
      <c r="I5196" t="s">
        <v>176</v>
      </c>
      <c r="J5196" t="s">
        <v>521</v>
      </c>
      <c r="K5196" s="138">
        <v>54.2</v>
      </c>
      <c r="L5196" s="137">
        <v>0</v>
      </c>
    </row>
    <row r="5197" spans="7:12" x14ac:dyDescent="0.25">
      <c r="G5197" s="136">
        <v>43546</v>
      </c>
      <c r="H5197" t="s">
        <v>207</v>
      </c>
      <c r="I5197" t="s">
        <v>176</v>
      </c>
      <c r="J5197" t="s">
        <v>521</v>
      </c>
      <c r="K5197" s="138">
        <v>32.200000000000003</v>
      </c>
      <c r="L5197" s="137">
        <v>0</v>
      </c>
    </row>
    <row r="5198" spans="7:12" x14ac:dyDescent="0.25">
      <c r="G5198" s="136">
        <v>43546</v>
      </c>
      <c r="H5198" t="s">
        <v>180</v>
      </c>
      <c r="I5198" t="s">
        <v>176</v>
      </c>
      <c r="J5198" t="s">
        <v>521</v>
      </c>
      <c r="K5198" s="138">
        <v>147.19999999999999</v>
      </c>
      <c r="L5198" s="137">
        <v>0</v>
      </c>
    </row>
    <row r="5199" spans="7:12" x14ac:dyDescent="0.25">
      <c r="G5199" s="136">
        <v>43546</v>
      </c>
      <c r="H5199" t="s">
        <v>179</v>
      </c>
      <c r="I5199" t="s">
        <v>176</v>
      </c>
      <c r="J5199" t="s">
        <v>521</v>
      </c>
      <c r="K5199" s="138">
        <v>552.95000000000005</v>
      </c>
      <c r="L5199" s="137">
        <v>0</v>
      </c>
    </row>
    <row r="5200" spans="7:12" x14ac:dyDescent="0.25">
      <c r="G5200" s="136">
        <v>43546</v>
      </c>
      <c r="H5200" t="s">
        <v>28</v>
      </c>
      <c r="I5200" t="s">
        <v>247</v>
      </c>
      <c r="J5200" t="s">
        <v>520</v>
      </c>
      <c r="K5200" s="138">
        <v>11.3</v>
      </c>
      <c r="L5200" s="137">
        <v>0</v>
      </c>
    </row>
    <row r="5201" spans="7:12" x14ac:dyDescent="0.25">
      <c r="G5201" s="136">
        <v>43546</v>
      </c>
      <c r="H5201" t="s">
        <v>28</v>
      </c>
      <c r="I5201" t="s">
        <v>112</v>
      </c>
      <c r="J5201" t="s">
        <v>521</v>
      </c>
      <c r="K5201" s="138">
        <v>14.3</v>
      </c>
      <c r="L5201" s="137">
        <v>0</v>
      </c>
    </row>
    <row r="5202" spans="7:12" x14ac:dyDescent="0.25">
      <c r="G5202" s="136">
        <v>43546</v>
      </c>
      <c r="H5202" t="s">
        <v>28</v>
      </c>
      <c r="I5202" t="s">
        <v>155</v>
      </c>
      <c r="J5202" t="s">
        <v>521</v>
      </c>
      <c r="K5202" s="138">
        <v>44.15</v>
      </c>
      <c r="L5202" s="137">
        <v>0</v>
      </c>
    </row>
    <row r="5203" spans="7:12" x14ac:dyDescent="0.25">
      <c r="G5203" s="136">
        <v>43546</v>
      </c>
      <c r="H5203" t="s">
        <v>28</v>
      </c>
      <c r="I5203" t="s">
        <v>155</v>
      </c>
      <c r="J5203" t="s">
        <v>521</v>
      </c>
      <c r="K5203" s="138">
        <v>27.85</v>
      </c>
      <c r="L5203" s="137">
        <v>0</v>
      </c>
    </row>
    <row r="5204" spans="7:12" x14ac:dyDescent="0.25">
      <c r="G5204" s="136">
        <v>43546</v>
      </c>
      <c r="H5204" t="s">
        <v>28</v>
      </c>
      <c r="I5204" t="s">
        <v>66</v>
      </c>
      <c r="J5204" t="s">
        <v>143</v>
      </c>
      <c r="K5204" s="138">
        <v>26</v>
      </c>
      <c r="L5204" s="137">
        <v>0</v>
      </c>
    </row>
    <row r="5205" spans="7:12" x14ac:dyDescent="0.25">
      <c r="G5205" s="136">
        <v>43546</v>
      </c>
      <c r="H5205" t="s">
        <v>28</v>
      </c>
      <c r="I5205" t="s">
        <v>66</v>
      </c>
      <c r="J5205" t="s">
        <v>124</v>
      </c>
      <c r="K5205" s="138">
        <v>6.5</v>
      </c>
      <c r="L5205" s="137">
        <v>0</v>
      </c>
    </row>
    <row r="5206" spans="7:12" x14ac:dyDescent="0.25">
      <c r="G5206" s="136">
        <v>43546</v>
      </c>
      <c r="H5206" t="s">
        <v>28</v>
      </c>
      <c r="I5206" t="s">
        <v>66</v>
      </c>
      <c r="J5206" t="s">
        <v>276</v>
      </c>
      <c r="K5206" s="138">
        <v>6.85</v>
      </c>
      <c r="L5206" s="137">
        <v>0</v>
      </c>
    </row>
    <row r="5207" spans="7:12" x14ac:dyDescent="0.25">
      <c r="G5207" s="136">
        <v>43547</v>
      </c>
      <c r="H5207" t="s">
        <v>202</v>
      </c>
      <c r="I5207" t="s">
        <v>163</v>
      </c>
      <c r="J5207" t="s">
        <v>522</v>
      </c>
      <c r="K5207" s="138">
        <v>1024.77</v>
      </c>
      <c r="L5207" s="137">
        <v>0</v>
      </c>
    </row>
    <row r="5208" spans="7:12" x14ac:dyDescent="0.25">
      <c r="G5208" s="136">
        <v>43547</v>
      </c>
      <c r="H5208" t="s">
        <v>188</v>
      </c>
      <c r="I5208" t="s">
        <v>63</v>
      </c>
      <c r="J5208" t="s">
        <v>522</v>
      </c>
      <c r="K5208" s="138">
        <v>25.6</v>
      </c>
      <c r="L5208" s="137">
        <v>0</v>
      </c>
    </row>
    <row r="5209" spans="7:12" x14ac:dyDescent="0.25">
      <c r="G5209" s="136">
        <v>43547</v>
      </c>
      <c r="H5209" t="s">
        <v>25</v>
      </c>
      <c r="I5209" t="s">
        <v>63</v>
      </c>
      <c r="J5209" t="s">
        <v>522</v>
      </c>
      <c r="K5209" s="138">
        <v>24</v>
      </c>
      <c r="L5209" s="137">
        <v>0</v>
      </c>
    </row>
    <row r="5210" spans="7:12" x14ac:dyDescent="0.25">
      <c r="G5210" s="136">
        <v>43547</v>
      </c>
      <c r="H5210" t="s">
        <v>25</v>
      </c>
      <c r="I5210" t="s">
        <v>63</v>
      </c>
      <c r="J5210" t="s">
        <v>522</v>
      </c>
      <c r="K5210" s="138">
        <v>8</v>
      </c>
      <c r="L5210" s="137">
        <v>0</v>
      </c>
    </row>
    <row r="5211" spans="7:12" x14ac:dyDescent="0.25">
      <c r="G5211" s="136">
        <v>43547</v>
      </c>
      <c r="H5211" t="s">
        <v>207</v>
      </c>
      <c r="I5211" t="s">
        <v>171</v>
      </c>
      <c r="J5211" t="s">
        <v>522</v>
      </c>
      <c r="K5211" s="138">
        <v>14.95</v>
      </c>
      <c r="L5211" s="137">
        <v>0</v>
      </c>
    </row>
    <row r="5212" spans="7:12" x14ac:dyDescent="0.25">
      <c r="G5212" s="136">
        <v>43547</v>
      </c>
      <c r="H5212" t="s">
        <v>181</v>
      </c>
      <c r="I5212" t="s">
        <v>171</v>
      </c>
      <c r="J5212" t="s">
        <v>522</v>
      </c>
      <c r="K5212" s="138">
        <v>64</v>
      </c>
      <c r="L5212" s="137">
        <v>0</v>
      </c>
    </row>
    <row r="5213" spans="7:12" x14ac:dyDescent="0.25">
      <c r="G5213" s="136">
        <v>43547</v>
      </c>
      <c r="H5213" t="s">
        <v>28</v>
      </c>
      <c r="I5213" t="s">
        <v>63</v>
      </c>
      <c r="J5213" t="s">
        <v>522</v>
      </c>
      <c r="K5213" s="138">
        <v>8</v>
      </c>
      <c r="L5213" s="137">
        <v>0</v>
      </c>
    </row>
    <row r="5214" spans="7:12" x14ac:dyDescent="0.25">
      <c r="G5214" s="136">
        <v>43547</v>
      </c>
      <c r="H5214" t="s">
        <v>28</v>
      </c>
      <c r="I5214" t="s">
        <v>163</v>
      </c>
      <c r="J5214" t="s">
        <v>522</v>
      </c>
      <c r="K5214" s="138">
        <v>30</v>
      </c>
      <c r="L5214" s="137">
        <v>0</v>
      </c>
    </row>
    <row r="5215" spans="7:12" x14ac:dyDescent="0.25">
      <c r="G5215" s="136">
        <v>43547</v>
      </c>
      <c r="H5215" t="s">
        <v>28</v>
      </c>
      <c r="I5215" t="s">
        <v>66</v>
      </c>
      <c r="J5215" t="s">
        <v>100</v>
      </c>
      <c r="K5215" s="138">
        <v>5.55</v>
      </c>
      <c r="L5215" s="137">
        <v>0</v>
      </c>
    </row>
    <row r="5216" spans="7:12" x14ac:dyDescent="0.25">
      <c r="G5216" s="136">
        <v>43547</v>
      </c>
      <c r="H5216" t="s">
        <v>28</v>
      </c>
      <c r="I5216" t="s">
        <v>66</v>
      </c>
      <c r="J5216" t="s">
        <v>114</v>
      </c>
      <c r="K5216" s="138">
        <v>4.8</v>
      </c>
      <c r="L5216" s="137">
        <v>0</v>
      </c>
    </row>
    <row r="5217" spans="7:12" x14ac:dyDescent="0.25">
      <c r="G5217" s="136">
        <v>43547</v>
      </c>
      <c r="H5217" t="s">
        <v>28</v>
      </c>
      <c r="I5217" t="s">
        <v>171</v>
      </c>
      <c r="J5217" t="s">
        <v>522</v>
      </c>
      <c r="K5217" s="138">
        <v>34</v>
      </c>
      <c r="L5217" s="137">
        <v>0</v>
      </c>
    </row>
    <row r="5218" spans="7:12" x14ac:dyDescent="0.25">
      <c r="G5218" s="136">
        <v>43549</v>
      </c>
      <c r="H5218" t="s">
        <v>203</v>
      </c>
      <c r="I5218" t="s">
        <v>248</v>
      </c>
      <c r="J5218" t="s">
        <v>525</v>
      </c>
      <c r="K5218" s="138">
        <v>1290.4100000000001</v>
      </c>
      <c r="L5218" s="137">
        <v>0</v>
      </c>
    </row>
    <row r="5219" spans="7:12" x14ac:dyDescent="0.25">
      <c r="G5219" s="136">
        <v>43549</v>
      </c>
      <c r="H5219" t="s">
        <v>27</v>
      </c>
      <c r="I5219" t="s">
        <v>248</v>
      </c>
      <c r="J5219" t="s">
        <v>525</v>
      </c>
      <c r="K5219" s="138">
        <v>82.95</v>
      </c>
      <c r="L5219" s="137">
        <v>0</v>
      </c>
    </row>
    <row r="5220" spans="7:12" x14ac:dyDescent="0.25">
      <c r="G5220" s="136">
        <v>43549</v>
      </c>
      <c r="H5220" t="s">
        <v>27</v>
      </c>
      <c r="I5220" t="s">
        <v>248</v>
      </c>
      <c r="J5220" t="s">
        <v>525</v>
      </c>
      <c r="K5220" s="138">
        <v>77.64</v>
      </c>
      <c r="L5220" s="137">
        <v>0</v>
      </c>
    </row>
    <row r="5221" spans="7:12" x14ac:dyDescent="0.25">
      <c r="G5221" s="136">
        <v>43549</v>
      </c>
      <c r="H5221" t="s">
        <v>27</v>
      </c>
      <c r="I5221" t="s">
        <v>248</v>
      </c>
      <c r="J5221" t="s">
        <v>525</v>
      </c>
      <c r="K5221" s="138">
        <v>72.62</v>
      </c>
      <c r="L5221" s="137">
        <v>0</v>
      </c>
    </row>
    <row r="5222" spans="7:12" x14ac:dyDescent="0.25">
      <c r="G5222" s="136">
        <v>43549</v>
      </c>
      <c r="H5222" t="s">
        <v>27</v>
      </c>
      <c r="I5222" t="s">
        <v>248</v>
      </c>
      <c r="J5222" t="s">
        <v>525</v>
      </c>
      <c r="K5222" s="138">
        <v>39.42</v>
      </c>
      <c r="L5222" s="137">
        <v>0</v>
      </c>
    </row>
    <row r="5223" spans="7:12" x14ac:dyDescent="0.25">
      <c r="G5223" s="136">
        <v>43549</v>
      </c>
      <c r="H5223" t="s">
        <v>27</v>
      </c>
      <c r="I5223" t="s">
        <v>248</v>
      </c>
      <c r="J5223" t="s">
        <v>525</v>
      </c>
      <c r="K5223" s="138">
        <v>26.83</v>
      </c>
      <c r="L5223" s="137">
        <v>0</v>
      </c>
    </row>
    <row r="5224" spans="7:12" x14ac:dyDescent="0.25">
      <c r="G5224" s="136">
        <v>43549</v>
      </c>
      <c r="H5224" t="s">
        <v>27</v>
      </c>
      <c r="I5224" t="s">
        <v>248</v>
      </c>
      <c r="J5224" t="s">
        <v>525</v>
      </c>
      <c r="K5224" s="138">
        <v>24.36</v>
      </c>
      <c r="L5224" s="137">
        <v>0</v>
      </c>
    </row>
    <row r="5225" spans="7:12" x14ac:dyDescent="0.25">
      <c r="G5225" s="136">
        <v>43549</v>
      </c>
      <c r="H5225" t="s">
        <v>27</v>
      </c>
      <c r="I5225" t="s">
        <v>248</v>
      </c>
      <c r="J5225" t="s">
        <v>525</v>
      </c>
      <c r="K5225" s="138">
        <v>17.670000000000002</v>
      </c>
      <c r="L5225" s="137">
        <v>0</v>
      </c>
    </row>
    <row r="5226" spans="7:12" x14ac:dyDescent="0.25">
      <c r="G5226" s="136">
        <v>43549</v>
      </c>
      <c r="H5226" t="s">
        <v>27</v>
      </c>
      <c r="I5226" t="s">
        <v>248</v>
      </c>
      <c r="J5226" t="s">
        <v>525</v>
      </c>
      <c r="K5226" s="138">
        <v>15.73</v>
      </c>
      <c r="L5226" s="137">
        <v>0</v>
      </c>
    </row>
    <row r="5227" spans="7:12" x14ac:dyDescent="0.25">
      <c r="G5227" s="136">
        <v>43549</v>
      </c>
      <c r="H5227" t="s">
        <v>185</v>
      </c>
      <c r="I5227" t="s">
        <v>248</v>
      </c>
      <c r="J5227" t="s">
        <v>525</v>
      </c>
      <c r="K5227" s="138">
        <v>37.49</v>
      </c>
      <c r="L5227" s="137">
        <v>0</v>
      </c>
    </row>
    <row r="5228" spans="7:12" x14ac:dyDescent="0.25">
      <c r="G5228" s="136">
        <v>43549</v>
      </c>
      <c r="H5228" t="s">
        <v>195</v>
      </c>
      <c r="I5228" t="s">
        <v>248</v>
      </c>
      <c r="J5228" t="s">
        <v>525</v>
      </c>
      <c r="K5228" s="138">
        <v>1189.81</v>
      </c>
      <c r="L5228" s="137">
        <v>0</v>
      </c>
    </row>
    <row r="5229" spans="7:12" x14ac:dyDescent="0.25">
      <c r="G5229" s="136">
        <v>43549</v>
      </c>
      <c r="H5229" t="s">
        <v>183</v>
      </c>
      <c r="I5229" t="s">
        <v>248</v>
      </c>
      <c r="J5229" t="s">
        <v>525</v>
      </c>
      <c r="K5229" s="138">
        <v>16088.95</v>
      </c>
      <c r="L5229" s="137">
        <v>0</v>
      </c>
    </row>
    <row r="5230" spans="7:12" x14ac:dyDescent="0.25">
      <c r="G5230" s="136">
        <v>43549</v>
      </c>
      <c r="H5230" t="s">
        <v>191</v>
      </c>
      <c r="I5230" t="s">
        <v>163</v>
      </c>
      <c r="J5230" t="s">
        <v>523</v>
      </c>
      <c r="K5230" s="138">
        <v>30.75</v>
      </c>
      <c r="L5230" s="137">
        <v>0</v>
      </c>
    </row>
    <row r="5231" spans="7:12" x14ac:dyDescent="0.25">
      <c r="G5231" s="136">
        <v>43549</v>
      </c>
      <c r="H5231" t="s">
        <v>188</v>
      </c>
      <c r="I5231" t="s">
        <v>248</v>
      </c>
      <c r="J5231" t="s">
        <v>525</v>
      </c>
      <c r="K5231" s="138">
        <v>7.31</v>
      </c>
      <c r="L5231" s="137">
        <v>0</v>
      </c>
    </row>
    <row r="5232" spans="7:12" x14ac:dyDescent="0.25">
      <c r="G5232" s="136">
        <v>43549</v>
      </c>
      <c r="H5232" t="s">
        <v>25</v>
      </c>
      <c r="I5232" t="s">
        <v>63</v>
      </c>
      <c r="J5232" t="s">
        <v>523</v>
      </c>
      <c r="K5232" s="138">
        <v>40</v>
      </c>
      <c r="L5232" s="137">
        <v>0</v>
      </c>
    </row>
    <row r="5233" spans="7:12" x14ac:dyDescent="0.25">
      <c r="G5233" s="136">
        <v>43549</v>
      </c>
      <c r="H5233" t="s">
        <v>25</v>
      </c>
      <c r="I5233" t="s">
        <v>63</v>
      </c>
      <c r="J5233" t="s">
        <v>523</v>
      </c>
      <c r="K5233" s="138">
        <v>24</v>
      </c>
      <c r="L5233" s="137">
        <v>0</v>
      </c>
    </row>
    <row r="5234" spans="7:12" x14ac:dyDescent="0.25">
      <c r="G5234" s="136">
        <v>43549</v>
      </c>
      <c r="H5234" t="s">
        <v>25</v>
      </c>
      <c r="I5234" t="s">
        <v>63</v>
      </c>
      <c r="J5234" t="s">
        <v>523</v>
      </c>
      <c r="K5234" s="138">
        <v>16</v>
      </c>
      <c r="L5234" s="137">
        <v>0</v>
      </c>
    </row>
    <row r="5235" spans="7:12" x14ac:dyDescent="0.25">
      <c r="G5235" s="136">
        <v>43549</v>
      </c>
      <c r="H5235" t="s">
        <v>25</v>
      </c>
      <c r="I5235" t="s">
        <v>248</v>
      </c>
      <c r="J5235" t="s">
        <v>525</v>
      </c>
      <c r="K5235" s="138">
        <v>906.64</v>
      </c>
      <c r="L5235" s="137">
        <v>0</v>
      </c>
    </row>
    <row r="5236" spans="7:12" x14ac:dyDescent="0.25">
      <c r="G5236" s="136">
        <v>43549</v>
      </c>
      <c r="H5236" t="s">
        <v>25</v>
      </c>
      <c r="I5236" t="s">
        <v>248</v>
      </c>
      <c r="J5236" t="s">
        <v>525</v>
      </c>
      <c r="K5236" s="138">
        <v>562.41</v>
      </c>
      <c r="L5236" s="137">
        <v>0</v>
      </c>
    </row>
    <row r="5237" spans="7:12" x14ac:dyDescent="0.25">
      <c r="G5237" s="136">
        <v>43549</v>
      </c>
      <c r="H5237" t="s">
        <v>25</v>
      </c>
      <c r="I5237" t="s">
        <v>248</v>
      </c>
      <c r="J5237" t="s">
        <v>525</v>
      </c>
      <c r="K5237" s="138">
        <v>523.57000000000005</v>
      </c>
      <c r="L5237" s="137">
        <v>0</v>
      </c>
    </row>
    <row r="5238" spans="7:12" x14ac:dyDescent="0.25">
      <c r="G5238" s="136">
        <v>43549</v>
      </c>
      <c r="H5238" t="s">
        <v>25</v>
      </c>
      <c r="I5238" t="s">
        <v>248</v>
      </c>
      <c r="J5238" t="s">
        <v>525</v>
      </c>
      <c r="K5238" s="138">
        <v>523.55999999999995</v>
      </c>
      <c r="L5238" s="137">
        <v>0</v>
      </c>
    </row>
    <row r="5239" spans="7:12" x14ac:dyDescent="0.25">
      <c r="G5239" s="136">
        <v>43549</v>
      </c>
      <c r="H5239" t="s">
        <v>25</v>
      </c>
      <c r="I5239" t="s">
        <v>248</v>
      </c>
      <c r="J5239" t="s">
        <v>525</v>
      </c>
      <c r="K5239" s="138">
        <v>516.62</v>
      </c>
      <c r="L5239" s="137">
        <v>0</v>
      </c>
    </row>
    <row r="5240" spans="7:12" x14ac:dyDescent="0.25">
      <c r="G5240" s="136">
        <v>43549</v>
      </c>
      <c r="H5240" t="s">
        <v>25</v>
      </c>
      <c r="I5240" t="s">
        <v>248</v>
      </c>
      <c r="J5240" t="s">
        <v>525</v>
      </c>
      <c r="K5240" s="138">
        <v>488.85</v>
      </c>
      <c r="L5240" s="137">
        <v>0</v>
      </c>
    </row>
    <row r="5241" spans="7:12" x14ac:dyDescent="0.25">
      <c r="G5241" s="136">
        <v>43549</v>
      </c>
      <c r="H5241" t="s">
        <v>25</v>
      </c>
      <c r="I5241" t="s">
        <v>248</v>
      </c>
      <c r="J5241" t="s">
        <v>525</v>
      </c>
      <c r="K5241" s="138">
        <v>471.73</v>
      </c>
      <c r="L5241" s="137">
        <v>0</v>
      </c>
    </row>
    <row r="5242" spans="7:12" x14ac:dyDescent="0.25">
      <c r="G5242" s="136">
        <v>43549</v>
      </c>
      <c r="H5242" t="s">
        <v>25</v>
      </c>
      <c r="I5242" t="s">
        <v>248</v>
      </c>
      <c r="J5242" t="s">
        <v>525</v>
      </c>
      <c r="K5242" s="138">
        <v>456.32</v>
      </c>
      <c r="L5242" s="137">
        <v>0</v>
      </c>
    </row>
    <row r="5243" spans="7:12" x14ac:dyDescent="0.25">
      <c r="G5243" s="136">
        <v>43549</v>
      </c>
      <c r="H5243" t="s">
        <v>25</v>
      </c>
      <c r="I5243" t="s">
        <v>248</v>
      </c>
      <c r="J5243" t="s">
        <v>525</v>
      </c>
      <c r="K5243" s="138">
        <v>397.66</v>
      </c>
      <c r="L5243" s="137">
        <v>0</v>
      </c>
    </row>
    <row r="5244" spans="7:12" x14ac:dyDescent="0.25">
      <c r="G5244" s="136">
        <v>43549</v>
      </c>
      <c r="H5244" t="s">
        <v>25</v>
      </c>
      <c r="I5244" t="s">
        <v>248</v>
      </c>
      <c r="J5244" t="s">
        <v>525</v>
      </c>
      <c r="K5244" s="138">
        <v>369.72</v>
      </c>
      <c r="L5244" s="137">
        <v>0</v>
      </c>
    </row>
    <row r="5245" spans="7:12" x14ac:dyDescent="0.25">
      <c r="G5245" s="136">
        <v>43549</v>
      </c>
      <c r="H5245" t="s">
        <v>25</v>
      </c>
      <c r="I5245" t="s">
        <v>248</v>
      </c>
      <c r="J5245" t="s">
        <v>525</v>
      </c>
      <c r="K5245" s="138">
        <v>294.52</v>
      </c>
      <c r="L5245" s="137">
        <v>0</v>
      </c>
    </row>
    <row r="5246" spans="7:12" x14ac:dyDescent="0.25">
      <c r="G5246" s="136">
        <v>43549</v>
      </c>
      <c r="H5246" t="s">
        <v>25</v>
      </c>
      <c r="I5246" t="s">
        <v>248</v>
      </c>
      <c r="J5246" t="s">
        <v>525</v>
      </c>
      <c r="K5246" s="138">
        <v>260.81</v>
      </c>
      <c r="L5246" s="137">
        <v>0</v>
      </c>
    </row>
    <row r="5247" spans="7:12" x14ac:dyDescent="0.25">
      <c r="G5247" s="136">
        <v>43549</v>
      </c>
      <c r="H5247" t="s">
        <v>25</v>
      </c>
      <c r="I5247" t="s">
        <v>248</v>
      </c>
      <c r="J5247" t="s">
        <v>525</v>
      </c>
      <c r="K5247" s="138">
        <v>242.02</v>
      </c>
      <c r="L5247" s="137">
        <v>0</v>
      </c>
    </row>
    <row r="5248" spans="7:12" x14ac:dyDescent="0.25">
      <c r="G5248" s="136">
        <v>43549</v>
      </c>
      <c r="H5248" t="s">
        <v>25</v>
      </c>
      <c r="I5248" t="s">
        <v>248</v>
      </c>
      <c r="J5248" t="s">
        <v>525</v>
      </c>
      <c r="K5248" s="138">
        <v>238</v>
      </c>
      <c r="L5248" s="137">
        <v>0</v>
      </c>
    </row>
    <row r="5249" spans="7:12" x14ac:dyDescent="0.25">
      <c r="G5249" s="136">
        <v>43549</v>
      </c>
      <c r="H5249" t="s">
        <v>25</v>
      </c>
      <c r="I5249" t="s">
        <v>248</v>
      </c>
      <c r="J5249" t="s">
        <v>525</v>
      </c>
      <c r="K5249" s="138">
        <v>231.75</v>
      </c>
      <c r="L5249" s="137">
        <v>0</v>
      </c>
    </row>
    <row r="5250" spans="7:12" x14ac:dyDescent="0.25">
      <c r="G5250" s="136">
        <v>43549</v>
      </c>
      <c r="H5250" t="s">
        <v>25</v>
      </c>
      <c r="I5250" t="s">
        <v>248</v>
      </c>
      <c r="J5250" t="s">
        <v>525</v>
      </c>
      <c r="K5250" s="138">
        <v>165.12</v>
      </c>
      <c r="L5250" s="137">
        <v>0</v>
      </c>
    </row>
    <row r="5251" spans="7:12" x14ac:dyDescent="0.25">
      <c r="G5251" s="136">
        <v>43549</v>
      </c>
      <c r="H5251" t="s">
        <v>25</v>
      </c>
      <c r="I5251" t="s">
        <v>248</v>
      </c>
      <c r="J5251" t="s">
        <v>525</v>
      </c>
      <c r="K5251" s="138">
        <v>155.74</v>
      </c>
      <c r="L5251" s="137">
        <v>0</v>
      </c>
    </row>
    <row r="5252" spans="7:12" x14ac:dyDescent="0.25">
      <c r="G5252" s="136">
        <v>43549</v>
      </c>
      <c r="H5252" t="s">
        <v>25</v>
      </c>
      <c r="I5252" t="s">
        <v>248</v>
      </c>
      <c r="J5252" t="s">
        <v>525</v>
      </c>
      <c r="K5252" s="138">
        <v>142.01</v>
      </c>
      <c r="L5252" s="137">
        <v>0</v>
      </c>
    </row>
    <row r="5253" spans="7:12" x14ac:dyDescent="0.25">
      <c r="G5253" s="136">
        <v>43549</v>
      </c>
      <c r="H5253" t="s">
        <v>25</v>
      </c>
      <c r="I5253" t="s">
        <v>248</v>
      </c>
      <c r="J5253" t="s">
        <v>525</v>
      </c>
      <c r="K5253" s="138">
        <v>105.12</v>
      </c>
      <c r="L5253" s="137">
        <v>0</v>
      </c>
    </row>
    <row r="5254" spans="7:12" x14ac:dyDescent="0.25">
      <c r="G5254" s="136">
        <v>43549</v>
      </c>
      <c r="H5254" t="s">
        <v>25</v>
      </c>
      <c r="I5254" t="s">
        <v>248</v>
      </c>
      <c r="J5254" t="s">
        <v>525</v>
      </c>
      <c r="K5254" s="138">
        <v>87.89</v>
      </c>
      <c r="L5254" s="137">
        <v>0</v>
      </c>
    </row>
    <row r="5255" spans="7:12" x14ac:dyDescent="0.25">
      <c r="G5255" s="136">
        <v>43549</v>
      </c>
      <c r="H5255" t="s">
        <v>25</v>
      </c>
      <c r="I5255" t="s">
        <v>248</v>
      </c>
      <c r="J5255" t="s">
        <v>525</v>
      </c>
      <c r="K5255" s="138">
        <v>82.59</v>
      </c>
      <c r="L5255" s="137">
        <v>0</v>
      </c>
    </row>
    <row r="5256" spans="7:12" x14ac:dyDescent="0.25">
      <c r="G5256" s="136">
        <v>43549</v>
      </c>
      <c r="H5256" t="s">
        <v>25</v>
      </c>
      <c r="I5256" t="s">
        <v>248</v>
      </c>
      <c r="J5256" t="s">
        <v>525</v>
      </c>
      <c r="K5256" s="138">
        <v>79.08</v>
      </c>
      <c r="L5256" s="137">
        <v>0</v>
      </c>
    </row>
    <row r="5257" spans="7:12" x14ac:dyDescent="0.25">
      <c r="G5257" s="136">
        <v>43549</v>
      </c>
      <c r="H5257" t="s">
        <v>25</v>
      </c>
      <c r="I5257" t="s">
        <v>248</v>
      </c>
      <c r="J5257" t="s">
        <v>525</v>
      </c>
      <c r="K5257" s="138">
        <v>30.38</v>
      </c>
      <c r="L5257" s="137">
        <v>0</v>
      </c>
    </row>
    <row r="5258" spans="7:12" x14ac:dyDescent="0.25">
      <c r="G5258" s="136">
        <v>43549</v>
      </c>
      <c r="H5258" t="s">
        <v>179</v>
      </c>
      <c r="I5258" t="s">
        <v>248</v>
      </c>
      <c r="J5258" t="s">
        <v>525</v>
      </c>
      <c r="K5258" s="138">
        <v>1283.31</v>
      </c>
      <c r="L5258" s="137">
        <v>0</v>
      </c>
    </row>
    <row r="5259" spans="7:12" x14ac:dyDescent="0.25">
      <c r="G5259" s="136">
        <v>43549</v>
      </c>
      <c r="H5259" t="s">
        <v>28</v>
      </c>
      <c r="I5259" t="s">
        <v>63</v>
      </c>
      <c r="J5259" t="s">
        <v>523</v>
      </c>
      <c r="K5259" s="138">
        <v>8</v>
      </c>
      <c r="L5259" s="137">
        <v>0</v>
      </c>
    </row>
    <row r="5260" spans="7:12" x14ac:dyDescent="0.25">
      <c r="G5260" s="136">
        <v>43549</v>
      </c>
      <c r="H5260" t="s">
        <v>28</v>
      </c>
      <c r="I5260" t="s">
        <v>221</v>
      </c>
      <c r="J5260" t="s">
        <v>524</v>
      </c>
      <c r="K5260" s="138">
        <v>5</v>
      </c>
      <c r="L5260" s="137">
        <v>0</v>
      </c>
    </row>
    <row r="5261" spans="7:12" x14ac:dyDescent="0.25">
      <c r="G5261" s="136">
        <v>43549</v>
      </c>
      <c r="H5261" t="s">
        <v>28</v>
      </c>
      <c r="I5261" t="s">
        <v>66</v>
      </c>
      <c r="J5261" t="s">
        <v>139</v>
      </c>
      <c r="K5261" s="138">
        <v>30</v>
      </c>
      <c r="L5261" s="137">
        <v>0</v>
      </c>
    </row>
    <row r="5262" spans="7:12" x14ac:dyDescent="0.25">
      <c r="G5262" s="136">
        <v>43549</v>
      </c>
      <c r="H5262" t="s">
        <v>28</v>
      </c>
      <c r="I5262" t="s">
        <v>66</v>
      </c>
      <c r="J5262" t="s">
        <v>115</v>
      </c>
      <c r="K5262" s="138">
        <v>2.25</v>
      </c>
      <c r="L5262" s="137">
        <v>0</v>
      </c>
    </row>
    <row r="5263" spans="7:12" x14ac:dyDescent="0.25">
      <c r="G5263" s="136">
        <v>43549</v>
      </c>
      <c r="H5263" t="s">
        <v>28</v>
      </c>
      <c r="I5263" t="s">
        <v>248</v>
      </c>
      <c r="J5263" t="s">
        <v>525</v>
      </c>
      <c r="K5263" s="138">
        <v>447.12</v>
      </c>
      <c r="L5263" s="137">
        <v>0</v>
      </c>
    </row>
    <row r="5264" spans="7:12" x14ac:dyDescent="0.25">
      <c r="G5264" s="136">
        <v>43549</v>
      </c>
      <c r="H5264" t="s">
        <v>28</v>
      </c>
      <c r="I5264" t="s">
        <v>248</v>
      </c>
      <c r="J5264" t="s">
        <v>525</v>
      </c>
      <c r="K5264" s="138">
        <v>91.09</v>
      </c>
      <c r="L5264" s="137">
        <v>0</v>
      </c>
    </row>
    <row r="5265" spans="7:12" x14ac:dyDescent="0.25">
      <c r="G5265" s="136">
        <v>43549</v>
      </c>
      <c r="H5265" t="s">
        <v>28</v>
      </c>
      <c r="I5265" t="s">
        <v>248</v>
      </c>
      <c r="J5265" t="s">
        <v>525</v>
      </c>
      <c r="K5265" s="138">
        <v>50.49</v>
      </c>
      <c r="L5265" s="137">
        <v>0</v>
      </c>
    </row>
    <row r="5266" spans="7:12" x14ac:dyDescent="0.25">
      <c r="G5266" s="136">
        <v>43549</v>
      </c>
      <c r="H5266" t="s">
        <v>28</v>
      </c>
      <c r="I5266" t="s">
        <v>248</v>
      </c>
      <c r="J5266" t="s">
        <v>525</v>
      </c>
      <c r="K5266" s="138">
        <v>29.34</v>
      </c>
      <c r="L5266" s="137">
        <v>0</v>
      </c>
    </row>
    <row r="5267" spans="7:12" x14ac:dyDescent="0.25">
      <c r="G5267" s="136">
        <v>43549</v>
      </c>
      <c r="H5267" t="s">
        <v>28</v>
      </c>
      <c r="I5267" t="s">
        <v>171</v>
      </c>
      <c r="J5267" t="s">
        <v>523</v>
      </c>
      <c r="K5267" s="138">
        <v>39</v>
      </c>
      <c r="L5267" s="137">
        <v>0</v>
      </c>
    </row>
    <row r="5268" spans="7:12" x14ac:dyDescent="0.25">
      <c r="G5268" s="136">
        <v>43550</v>
      </c>
      <c r="H5268" t="s">
        <v>183</v>
      </c>
      <c r="I5268" t="s">
        <v>178</v>
      </c>
      <c r="J5268" t="s">
        <v>526</v>
      </c>
      <c r="K5268" s="138">
        <v>150</v>
      </c>
      <c r="L5268" s="137">
        <v>0</v>
      </c>
    </row>
    <row r="5269" spans="7:12" x14ac:dyDescent="0.25">
      <c r="G5269" s="136">
        <v>43550</v>
      </c>
      <c r="H5269" t="s">
        <v>188</v>
      </c>
      <c r="I5269" t="s">
        <v>112</v>
      </c>
      <c r="J5269" t="s">
        <v>526</v>
      </c>
      <c r="K5269" s="138">
        <v>41.19</v>
      </c>
      <c r="L5269" s="137">
        <v>0</v>
      </c>
    </row>
    <row r="5270" spans="7:12" x14ac:dyDescent="0.25">
      <c r="G5270" s="136">
        <v>43550</v>
      </c>
      <c r="H5270" t="s">
        <v>188</v>
      </c>
      <c r="I5270" t="s">
        <v>155</v>
      </c>
      <c r="J5270" t="s">
        <v>526</v>
      </c>
      <c r="K5270" s="138">
        <v>23.26</v>
      </c>
      <c r="L5270" s="137">
        <v>0</v>
      </c>
    </row>
    <row r="5271" spans="7:12" x14ac:dyDescent="0.25">
      <c r="G5271" s="136">
        <v>43550</v>
      </c>
      <c r="H5271" t="s">
        <v>188</v>
      </c>
      <c r="I5271" t="s">
        <v>176</v>
      </c>
      <c r="J5271" t="s">
        <v>526</v>
      </c>
      <c r="K5271" s="138">
        <v>235.9</v>
      </c>
      <c r="L5271" s="137">
        <v>0</v>
      </c>
    </row>
    <row r="5272" spans="7:12" x14ac:dyDescent="0.25">
      <c r="G5272" s="136">
        <v>43550</v>
      </c>
      <c r="H5272" t="s">
        <v>188</v>
      </c>
      <c r="I5272" t="s">
        <v>171</v>
      </c>
      <c r="J5272" t="s">
        <v>526</v>
      </c>
      <c r="K5272" s="138">
        <v>90.01</v>
      </c>
      <c r="L5272" s="137">
        <v>0</v>
      </c>
    </row>
    <row r="5273" spans="7:12" x14ac:dyDescent="0.25">
      <c r="G5273" s="136">
        <v>43550</v>
      </c>
      <c r="H5273" t="s">
        <v>25</v>
      </c>
      <c r="I5273" t="s">
        <v>63</v>
      </c>
      <c r="J5273" t="s">
        <v>526</v>
      </c>
      <c r="K5273" s="138">
        <v>16</v>
      </c>
      <c r="L5273" s="137">
        <v>0</v>
      </c>
    </row>
    <row r="5274" spans="7:12" x14ac:dyDescent="0.25">
      <c r="G5274" s="136">
        <v>43550</v>
      </c>
      <c r="H5274" t="s">
        <v>25</v>
      </c>
      <c r="I5274" t="s">
        <v>63</v>
      </c>
      <c r="J5274" t="s">
        <v>526</v>
      </c>
      <c r="K5274" s="138">
        <v>8</v>
      </c>
      <c r="L5274" s="137">
        <v>0</v>
      </c>
    </row>
    <row r="5275" spans="7:12" x14ac:dyDescent="0.25">
      <c r="G5275" s="136">
        <v>43550</v>
      </c>
      <c r="H5275" t="s">
        <v>211</v>
      </c>
      <c r="I5275" t="s">
        <v>171</v>
      </c>
      <c r="J5275" t="s">
        <v>526</v>
      </c>
      <c r="K5275" s="138">
        <v>675.9</v>
      </c>
      <c r="L5275" s="137">
        <v>0</v>
      </c>
    </row>
    <row r="5276" spans="7:12" x14ac:dyDescent="0.25">
      <c r="G5276" s="136">
        <v>43550</v>
      </c>
      <c r="H5276" t="s">
        <v>181</v>
      </c>
      <c r="I5276" t="s">
        <v>176</v>
      </c>
      <c r="J5276" t="s">
        <v>526</v>
      </c>
      <c r="K5276" s="138">
        <v>166.26</v>
      </c>
      <c r="L5276" s="137">
        <v>0</v>
      </c>
    </row>
    <row r="5277" spans="7:12" x14ac:dyDescent="0.25">
      <c r="G5277" s="136">
        <v>43550</v>
      </c>
      <c r="H5277" t="s">
        <v>181</v>
      </c>
      <c r="I5277" t="s">
        <v>171</v>
      </c>
      <c r="J5277" t="s">
        <v>526</v>
      </c>
      <c r="K5277" s="138">
        <v>61.92</v>
      </c>
      <c r="L5277" s="137">
        <v>0</v>
      </c>
    </row>
    <row r="5278" spans="7:12" x14ac:dyDescent="0.25">
      <c r="G5278" s="136">
        <v>43550</v>
      </c>
      <c r="H5278" t="s">
        <v>187</v>
      </c>
      <c r="I5278" t="s">
        <v>171</v>
      </c>
      <c r="J5278" t="s">
        <v>526</v>
      </c>
      <c r="K5278" s="138">
        <v>46.02</v>
      </c>
      <c r="L5278" s="137">
        <v>0</v>
      </c>
    </row>
    <row r="5279" spans="7:12" x14ac:dyDescent="0.25">
      <c r="G5279" s="136">
        <v>43550</v>
      </c>
      <c r="H5279" t="s">
        <v>196</v>
      </c>
      <c r="I5279" t="s">
        <v>171</v>
      </c>
      <c r="J5279" t="s">
        <v>526</v>
      </c>
      <c r="K5279" s="138">
        <v>1060.6500000000001</v>
      </c>
      <c r="L5279" s="137">
        <v>0</v>
      </c>
    </row>
    <row r="5280" spans="7:12" x14ac:dyDescent="0.25">
      <c r="G5280" s="136">
        <v>43550</v>
      </c>
      <c r="H5280" t="s">
        <v>180</v>
      </c>
      <c r="I5280" t="s">
        <v>171</v>
      </c>
      <c r="J5280" t="s">
        <v>526</v>
      </c>
      <c r="K5280" s="138">
        <v>10</v>
      </c>
      <c r="L5280" s="137">
        <v>0</v>
      </c>
    </row>
    <row r="5281" spans="7:12" x14ac:dyDescent="0.25">
      <c r="G5281" s="136">
        <v>43550</v>
      </c>
      <c r="H5281" t="s">
        <v>28</v>
      </c>
      <c r="I5281" t="s">
        <v>155</v>
      </c>
      <c r="J5281" t="s">
        <v>526</v>
      </c>
      <c r="K5281" s="138">
        <v>213.44</v>
      </c>
      <c r="L5281" s="137">
        <v>0</v>
      </c>
    </row>
    <row r="5282" spans="7:12" x14ac:dyDescent="0.25">
      <c r="G5282" s="136">
        <v>43550</v>
      </c>
      <c r="H5282" t="s">
        <v>28</v>
      </c>
      <c r="I5282" t="s">
        <v>155</v>
      </c>
      <c r="J5282" t="s">
        <v>526</v>
      </c>
      <c r="K5282" s="138">
        <v>137.11000000000001</v>
      </c>
      <c r="L5282" s="137">
        <v>0</v>
      </c>
    </row>
    <row r="5283" spans="7:12" x14ac:dyDescent="0.25">
      <c r="G5283" s="136">
        <v>43550</v>
      </c>
      <c r="H5283" t="s">
        <v>28</v>
      </c>
      <c r="I5283" t="s">
        <v>155</v>
      </c>
      <c r="J5283" t="s">
        <v>526</v>
      </c>
      <c r="K5283" s="138">
        <v>39.86</v>
      </c>
      <c r="L5283" s="137">
        <v>0</v>
      </c>
    </row>
    <row r="5284" spans="7:12" x14ac:dyDescent="0.25">
      <c r="G5284" s="136">
        <v>43550</v>
      </c>
      <c r="H5284" t="s">
        <v>28</v>
      </c>
      <c r="I5284" t="s">
        <v>155</v>
      </c>
      <c r="J5284" t="s">
        <v>526</v>
      </c>
      <c r="K5284" s="138">
        <v>35.369999999999997</v>
      </c>
      <c r="L5284" s="137">
        <v>0</v>
      </c>
    </row>
    <row r="5285" spans="7:12" x14ac:dyDescent="0.25">
      <c r="G5285" s="136">
        <v>43550</v>
      </c>
      <c r="H5285" t="s">
        <v>28</v>
      </c>
      <c r="I5285" t="s">
        <v>171</v>
      </c>
      <c r="J5285" t="s">
        <v>526</v>
      </c>
      <c r="K5285" s="138">
        <v>30</v>
      </c>
      <c r="L5285" s="137">
        <v>0</v>
      </c>
    </row>
    <row r="5286" spans="7:12" x14ac:dyDescent="0.25">
      <c r="G5286" s="136">
        <v>43550</v>
      </c>
      <c r="H5286" t="s">
        <v>28</v>
      </c>
      <c r="I5286" t="s">
        <v>171</v>
      </c>
      <c r="J5286" t="s">
        <v>526</v>
      </c>
      <c r="K5286" s="138">
        <v>19</v>
      </c>
      <c r="L5286" s="137">
        <v>0</v>
      </c>
    </row>
    <row r="5287" spans="7:12" x14ac:dyDescent="0.25">
      <c r="G5287" s="136">
        <v>43551</v>
      </c>
      <c r="H5287" t="s">
        <v>192</v>
      </c>
      <c r="I5287" t="s">
        <v>171</v>
      </c>
      <c r="J5287" t="s">
        <v>527</v>
      </c>
      <c r="K5287" s="138">
        <v>17.12</v>
      </c>
      <c r="L5287" s="137">
        <v>0</v>
      </c>
    </row>
    <row r="5288" spans="7:12" x14ac:dyDescent="0.25">
      <c r="G5288" s="136">
        <v>43551</v>
      </c>
      <c r="H5288" t="s">
        <v>27</v>
      </c>
      <c r="I5288" t="s">
        <v>171</v>
      </c>
      <c r="J5288" t="s">
        <v>527</v>
      </c>
      <c r="K5288" s="138">
        <v>234</v>
      </c>
      <c r="L5288" s="137">
        <v>0</v>
      </c>
    </row>
    <row r="5289" spans="7:12" x14ac:dyDescent="0.25">
      <c r="G5289" s="136">
        <v>43551</v>
      </c>
      <c r="H5289" t="s">
        <v>27</v>
      </c>
      <c r="I5289" t="s">
        <v>171</v>
      </c>
      <c r="J5289" t="s">
        <v>527</v>
      </c>
      <c r="K5289" s="138">
        <v>143</v>
      </c>
      <c r="L5289" s="137">
        <v>0</v>
      </c>
    </row>
    <row r="5290" spans="7:12" x14ac:dyDescent="0.25">
      <c r="G5290" s="136">
        <v>43551</v>
      </c>
      <c r="H5290" t="s">
        <v>27</v>
      </c>
      <c r="I5290" t="s">
        <v>171</v>
      </c>
      <c r="J5290" t="s">
        <v>527</v>
      </c>
      <c r="K5290" s="138">
        <v>117</v>
      </c>
      <c r="L5290" s="137">
        <v>0</v>
      </c>
    </row>
    <row r="5291" spans="7:12" x14ac:dyDescent="0.25">
      <c r="G5291" s="136">
        <v>43551</v>
      </c>
      <c r="H5291" t="s">
        <v>212</v>
      </c>
      <c r="I5291" t="s">
        <v>176</v>
      </c>
      <c r="J5291" t="s">
        <v>527</v>
      </c>
      <c r="K5291" s="138">
        <v>343.33</v>
      </c>
      <c r="L5291" s="137">
        <v>0</v>
      </c>
    </row>
    <row r="5292" spans="7:12" x14ac:dyDescent="0.25">
      <c r="G5292" s="136">
        <v>43551</v>
      </c>
      <c r="H5292" t="s">
        <v>212</v>
      </c>
      <c r="I5292" t="s">
        <v>171</v>
      </c>
      <c r="J5292" t="s">
        <v>527</v>
      </c>
      <c r="K5292" s="138">
        <v>24</v>
      </c>
      <c r="L5292" s="137">
        <v>0</v>
      </c>
    </row>
    <row r="5293" spans="7:12" x14ac:dyDescent="0.25">
      <c r="G5293" s="136">
        <v>43551</v>
      </c>
      <c r="H5293" t="s">
        <v>184</v>
      </c>
      <c r="I5293" t="s">
        <v>63</v>
      </c>
      <c r="J5293" t="s">
        <v>527</v>
      </c>
      <c r="K5293" s="138">
        <v>7.33</v>
      </c>
      <c r="L5293" s="137">
        <v>0</v>
      </c>
    </row>
    <row r="5294" spans="7:12" x14ac:dyDescent="0.25">
      <c r="G5294" s="136">
        <v>43551</v>
      </c>
      <c r="H5294" t="s">
        <v>183</v>
      </c>
      <c r="I5294" t="s">
        <v>155</v>
      </c>
      <c r="J5294" t="s">
        <v>527</v>
      </c>
      <c r="K5294" s="138">
        <v>294.31</v>
      </c>
      <c r="L5294" s="137">
        <v>0</v>
      </c>
    </row>
    <row r="5295" spans="7:12" x14ac:dyDescent="0.25">
      <c r="G5295" s="136">
        <v>43551</v>
      </c>
      <c r="H5295" t="s">
        <v>191</v>
      </c>
      <c r="I5295" t="s">
        <v>176</v>
      </c>
      <c r="J5295" t="s">
        <v>527</v>
      </c>
      <c r="K5295" s="138">
        <v>32.65</v>
      </c>
      <c r="L5295" s="137">
        <v>0</v>
      </c>
    </row>
    <row r="5296" spans="7:12" x14ac:dyDescent="0.25">
      <c r="G5296" s="136">
        <v>43551</v>
      </c>
      <c r="H5296" t="s">
        <v>188</v>
      </c>
      <c r="I5296" t="s">
        <v>155</v>
      </c>
      <c r="J5296" t="s">
        <v>527</v>
      </c>
      <c r="K5296" s="138">
        <v>18</v>
      </c>
      <c r="L5296" s="137">
        <v>0</v>
      </c>
    </row>
    <row r="5297" spans="7:12" x14ac:dyDescent="0.25">
      <c r="G5297" s="136">
        <v>43551</v>
      </c>
      <c r="H5297" t="s">
        <v>188</v>
      </c>
      <c r="I5297" t="s">
        <v>42</v>
      </c>
      <c r="J5297" t="s">
        <v>527</v>
      </c>
      <c r="K5297" s="138">
        <v>70.23</v>
      </c>
      <c r="L5297" s="137">
        <v>0</v>
      </c>
    </row>
    <row r="5298" spans="7:12" x14ac:dyDescent="0.25">
      <c r="G5298" s="136">
        <v>43551</v>
      </c>
      <c r="H5298" t="s">
        <v>188</v>
      </c>
      <c r="I5298" t="s">
        <v>171</v>
      </c>
      <c r="J5298" t="s">
        <v>527</v>
      </c>
      <c r="K5298" s="138">
        <v>1083.51</v>
      </c>
      <c r="L5298" s="137">
        <v>0</v>
      </c>
    </row>
    <row r="5299" spans="7:12" x14ac:dyDescent="0.25">
      <c r="G5299" s="136">
        <v>43551</v>
      </c>
      <c r="H5299" t="s">
        <v>25</v>
      </c>
      <c r="I5299" t="s">
        <v>63</v>
      </c>
      <c r="J5299" t="s">
        <v>527</v>
      </c>
      <c r="K5299" s="138">
        <v>16</v>
      </c>
      <c r="L5299" s="137">
        <v>0</v>
      </c>
    </row>
    <row r="5300" spans="7:12" x14ac:dyDescent="0.25">
      <c r="G5300" s="136">
        <v>43551</v>
      </c>
      <c r="H5300" t="s">
        <v>25</v>
      </c>
      <c r="I5300" t="s">
        <v>63</v>
      </c>
      <c r="J5300" t="s">
        <v>527</v>
      </c>
      <c r="K5300" s="138">
        <v>8</v>
      </c>
      <c r="L5300" s="137">
        <v>0</v>
      </c>
    </row>
    <row r="5301" spans="7:12" x14ac:dyDescent="0.25">
      <c r="G5301" s="136">
        <v>43551</v>
      </c>
      <c r="H5301" t="s">
        <v>25</v>
      </c>
      <c r="I5301" t="s">
        <v>171</v>
      </c>
      <c r="J5301" t="s">
        <v>527</v>
      </c>
      <c r="K5301" s="138">
        <v>234</v>
      </c>
      <c r="L5301" s="137">
        <v>0</v>
      </c>
    </row>
    <row r="5302" spans="7:12" x14ac:dyDescent="0.25">
      <c r="G5302" s="136">
        <v>43551</v>
      </c>
      <c r="H5302" t="s">
        <v>211</v>
      </c>
      <c r="I5302" t="s">
        <v>42</v>
      </c>
      <c r="J5302" t="s">
        <v>527</v>
      </c>
      <c r="K5302" s="138">
        <v>140.46</v>
      </c>
      <c r="L5302" s="137">
        <v>0</v>
      </c>
    </row>
    <row r="5303" spans="7:12" x14ac:dyDescent="0.25">
      <c r="G5303" s="136">
        <v>43551</v>
      </c>
      <c r="H5303" t="s">
        <v>207</v>
      </c>
      <c r="I5303" t="s">
        <v>171</v>
      </c>
      <c r="J5303" t="s">
        <v>527</v>
      </c>
      <c r="K5303" s="138">
        <v>383.94</v>
      </c>
      <c r="L5303" s="137">
        <v>0</v>
      </c>
    </row>
    <row r="5304" spans="7:12" x14ac:dyDescent="0.25">
      <c r="G5304" s="136">
        <v>43551</v>
      </c>
      <c r="H5304" t="s">
        <v>206</v>
      </c>
      <c r="I5304" t="s">
        <v>63</v>
      </c>
      <c r="J5304" t="s">
        <v>527</v>
      </c>
      <c r="K5304" s="138">
        <v>10.1</v>
      </c>
      <c r="L5304" s="137">
        <v>0</v>
      </c>
    </row>
    <row r="5305" spans="7:12" x14ac:dyDescent="0.25">
      <c r="G5305" s="136">
        <v>43551</v>
      </c>
      <c r="H5305" t="s">
        <v>180</v>
      </c>
      <c r="I5305" t="s">
        <v>171</v>
      </c>
      <c r="J5305" t="s">
        <v>527</v>
      </c>
      <c r="K5305" s="138">
        <v>34.6</v>
      </c>
      <c r="L5305" s="137">
        <v>0</v>
      </c>
    </row>
    <row r="5306" spans="7:12" x14ac:dyDescent="0.25">
      <c r="G5306" s="136">
        <v>43551</v>
      </c>
      <c r="H5306" t="s">
        <v>179</v>
      </c>
      <c r="I5306" t="s">
        <v>63</v>
      </c>
      <c r="J5306" t="s">
        <v>527</v>
      </c>
      <c r="K5306" s="138">
        <v>15</v>
      </c>
      <c r="L5306" s="137">
        <v>0</v>
      </c>
    </row>
    <row r="5307" spans="7:12" x14ac:dyDescent="0.25">
      <c r="G5307" s="136">
        <v>43551</v>
      </c>
      <c r="H5307" t="s">
        <v>179</v>
      </c>
      <c r="I5307" t="s">
        <v>163</v>
      </c>
      <c r="J5307" t="s">
        <v>527</v>
      </c>
      <c r="K5307" s="138">
        <v>126.3</v>
      </c>
      <c r="L5307" s="137">
        <v>0</v>
      </c>
    </row>
    <row r="5308" spans="7:12" x14ac:dyDescent="0.25">
      <c r="G5308" s="136">
        <v>43551</v>
      </c>
      <c r="H5308" t="s">
        <v>28</v>
      </c>
      <c r="I5308" t="s">
        <v>63</v>
      </c>
      <c r="J5308" t="s">
        <v>527</v>
      </c>
      <c r="K5308" s="138">
        <v>8</v>
      </c>
      <c r="L5308" s="137">
        <v>0</v>
      </c>
    </row>
    <row r="5309" spans="7:12" x14ac:dyDescent="0.25">
      <c r="G5309" s="136">
        <v>43551</v>
      </c>
      <c r="H5309" t="s">
        <v>28</v>
      </c>
      <c r="I5309" t="s">
        <v>155</v>
      </c>
      <c r="J5309" t="s">
        <v>527</v>
      </c>
      <c r="K5309" s="138">
        <v>97.25</v>
      </c>
      <c r="L5309" s="137">
        <v>0</v>
      </c>
    </row>
    <row r="5310" spans="7:12" x14ac:dyDescent="0.25">
      <c r="G5310" s="136">
        <v>43551</v>
      </c>
      <c r="H5310" t="s">
        <v>28</v>
      </c>
      <c r="I5310" t="s">
        <v>155</v>
      </c>
      <c r="J5310" t="s">
        <v>527</v>
      </c>
      <c r="K5310" s="138">
        <v>85</v>
      </c>
      <c r="L5310" s="137">
        <v>0</v>
      </c>
    </row>
    <row r="5311" spans="7:12" x14ac:dyDescent="0.25">
      <c r="G5311" s="136">
        <v>43551</v>
      </c>
      <c r="H5311" t="s">
        <v>28</v>
      </c>
      <c r="I5311" t="s">
        <v>155</v>
      </c>
      <c r="J5311" t="s">
        <v>527</v>
      </c>
      <c r="K5311" s="138">
        <v>60.5</v>
      </c>
      <c r="L5311" s="137">
        <v>0</v>
      </c>
    </row>
    <row r="5312" spans="7:12" x14ac:dyDescent="0.25">
      <c r="G5312" s="136">
        <v>43551</v>
      </c>
      <c r="H5312" t="s">
        <v>28</v>
      </c>
      <c r="I5312" t="s">
        <v>155</v>
      </c>
      <c r="J5312" t="s">
        <v>527</v>
      </c>
      <c r="K5312" s="138">
        <v>31.55</v>
      </c>
      <c r="L5312" s="137">
        <v>0</v>
      </c>
    </row>
    <row r="5313" spans="7:12" x14ac:dyDescent="0.25">
      <c r="G5313" s="136">
        <v>43551</v>
      </c>
      <c r="H5313" t="s">
        <v>28</v>
      </c>
      <c r="I5313" t="s">
        <v>66</v>
      </c>
      <c r="J5313" t="s">
        <v>75</v>
      </c>
      <c r="K5313" s="138">
        <v>17.399999999999999</v>
      </c>
      <c r="L5313" s="137">
        <v>0</v>
      </c>
    </row>
    <row r="5314" spans="7:12" x14ac:dyDescent="0.25">
      <c r="G5314" s="136">
        <v>43551</v>
      </c>
      <c r="H5314" t="s">
        <v>28</v>
      </c>
      <c r="I5314" t="s">
        <v>66</v>
      </c>
      <c r="J5314" t="s">
        <v>143</v>
      </c>
      <c r="K5314" s="138">
        <v>26</v>
      </c>
      <c r="L5314" s="137">
        <v>0</v>
      </c>
    </row>
    <row r="5315" spans="7:12" x14ac:dyDescent="0.25">
      <c r="G5315" s="136">
        <v>43551</v>
      </c>
      <c r="H5315" t="s">
        <v>28</v>
      </c>
      <c r="I5315" t="s">
        <v>66</v>
      </c>
      <c r="J5315" t="s">
        <v>104</v>
      </c>
      <c r="K5315" s="138">
        <v>2.25</v>
      </c>
      <c r="L5315" s="137">
        <v>0</v>
      </c>
    </row>
    <row r="5316" spans="7:12" x14ac:dyDescent="0.25">
      <c r="G5316" s="136">
        <v>43551</v>
      </c>
      <c r="H5316" t="s">
        <v>28</v>
      </c>
      <c r="I5316" t="s">
        <v>66</v>
      </c>
      <c r="J5316" t="s">
        <v>276</v>
      </c>
      <c r="K5316" s="138">
        <v>3.15</v>
      </c>
      <c r="L5316" s="137">
        <v>0</v>
      </c>
    </row>
    <row r="5317" spans="7:12" x14ac:dyDescent="0.25">
      <c r="G5317" s="136">
        <v>43551</v>
      </c>
      <c r="H5317" t="s">
        <v>28</v>
      </c>
      <c r="I5317" t="s">
        <v>171</v>
      </c>
      <c r="J5317" t="s">
        <v>527</v>
      </c>
      <c r="K5317" s="138">
        <v>162.5</v>
      </c>
      <c r="L5317" s="137">
        <v>0</v>
      </c>
    </row>
    <row r="5318" spans="7:12" x14ac:dyDescent="0.25">
      <c r="G5318" s="136">
        <v>43551</v>
      </c>
      <c r="H5318" t="s">
        <v>28</v>
      </c>
      <c r="I5318" t="s">
        <v>171</v>
      </c>
      <c r="J5318" t="s">
        <v>527</v>
      </c>
      <c r="K5318" s="138">
        <v>143</v>
      </c>
      <c r="L5318" s="137">
        <v>0</v>
      </c>
    </row>
    <row r="5319" spans="7:12" x14ac:dyDescent="0.25">
      <c r="G5319" s="136">
        <v>43551</v>
      </c>
      <c r="H5319" t="s">
        <v>28</v>
      </c>
      <c r="I5319" t="s">
        <v>171</v>
      </c>
      <c r="J5319" t="s">
        <v>527</v>
      </c>
      <c r="K5319" s="138">
        <v>91</v>
      </c>
      <c r="L5319" s="137">
        <v>0</v>
      </c>
    </row>
    <row r="5320" spans="7:12" x14ac:dyDescent="0.25">
      <c r="G5320" s="136">
        <v>43551</v>
      </c>
      <c r="H5320" t="s">
        <v>28</v>
      </c>
      <c r="I5320" t="s">
        <v>171</v>
      </c>
      <c r="J5320" t="s">
        <v>527</v>
      </c>
      <c r="K5320" s="138">
        <v>19</v>
      </c>
      <c r="L5320" s="137">
        <v>0</v>
      </c>
    </row>
    <row r="5321" spans="7:12" x14ac:dyDescent="0.25">
      <c r="G5321" s="136">
        <v>43552</v>
      </c>
      <c r="H5321" t="s">
        <v>27</v>
      </c>
      <c r="I5321" t="s">
        <v>63</v>
      </c>
      <c r="J5321" t="s">
        <v>528</v>
      </c>
      <c r="K5321" s="138">
        <v>32</v>
      </c>
      <c r="L5321" s="137">
        <v>0</v>
      </c>
    </row>
    <row r="5322" spans="7:12" x14ac:dyDescent="0.25">
      <c r="G5322" s="136">
        <v>43552</v>
      </c>
      <c r="H5322" t="s">
        <v>27</v>
      </c>
      <c r="I5322" t="s">
        <v>63</v>
      </c>
      <c r="J5322" t="s">
        <v>528</v>
      </c>
      <c r="K5322" s="138">
        <v>8</v>
      </c>
      <c r="L5322" s="137">
        <v>0</v>
      </c>
    </row>
    <row r="5323" spans="7:12" x14ac:dyDescent="0.25">
      <c r="G5323" s="136">
        <v>43552</v>
      </c>
      <c r="H5323" t="s">
        <v>195</v>
      </c>
      <c r="I5323" t="s">
        <v>171</v>
      </c>
      <c r="J5323" t="s">
        <v>528</v>
      </c>
      <c r="K5323" s="138">
        <v>11</v>
      </c>
      <c r="L5323" s="137">
        <v>0</v>
      </c>
    </row>
    <row r="5324" spans="7:12" x14ac:dyDescent="0.25">
      <c r="G5324" s="136">
        <v>43552</v>
      </c>
      <c r="H5324" t="s">
        <v>25</v>
      </c>
      <c r="I5324" t="s">
        <v>63</v>
      </c>
      <c r="J5324" t="s">
        <v>528</v>
      </c>
      <c r="K5324" s="138">
        <v>16</v>
      </c>
      <c r="L5324" s="137">
        <v>0</v>
      </c>
    </row>
    <row r="5325" spans="7:12" x14ac:dyDescent="0.25">
      <c r="G5325" s="136">
        <v>43552</v>
      </c>
      <c r="H5325" t="s">
        <v>25</v>
      </c>
      <c r="I5325" t="s">
        <v>63</v>
      </c>
      <c r="J5325" t="s">
        <v>528</v>
      </c>
      <c r="K5325" s="138">
        <v>8</v>
      </c>
      <c r="L5325" s="137">
        <v>0</v>
      </c>
    </row>
    <row r="5326" spans="7:12" x14ac:dyDescent="0.25">
      <c r="G5326" s="136">
        <v>43552</v>
      </c>
      <c r="H5326" t="s">
        <v>180</v>
      </c>
      <c r="I5326" t="s">
        <v>163</v>
      </c>
      <c r="J5326" t="s">
        <v>528</v>
      </c>
      <c r="K5326" s="138">
        <v>96.45</v>
      </c>
      <c r="L5326" s="137">
        <v>0</v>
      </c>
    </row>
    <row r="5327" spans="7:12" x14ac:dyDescent="0.25">
      <c r="G5327" s="136">
        <v>43552</v>
      </c>
      <c r="H5327" t="s">
        <v>179</v>
      </c>
      <c r="I5327" t="s">
        <v>163</v>
      </c>
      <c r="J5327" t="s">
        <v>528</v>
      </c>
      <c r="K5327" s="138">
        <v>28.75</v>
      </c>
      <c r="L5327" s="137">
        <v>0</v>
      </c>
    </row>
    <row r="5328" spans="7:12" x14ac:dyDescent="0.25">
      <c r="G5328" s="136">
        <v>43552</v>
      </c>
      <c r="H5328" t="s">
        <v>28</v>
      </c>
      <c r="I5328" t="s">
        <v>155</v>
      </c>
      <c r="J5328" t="s">
        <v>528</v>
      </c>
      <c r="K5328" s="138">
        <v>221.05</v>
      </c>
      <c r="L5328" s="137">
        <v>0</v>
      </c>
    </row>
    <row r="5329" spans="7:12" x14ac:dyDescent="0.25">
      <c r="G5329" s="136">
        <v>43552</v>
      </c>
      <c r="H5329" t="s">
        <v>28</v>
      </c>
      <c r="I5329" t="s">
        <v>171</v>
      </c>
      <c r="J5329" t="s">
        <v>528</v>
      </c>
      <c r="K5329" s="138">
        <v>33.65</v>
      </c>
      <c r="L5329" s="137">
        <v>0</v>
      </c>
    </row>
    <row r="5330" spans="7:12" x14ac:dyDescent="0.25">
      <c r="G5330" s="136">
        <v>43553</v>
      </c>
      <c r="H5330" t="s">
        <v>27</v>
      </c>
      <c r="I5330" t="s">
        <v>63</v>
      </c>
      <c r="J5330" t="s">
        <v>529</v>
      </c>
      <c r="K5330" s="138">
        <v>8</v>
      </c>
      <c r="L5330" s="137">
        <v>0</v>
      </c>
    </row>
    <row r="5331" spans="7:12" x14ac:dyDescent="0.25">
      <c r="G5331" s="136">
        <v>43553</v>
      </c>
      <c r="H5331" t="s">
        <v>27</v>
      </c>
      <c r="I5331" t="s">
        <v>171</v>
      </c>
      <c r="J5331" t="s">
        <v>529</v>
      </c>
      <c r="K5331" s="138">
        <v>9.1999999999999993</v>
      </c>
      <c r="L5331" s="137">
        <v>0</v>
      </c>
    </row>
    <row r="5332" spans="7:12" x14ac:dyDescent="0.25">
      <c r="G5332" s="136">
        <v>43553</v>
      </c>
      <c r="H5332" t="s">
        <v>185</v>
      </c>
      <c r="I5332" t="s">
        <v>176</v>
      </c>
      <c r="J5332" t="s">
        <v>529</v>
      </c>
      <c r="K5332" s="138">
        <v>120.6</v>
      </c>
      <c r="L5332" s="137">
        <v>0</v>
      </c>
    </row>
    <row r="5333" spans="7:12" x14ac:dyDescent="0.25">
      <c r="G5333" s="136">
        <v>43553</v>
      </c>
      <c r="H5333" t="s">
        <v>184</v>
      </c>
      <c r="I5333" t="s">
        <v>63</v>
      </c>
      <c r="J5333" t="s">
        <v>529</v>
      </c>
      <c r="K5333" s="138">
        <v>35</v>
      </c>
      <c r="L5333" s="137">
        <v>0</v>
      </c>
    </row>
    <row r="5334" spans="7:12" x14ac:dyDescent="0.25">
      <c r="G5334" s="136">
        <v>43553</v>
      </c>
      <c r="H5334" t="s">
        <v>188</v>
      </c>
      <c r="I5334" t="s">
        <v>171</v>
      </c>
      <c r="J5334" t="s">
        <v>529</v>
      </c>
      <c r="K5334" s="138">
        <v>107</v>
      </c>
      <c r="L5334" s="137">
        <v>0</v>
      </c>
    </row>
    <row r="5335" spans="7:12" x14ac:dyDescent="0.25">
      <c r="G5335" s="136">
        <v>43553</v>
      </c>
      <c r="H5335" t="s">
        <v>25</v>
      </c>
      <c r="I5335" t="s">
        <v>63</v>
      </c>
      <c r="J5335" t="s">
        <v>529</v>
      </c>
      <c r="K5335" s="138">
        <v>8</v>
      </c>
      <c r="L5335" s="137">
        <v>0</v>
      </c>
    </row>
    <row r="5336" spans="7:12" x14ac:dyDescent="0.25">
      <c r="G5336" s="136">
        <v>43553</v>
      </c>
      <c r="H5336" t="s">
        <v>187</v>
      </c>
      <c r="I5336" t="s">
        <v>171</v>
      </c>
      <c r="J5336" t="s">
        <v>529</v>
      </c>
      <c r="K5336" s="138">
        <v>34</v>
      </c>
      <c r="L5336" s="137">
        <v>0</v>
      </c>
    </row>
    <row r="5337" spans="7:12" x14ac:dyDescent="0.25">
      <c r="G5337" s="136">
        <v>43553</v>
      </c>
      <c r="H5337" t="s">
        <v>180</v>
      </c>
      <c r="I5337" t="s">
        <v>63</v>
      </c>
      <c r="J5337" t="s">
        <v>529</v>
      </c>
      <c r="K5337" s="138">
        <v>19.45</v>
      </c>
      <c r="L5337" s="137">
        <v>0</v>
      </c>
    </row>
    <row r="5338" spans="7:12" x14ac:dyDescent="0.25">
      <c r="G5338" s="136">
        <v>43553</v>
      </c>
      <c r="H5338" t="s">
        <v>28</v>
      </c>
      <c r="I5338" t="s">
        <v>63</v>
      </c>
      <c r="J5338" t="s">
        <v>529</v>
      </c>
      <c r="K5338" s="138">
        <v>70</v>
      </c>
      <c r="L5338" s="137">
        <v>0</v>
      </c>
    </row>
    <row r="5339" spans="7:12" x14ac:dyDescent="0.25">
      <c r="G5339" s="136">
        <v>43553</v>
      </c>
      <c r="H5339" t="s">
        <v>28</v>
      </c>
      <c r="I5339" t="s">
        <v>63</v>
      </c>
      <c r="J5339" t="s">
        <v>529</v>
      </c>
      <c r="K5339" s="138">
        <v>8</v>
      </c>
      <c r="L5339" s="137">
        <v>0</v>
      </c>
    </row>
    <row r="5340" spans="7:12" x14ac:dyDescent="0.25">
      <c r="G5340" s="136">
        <v>43553</v>
      </c>
      <c r="H5340" t="s">
        <v>28</v>
      </c>
      <c r="I5340" t="s">
        <v>155</v>
      </c>
      <c r="J5340" t="s">
        <v>529</v>
      </c>
      <c r="K5340" s="138">
        <v>10.69</v>
      </c>
      <c r="L5340" s="137">
        <v>0</v>
      </c>
    </row>
    <row r="5341" spans="7:12" x14ac:dyDescent="0.25">
      <c r="G5341" s="136">
        <v>43553</v>
      </c>
      <c r="H5341" t="s">
        <v>28</v>
      </c>
      <c r="I5341" t="s">
        <v>66</v>
      </c>
      <c r="J5341" t="s">
        <v>139</v>
      </c>
      <c r="K5341" s="138">
        <v>8</v>
      </c>
      <c r="L5341" s="137">
        <v>0</v>
      </c>
    </row>
    <row r="5342" spans="7:12" x14ac:dyDescent="0.25">
      <c r="G5342" s="136">
        <v>43553</v>
      </c>
      <c r="H5342" t="s">
        <v>28</v>
      </c>
      <c r="I5342" t="s">
        <v>171</v>
      </c>
      <c r="J5342" t="s">
        <v>529</v>
      </c>
      <c r="K5342" s="138">
        <v>42</v>
      </c>
      <c r="L5342" s="137">
        <v>0</v>
      </c>
    </row>
    <row r="5343" spans="7:12" x14ac:dyDescent="0.25">
      <c r="G5343" s="136">
        <v>43554</v>
      </c>
      <c r="H5343" t="s">
        <v>28</v>
      </c>
      <c r="I5343" t="s">
        <v>66</v>
      </c>
      <c r="J5343" t="s">
        <v>101</v>
      </c>
      <c r="K5343" s="138">
        <v>1.8</v>
      </c>
      <c r="L5343" s="137">
        <v>0</v>
      </c>
    </row>
    <row r="5344" spans="7:12" x14ac:dyDescent="0.25">
      <c r="G5344" s="136">
        <v>43554</v>
      </c>
      <c r="H5344" t="s">
        <v>28</v>
      </c>
      <c r="I5344" t="s">
        <v>66</v>
      </c>
      <c r="J5344" t="s">
        <v>131</v>
      </c>
      <c r="K5344" s="138">
        <v>2.4</v>
      </c>
      <c r="L5344" s="137">
        <v>0</v>
      </c>
    </row>
    <row r="5345" spans="7:12" x14ac:dyDescent="0.25">
      <c r="G5345" s="136">
        <v>43556</v>
      </c>
      <c r="H5345" t="s">
        <v>27</v>
      </c>
      <c r="I5345" t="s">
        <v>63</v>
      </c>
      <c r="J5345" t="s">
        <v>530</v>
      </c>
      <c r="K5345" s="138">
        <v>8</v>
      </c>
      <c r="L5345" s="137">
        <v>0</v>
      </c>
    </row>
    <row r="5346" spans="7:12" x14ac:dyDescent="0.25">
      <c r="G5346" s="136">
        <v>43556</v>
      </c>
      <c r="H5346" t="s">
        <v>27</v>
      </c>
      <c r="I5346" t="s">
        <v>171</v>
      </c>
      <c r="J5346" t="s">
        <v>530</v>
      </c>
      <c r="K5346" s="138">
        <v>91</v>
      </c>
      <c r="L5346" s="137">
        <v>0</v>
      </c>
    </row>
    <row r="5347" spans="7:12" x14ac:dyDescent="0.25">
      <c r="G5347" s="136">
        <v>43556</v>
      </c>
      <c r="H5347" t="s">
        <v>186</v>
      </c>
      <c r="I5347" t="s">
        <v>63</v>
      </c>
      <c r="J5347" t="s">
        <v>530</v>
      </c>
      <c r="K5347" s="138">
        <v>60.19</v>
      </c>
      <c r="L5347" s="137">
        <v>0</v>
      </c>
    </row>
    <row r="5348" spans="7:12" x14ac:dyDescent="0.25">
      <c r="G5348" s="136">
        <v>43556</v>
      </c>
      <c r="H5348" t="s">
        <v>193</v>
      </c>
      <c r="I5348" t="s">
        <v>163</v>
      </c>
      <c r="J5348" t="s">
        <v>530</v>
      </c>
      <c r="K5348" s="138">
        <v>282.70999999999998</v>
      </c>
      <c r="L5348" s="137">
        <v>0</v>
      </c>
    </row>
    <row r="5349" spans="7:12" x14ac:dyDescent="0.25">
      <c r="G5349" s="136">
        <v>43556</v>
      </c>
      <c r="H5349" t="s">
        <v>188</v>
      </c>
      <c r="I5349" t="s">
        <v>63</v>
      </c>
      <c r="J5349" t="s">
        <v>530</v>
      </c>
      <c r="K5349" s="138">
        <v>70</v>
      </c>
      <c r="L5349" s="137">
        <v>0</v>
      </c>
    </row>
    <row r="5350" spans="7:12" x14ac:dyDescent="0.25">
      <c r="G5350" s="136">
        <v>43556</v>
      </c>
      <c r="H5350" t="s">
        <v>188</v>
      </c>
      <c r="I5350" t="s">
        <v>163</v>
      </c>
      <c r="J5350" t="s">
        <v>530</v>
      </c>
      <c r="K5350" s="138">
        <v>27</v>
      </c>
      <c r="L5350" s="137">
        <v>0</v>
      </c>
    </row>
    <row r="5351" spans="7:12" x14ac:dyDescent="0.25">
      <c r="G5351" s="136">
        <v>43556</v>
      </c>
      <c r="H5351" t="s">
        <v>200</v>
      </c>
      <c r="I5351" t="s">
        <v>171</v>
      </c>
      <c r="J5351" t="s">
        <v>530</v>
      </c>
      <c r="K5351" s="138">
        <v>37.479999999999997</v>
      </c>
      <c r="L5351" s="137">
        <v>0</v>
      </c>
    </row>
    <row r="5352" spans="7:12" x14ac:dyDescent="0.25">
      <c r="G5352" s="136">
        <v>43556</v>
      </c>
      <c r="H5352" t="s">
        <v>25</v>
      </c>
      <c r="I5352" t="s">
        <v>63</v>
      </c>
      <c r="J5352" t="s">
        <v>530</v>
      </c>
      <c r="K5352" s="138">
        <v>32</v>
      </c>
      <c r="L5352" s="137">
        <v>0</v>
      </c>
    </row>
    <row r="5353" spans="7:12" x14ac:dyDescent="0.25">
      <c r="G5353" s="136">
        <v>43556</v>
      </c>
      <c r="H5353" t="s">
        <v>25</v>
      </c>
      <c r="I5353" t="s">
        <v>63</v>
      </c>
      <c r="J5353" t="s">
        <v>530</v>
      </c>
      <c r="K5353" s="138">
        <v>24</v>
      </c>
      <c r="L5353" s="137">
        <v>0</v>
      </c>
    </row>
    <row r="5354" spans="7:12" x14ac:dyDescent="0.25">
      <c r="G5354" s="136">
        <v>43556</v>
      </c>
      <c r="H5354" t="s">
        <v>25</v>
      </c>
      <c r="I5354" t="s">
        <v>63</v>
      </c>
      <c r="J5354" t="s">
        <v>530</v>
      </c>
      <c r="K5354" s="138">
        <v>8</v>
      </c>
      <c r="L5354" s="137">
        <v>0</v>
      </c>
    </row>
    <row r="5355" spans="7:12" x14ac:dyDescent="0.25">
      <c r="G5355" s="136">
        <v>43556</v>
      </c>
      <c r="H5355" t="s">
        <v>179</v>
      </c>
      <c r="I5355" t="s">
        <v>163</v>
      </c>
      <c r="J5355" t="s">
        <v>530</v>
      </c>
      <c r="K5355" s="138">
        <v>57.94</v>
      </c>
      <c r="L5355" s="137">
        <v>0</v>
      </c>
    </row>
    <row r="5356" spans="7:12" x14ac:dyDescent="0.25">
      <c r="G5356" s="136">
        <v>43556</v>
      </c>
      <c r="H5356" t="s">
        <v>28</v>
      </c>
      <c r="I5356" t="s">
        <v>163</v>
      </c>
      <c r="J5356" t="s">
        <v>530</v>
      </c>
      <c r="K5356" s="138">
        <v>18</v>
      </c>
      <c r="L5356" s="137">
        <v>0</v>
      </c>
    </row>
    <row r="5357" spans="7:12" x14ac:dyDescent="0.25">
      <c r="G5357" s="136">
        <v>43556</v>
      </c>
      <c r="H5357" t="s">
        <v>28</v>
      </c>
      <c r="I5357" t="s">
        <v>112</v>
      </c>
      <c r="J5357" t="s">
        <v>530</v>
      </c>
      <c r="K5357" s="138">
        <v>104</v>
      </c>
      <c r="L5357" s="137">
        <v>0</v>
      </c>
    </row>
    <row r="5358" spans="7:12" x14ac:dyDescent="0.25">
      <c r="G5358" s="136">
        <v>43556</v>
      </c>
      <c r="H5358" t="s">
        <v>28</v>
      </c>
      <c r="I5358" t="s">
        <v>66</v>
      </c>
      <c r="J5358" t="s">
        <v>111</v>
      </c>
      <c r="K5358" s="138">
        <v>2.7</v>
      </c>
      <c r="L5358" s="137">
        <v>0</v>
      </c>
    </row>
    <row r="5359" spans="7:12" x14ac:dyDescent="0.25">
      <c r="G5359" s="136">
        <v>43556</v>
      </c>
      <c r="H5359" t="s">
        <v>28</v>
      </c>
      <c r="I5359" t="s">
        <v>66</v>
      </c>
      <c r="J5359" t="s">
        <v>133</v>
      </c>
      <c r="K5359" s="138">
        <v>9</v>
      </c>
      <c r="L5359" s="137">
        <v>0</v>
      </c>
    </row>
    <row r="5360" spans="7:12" x14ac:dyDescent="0.25">
      <c r="G5360" s="136">
        <v>43556</v>
      </c>
      <c r="H5360" t="s">
        <v>28</v>
      </c>
      <c r="I5360" t="s">
        <v>66</v>
      </c>
      <c r="J5360" t="s">
        <v>279</v>
      </c>
      <c r="K5360" s="138">
        <v>2.4</v>
      </c>
      <c r="L5360" s="137">
        <v>0</v>
      </c>
    </row>
    <row r="5361" spans="7:12" x14ac:dyDescent="0.25">
      <c r="G5361" s="136">
        <v>43556</v>
      </c>
      <c r="H5361" t="s">
        <v>28</v>
      </c>
      <c r="I5361" t="s">
        <v>66</v>
      </c>
      <c r="J5361" t="s">
        <v>107</v>
      </c>
      <c r="K5361" s="138">
        <v>10</v>
      </c>
      <c r="L5361" s="137">
        <v>0</v>
      </c>
    </row>
    <row r="5362" spans="7:12" x14ac:dyDescent="0.25">
      <c r="G5362" s="136">
        <v>43557</v>
      </c>
      <c r="H5362" t="s">
        <v>27</v>
      </c>
      <c r="I5362" t="s">
        <v>63</v>
      </c>
      <c r="J5362" t="s">
        <v>531</v>
      </c>
      <c r="K5362" s="138">
        <v>16</v>
      </c>
      <c r="L5362" s="137">
        <v>0</v>
      </c>
    </row>
    <row r="5363" spans="7:12" x14ac:dyDescent="0.25">
      <c r="G5363" s="136">
        <v>43557</v>
      </c>
      <c r="H5363" t="s">
        <v>27</v>
      </c>
      <c r="I5363" t="s">
        <v>63</v>
      </c>
      <c r="J5363" t="s">
        <v>531</v>
      </c>
      <c r="K5363" s="138">
        <v>8</v>
      </c>
      <c r="L5363" s="137">
        <v>0</v>
      </c>
    </row>
    <row r="5364" spans="7:12" x14ac:dyDescent="0.25">
      <c r="G5364" s="136">
        <v>43557</v>
      </c>
      <c r="H5364" t="s">
        <v>198</v>
      </c>
      <c r="I5364" t="s">
        <v>171</v>
      </c>
      <c r="J5364" t="s">
        <v>531</v>
      </c>
      <c r="K5364" s="138">
        <v>66.900000000000006</v>
      </c>
      <c r="L5364" s="137">
        <v>0</v>
      </c>
    </row>
    <row r="5365" spans="7:12" x14ac:dyDescent="0.25">
      <c r="G5365" s="136">
        <v>43557</v>
      </c>
      <c r="H5365" t="s">
        <v>183</v>
      </c>
      <c r="I5365" t="s">
        <v>171</v>
      </c>
      <c r="J5365" t="s">
        <v>531</v>
      </c>
      <c r="K5365" s="138">
        <v>2100</v>
      </c>
      <c r="L5365" s="137">
        <v>0</v>
      </c>
    </row>
    <row r="5366" spans="7:12" x14ac:dyDescent="0.25">
      <c r="G5366" s="136">
        <v>43557</v>
      </c>
      <c r="H5366" t="s">
        <v>189</v>
      </c>
      <c r="I5366" t="s">
        <v>171</v>
      </c>
      <c r="J5366" t="s">
        <v>531</v>
      </c>
      <c r="K5366" s="138">
        <v>150</v>
      </c>
      <c r="L5366" s="137">
        <v>0</v>
      </c>
    </row>
    <row r="5367" spans="7:12" x14ac:dyDescent="0.25">
      <c r="G5367" s="136">
        <v>43557</v>
      </c>
      <c r="H5367" t="s">
        <v>191</v>
      </c>
      <c r="I5367" t="s">
        <v>163</v>
      </c>
      <c r="J5367" t="s">
        <v>531</v>
      </c>
      <c r="K5367" s="138">
        <v>35</v>
      </c>
      <c r="L5367" s="137">
        <v>0</v>
      </c>
    </row>
    <row r="5368" spans="7:12" x14ac:dyDescent="0.25">
      <c r="G5368" s="136">
        <v>43557</v>
      </c>
      <c r="H5368" t="s">
        <v>188</v>
      </c>
      <c r="I5368" t="s">
        <v>171</v>
      </c>
      <c r="J5368" t="s">
        <v>531</v>
      </c>
      <c r="K5368" s="138">
        <v>150</v>
      </c>
      <c r="L5368" s="137">
        <v>0</v>
      </c>
    </row>
    <row r="5369" spans="7:12" x14ac:dyDescent="0.25">
      <c r="G5369" s="136">
        <v>43557</v>
      </c>
      <c r="H5369" t="s">
        <v>25</v>
      </c>
      <c r="I5369" t="s">
        <v>63</v>
      </c>
      <c r="J5369" t="s">
        <v>531</v>
      </c>
      <c r="K5369" s="138">
        <v>64</v>
      </c>
      <c r="L5369" s="137">
        <v>0</v>
      </c>
    </row>
    <row r="5370" spans="7:12" x14ac:dyDescent="0.25">
      <c r="G5370" s="136">
        <v>43557</v>
      </c>
      <c r="H5370" t="s">
        <v>25</v>
      </c>
      <c r="I5370" t="s">
        <v>63</v>
      </c>
      <c r="J5370" t="s">
        <v>531</v>
      </c>
      <c r="K5370" s="138">
        <v>48</v>
      </c>
      <c r="L5370" s="137">
        <v>0</v>
      </c>
    </row>
    <row r="5371" spans="7:12" x14ac:dyDescent="0.25">
      <c r="G5371" s="136">
        <v>43557</v>
      </c>
      <c r="H5371" t="s">
        <v>25</v>
      </c>
      <c r="I5371" t="s">
        <v>63</v>
      </c>
      <c r="J5371" t="s">
        <v>531</v>
      </c>
      <c r="K5371" s="138">
        <v>24</v>
      </c>
      <c r="L5371" s="137">
        <v>0</v>
      </c>
    </row>
    <row r="5372" spans="7:12" x14ac:dyDescent="0.25">
      <c r="G5372" s="136">
        <v>43557</v>
      </c>
      <c r="H5372" t="s">
        <v>25</v>
      </c>
      <c r="I5372" t="s">
        <v>63</v>
      </c>
      <c r="J5372" t="s">
        <v>531</v>
      </c>
      <c r="K5372" s="138">
        <v>16</v>
      </c>
      <c r="L5372" s="137">
        <v>0</v>
      </c>
    </row>
    <row r="5373" spans="7:12" x14ac:dyDescent="0.25">
      <c r="G5373" s="136">
        <v>43557</v>
      </c>
      <c r="H5373" t="s">
        <v>181</v>
      </c>
      <c r="I5373" t="s">
        <v>171</v>
      </c>
      <c r="J5373" t="s">
        <v>531</v>
      </c>
      <c r="K5373" s="138">
        <v>47.1</v>
      </c>
      <c r="L5373" s="137">
        <v>0</v>
      </c>
    </row>
    <row r="5374" spans="7:12" x14ac:dyDescent="0.25">
      <c r="G5374" s="136">
        <v>43557</v>
      </c>
      <c r="H5374" t="s">
        <v>197</v>
      </c>
      <c r="I5374" t="s">
        <v>171</v>
      </c>
      <c r="J5374" t="s">
        <v>531</v>
      </c>
      <c r="K5374" s="138">
        <v>37.270000000000003</v>
      </c>
      <c r="L5374" s="137">
        <v>0</v>
      </c>
    </row>
    <row r="5375" spans="7:12" x14ac:dyDescent="0.25">
      <c r="G5375" s="136">
        <v>43557</v>
      </c>
      <c r="H5375" t="s">
        <v>187</v>
      </c>
      <c r="I5375" t="s">
        <v>171</v>
      </c>
      <c r="J5375" t="s">
        <v>531</v>
      </c>
      <c r="K5375" s="138">
        <v>72</v>
      </c>
      <c r="L5375" s="137">
        <v>0</v>
      </c>
    </row>
    <row r="5376" spans="7:12" x14ac:dyDescent="0.25">
      <c r="G5376" s="136">
        <v>43557</v>
      </c>
      <c r="H5376" t="s">
        <v>28</v>
      </c>
      <c r="I5376" t="s">
        <v>163</v>
      </c>
      <c r="J5376" t="s">
        <v>531</v>
      </c>
      <c r="K5376" s="138">
        <v>47</v>
      </c>
      <c r="L5376" s="137">
        <v>0</v>
      </c>
    </row>
    <row r="5377" spans="7:12" x14ac:dyDescent="0.25">
      <c r="G5377" s="136">
        <v>43557</v>
      </c>
      <c r="H5377" t="s">
        <v>28</v>
      </c>
      <c r="I5377" t="s">
        <v>171</v>
      </c>
      <c r="J5377" t="s">
        <v>531</v>
      </c>
      <c r="K5377" s="138">
        <v>41.6</v>
      </c>
      <c r="L5377" s="137">
        <v>0</v>
      </c>
    </row>
    <row r="5378" spans="7:12" x14ac:dyDescent="0.25">
      <c r="G5378" s="136">
        <v>43558</v>
      </c>
      <c r="H5378" t="s">
        <v>203</v>
      </c>
      <c r="I5378" t="s">
        <v>112</v>
      </c>
      <c r="J5378" t="s">
        <v>532</v>
      </c>
      <c r="K5378" s="138">
        <v>297.3</v>
      </c>
      <c r="L5378" s="137">
        <v>0</v>
      </c>
    </row>
    <row r="5379" spans="7:12" x14ac:dyDescent="0.25">
      <c r="G5379" s="136">
        <v>43558</v>
      </c>
      <c r="H5379" t="s">
        <v>203</v>
      </c>
      <c r="I5379" t="s">
        <v>155</v>
      </c>
      <c r="J5379" t="s">
        <v>532</v>
      </c>
      <c r="K5379" s="138">
        <v>225.98</v>
      </c>
      <c r="L5379" s="137">
        <v>0</v>
      </c>
    </row>
    <row r="5380" spans="7:12" x14ac:dyDescent="0.25">
      <c r="G5380" s="136">
        <v>43558</v>
      </c>
      <c r="H5380" t="s">
        <v>27</v>
      </c>
      <c r="I5380" t="s">
        <v>63</v>
      </c>
      <c r="J5380" t="s">
        <v>532</v>
      </c>
      <c r="K5380" s="138">
        <v>8</v>
      </c>
      <c r="L5380" s="137">
        <v>0</v>
      </c>
    </row>
    <row r="5381" spans="7:12" x14ac:dyDescent="0.25">
      <c r="G5381" s="136">
        <v>43558</v>
      </c>
      <c r="H5381" t="s">
        <v>212</v>
      </c>
      <c r="I5381" t="s">
        <v>176</v>
      </c>
      <c r="J5381" t="s">
        <v>532</v>
      </c>
      <c r="K5381" s="138">
        <v>1.03</v>
      </c>
      <c r="L5381" s="137">
        <v>0</v>
      </c>
    </row>
    <row r="5382" spans="7:12" x14ac:dyDescent="0.25">
      <c r="G5382" s="136">
        <v>43558</v>
      </c>
      <c r="H5382" t="s">
        <v>185</v>
      </c>
      <c r="I5382" t="s">
        <v>63</v>
      </c>
      <c r="J5382" t="s">
        <v>532</v>
      </c>
      <c r="K5382" s="138">
        <v>14.75</v>
      </c>
      <c r="L5382" s="137">
        <v>0</v>
      </c>
    </row>
    <row r="5383" spans="7:12" x14ac:dyDescent="0.25">
      <c r="G5383" s="136">
        <v>43558</v>
      </c>
      <c r="H5383" t="s">
        <v>185</v>
      </c>
      <c r="I5383" t="s">
        <v>171</v>
      </c>
      <c r="J5383" t="s">
        <v>532</v>
      </c>
      <c r="K5383" s="138">
        <v>27.1</v>
      </c>
      <c r="L5383" s="137">
        <v>0</v>
      </c>
    </row>
    <row r="5384" spans="7:12" x14ac:dyDescent="0.25">
      <c r="G5384" s="136">
        <v>43558</v>
      </c>
      <c r="H5384" t="s">
        <v>209</v>
      </c>
      <c r="I5384" t="s">
        <v>155</v>
      </c>
      <c r="J5384" t="s">
        <v>532</v>
      </c>
      <c r="K5384" s="138">
        <v>74.849999999999994</v>
      </c>
      <c r="L5384" s="137">
        <v>0</v>
      </c>
    </row>
    <row r="5385" spans="7:12" x14ac:dyDescent="0.25">
      <c r="G5385" s="136">
        <v>43558</v>
      </c>
      <c r="H5385" t="s">
        <v>183</v>
      </c>
      <c r="I5385" t="s">
        <v>155</v>
      </c>
      <c r="J5385" t="s">
        <v>532</v>
      </c>
      <c r="K5385" s="138">
        <v>36.85</v>
      </c>
      <c r="L5385" s="137">
        <v>0</v>
      </c>
    </row>
    <row r="5386" spans="7:12" x14ac:dyDescent="0.25">
      <c r="G5386" s="136">
        <v>43558</v>
      </c>
      <c r="H5386" t="s">
        <v>193</v>
      </c>
      <c r="I5386" t="s">
        <v>163</v>
      </c>
      <c r="J5386" t="s">
        <v>532</v>
      </c>
      <c r="K5386" s="138">
        <v>2544.39</v>
      </c>
      <c r="L5386" s="137">
        <v>0</v>
      </c>
    </row>
    <row r="5387" spans="7:12" x14ac:dyDescent="0.25">
      <c r="G5387" s="136">
        <v>43558</v>
      </c>
      <c r="H5387" t="s">
        <v>188</v>
      </c>
      <c r="I5387" t="s">
        <v>112</v>
      </c>
      <c r="J5387" t="s">
        <v>532</v>
      </c>
      <c r="K5387" s="138">
        <v>23.61</v>
      </c>
      <c r="L5387" s="137">
        <v>0</v>
      </c>
    </row>
    <row r="5388" spans="7:12" x14ac:dyDescent="0.25">
      <c r="G5388" s="136">
        <v>43558</v>
      </c>
      <c r="H5388" t="s">
        <v>25</v>
      </c>
      <c r="I5388" t="s">
        <v>63</v>
      </c>
      <c r="J5388" t="s">
        <v>532</v>
      </c>
      <c r="K5388" s="138">
        <v>64</v>
      </c>
      <c r="L5388" s="137">
        <v>0</v>
      </c>
    </row>
    <row r="5389" spans="7:12" x14ac:dyDescent="0.25">
      <c r="G5389" s="136">
        <v>43558</v>
      </c>
      <c r="H5389" t="s">
        <v>25</v>
      </c>
      <c r="I5389" t="s">
        <v>63</v>
      </c>
      <c r="J5389" t="s">
        <v>532</v>
      </c>
      <c r="K5389" s="138">
        <v>48</v>
      </c>
      <c r="L5389" s="137">
        <v>0</v>
      </c>
    </row>
    <row r="5390" spans="7:12" x14ac:dyDescent="0.25">
      <c r="G5390" s="136">
        <v>43558</v>
      </c>
      <c r="H5390" t="s">
        <v>25</v>
      </c>
      <c r="I5390" t="s">
        <v>63</v>
      </c>
      <c r="J5390" t="s">
        <v>532</v>
      </c>
      <c r="K5390" s="138">
        <v>40</v>
      </c>
      <c r="L5390" s="137">
        <v>0</v>
      </c>
    </row>
    <row r="5391" spans="7:12" x14ac:dyDescent="0.25">
      <c r="G5391" s="136">
        <v>43558</v>
      </c>
      <c r="H5391" t="s">
        <v>25</v>
      </c>
      <c r="I5391" t="s">
        <v>63</v>
      </c>
      <c r="J5391" t="s">
        <v>532</v>
      </c>
      <c r="K5391" s="138">
        <v>24</v>
      </c>
      <c r="L5391" s="137">
        <v>0</v>
      </c>
    </row>
    <row r="5392" spans="7:12" x14ac:dyDescent="0.25">
      <c r="G5392" s="136">
        <v>43558</v>
      </c>
      <c r="H5392" t="s">
        <v>25</v>
      </c>
      <c r="I5392" t="s">
        <v>63</v>
      </c>
      <c r="J5392" t="s">
        <v>532</v>
      </c>
      <c r="K5392" s="138">
        <v>8</v>
      </c>
      <c r="L5392" s="137">
        <v>0</v>
      </c>
    </row>
    <row r="5393" spans="7:12" x14ac:dyDescent="0.25">
      <c r="G5393" s="136">
        <v>43558</v>
      </c>
      <c r="H5393" t="s">
        <v>207</v>
      </c>
      <c r="I5393" t="s">
        <v>112</v>
      </c>
      <c r="J5393" t="s">
        <v>532</v>
      </c>
      <c r="K5393" s="138">
        <v>20.75</v>
      </c>
      <c r="L5393" s="137">
        <v>0</v>
      </c>
    </row>
    <row r="5394" spans="7:12" x14ac:dyDescent="0.25">
      <c r="G5394" s="136">
        <v>43558</v>
      </c>
      <c r="H5394" t="s">
        <v>181</v>
      </c>
      <c r="I5394" t="s">
        <v>176</v>
      </c>
      <c r="J5394" t="s">
        <v>532</v>
      </c>
      <c r="K5394" s="138">
        <v>43.34</v>
      </c>
      <c r="L5394" s="137">
        <v>0</v>
      </c>
    </row>
    <row r="5395" spans="7:12" x14ac:dyDescent="0.25">
      <c r="G5395" s="136">
        <v>43558</v>
      </c>
      <c r="H5395" t="s">
        <v>181</v>
      </c>
      <c r="I5395" t="s">
        <v>171</v>
      </c>
      <c r="J5395" t="s">
        <v>532</v>
      </c>
      <c r="K5395" s="138">
        <v>145.25</v>
      </c>
      <c r="L5395" s="137">
        <v>0</v>
      </c>
    </row>
    <row r="5396" spans="7:12" x14ac:dyDescent="0.25">
      <c r="G5396" s="136">
        <v>43558</v>
      </c>
      <c r="H5396" t="s">
        <v>197</v>
      </c>
      <c r="I5396" t="s">
        <v>176</v>
      </c>
      <c r="J5396" t="s">
        <v>532</v>
      </c>
      <c r="K5396" s="138">
        <v>484.22</v>
      </c>
      <c r="L5396" s="137">
        <v>0</v>
      </c>
    </row>
    <row r="5397" spans="7:12" x14ac:dyDescent="0.25">
      <c r="G5397" s="136">
        <v>43558</v>
      </c>
      <c r="H5397" t="s">
        <v>196</v>
      </c>
      <c r="I5397" t="s">
        <v>171</v>
      </c>
      <c r="J5397" t="s">
        <v>532</v>
      </c>
      <c r="K5397" s="138">
        <v>16</v>
      </c>
      <c r="L5397" s="137">
        <v>0</v>
      </c>
    </row>
    <row r="5398" spans="7:12" x14ac:dyDescent="0.25">
      <c r="G5398" s="136">
        <v>43558</v>
      </c>
      <c r="H5398" t="s">
        <v>28</v>
      </c>
      <c r="I5398" t="s">
        <v>112</v>
      </c>
      <c r="J5398" t="s">
        <v>532</v>
      </c>
      <c r="K5398" s="138">
        <v>149.80000000000001</v>
      </c>
      <c r="L5398" s="137">
        <v>0</v>
      </c>
    </row>
    <row r="5399" spans="7:12" x14ac:dyDescent="0.25">
      <c r="G5399" s="136">
        <v>43558</v>
      </c>
      <c r="H5399" t="s">
        <v>28</v>
      </c>
      <c r="I5399" t="s">
        <v>112</v>
      </c>
      <c r="J5399" t="s">
        <v>532</v>
      </c>
      <c r="K5399" s="138">
        <v>40.229999999999997</v>
      </c>
      <c r="L5399" s="137">
        <v>0</v>
      </c>
    </row>
    <row r="5400" spans="7:12" x14ac:dyDescent="0.25">
      <c r="G5400" s="136">
        <v>43558</v>
      </c>
      <c r="H5400" t="s">
        <v>28</v>
      </c>
      <c r="I5400" t="s">
        <v>112</v>
      </c>
      <c r="J5400" t="s">
        <v>532</v>
      </c>
      <c r="K5400" s="138">
        <v>37.979999999999997</v>
      </c>
      <c r="L5400" s="137">
        <v>0</v>
      </c>
    </row>
    <row r="5401" spans="7:12" x14ac:dyDescent="0.25">
      <c r="G5401" s="136">
        <v>43558</v>
      </c>
      <c r="H5401" t="s">
        <v>28</v>
      </c>
      <c r="I5401" t="s">
        <v>112</v>
      </c>
      <c r="J5401" t="s">
        <v>532</v>
      </c>
      <c r="K5401" s="138">
        <v>35.950000000000003</v>
      </c>
      <c r="L5401" s="137">
        <v>0</v>
      </c>
    </row>
    <row r="5402" spans="7:12" x14ac:dyDescent="0.25">
      <c r="G5402" s="136">
        <v>43558</v>
      </c>
      <c r="H5402" t="s">
        <v>28</v>
      </c>
      <c r="I5402" t="s">
        <v>112</v>
      </c>
      <c r="J5402" t="s">
        <v>532</v>
      </c>
      <c r="K5402" s="138">
        <v>30.95</v>
      </c>
      <c r="L5402" s="137">
        <v>0</v>
      </c>
    </row>
    <row r="5403" spans="7:12" x14ac:dyDescent="0.25">
      <c r="G5403" s="136">
        <v>43558</v>
      </c>
      <c r="H5403" t="s">
        <v>28</v>
      </c>
      <c r="I5403" t="s">
        <v>112</v>
      </c>
      <c r="J5403" t="s">
        <v>532</v>
      </c>
      <c r="K5403" s="138">
        <v>25.99</v>
      </c>
      <c r="L5403" s="137">
        <v>0</v>
      </c>
    </row>
    <row r="5404" spans="7:12" x14ac:dyDescent="0.25">
      <c r="G5404" s="136">
        <v>43558</v>
      </c>
      <c r="H5404" t="s">
        <v>28</v>
      </c>
      <c r="I5404" t="s">
        <v>112</v>
      </c>
      <c r="J5404" t="s">
        <v>532</v>
      </c>
      <c r="K5404" s="138">
        <v>24.2</v>
      </c>
      <c r="L5404" s="137">
        <v>0</v>
      </c>
    </row>
    <row r="5405" spans="7:12" x14ac:dyDescent="0.25">
      <c r="G5405" s="136">
        <v>43558</v>
      </c>
      <c r="H5405" t="s">
        <v>28</v>
      </c>
      <c r="I5405" t="s">
        <v>112</v>
      </c>
      <c r="J5405" t="s">
        <v>532</v>
      </c>
      <c r="K5405" s="138">
        <v>12.55</v>
      </c>
      <c r="L5405" s="137">
        <v>0</v>
      </c>
    </row>
    <row r="5406" spans="7:12" x14ac:dyDescent="0.25">
      <c r="G5406" s="136">
        <v>43558</v>
      </c>
      <c r="H5406" t="s">
        <v>28</v>
      </c>
      <c r="I5406" t="s">
        <v>155</v>
      </c>
      <c r="J5406" t="s">
        <v>532</v>
      </c>
      <c r="K5406" s="138">
        <v>237</v>
      </c>
      <c r="L5406" s="137">
        <v>0</v>
      </c>
    </row>
    <row r="5407" spans="7:12" x14ac:dyDescent="0.25">
      <c r="G5407" s="136">
        <v>43558</v>
      </c>
      <c r="H5407" t="s">
        <v>28</v>
      </c>
      <c r="I5407" t="s">
        <v>155</v>
      </c>
      <c r="J5407" t="s">
        <v>532</v>
      </c>
      <c r="K5407" s="138">
        <v>200.79</v>
      </c>
      <c r="L5407" s="137">
        <v>0</v>
      </c>
    </row>
    <row r="5408" spans="7:12" x14ac:dyDescent="0.25">
      <c r="G5408" s="136">
        <v>43558</v>
      </c>
      <c r="H5408" t="s">
        <v>28</v>
      </c>
      <c r="I5408" t="s">
        <v>155</v>
      </c>
      <c r="J5408" t="s">
        <v>532</v>
      </c>
      <c r="K5408" s="138">
        <v>98.66</v>
      </c>
      <c r="L5408" s="137">
        <v>0</v>
      </c>
    </row>
    <row r="5409" spans="7:12" x14ac:dyDescent="0.25">
      <c r="G5409" s="136">
        <v>43558</v>
      </c>
      <c r="H5409" t="s">
        <v>28</v>
      </c>
      <c r="I5409" t="s">
        <v>155</v>
      </c>
      <c r="J5409" t="s">
        <v>532</v>
      </c>
      <c r="K5409" s="138">
        <v>95</v>
      </c>
      <c r="L5409" s="137">
        <v>0</v>
      </c>
    </row>
    <row r="5410" spans="7:12" x14ac:dyDescent="0.25">
      <c r="G5410" s="136">
        <v>43558</v>
      </c>
      <c r="H5410" t="s">
        <v>28</v>
      </c>
      <c r="I5410" t="s">
        <v>155</v>
      </c>
      <c r="J5410" t="s">
        <v>532</v>
      </c>
      <c r="K5410" s="138">
        <v>90</v>
      </c>
      <c r="L5410" s="137">
        <v>0</v>
      </c>
    </row>
    <row r="5411" spans="7:12" x14ac:dyDescent="0.25">
      <c r="G5411" s="136">
        <v>43558</v>
      </c>
      <c r="H5411" t="s">
        <v>28</v>
      </c>
      <c r="I5411" t="s">
        <v>155</v>
      </c>
      <c r="J5411" t="s">
        <v>532</v>
      </c>
      <c r="K5411" s="138">
        <v>89.56</v>
      </c>
      <c r="L5411" s="137">
        <v>0</v>
      </c>
    </row>
    <row r="5412" spans="7:12" x14ac:dyDescent="0.25">
      <c r="G5412" s="136">
        <v>43558</v>
      </c>
      <c r="H5412" t="s">
        <v>28</v>
      </c>
      <c r="I5412" t="s">
        <v>155</v>
      </c>
      <c r="J5412" t="s">
        <v>532</v>
      </c>
      <c r="K5412" s="138">
        <v>75.97</v>
      </c>
      <c r="L5412" s="137">
        <v>0</v>
      </c>
    </row>
    <row r="5413" spans="7:12" x14ac:dyDescent="0.25">
      <c r="G5413" s="136">
        <v>43558</v>
      </c>
      <c r="H5413" t="s">
        <v>28</v>
      </c>
      <c r="I5413" t="s">
        <v>155</v>
      </c>
      <c r="J5413" t="s">
        <v>532</v>
      </c>
      <c r="K5413" s="138">
        <v>71.84</v>
      </c>
      <c r="L5413" s="137">
        <v>0</v>
      </c>
    </row>
    <row r="5414" spans="7:12" x14ac:dyDescent="0.25">
      <c r="G5414" s="136">
        <v>43558</v>
      </c>
      <c r="H5414" t="s">
        <v>28</v>
      </c>
      <c r="I5414" t="s">
        <v>155</v>
      </c>
      <c r="J5414" t="s">
        <v>532</v>
      </c>
      <c r="K5414" s="138">
        <v>65.099999999999994</v>
      </c>
      <c r="L5414" s="137">
        <v>0</v>
      </c>
    </row>
    <row r="5415" spans="7:12" x14ac:dyDescent="0.25">
      <c r="G5415" s="136">
        <v>43558</v>
      </c>
      <c r="H5415" t="s">
        <v>28</v>
      </c>
      <c r="I5415" t="s">
        <v>155</v>
      </c>
      <c r="J5415" t="s">
        <v>532</v>
      </c>
      <c r="K5415" s="138">
        <v>62.27</v>
      </c>
      <c r="L5415" s="137">
        <v>0</v>
      </c>
    </row>
    <row r="5416" spans="7:12" x14ac:dyDescent="0.25">
      <c r="G5416" s="136">
        <v>43558</v>
      </c>
      <c r="H5416" t="s">
        <v>28</v>
      </c>
      <c r="I5416" t="s">
        <v>155</v>
      </c>
      <c r="J5416" t="s">
        <v>532</v>
      </c>
      <c r="K5416" s="138">
        <v>31.99</v>
      </c>
      <c r="L5416" s="137">
        <v>0</v>
      </c>
    </row>
    <row r="5417" spans="7:12" x14ac:dyDescent="0.25">
      <c r="G5417" s="136">
        <v>43558</v>
      </c>
      <c r="H5417" t="s">
        <v>28</v>
      </c>
      <c r="I5417" t="s">
        <v>155</v>
      </c>
      <c r="J5417" t="s">
        <v>532</v>
      </c>
      <c r="K5417" s="138">
        <v>27.6</v>
      </c>
      <c r="L5417" s="137">
        <v>0</v>
      </c>
    </row>
    <row r="5418" spans="7:12" x14ac:dyDescent="0.25">
      <c r="G5418" s="136">
        <v>43558</v>
      </c>
      <c r="H5418" t="s">
        <v>28</v>
      </c>
      <c r="I5418" t="s">
        <v>155</v>
      </c>
      <c r="J5418" t="s">
        <v>532</v>
      </c>
      <c r="K5418" s="138">
        <v>16</v>
      </c>
      <c r="L5418" s="137">
        <v>0</v>
      </c>
    </row>
    <row r="5419" spans="7:12" x14ac:dyDescent="0.25">
      <c r="G5419" s="136">
        <v>43558</v>
      </c>
      <c r="H5419" t="s">
        <v>28</v>
      </c>
      <c r="I5419" t="s">
        <v>155</v>
      </c>
      <c r="J5419" t="s">
        <v>532</v>
      </c>
      <c r="K5419" s="138">
        <v>13.12</v>
      </c>
      <c r="L5419" s="137">
        <v>0</v>
      </c>
    </row>
    <row r="5420" spans="7:12" x14ac:dyDescent="0.25">
      <c r="G5420" s="136">
        <v>43558</v>
      </c>
      <c r="H5420" t="s">
        <v>28</v>
      </c>
      <c r="I5420" t="s">
        <v>155</v>
      </c>
      <c r="J5420" t="s">
        <v>532</v>
      </c>
      <c r="K5420" s="138">
        <v>8.35</v>
      </c>
      <c r="L5420" s="137">
        <v>0</v>
      </c>
    </row>
    <row r="5421" spans="7:12" x14ac:dyDescent="0.25">
      <c r="G5421" s="136">
        <v>43558</v>
      </c>
      <c r="H5421" t="s">
        <v>28</v>
      </c>
      <c r="I5421" t="s">
        <v>66</v>
      </c>
      <c r="J5421" t="s">
        <v>390</v>
      </c>
      <c r="K5421" s="138">
        <v>2.4</v>
      </c>
      <c r="L5421" s="137">
        <v>0</v>
      </c>
    </row>
    <row r="5422" spans="7:12" x14ac:dyDescent="0.25">
      <c r="G5422" s="136">
        <v>43558</v>
      </c>
      <c r="H5422" t="s">
        <v>28</v>
      </c>
      <c r="I5422" t="s">
        <v>66</v>
      </c>
      <c r="J5422" t="s">
        <v>139</v>
      </c>
      <c r="K5422" s="138">
        <v>9</v>
      </c>
      <c r="L5422" s="137">
        <v>0</v>
      </c>
    </row>
    <row r="5423" spans="7:12" x14ac:dyDescent="0.25">
      <c r="G5423" s="136">
        <v>43558</v>
      </c>
      <c r="H5423" t="s">
        <v>28</v>
      </c>
      <c r="I5423" t="s">
        <v>66</v>
      </c>
      <c r="J5423" t="s">
        <v>124</v>
      </c>
      <c r="K5423" s="138">
        <v>6.4</v>
      </c>
      <c r="L5423" s="137">
        <v>0</v>
      </c>
    </row>
    <row r="5424" spans="7:12" x14ac:dyDescent="0.25">
      <c r="G5424" s="136">
        <v>43558</v>
      </c>
      <c r="H5424" t="s">
        <v>28</v>
      </c>
      <c r="I5424" t="s">
        <v>66</v>
      </c>
      <c r="J5424" t="s">
        <v>266</v>
      </c>
      <c r="K5424" s="138">
        <v>14.35</v>
      </c>
      <c r="L5424" s="137">
        <v>0</v>
      </c>
    </row>
    <row r="5425" spans="7:12" x14ac:dyDescent="0.25">
      <c r="G5425" s="136">
        <v>43559</v>
      </c>
      <c r="H5425" t="s">
        <v>27</v>
      </c>
      <c r="I5425" t="s">
        <v>63</v>
      </c>
      <c r="J5425" t="s">
        <v>533</v>
      </c>
      <c r="K5425" s="138">
        <v>16</v>
      </c>
      <c r="L5425" s="137">
        <v>0</v>
      </c>
    </row>
    <row r="5426" spans="7:12" x14ac:dyDescent="0.25">
      <c r="G5426" s="136">
        <v>43559</v>
      </c>
      <c r="H5426" t="s">
        <v>27</v>
      </c>
      <c r="I5426" t="s">
        <v>171</v>
      </c>
      <c r="J5426" t="s">
        <v>533</v>
      </c>
      <c r="K5426" s="138">
        <v>221</v>
      </c>
      <c r="L5426" s="137">
        <v>0</v>
      </c>
    </row>
    <row r="5427" spans="7:12" x14ac:dyDescent="0.25">
      <c r="G5427" s="136">
        <v>43559</v>
      </c>
      <c r="H5427" t="s">
        <v>183</v>
      </c>
      <c r="I5427" t="s">
        <v>171</v>
      </c>
      <c r="J5427" t="s">
        <v>533</v>
      </c>
      <c r="K5427" s="138">
        <v>24</v>
      </c>
      <c r="L5427" s="137">
        <v>0</v>
      </c>
    </row>
    <row r="5428" spans="7:12" x14ac:dyDescent="0.25">
      <c r="G5428" s="136">
        <v>43559</v>
      </c>
      <c r="H5428" t="s">
        <v>189</v>
      </c>
      <c r="I5428" t="s">
        <v>171</v>
      </c>
      <c r="J5428" t="s">
        <v>533</v>
      </c>
      <c r="K5428" s="138">
        <v>513.4</v>
      </c>
      <c r="L5428" s="137">
        <v>0</v>
      </c>
    </row>
    <row r="5429" spans="7:12" x14ac:dyDescent="0.25">
      <c r="G5429" s="136">
        <v>43559</v>
      </c>
      <c r="H5429" t="s">
        <v>25</v>
      </c>
      <c r="I5429" t="s">
        <v>63</v>
      </c>
      <c r="J5429" t="s">
        <v>533</v>
      </c>
      <c r="K5429" s="138">
        <v>16</v>
      </c>
      <c r="L5429" s="137">
        <v>0</v>
      </c>
    </row>
    <row r="5430" spans="7:12" x14ac:dyDescent="0.25">
      <c r="G5430" s="136">
        <v>43559</v>
      </c>
      <c r="H5430" t="s">
        <v>25</v>
      </c>
      <c r="I5430" t="s">
        <v>63</v>
      </c>
      <c r="J5430" t="s">
        <v>533</v>
      </c>
      <c r="K5430" s="138">
        <v>8</v>
      </c>
      <c r="L5430" s="137">
        <v>0</v>
      </c>
    </row>
    <row r="5431" spans="7:12" x14ac:dyDescent="0.25">
      <c r="G5431" s="136">
        <v>43559</v>
      </c>
      <c r="H5431" t="s">
        <v>28</v>
      </c>
      <c r="I5431" t="s">
        <v>163</v>
      </c>
      <c r="J5431" t="s">
        <v>533</v>
      </c>
      <c r="K5431" s="138">
        <v>121.01</v>
      </c>
      <c r="L5431" s="137">
        <v>0</v>
      </c>
    </row>
    <row r="5432" spans="7:12" x14ac:dyDescent="0.25">
      <c r="G5432" s="136">
        <v>43559</v>
      </c>
      <c r="H5432" t="s">
        <v>28</v>
      </c>
      <c r="I5432" t="s">
        <v>66</v>
      </c>
      <c r="J5432" t="s">
        <v>137</v>
      </c>
      <c r="K5432" s="138">
        <v>4.75</v>
      </c>
      <c r="L5432" s="137">
        <v>0</v>
      </c>
    </row>
    <row r="5433" spans="7:12" x14ac:dyDescent="0.25">
      <c r="G5433" s="136">
        <v>43560</v>
      </c>
      <c r="H5433" t="s">
        <v>192</v>
      </c>
      <c r="I5433" t="s">
        <v>155</v>
      </c>
      <c r="J5433" t="s">
        <v>534</v>
      </c>
      <c r="K5433" s="138">
        <v>185.06</v>
      </c>
      <c r="L5433" s="137">
        <v>0</v>
      </c>
    </row>
    <row r="5434" spans="7:12" x14ac:dyDescent="0.25">
      <c r="G5434" s="136">
        <v>43560</v>
      </c>
      <c r="H5434" t="s">
        <v>192</v>
      </c>
      <c r="I5434" t="s">
        <v>171</v>
      </c>
      <c r="J5434" t="s">
        <v>534</v>
      </c>
      <c r="K5434" s="138">
        <v>51.99</v>
      </c>
      <c r="L5434" s="137">
        <v>0</v>
      </c>
    </row>
    <row r="5435" spans="7:12" x14ac:dyDescent="0.25">
      <c r="G5435" s="136">
        <v>43560</v>
      </c>
      <c r="H5435" t="s">
        <v>27</v>
      </c>
      <c r="I5435" t="s">
        <v>63</v>
      </c>
      <c r="J5435" t="s">
        <v>534</v>
      </c>
      <c r="K5435" s="138">
        <v>8</v>
      </c>
      <c r="L5435" s="137">
        <v>0</v>
      </c>
    </row>
    <row r="5436" spans="7:12" x14ac:dyDescent="0.25">
      <c r="G5436" s="136">
        <v>43560</v>
      </c>
      <c r="H5436" t="s">
        <v>185</v>
      </c>
      <c r="I5436" t="s">
        <v>163</v>
      </c>
      <c r="J5436" t="s">
        <v>534</v>
      </c>
      <c r="K5436" s="138">
        <v>347.34</v>
      </c>
      <c r="L5436" s="137">
        <v>0</v>
      </c>
    </row>
    <row r="5437" spans="7:12" x14ac:dyDescent="0.25">
      <c r="G5437" s="136">
        <v>43560</v>
      </c>
      <c r="H5437" t="s">
        <v>184</v>
      </c>
      <c r="I5437" t="s">
        <v>171</v>
      </c>
      <c r="J5437" t="s">
        <v>534</v>
      </c>
      <c r="K5437" s="138">
        <v>25</v>
      </c>
      <c r="L5437" s="137">
        <v>0</v>
      </c>
    </row>
    <row r="5438" spans="7:12" x14ac:dyDescent="0.25">
      <c r="G5438" s="136">
        <v>43560</v>
      </c>
      <c r="H5438" t="s">
        <v>183</v>
      </c>
      <c r="I5438" t="s">
        <v>163</v>
      </c>
      <c r="J5438" t="s">
        <v>534</v>
      </c>
      <c r="K5438" s="138">
        <v>112.92</v>
      </c>
      <c r="L5438" s="137">
        <v>0</v>
      </c>
    </row>
    <row r="5439" spans="7:12" x14ac:dyDescent="0.25">
      <c r="G5439" s="136">
        <v>43560</v>
      </c>
      <c r="H5439" t="s">
        <v>183</v>
      </c>
      <c r="I5439" t="s">
        <v>171</v>
      </c>
      <c r="J5439" t="s">
        <v>534</v>
      </c>
      <c r="K5439" s="138">
        <v>24.93</v>
      </c>
      <c r="L5439" s="137">
        <v>0</v>
      </c>
    </row>
    <row r="5440" spans="7:12" x14ac:dyDescent="0.25">
      <c r="G5440" s="136">
        <v>43560</v>
      </c>
      <c r="H5440" t="s">
        <v>193</v>
      </c>
      <c r="I5440" t="s">
        <v>112</v>
      </c>
      <c r="J5440" t="s">
        <v>534</v>
      </c>
      <c r="K5440" s="138">
        <v>131.61000000000001</v>
      </c>
      <c r="L5440" s="137">
        <v>0</v>
      </c>
    </row>
    <row r="5441" spans="7:12" x14ac:dyDescent="0.25">
      <c r="G5441" s="136">
        <v>43560</v>
      </c>
      <c r="H5441" t="s">
        <v>188</v>
      </c>
      <c r="I5441" t="s">
        <v>112</v>
      </c>
      <c r="J5441" t="s">
        <v>534</v>
      </c>
      <c r="K5441" s="138">
        <v>66.59</v>
      </c>
      <c r="L5441" s="137">
        <v>0</v>
      </c>
    </row>
    <row r="5442" spans="7:12" x14ac:dyDescent="0.25">
      <c r="G5442" s="136">
        <v>43560</v>
      </c>
      <c r="H5442" t="s">
        <v>188</v>
      </c>
      <c r="I5442" t="s">
        <v>176</v>
      </c>
      <c r="J5442" t="s">
        <v>534</v>
      </c>
      <c r="K5442" s="138">
        <v>22</v>
      </c>
      <c r="L5442" s="137">
        <v>0</v>
      </c>
    </row>
    <row r="5443" spans="7:12" x14ac:dyDescent="0.25">
      <c r="G5443" s="136">
        <v>43560</v>
      </c>
      <c r="H5443" t="s">
        <v>25</v>
      </c>
      <c r="I5443" t="s">
        <v>63</v>
      </c>
      <c r="J5443" t="s">
        <v>534</v>
      </c>
      <c r="K5443" s="138">
        <v>24</v>
      </c>
      <c r="L5443" s="137">
        <v>0</v>
      </c>
    </row>
    <row r="5444" spans="7:12" x14ac:dyDescent="0.25">
      <c r="G5444" s="136">
        <v>43560</v>
      </c>
      <c r="H5444" t="s">
        <v>25</v>
      </c>
      <c r="I5444" t="s">
        <v>63</v>
      </c>
      <c r="J5444" t="s">
        <v>534</v>
      </c>
      <c r="K5444" s="138">
        <v>16</v>
      </c>
      <c r="L5444" s="137">
        <v>0</v>
      </c>
    </row>
    <row r="5445" spans="7:12" x14ac:dyDescent="0.25">
      <c r="G5445" s="136">
        <v>43560</v>
      </c>
      <c r="H5445" t="s">
        <v>25</v>
      </c>
      <c r="I5445" t="s">
        <v>171</v>
      </c>
      <c r="J5445" t="s">
        <v>534</v>
      </c>
      <c r="K5445" s="138">
        <v>147.9</v>
      </c>
      <c r="L5445" s="137">
        <v>0</v>
      </c>
    </row>
    <row r="5446" spans="7:12" x14ac:dyDescent="0.25">
      <c r="G5446" s="136">
        <v>43560</v>
      </c>
      <c r="H5446" t="s">
        <v>25</v>
      </c>
      <c r="I5446" t="s">
        <v>171</v>
      </c>
      <c r="J5446" t="s">
        <v>534</v>
      </c>
      <c r="K5446" s="138">
        <v>84</v>
      </c>
      <c r="L5446" s="137">
        <v>0</v>
      </c>
    </row>
    <row r="5447" spans="7:12" x14ac:dyDescent="0.25">
      <c r="G5447" s="136">
        <v>43560</v>
      </c>
      <c r="H5447" t="s">
        <v>181</v>
      </c>
      <c r="I5447" t="s">
        <v>171</v>
      </c>
      <c r="J5447" t="s">
        <v>534</v>
      </c>
      <c r="K5447" s="138">
        <v>33</v>
      </c>
      <c r="L5447" s="137">
        <v>0</v>
      </c>
    </row>
    <row r="5448" spans="7:12" x14ac:dyDescent="0.25">
      <c r="G5448" s="136">
        <v>43560</v>
      </c>
      <c r="H5448" t="s">
        <v>196</v>
      </c>
      <c r="I5448" t="s">
        <v>171</v>
      </c>
      <c r="J5448" t="s">
        <v>534</v>
      </c>
      <c r="K5448" s="138">
        <v>187.8</v>
      </c>
      <c r="L5448" s="137">
        <v>0</v>
      </c>
    </row>
    <row r="5449" spans="7:12" x14ac:dyDescent="0.25">
      <c r="G5449" s="136">
        <v>43560</v>
      </c>
      <c r="H5449" t="s">
        <v>28</v>
      </c>
      <c r="I5449" t="s">
        <v>112</v>
      </c>
      <c r="J5449" t="s">
        <v>534</v>
      </c>
      <c r="K5449" s="138">
        <v>124.33</v>
      </c>
      <c r="L5449" s="137">
        <v>0</v>
      </c>
    </row>
    <row r="5450" spans="7:12" x14ac:dyDescent="0.25">
      <c r="G5450" s="136">
        <v>43560</v>
      </c>
      <c r="H5450" t="s">
        <v>28</v>
      </c>
      <c r="I5450" t="s">
        <v>112</v>
      </c>
      <c r="J5450" t="s">
        <v>534</v>
      </c>
      <c r="K5450" s="138">
        <v>57.27</v>
      </c>
      <c r="L5450" s="137">
        <v>0</v>
      </c>
    </row>
    <row r="5451" spans="7:12" x14ac:dyDescent="0.25">
      <c r="G5451" s="136">
        <v>43560</v>
      </c>
      <c r="H5451" t="s">
        <v>28</v>
      </c>
      <c r="I5451" t="s">
        <v>112</v>
      </c>
      <c r="J5451" t="s">
        <v>534</v>
      </c>
      <c r="K5451" s="138">
        <v>25.98</v>
      </c>
      <c r="L5451" s="137">
        <v>0</v>
      </c>
    </row>
    <row r="5452" spans="7:12" x14ac:dyDescent="0.25">
      <c r="G5452" s="136">
        <v>43560</v>
      </c>
      <c r="H5452" t="s">
        <v>28</v>
      </c>
      <c r="I5452" t="s">
        <v>155</v>
      </c>
      <c r="J5452" t="s">
        <v>534</v>
      </c>
      <c r="K5452" s="138">
        <v>152.85</v>
      </c>
      <c r="L5452" s="137">
        <v>0</v>
      </c>
    </row>
    <row r="5453" spans="7:12" x14ac:dyDescent="0.25">
      <c r="G5453" s="136">
        <v>43560</v>
      </c>
      <c r="H5453" t="s">
        <v>28</v>
      </c>
      <c r="I5453" t="s">
        <v>155</v>
      </c>
      <c r="J5453" t="s">
        <v>534</v>
      </c>
      <c r="K5453" s="138">
        <v>66.959999999999994</v>
      </c>
      <c r="L5453" s="137">
        <v>0</v>
      </c>
    </row>
    <row r="5454" spans="7:12" x14ac:dyDescent="0.25">
      <c r="G5454" s="136">
        <v>43560</v>
      </c>
      <c r="H5454" t="s">
        <v>28</v>
      </c>
      <c r="I5454" t="s">
        <v>155</v>
      </c>
      <c r="J5454" t="s">
        <v>534</v>
      </c>
      <c r="K5454" s="138">
        <v>53.9</v>
      </c>
      <c r="L5454" s="137">
        <v>0</v>
      </c>
    </row>
    <row r="5455" spans="7:12" x14ac:dyDescent="0.25">
      <c r="G5455" s="136">
        <v>43560</v>
      </c>
      <c r="H5455" t="s">
        <v>28</v>
      </c>
      <c r="I5455" t="s">
        <v>155</v>
      </c>
      <c r="J5455" t="s">
        <v>534</v>
      </c>
      <c r="K5455" s="138">
        <v>51.46</v>
      </c>
      <c r="L5455" s="137">
        <v>0</v>
      </c>
    </row>
    <row r="5456" spans="7:12" x14ac:dyDescent="0.25">
      <c r="G5456" s="136">
        <v>43560</v>
      </c>
      <c r="H5456" t="s">
        <v>28</v>
      </c>
      <c r="I5456" t="s">
        <v>155</v>
      </c>
      <c r="J5456" t="s">
        <v>534</v>
      </c>
      <c r="K5456" s="138">
        <v>37.159999999999997</v>
      </c>
      <c r="L5456" s="137">
        <v>0</v>
      </c>
    </row>
    <row r="5457" spans="7:12" x14ac:dyDescent="0.25">
      <c r="G5457" s="136">
        <v>43560</v>
      </c>
      <c r="H5457" t="s">
        <v>28</v>
      </c>
      <c r="I5457" t="s">
        <v>155</v>
      </c>
      <c r="J5457" t="s">
        <v>534</v>
      </c>
      <c r="K5457" s="138">
        <v>26.08</v>
      </c>
      <c r="L5457" s="137">
        <v>0</v>
      </c>
    </row>
    <row r="5458" spans="7:12" x14ac:dyDescent="0.25">
      <c r="G5458" s="136">
        <v>43560</v>
      </c>
      <c r="H5458" t="s">
        <v>28</v>
      </c>
      <c r="I5458" t="s">
        <v>155</v>
      </c>
      <c r="J5458" t="s">
        <v>534</v>
      </c>
      <c r="K5458" s="138">
        <v>21.95</v>
      </c>
      <c r="L5458" s="137">
        <v>0</v>
      </c>
    </row>
    <row r="5459" spans="7:12" x14ac:dyDescent="0.25">
      <c r="G5459" s="136">
        <v>43560</v>
      </c>
      <c r="H5459" t="s">
        <v>28</v>
      </c>
      <c r="I5459" t="s">
        <v>155</v>
      </c>
      <c r="J5459" t="s">
        <v>534</v>
      </c>
      <c r="K5459" s="138">
        <v>18.95</v>
      </c>
      <c r="L5459" s="137">
        <v>0</v>
      </c>
    </row>
    <row r="5460" spans="7:12" x14ac:dyDescent="0.25">
      <c r="G5460" s="136">
        <v>43561</v>
      </c>
      <c r="H5460" t="s">
        <v>27</v>
      </c>
      <c r="I5460" t="s">
        <v>63</v>
      </c>
      <c r="J5460" t="s">
        <v>535</v>
      </c>
      <c r="K5460" s="138">
        <v>8</v>
      </c>
      <c r="L5460" s="137">
        <v>0</v>
      </c>
    </row>
    <row r="5461" spans="7:12" x14ac:dyDescent="0.25">
      <c r="G5461" s="136">
        <v>43561</v>
      </c>
      <c r="H5461" t="s">
        <v>183</v>
      </c>
      <c r="I5461" t="s">
        <v>171</v>
      </c>
      <c r="J5461" t="s">
        <v>535</v>
      </c>
      <c r="K5461" s="138">
        <v>53.35</v>
      </c>
      <c r="L5461" s="137">
        <v>0</v>
      </c>
    </row>
    <row r="5462" spans="7:12" x14ac:dyDescent="0.25">
      <c r="G5462" s="136">
        <v>43561</v>
      </c>
      <c r="H5462" t="s">
        <v>188</v>
      </c>
      <c r="I5462" t="s">
        <v>171</v>
      </c>
      <c r="J5462" t="s">
        <v>535</v>
      </c>
      <c r="K5462" s="138">
        <v>19.399999999999999</v>
      </c>
      <c r="L5462" s="137">
        <v>0</v>
      </c>
    </row>
    <row r="5463" spans="7:12" x14ac:dyDescent="0.25">
      <c r="G5463" s="136">
        <v>43561</v>
      </c>
      <c r="H5463" t="s">
        <v>25</v>
      </c>
      <c r="I5463" t="s">
        <v>63</v>
      </c>
      <c r="J5463" t="s">
        <v>535</v>
      </c>
      <c r="K5463" s="138">
        <v>40</v>
      </c>
      <c r="L5463" s="137">
        <v>0</v>
      </c>
    </row>
    <row r="5464" spans="7:12" x14ac:dyDescent="0.25">
      <c r="G5464" s="136">
        <v>43561</v>
      </c>
      <c r="H5464" t="s">
        <v>25</v>
      </c>
      <c r="I5464" t="s">
        <v>63</v>
      </c>
      <c r="J5464" t="s">
        <v>535</v>
      </c>
      <c r="K5464" s="138">
        <v>24</v>
      </c>
      <c r="L5464" s="137">
        <v>0</v>
      </c>
    </row>
    <row r="5465" spans="7:12" x14ac:dyDescent="0.25">
      <c r="G5465" s="136">
        <v>43561</v>
      </c>
      <c r="H5465" t="s">
        <v>25</v>
      </c>
      <c r="I5465" t="s">
        <v>63</v>
      </c>
      <c r="J5465" t="s">
        <v>535</v>
      </c>
      <c r="K5465" s="138">
        <v>16</v>
      </c>
      <c r="L5465" s="137">
        <v>0</v>
      </c>
    </row>
    <row r="5466" spans="7:12" x14ac:dyDescent="0.25">
      <c r="G5466" s="136">
        <v>43561</v>
      </c>
      <c r="H5466" t="s">
        <v>25</v>
      </c>
      <c r="I5466" t="s">
        <v>63</v>
      </c>
      <c r="J5466" t="s">
        <v>535</v>
      </c>
      <c r="K5466" s="138">
        <v>8</v>
      </c>
      <c r="L5466" s="137">
        <v>0</v>
      </c>
    </row>
    <row r="5467" spans="7:12" x14ac:dyDescent="0.25">
      <c r="G5467" s="136">
        <v>43561</v>
      </c>
      <c r="H5467" t="s">
        <v>197</v>
      </c>
      <c r="I5467" t="s">
        <v>42</v>
      </c>
      <c r="J5467" t="s">
        <v>535</v>
      </c>
      <c r="K5467" s="138">
        <v>87</v>
      </c>
      <c r="L5467" s="137">
        <v>0</v>
      </c>
    </row>
    <row r="5468" spans="7:12" x14ac:dyDescent="0.25">
      <c r="G5468" s="136">
        <v>43561</v>
      </c>
      <c r="H5468" t="s">
        <v>180</v>
      </c>
      <c r="I5468" t="s">
        <v>163</v>
      </c>
      <c r="J5468" t="s">
        <v>535</v>
      </c>
      <c r="K5468" s="138">
        <v>136.80000000000001</v>
      </c>
      <c r="L5468" s="137">
        <v>0</v>
      </c>
    </row>
    <row r="5469" spans="7:12" x14ac:dyDescent="0.25">
      <c r="G5469" s="136">
        <v>43561</v>
      </c>
      <c r="H5469" t="s">
        <v>180</v>
      </c>
      <c r="I5469" t="s">
        <v>171</v>
      </c>
      <c r="J5469" t="s">
        <v>535</v>
      </c>
      <c r="K5469" s="138">
        <v>10</v>
      </c>
      <c r="L5469" s="137">
        <v>0</v>
      </c>
    </row>
    <row r="5470" spans="7:12" x14ac:dyDescent="0.25">
      <c r="G5470" s="136">
        <v>43561</v>
      </c>
      <c r="H5470" t="s">
        <v>179</v>
      </c>
      <c r="I5470" t="s">
        <v>163</v>
      </c>
      <c r="J5470" t="s">
        <v>535</v>
      </c>
      <c r="K5470" s="138">
        <v>41.95</v>
      </c>
      <c r="L5470" s="137">
        <v>0</v>
      </c>
    </row>
    <row r="5471" spans="7:12" x14ac:dyDescent="0.25">
      <c r="G5471" s="136">
        <v>43561</v>
      </c>
      <c r="H5471" t="s">
        <v>28</v>
      </c>
      <c r="I5471" t="s">
        <v>63</v>
      </c>
      <c r="J5471" t="s">
        <v>535</v>
      </c>
      <c r="K5471" s="138">
        <v>16</v>
      </c>
      <c r="L5471" s="137">
        <v>0</v>
      </c>
    </row>
    <row r="5472" spans="7:12" x14ac:dyDescent="0.25">
      <c r="G5472" s="136">
        <v>43561</v>
      </c>
      <c r="H5472" t="s">
        <v>28</v>
      </c>
      <c r="I5472" t="s">
        <v>163</v>
      </c>
      <c r="J5472" t="s">
        <v>535</v>
      </c>
      <c r="K5472" s="138">
        <v>155</v>
      </c>
      <c r="L5472" s="137">
        <v>0</v>
      </c>
    </row>
    <row r="5473" spans="7:12" x14ac:dyDescent="0.25">
      <c r="G5473" s="136">
        <v>43561</v>
      </c>
      <c r="H5473" t="s">
        <v>28</v>
      </c>
      <c r="I5473" t="s">
        <v>66</v>
      </c>
      <c r="J5473" t="s">
        <v>372</v>
      </c>
      <c r="K5473" s="138">
        <v>22.5</v>
      </c>
      <c r="L5473" s="137">
        <v>0</v>
      </c>
    </row>
    <row r="5474" spans="7:12" x14ac:dyDescent="0.25">
      <c r="G5474" s="136">
        <v>43563</v>
      </c>
      <c r="H5474" t="s">
        <v>191</v>
      </c>
      <c r="I5474" t="s">
        <v>171</v>
      </c>
      <c r="J5474" t="s">
        <v>536</v>
      </c>
      <c r="K5474" s="138">
        <v>16.3</v>
      </c>
      <c r="L5474" s="137">
        <v>0</v>
      </c>
    </row>
    <row r="5475" spans="7:12" x14ac:dyDescent="0.25">
      <c r="G5475" s="136">
        <v>43563</v>
      </c>
      <c r="H5475" t="s">
        <v>188</v>
      </c>
      <c r="I5475" t="s">
        <v>42</v>
      </c>
      <c r="J5475" t="s">
        <v>536</v>
      </c>
      <c r="K5475" s="138">
        <v>919</v>
      </c>
      <c r="L5475" s="137">
        <v>0</v>
      </c>
    </row>
    <row r="5476" spans="7:12" x14ac:dyDescent="0.25">
      <c r="G5476" s="136">
        <v>43563</v>
      </c>
      <c r="H5476" t="s">
        <v>25</v>
      </c>
      <c r="I5476" t="s">
        <v>63</v>
      </c>
      <c r="J5476" t="s">
        <v>536</v>
      </c>
      <c r="K5476" s="138">
        <v>8</v>
      </c>
      <c r="L5476" s="137">
        <v>0</v>
      </c>
    </row>
    <row r="5477" spans="7:12" x14ac:dyDescent="0.25">
      <c r="G5477" s="136">
        <v>43563</v>
      </c>
      <c r="H5477" t="s">
        <v>181</v>
      </c>
      <c r="I5477" t="s">
        <v>171</v>
      </c>
      <c r="J5477" t="s">
        <v>536</v>
      </c>
      <c r="K5477" s="138">
        <v>31.93</v>
      </c>
      <c r="L5477" s="137">
        <v>0</v>
      </c>
    </row>
    <row r="5478" spans="7:12" x14ac:dyDescent="0.25">
      <c r="G5478" s="136">
        <v>43563</v>
      </c>
      <c r="H5478" t="s">
        <v>28</v>
      </c>
      <c r="I5478" t="s">
        <v>66</v>
      </c>
      <c r="J5478" t="s">
        <v>111</v>
      </c>
      <c r="K5478" s="138">
        <v>4.8</v>
      </c>
      <c r="L5478" s="137">
        <v>0</v>
      </c>
    </row>
    <row r="5479" spans="7:12" x14ac:dyDescent="0.25">
      <c r="G5479" s="136">
        <v>43563</v>
      </c>
      <c r="H5479" t="s">
        <v>28</v>
      </c>
      <c r="I5479" t="s">
        <v>66</v>
      </c>
      <c r="J5479" t="s">
        <v>109</v>
      </c>
      <c r="K5479" s="138">
        <v>14</v>
      </c>
      <c r="L5479" s="137">
        <v>0</v>
      </c>
    </row>
    <row r="5480" spans="7:12" x14ac:dyDescent="0.25">
      <c r="G5480" s="136">
        <v>43563</v>
      </c>
      <c r="H5480" t="s">
        <v>28</v>
      </c>
      <c r="I5480" t="s">
        <v>66</v>
      </c>
      <c r="J5480" t="s">
        <v>104</v>
      </c>
      <c r="K5480" s="138">
        <v>2.4</v>
      </c>
      <c r="L5480" s="137">
        <v>0</v>
      </c>
    </row>
    <row r="5481" spans="7:12" x14ac:dyDescent="0.25">
      <c r="G5481" s="136">
        <v>43563</v>
      </c>
      <c r="H5481" t="s">
        <v>28</v>
      </c>
      <c r="I5481" t="s">
        <v>66</v>
      </c>
      <c r="J5481" t="s">
        <v>116</v>
      </c>
      <c r="K5481" s="138">
        <v>1.8</v>
      </c>
      <c r="L5481" s="137">
        <v>0</v>
      </c>
    </row>
    <row r="5482" spans="7:12" x14ac:dyDescent="0.25">
      <c r="G5482" s="136">
        <v>43564</v>
      </c>
      <c r="H5482" t="s">
        <v>27</v>
      </c>
      <c r="I5482" t="s">
        <v>63</v>
      </c>
      <c r="J5482" t="s">
        <v>538</v>
      </c>
      <c r="K5482" s="138">
        <v>8</v>
      </c>
      <c r="L5482" s="137">
        <v>0</v>
      </c>
    </row>
    <row r="5483" spans="7:12" x14ac:dyDescent="0.25">
      <c r="G5483" s="136">
        <v>43564</v>
      </c>
      <c r="H5483" t="s">
        <v>183</v>
      </c>
      <c r="I5483" t="s">
        <v>63</v>
      </c>
      <c r="J5483" t="s">
        <v>538</v>
      </c>
      <c r="K5483" s="138">
        <v>16</v>
      </c>
      <c r="L5483" s="137">
        <v>0</v>
      </c>
    </row>
    <row r="5484" spans="7:12" x14ac:dyDescent="0.25">
      <c r="G5484" s="136">
        <v>43564</v>
      </c>
      <c r="H5484" t="s">
        <v>25</v>
      </c>
      <c r="I5484" t="s">
        <v>63</v>
      </c>
      <c r="J5484" t="s">
        <v>538</v>
      </c>
      <c r="K5484" s="138">
        <v>16</v>
      </c>
      <c r="L5484" s="137">
        <v>0</v>
      </c>
    </row>
    <row r="5485" spans="7:12" x14ac:dyDescent="0.25">
      <c r="G5485" s="136">
        <v>43564</v>
      </c>
      <c r="H5485" t="s">
        <v>25</v>
      </c>
      <c r="I5485" t="s">
        <v>63</v>
      </c>
      <c r="J5485" t="s">
        <v>538</v>
      </c>
      <c r="K5485" s="138">
        <v>8</v>
      </c>
      <c r="L5485" s="137">
        <v>0</v>
      </c>
    </row>
    <row r="5486" spans="7:12" x14ac:dyDescent="0.25">
      <c r="G5486" s="136">
        <v>43564</v>
      </c>
      <c r="H5486" t="s">
        <v>196</v>
      </c>
      <c r="I5486" t="s">
        <v>171</v>
      </c>
      <c r="J5486" t="s">
        <v>538</v>
      </c>
      <c r="K5486" s="138">
        <v>41</v>
      </c>
      <c r="L5486" s="137">
        <v>0</v>
      </c>
    </row>
    <row r="5487" spans="7:12" x14ac:dyDescent="0.25">
      <c r="G5487" s="136">
        <v>43564</v>
      </c>
      <c r="H5487" t="s">
        <v>180</v>
      </c>
      <c r="I5487" t="s">
        <v>163</v>
      </c>
      <c r="J5487" t="s">
        <v>538</v>
      </c>
      <c r="K5487" s="138">
        <v>106.93</v>
      </c>
      <c r="L5487" s="137">
        <v>0</v>
      </c>
    </row>
    <row r="5488" spans="7:12" x14ac:dyDescent="0.25">
      <c r="G5488" s="136">
        <v>43564</v>
      </c>
      <c r="H5488" t="s">
        <v>180</v>
      </c>
      <c r="I5488" t="s">
        <v>171</v>
      </c>
      <c r="J5488" t="s">
        <v>538</v>
      </c>
      <c r="K5488" s="138">
        <v>25</v>
      </c>
      <c r="L5488" s="137">
        <v>0</v>
      </c>
    </row>
    <row r="5489" spans="7:12" x14ac:dyDescent="0.25">
      <c r="G5489" s="136">
        <v>43564</v>
      </c>
      <c r="H5489" t="s">
        <v>28</v>
      </c>
      <c r="I5489" t="s">
        <v>66</v>
      </c>
      <c r="J5489" t="s">
        <v>120</v>
      </c>
      <c r="K5489" s="138">
        <v>3</v>
      </c>
      <c r="L5489" s="137">
        <v>0</v>
      </c>
    </row>
    <row r="5490" spans="7:12" x14ac:dyDescent="0.25">
      <c r="G5490" s="136">
        <v>43564</v>
      </c>
      <c r="H5490" t="s">
        <v>28</v>
      </c>
      <c r="I5490" t="s">
        <v>66</v>
      </c>
      <c r="J5490" t="s">
        <v>537</v>
      </c>
      <c r="K5490" s="138">
        <v>4.75</v>
      </c>
      <c r="L5490" s="137">
        <v>0</v>
      </c>
    </row>
    <row r="5491" spans="7:12" x14ac:dyDescent="0.25">
      <c r="G5491" s="136">
        <v>43564</v>
      </c>
      <c r="H5491" t="s">
        <v>28</v>
      </c>
      <c r="I5491" t="s">
        <v>66</v>
      </c>
      <c r="J5491" t="s">
        <v>140</v>
      </c>
      <c r="K5491" s="138">
        <v>4.5</v>
      </c>
      <c r="L5491" s="137">
        <v>0</v>
      </c>
    </row>
    <row r="5492" spans="7:12" x14ac:dyDescent="0.25">
      <c r="G5492" s="136">
        <v>43565</v>
      </c>
      <c r="H5492" t="s">
        <v>203</v>
      </c>
      <c r="I5492" t="s">
        <v>249</v>
      </c>
      <c r="J5492" t="s">
        <v>539</v>
      </c>
      <c r="K5492" s="138">
        <v>27.2</v>
      </c>
      <c r="L5492" s="137">
        <v>0</v>
      </c>
    </row>
    <row r="5493" spans="7:12" x14ac:dyDescent="0.25">
      <c r="G5493" s="136">
        <v>43565</v>
      </c>
      <c r="H5493" t="s">
        <v>192</v>
      </c>
      <c r="I5493" t="s">
        <v>163</v>
      </c>
      <c r="J5493" t="s">
        <v>540</v>
      </c>
      <c r="K5493" s="138">
        <v>68.41</v>
      </c>
      <c r="L5493" s="137">
        <v>0</v>
      </c>
    </row>
    <row r="5494" spans="7:12" x14ac:dyDescent="0.25">
      <c r="G5494" s="136">
        <v>43565</v>
      </c>
      <c r="H5494" t="s">
        <v>27</v>
      </c>
      <c r="I5494" t="s">
        <v>63</v>
      </c>
      <c r="J5494" t="s">
        <v>540</v>
      </c>
      <c r="K5494" s="138">
        <v>8</v>
      </c>
      <c r="L5494" s="137">
        <v>0</v>
      </c>
    </row>
    <row r="5495" spans="7:12" x14ac:dyDescent="0.25">
      <c r="G5495" s="136">
        <v>43565</v>
      </c>
      <c r="H5495" t="s">
        <v>27</v>
      </c>
      <c r="I5495" t="s">
        <v>249</v>
      </c>
      <c r="J5495" t="s">
        <v>539</v>
      </c>
      <c r="K5495" s="138">
        <v>123.33</v>
      </c>
      <c r="L5495" s="137">
        <v>0</v>
      </c>
    </row>
    <row r="5496" spans="7:12" x14ac:dyDescent="0.25">
      <c r="G5496" s="136">
        <v>43565</v>
      </c>
      <c r="H5496" t="s">
        <v>27</v>
      </c>
      <c r="I5496" t="s">
        <v>249</v>
      </c>
      <c r="J5496" t="s">
        <v>539</v>
      </c>
      <c r="K5496" s="138">
        <v>98.4</v>
      </c>
      <c r="L5496" s="137">
        <v>0</v>
      </c>
    </row>
    <row r="5497" spans="7:12" x14ac:dyDescent="0.25">
      <c r="G5497" s="136">
        <v>43565</v>
      </c>
      <c r="H5497" t="s">
        <v>27</v>
      </c>
      <c r="I5497" t="s">
        <v>249</v>
      </c>
      <c r="J5497" t="s">
        <v>539</v>
      </c>
      <c r="K5497" s="138">
        <v>77.55</v>
      </c>
      <c r="L5497" s="137">
        <v>0</v>
      </c>
    </row>
    <row r="5498" spans="7:12" x14ac:dyDescent="0.25">
      <c r="G5498" s="136">
        <v>43565</v>
      </c>
      <c r="H5498" t="s">
        <v>27</v>
      </c>
      <c r="I5498" t="s">
        <v>249</v>
      </c>
      <c r="J5498" t="s">
        <v>539</v>
      </c>
      <c r="K5498" s="138">
        <v>69.680000000000007</v>
      </c>
      <c r="L5498" s="137">
        <v>0</v>
      </c>
    </row>
    <row r="5499" spans="7:12" x14ac:dyDescent="0.25">
      <c r="G5499" s="136">
        <v>43565</v>
      </c>
      <c r="H5499" t="s">
        <v>27</v>
      </c>
      <c r="I5499" t="s">
        <v>249</v>
      </c>
      <c r="J5499" t="s">
        <v>539</v>
      </c>
      <c r="K5499" s="138">
        <v>64.92</v>
      </c>
      <c r="L5499" s="137">
        <v>0</v>
      </c>
    </row>
    <row r="5500" spans="7:12" x14ac:dyDescent="0.25">
      <c r="G5500" s="136">
        <v>43565</v>
      </c>
      <c r="H5500" t="s">
        <v>27</v>
      </c>
      <c r="I5500" t="s">
        <v>249</v>
      </c>
      <c r="J5500" t="s">
        <v>539</v>
      </c>
      <c r="K5500" s="138">
        <v>64.510000000000005</v>
      </c>
      <c r="L5500" s="137">
        <v>0</v>
      </c>
    </row>
    <row r="5501" spans="7:12" x14ac:dyDescent="0.25">
      <c r="G5501" s="136">
        <v>43565</v>
      </c>
      <c r="H5501" t="s">
        <v>27</v>
      </c>
      <c r="I5501" t="s">
        <v>249</v>
      </c>
      <c r="J5501" t="s">
        <v>539</v>
      </c>
      <c r="K5501" s="138">
        <v>45.54</v>
      </c>
      <c r="L5501" s="137">
        <v>0</v>
      </c>
    </row>
    <row r="5502" spans="7:12" x14ac:dyDescent="0.25">
      <c r="G5502" s="136">
        <v>43565</v>
      </c>
      <c r="H5502" t="s">
        <v>27</v>
      </c>
      <c r="I5502" t="s">
        <v>249</v>
      </c>
      <c r="J5502" t="s">
        <v>539</v>
      </c>
      <c r="K5502" s="138">
        <v>31.11</v>
      </c>
      <c r="L5502" s="137">
        <v>0</v>
      </c>
    </row>
    <row r="5503" spans="7:12" x14ac:dyDescent="0.25">
      <c r="G5503" s="136">
        <v>43565</v>
      </c>
      <c r="H5503" t="s">
        <v>27</v>
      </c>
      <c r="I5503" t="s">
        <v>249</v>
      </c>
      <c r="J5503" t="s">
        <v>539</v>
      </c>
      <c r="K5503" s="138">
        <v>30.16</v>
      </c>
      <c r="L5503" s="137">
        <v>0</v>
      </c>
    </row>
    <row r="5504" spans="7:12" x14ac:dyDescent="0.25">
      <c r="G5504" s="136">
        <v>43565</v>
      </c>
      <c r="H5504" t="s">
        <v>27</v>
      </c>
      <c r="I5504" t="s">
        <v>249</v>
      </c>
      <c r="J5504" t="s">
        <v>539</v>
      </c>
      <c r="K5504" s="138">
        <v>26.35</v>
      </c>
      <c r="L5504" s="137">
        <v>0</v>
      </c>
    </row>
    <row r="5505" spans="7:12" x14ac:dyDescent="0.25">
      <c r="G5505" s="136">
        <v>43565</v>
      </c>
      <c r="H5505" t="s">
        <v>27</v>
      </c>
      <c r="I5505" t="s">
        <v>249</v>
      </c>
      <c r="J5505" t="s">
        <v>539</v>
      </c>
      <c r="K5505" s="138">
        <v>21.76</v>
      </c>
      <c r="L5505" s="137">
        <v>0</v>
      </c>
    </row>
    <row r="5506" spans="7:12" x14ac:dyDescent="0.25">
      <c r="G5506" s="136">
        <v>43565</v>
      </c>
      <c r="H5506" t="s">
        <v>27</v>
      </c>
      <c r="I5506" t="s">
        <v>249</v>
      </c>
      <c r="J5506" t="s">
        <v>539</v>
      </c>
      <c r="K5506" s="138">
        <v>21.74</v>
      </c>
      <c r="L5506" s="137">
        <v>0</v>
      </c>
    </row>
    <row r="5507" spans="7:12" x14ac:dyDescent="0.25">
      <c r="G5507" s="136">
        <v>43565</v>
      </c>
      <c r="H5507" t="s">
        <v>27</v>
      </c>
      <c r="I5507" t="s">
        <v>249</v>
      </c>
      <c r="J5507" t="s">
        <v>539</v>
      </c>
      <c r="K5507" s="138">
        <v>13.79</v>
      </c>
      <c r="L5507" s="137">
        <v>0</v>
      </c>
    </row>
    <row r="5508" spans="7:12" x14ac:dyDescent="0.25">
      <c r="G5508" s="136">
        <v>43565</v>
      </c>
      <c r="H5508" t="s">
        <v>184</v>
      </c>
      <c r="I5508" t="s">
        <v>63</v>
      </c>
      <c r="J5508" t="s">
        <v>540</v>
      </c>
      <c r="K5508" s="138">
        <v>20</v>
      </c>
      <c r="L5508" s="137">
        <v>0</v>
      </c>
    </row>
    <row r="5509" spans="7:12" x14ac:dyDescent="0.25">
      <c r="G5509" s="136">
        <v>43565</v>
      </c>
      <c r="H5509" t="s">
        <v>183</v>
      </c>
      <c r="I5509" t="s">
        <v>63</v>
      </c>
      <c r="J5509" t="s">
        <v>540</v>
      </c>
      <c r="K5509" s="138">
        <v>45.13</v>
      </c>
      <c r="L5509" s="137">
        <v>0</v>
      </c>
    </row>
    <row r="5510" spans="7:12" x14ac:dyDescent="0.25">
      <c r="G5510" s="136">
        <v>43565</v>
      </c>
      <c r="H5510" t="s">
        <v>183</v>
      </c>
      <c r="I5510" t="s">
        <v>249</v>
      </c>
      <c r="J5510" t="s">
        <v>539</v>
      </c>
      <c r="K5510" s="138">
        <v>140</v>
      </c>
      <c r="L5510" s="137">
        <v>0</v>
      </c>
    </row>
    <row r="5511" spans="7:12" x14ac:dyDescent="0.25">
      <c r="G5511" s="136">
        <v>43565</v>
      </c>
      <c r="H5511" t="s">
        <v>189</v>
      </c>
      <c r="I5511" t="s">
        <v>249</v>
      </c>
      <c r="J5511" t="s">
        <v>539</v>
      </c>
      <c r="K5511" s="138">
        <v>519.46</v>
      </c>
      <c r="L5511" s="137">
        <v>0</v>
      </c>
    </row>
    <row r="5512" spans="7:12" x14ac:dyDescent="0.25">
      <c r="G5512" s="136">
        <v>43565</v>
      </c>
      <c r="H5512" t="s">
        <v>193</v>
      </c>
      <c r="I5512" t="s">
        <v>249</v>
      </c>
      <c r="J5512" t="s">
        <v>539</v>
      </c>
      <c r="K5512" s="138">
        <v>147.93</v>
      </c>
      <c r="L5512" s="137">
        <v>0</v>
      </c>
    </row>
    <row r="5513" spans="7:12" x14ac:dyDescent="0.25">
      <c r="G5513" s="136">
        <v>43565</v>
      </c>
      <c r="H5513" t="s">
        <v>188</v>
      </c>
      <c r="I5513" t="s">
        <v>249</v>
      </c>
      <c r="J5513" t="s">
        <v>539</v>
      </c>
      <c r="K5513" s="138">
        <v>767.82</v>
      </c>
      <c r="L5513" s="137">
        <v>0</v>
      </c>
    </row>
    <row r="5514" spans="7:12" x14ac:dyDescent="0.25">
      <c r="G5514" s="136">
        <v>43565</v>
      </c>
      <c r="H5514" t="s">
        <v>200</v>
      </c>
      <c r="I5514" t="s">
        <v>249</v>
      </c>
      <c r="J5514" t="s">
        <v>539</v>
      </c>
      <c r="K5514" s="138">
        <v>94.12</v>
      </c>
      <c r="L5514" s="137">
        <v>0</v>
      </c>
    </row>
    <row r="5515" spans="7:12" x14ac:dyDescent="0.25">
      <c r="G5515" s="136">
        <v>43565</v>
      </c>
      <c r="H5515" t="s">
        <v>25</v>
      </c>
      <c r="I5515" t="s">
        <v>63</v>
      </c>
      <c r="J5515" t="s">
        <v>540</v>
      </c>
      <c r="K5515" s="138">
        <v>16</v>
      </c>
      <c r="L5515" s="137">
        <v>0</v>
      </c>
    </row>
    <row r="5516" spans="7:12" x14ac:dyDescent="0.25">
      <c r="G5516" s="136">
        <v>43565</v>
      </c>
      <c r="H5516" t="s">
        <v>25</v>
      </c>
      <c r="I5516" t="s">
        <v>249</v>
      </c>
      <c r="J5516" t="s">
        <v>539</v>
      </c>
      <c r="K5516" s="138">
        <v>745.21</v>
      </c>
      <c r="L5516" s="137">
        <v>0</v>
      </c>
    </row>
    <row r="5517" spans="7:12" x14ac:dyDescent="0.25">
      <c r="G5517" s="136">
        <v>43565</v>
      </c>
      <c r="H5517" t="s">
        <v>25</v>
      </c>
      <c r="I5517" t="s">
        <v>249</v>
      </c>
      <c r="J5517" t="s">
        <v>539</v>
      </c>
      <c r="K5517" s="138">
        <v>743.95</v>
      </c>
      <c r="L5517" s="137">
        <v>0</v>
      </c>
    </row>
    <row r="5518" spans="7:12" x14ac:dyDescent="0.25">
      <c r="G5518" s="136">
        <v>43565</v>
      </c>
      <c r="H5518" t="s">
        <v>25</v>
      </c>
      <c r="I5518" t="s">
        <v>249</v>
      </c>
      <c r="J5518" t="s">
        <v>539</v>
      </c>
      <c r="K5518" s="138">
        <v>684.66</v>
      </c>
      <c r="L5518" s="137">
        <v>0</v>
      </c>
    </row>
    <row r="5519" spans="7:12" x14ac:dyDescent="0.25">
      <c r="G5519" s="136">
        <v>43565</v>
      </c>
      <c r="H5519" t="s">
        <v>25</v>
      </c>
      <c r="I5519" t="s">
        <v>249</v>
      </c>
      <c r="J5519" t="s">
        <v>539</v>
      </c>
      <c r="K5519" s="138">
        <v>560.6</v>
      </c>
      <c r="L5519" s="137">
        <v>0</v>
      </c>
    </row>
    <row r="5520" spans="7:12" x14ac:dyDescent="0.25">
      <c r="G5520" s="136">
        <v>43565</v>
      </c>
      <c r="H5520" t="s">
        <v>25</v>
      </c>
      <c r="I5520" t="s">
        <v>249</v>
      </c>
      <c r="J5520" t="s">
        <v>539</v>
      </c>
      <c r="K5520" s="138">
        <v>557.19000000000005</v>
      </c>
      <c r="L5520" s="137">
        <v>0</v>
      </c>
    </row>
    <row r="5521" spans="7:12" x14ac:dyDescent="0.25">
      <c r="G5521" s="136">
        <v>43565</v>
      </c>
      <c r="H5521" t="s">
        <v>25</v>
      </c>
      <c r="I5521" t="s">
        <v>249</v>
      </c>
      <c r="J5521" t="s">
        <v>539</v>
      </c>
      <c r="K5521" s="138">
        <v>484.74</v>
      </c>
      <c r="L5521" s="137">
        <v>0</v>
      </c>
    </row>
    <row r="5522" spans="7:12" x14ac:dyDescent="0.25">
      <c r="G5522" s="136">
        <v>43565</v>
      </c>
      <c r="H5522" t="s">
        <v>25</v>
      </c>
      <c r="I5522" t="s">
        <v>249</v>
      </c>
      <c r="J5522" t="s">
        <v>539</v>
      </c>
      <c r="K5522" s="138">
        <v>454.53</v>
      </c>
      <c r="L5522" s="137">
        <v>0</v>
      </c>
    </row>
    <row r="5523" spans="7:12" x14ac:dyDescent="0.25">
      <c r="G5523" s="136">
        <v>43565</v>
      </c>
      <c r="H5523" t="s">
        <v>25</v>
      </c>
      <c r="I5523" t="s">
        <v>249</v>
      </c>
      <c r="J5523" t="s">
        <v>539</v>
      </c>
      <c r="K5523" s="138">
        <v>443.45</v>
      </c>
      <c r="L5523" s="137">
        <v>0</v>
      </c>
    </row>
    <row r="5524" spans="7:12" x14ac:dyDescent="0.25">
      <c r="G5524" s="136">
        <v>43565</v>
      </c>
      <c r="H5524" t="s">
        <v>25</v>
      </c>
      <c r="I5524" t="s">
        <v>249</v>
      </c>
      <c r="J5524" t="s">
        <v>539</v>
      </c>
      <c r="K5524" s="138">
        <v>414.01</v>
      </c>
      <c r="L5524" s="137">
        <v>0</v>
      </c>
    </row>
    <row r="5525" spans="7:12" x14ac:dyDescent="0.25">
      <c r="G5525" s="136">
        <v>43565</v>
      </c>
      <c r="H5525" t="s">
        <v>25</v>
      </c>
      <c r="I5525" t="s">
        <v>249</v>
      </c>
      <c r="J5525" t="s">
        <v>539</v>
      </c>
      <c r="K5525" s="138">
        <v>409.61</v>
      </c>
      <c r="L5525" s="137">
        <v>0</v>
      </c>
    </row>
    <row r="5526" spans="7:12" x14ac:dyDescent="0.25">
      <c r="G5526" s="136">
        <v>43565</v>
      </c>
      <c r="H5526" t="s">
        <v>25</v>
      </c>
      <c r="I5526" t="s">
        <v>249</v>
      </c>
      <c r="J5526" t="s">
        <v>539</v>
      </c>
      <c r="K5526" s="138">
        <v>349.69</v>
      </c>
      <c r="L5526" s="137">
        <v>0</v>
      </c>
    </row>
    <row r="5527" spans="7:12" x14ac:dyDescent="0.25">
      <c r="G5527" s="136">
        <v>43565</v>
      </c>
      <c r="H5527" t="s">
        <v>25</v>
      </c>
      <c r="I5527" t="s">
        <v>249</v>
      </c>
      <c r="J5527" t="s">
        <v>539</v>
      </c>
      <c r="K5527" s="138">
        <v>322.91000000000003</v>
      </c>
      <c r="L5527" s="137">
        <v>0</v>
      </c>
    </row>
    <row r="5528" spans="7:12" x14ac:dyDescent="0.25">
      <c r="G5528" s="136">
        <v>43565</v>
      </c>
      <c r="H5528" t="s">
        <v>25</v>
      </c>
      <c r="I5528" t="s">
        <v>249</v>
      </c>
      <c r="J5528" t="s">
        <v>539</v>
      </c>
      <c r="K5528" s="138">
        <v>298.99</v>
      </c>
      <c r="L5528" s="137">
        <v>0</v>
      </c>
    </row>
    <row r="5529" spans="7:12" x14ac:dyDescent="0.25">
      <c r="G5529" s="136">
        <v>43565</v>
      </c>
      <c r="H5529" t="s">
        <v>25</v>
      </c>
      <c r="I5529" t="s">
        <v>249</v>
      </c>
      <c r="J5529" t="s">
        <v>539</v>
      </c>
      <c r="K5529" s="138">
        <v>277.35000000000002</v>
      </c>
      <c r="L5529" s="137">
        <v>0</v>
      </c>
    </row>
    <row r="5530" spans="7:12" x14ac:dyDescent="0.25">
      <c r="G5530" s="136">
        <v>43565</v>
      </c>
      <c r="H5530" t="s">
        <v>25</v>
      </c>
      <c r="I5530" t="s">
        <v>249</v>
      </c>
      <c r="J5530" t="s">
        <v>539</v>
      </c>
      <c r="K5530" s="138">
        <v>247.25</v>
      </c>
      <c r="L5530" s="137">
        <v>0</v>
      </c>
    </row>
    <row r="5531" spans="7:12" x14ac:dyDescent="0.25">
      <c r="G5531" s="136">
        <v>43565</v>
      </c>
      <c r="H5531" t="s">
        <v>25</v>
      </c>
      <c r="I5531" t="s">
        <v>249</v>
      </c>
      <c r="J5531" t="s">
        <v>539</v>
      </c>
      <c r="K5531" s="138">
        <v>229.69</v>
      </c>
      <c r="L5531" s="137">
        <v>0</v>
      </c>
    </row>
    <row r="5532" spans="7:12" x14ac:dyDescent="0.25">
      <c r="G5532" s="136">
        <v>43565</v>
      </c>
      <c r="H5532" t="s">
        <v>25</v>
      </c>
      <c r="I5532" t="s">
        <v>249</v>
      </c>
      <c r="J5532" t="s">
        <v>539</v>
      </c>
      <c r="K5532" s="138">
        <v>226.17</v>
      </c>
      <c r="L5532" s="137">
        <v>0</v>
      </c>
    </row>
    <row r="5533" spans="7:12" x14ac:dyDescent="0.25">
      <c r="G5533" s="136">
        <v>43565</v>
      </c>
      <c r="H5533" t="s">
        <v>25</v>
      </c>
      <c r="I5533" t="s">
        <v>249</v>
      </c>
      <c r="J5533" t="s">
        <v>539</v>
      </c>
      <c r="K5533" s="138">
        <v>214.42</v>
      </c>
      <c r="L5533" s="137">
        <v>0</v>
      </c>
    </row>
    <row r="5534" spans="7:12" x14ac:dyDescent="0.25">
      <c r="G5534" s="136">
        <v>43565</v>
      </c>
      <c r="H5534" t="s">
        <v>25</v>
      </c>
      <c r="I5534" t="s">
        <v>249</v>
      </c>
      <c r="J5534" t="s">
        <v>539</v>
      </c>
      <c r="K5534" s="138">
        <v>206.84</v>
      </c>
      <c r="L5534" s="137">
        <v>0</v>
      </c>
    </row>
    <row r="5535" spans="7:12" x14ac:dyDescent="0.25">
      <c r="G5535" s="136">
        <v>43565</v>
      </c>
      <c r="H5535" t="s">
        <v>25</v>
      </c>
      <c r="I5535" t="s">
        <v>249</v>
      </c>
      <c r="J5535" t="s">
        <v>539</v>
      </c>
      <c r="K5535" s="138">
        <v>166.93</v>
      </c>
      <c r="L5535" s="137">
        <v>0</v>
      </c>
    </row>
    <row r="5536" spans="7:12" x14ac:dyDescent="0.25">
      <c r="G5536" s="136">
        <v>43565</v>
      </c>
      <c r="H5536" t="s">
        <v>25</v>
      </c>
      <c r="I5536" t="s">
        <v>249</v>
      </c>
      <c r="J5536" t="s">
        <v>539</v>
      </c>
      <c r="K5536" s="138">
        <v>163.58000000000001</v>
      </c>
      <c r="L5536" s="137">
        <v>0</v>
      </c>
    </row>
    <row r="5537" spans="7:12" x14ac:dyDescent="0.25">
      <c r="G5537" s="136">
        <v>43565</v>
      </c>
      <c r="H5537" t="s">
        <v>25</v>
      </c>
      <c r="I5537" t="s">
        <v>249</v>
      </c>
      <c r="J5537" t="s">
        <v>539</v>
      </c>
      <c r="K5537" s="138">
        <v>152.47999999999999</v>
      </c>
      <c r="L5537" s="137">
        <v>0</v>
      </c>
    </row>
    <row r="5538" spans="7:12" x14ac:dyDescent="0.25">
      <c r="G5538" s="136">
        <v>43565</v>
      </c>
      <c r="H5538" t="s">
        <v>25</v>
      </c>
      <c r="I5538" t="s">
        <v>249</v>
      </c>
      <c r="J5538" t="s">
        <v>539</v>
      </c>
      <c r="K5538" s="138">
        <v>135.44</v>
      </c>
      <c r="L5538" s="137">
        <v>0</v>
      </c>
    </row>
    <row r="5539" spans="7:12" x14ac:dyDescent="0.25">
      <c r="G5539" s="136">
        <v>43565</v>
      </c>
      <c r="H5539" t="s">
        <v>25</v>
      </c>
      <c r="I5539" t="s">
        <v>249</v>
      </c>
      <c r="J5539" t="s">
        <v>539</v>
      </c>
      <c r="K5539" s="138">
        <v>93.66</v>
      </c>
      <c r="L5539" s="137">
        <v>0</v>
      </c>
    </row>
    <row r="5540" spans="7:12" x14ac:dyDescent="0.25">
      <c r="G5540" s="136">
        <v>43565</v>
      </c>
      <c r="H5540" t="s">
        <v>25</v>
      </c>
      <c r="I5540" t="s">
        <v>249</v>
      </c>
      <c r="J5540" t="s">
        <v>539</v>
      </c>
      <c r="K5540" s="138">
        <v>85.58</v>
      </c>
      <c r="L5540" s="137">
        <v>0</v>
      </c>
    </row>
    <row r="5541" spans="7:12" x14ac:dyDescent="0.25">
      <c r="G5541" s="136">
        <v>43565</v>
      </c>
      <c r="H5541" t="s">
        <v>25</v>
      </c>
      <c r="I5541" t="s">
        <v>249</v>
      </c>
      <c r="J5541" t="s">
        <v>539</v>
      </c>
      <c r="K5541" s="138">
        <v>81.55</v>
      </c>
      <c r="L5541" s="137">
        <v>0</v>
      </c>
    </row>
    <row r="5542" spans="7:12" x14ac:dyDescent="0.25">
      <c r="G5542" s="136">
        <v>43565</v>
      </c>
      <c r="H5542" t="s">
        <v>25</v>
      </c>
      <c r="I5542" t="s">
        <v>249</v>
      </c>
      <c r="J5542" t="s">
        <v>539</v>
      </c>
      <c r="K5542" s="138">
        <v>71.099999999999994</v>
      </c>
      <c r="L5542" s="137">
        <v>0</v>
      </c>
    </row>
    <row r="5543" spans="7:12" x14ac:dyDescent="0.25">
      <c r="G5543" s="136">
        <v>43565</v>
      </c>
      <c r="H5543" t="s">
        <v>25</v>
      </c>
      <c r="I5543" t="s">
        <v>249</v>
      </c>
      <c r="J5543" t="s">
        <v>539</v>
      </c>
      <c r="K5543" s="138">
        <v>67.34</v>
      </c>
      <c r="L5543" s="137">
        <v>0</v>
      </c>
    </row>
    <row r="5544" spans="7:12" x14ac:dyDescent="0.25">
      <c r="G5544" s="136">
        <v>43565</v>
      </c>
      <c r="H5544" t="s">
        <v>25</v>
      </c>
      <c r="I5544" t="s">
        <v>249</v>
      </c>
      <c r="J5544" t="s">
        <v>539</v>
      </c>
      <c r="K5544" s="138">
        <v>45.5</v>
      </c>
      <c r="L5544" s="137">
        <v>0</v>
      </c>
    </row>
    <row r="5545" spans="7:12" x14ac:dyDescent="0.25">
      <c r="G5545" s="136">
        <v>43565</v>
      </c>
      <c r="H5545" t="s">
        <v>25</v>
      </c>
      <c r="I5545" t="s">
        <v>249</v>
      </c>
      <c r="J5545" t="s">
        <v>539</v>
      </c>
      <c r="K5545" s="138">
        <v>39.01</v>
      </c>
      <c r="L5545" s="137">
        <v>0</v>
      </c>
    </row>
    <row r="5546" spans="7:12" x14ac:dyDescent="0.25">
      <c r="G5546" s="136">
        <v>43565</v>
      </c>
      <c r="H5546" t="s">
        <v>25</v>
      </c>
      <c r="I5546" t="s">
        <v>249</v>
      </c>
      <c r="J5546" t="s">
        <v>539</v>
      </c>
      <c r="K5546" s="138">
        <v>37.64</v>
      </c>
      <c r="L5546" s="137">
        <v>0</v>
      </c>
    </row>
    <row r="5547" spans="7:12" x14ac:dyDescent="0.25">
      <c r="G5547" s="136">
        <v>43565</v>
      </c>
      <c r="H5547" t="s">
        <v>25</v>
      </c>
      <c r="I5547" t="s">
        <v>249</v>
      </c>
      <c r="J5547" t="s">
        <v>539</v>
      </c>
      <c r="K5547" s="138">
        <v>37.5</v>
      </c>
      <c r="L5547" s="137">
        <v>0</v>
      </c>
    </row>
    <row r="5548" spans="7:12" x14ac:dyDescent="0.25">
      <c r="G5548" s="136">
        <v>43565</v>
      </c>
      <c r="H5548" t="s">
        <v>180</v>
      </c>
      <c r="I5548" t="s">
        <v>249</v>
      </c>
      <c r="J5548" t="s">
        <v>539</v>
      </c>
      <c r="K5548" s="138">
        <v>45.01</v>
      </c>
      <c r="L5548" s="137">
        <v>0</v>
      </c>
    </row>
    <row r="5549" spans="7:12" x14ac:dyDescent="0.25">
      <c r="G5549" s="136">
        <v>43565</v>
      </c>
      <c r="H5549" t="s">
        <v>179</v>
      </c>
      <c r="I5549" t="s">
        <v>249</v>
      </c>
      <c r="J5549" t="s">
        <v>539</v>
      </c>
      <c r="K5549" s="138">
        <v>2980.22</v>
      </c>
      <c r="L5549" s="137">
        <v>0</v>
      </c>
    </row>
    <row r="5550" spans="7:12" x14ac:dyDescent="0.25">
      <c r="G5550" s="136">
        <v>43565</v>
      </c>
      <c r="H5550" t="s">
        <v>28</v>
      </c>
      <c r="I5550" t="s">
        <v>66</v>
      </c>
      <c r="J5550" t="s">
        <v>142</v>
      </c>
      <c r="K5550" s="138">
        <v>44</v>
      </c>
      <c r="L5550" s="137">
        <v>0</v>
      </c>
    </row>
    <row r="5551" spans="7:12" x14ac:dyDescent="0.25">
      <c r="G5551" s="136">
        <v>43565</v>
      </c>
      <c r="H5551" t="s">
        <v>28</v>
      </c>
      <c r="I5551" t="s">
        <v>66</v>
      </c>
      <c r="J5551" t="s">
        <v>125</v>
      </c>
      <c r="K5551" s="138">
        <v>6.85</v>
      </c>
      <c r="L5551" s="137">
        <v>0</v>
      </c>
    </row>
    <row r="5552" spans="7:12" x14ac:dyDescent="0.25">
      <c r="G5552" s="136">
        <v>43565</v>
      </c>
      <c r="H5552" t="s">
        <v>28</v>
      </c>
      <c r="I5552" t="s">
        <v>66</v>
      </c>
      <c r="J5552" t="s">
        <v>104</v>
      </c>
      <c r="K5552" s="138">
        <v>2.4</v>
      </c>
      <c r="L5552" s="137">
        <v>0</v>
      </c>
    </row>
    <row r="5553" spans="7:12" x14ac:dyDescent="0.25">
      <c r="G5553" s="136">
        <v>43565</v>
      </c>
      <c r="H5553" t="s">
        <v>28</v>
      </c>
      <c r="I5553" t="s">
        <v>66</v>
      </c>
      <c r="J5553" t="s">
        <v>266</v>
      </c>
      <c r="K5553" s="138">
        <v>2.1</v>
      </c>
      <c r="L5553" s="137">
        <v>0</v>
      </c>
    </row>
    <row r="5554" spans="7:12" x14ac:dyDescent="0.25">
      <c r="G5554" s="136">
        <v>43565</v>
      </c>
      <c r="H5554" t="s">
        <v>28</v>
      </c>
      <c r="I5554" t="s">
        <v>249</v>
      </c>
      <c r="J5554" t="s">
        <v>539</v>
      </c>
      <c r="K5554" s="138">
        <v>83.32</v>
      </c>
      <c r="L5554" s="137">
        <v>0</v>
      </c>
    </row>
    <row r="5555" spans="7:12" x14ac:dyDescent="0.25">
      <c r="G5555" s="136">
        <v>43565</v>
      </c>
      <c r="H5555" t="s">
        <v>28</v>
      </c>
      <c r="I5555" t="s">
        <v>249</v>
      </c>
      <c r="J5555" t="s">
        <v>539</v>
      </c>
      <c r="K5555" s="138">
        <v>81.08</v>
      </c>
      <c r="L5555" s="137">
        <v>0</v>
      </c>
    </row>
    <row r="5556" spans="7:12" x14ac:dyDescent="0.25">
      <c r="G5556" s="136">
        <v>43565</v>
      </c>
      <c r="H5556" t="s">
        <v>28</v>
      </c>
      <c r="I5556" t="s">
        <v>249</v>
      </c>
      <c r="J5556" t="s">
        <v>539</v>
      </c>
      <c r="K5556" s="138">
        <v>70.28</v>
      </c>
      <c r="L5556" s="137">
        <v>0</v>
      </c>
    </row>
    <row r="5557" spans="7:12" x14ac:dyDescent="0.25">
      <c r="G5557" s="136">
        <v>43565</v>
      </c>
      <c r="H5557" t="s">
        <v>28</v>
      </c>
      <c r="I5557" t="s">
        <v>249</v>
      </c>
      <c r="J5557" t="s">
        <v>539</v>
      </c>
      <c r="K5557" s="138">
        <v>69.34</v>
      </c>
      <c r="L5557" s="137">
        <v>0</v>
      </c>
    </row>
    <row r="5558" spans="7:12" x14ac:dyDescent="0.25">
      <c r="G5558" s="136">
        <v>43565</v>
      </c>
      <c r="H5558" t="s">
        <v>28</v>
      </c>
      <c r="I5558" t="s">
        <v>249</v>
      </c>
      <c r="J5558" t="s">
        <v>539</v>
      </c>
      <c r="K5558" s="138">
        <v>34.770000000000003</v>
      </c>
      <c r="L5558" s="137">
        <v>0</v>
      </c>
    </row>
    <row r="5559" spans="7:12" x14ac:dyDescent="0.25">
      <c r="G5559" s="136">
        <v>43565</v>
      </c>
      <c r="H5559" t="s">
        <v>28</v>
      </c>
      <c r="I5559" t="s">
        <v>249</v>
      </c>
      <c r="J5559" t="s">
        <v>539</v>
      </c>
      <c r="K5559" s="138">
        <v>13.68</v>
      </c>
      <c r="L5559" s="137">
        <v>0</v>
      </c>
    </row>
    <row r="5560" spans="7:12" x14ac:dyDescent="0.25">
      <c r="G5560" s="136">
        <v>43566</v>
      </c>
      <c r="H5560" t="s">
        <v>192</v>
      </c>
      <c r="I5560" t="s">
        <v>112</v>
      </c>
      <c r="J5560" t="s">
        <v>541</v>
      </c>
      <c r="K5560" s="138">
        <v>94.21</v>
      </c>
      <c r="L5560" s="137">
        <v>0</v>
      </c>
    </row>
    <row r="5561" spans="7:12" x14ac:dyDescent="0.25">
      <c r="G5561" s="136">
        <v>43566</v>
      </c>
      <c r="H5561" t="s">
        <v>186</v>
      </c>
      <c r="I5561" t="s">
        <v>63</v>
      </c>
      <c r="J5561" t="s">
        <v>541</v>
      </c>
      <c r="K5561" s="138">
        <v>32.96</v>
      </c>
      <c r="L5561" s="137">
        <v>0</v>
      </c>
    </row>
    <row r="5562" spans="7:12" x14ac:dyDescent="0.25">
      <c r="G5562" s="136">
        <v>43566</v>
      </c>
      <c r="H5562" t="s">
        <v>183</v>
      </c>
      <c r="I5562" t="s">
        <v>178</v>
      </c>
      <c r="J5562" t="s">
        <v>541</v>
      </c>
      <c r="K5562" s="138">
        <v>63.57</v>
      </c>
      <c r="L5562" s="137">
        <v>0</v>
      </c>
    </row>
    <row r="5563" spans="7:12" x14ac:dyDescent="0.25">
      <c r="G5563" s="136">
        <v>43566</v>
      </c>
      <c r="H5563" t="s">
        <v>183</v>
      </c>
      <c r="I5563" t="s">
        <v>171</v>
      </c>
      <c r="J5563" t="s">
        <v>541</v>
      </c>
      <c r="K5563" s="138">
        <v>10.58</v>
      </c>
      <c r="L5563" s="137">
        <v>0</v>
      </c>
    </row>
    <row r="5564" spans="7:12" x14ac:dyDescent="0.25">
      <c r="G5564" s="136">
        <v>43566</v>
      </c>
      <c r="H5564" t="s">
        <v>188</v>
      </c>
      <c r="I5564" t="s">
        <v>112</v>
      </c>
      <c r="J5564" t="s">
        <v>541</v>
      </c>
      <c r="K5564" s="138">
        <v>136.85</v>
      </c>
      <c r="L5564" s="137">
        <v>0</v>
      </c>
    </row>
    <row r="5565" spans="7:12" x14ac:dyDescent="0.25">
      <c r="G5565" s="136">
        <v>43566</v>
      </c>
      <c r="H5565" t="s">
        <v>188</v>
      </c>
      <c r="I5565" t="s">
        <v>155</v>
      </c>
      <c r="J5565" t="s">
        <v>541</v>
      </c>
      <c r="K5565" s="138">
        <v>18</v>
      </c>
      <c r="L5565" s="137">
        <v>0</v>
      </c>
    </row>
    <row r="5566" spans="7:12" x14ac:dyDescent="0.25">
      <c r="G5566" s="136">
        <v>43566</v>
      </c>
      <c r="H5566" t="s">
        <v>200</v>
      </c>
      <c r="I5566" t="s">
        <v>63</v>
      </c>
      <c r="J5566" t="s">
        <v>541</v>
      </c>
      <c r="K5566" s="138">
        <v>10</v>
      </c>
      <c r="L5566" s="137">
        <v>0</v>
      </c>
    </row>
    <row r="5567" spans="7:12" x14ac:dyDescent="0.25">
      <c r="G5567" s="136">
        <v>43566</v>
      </c>
      <c r="H5567" t="s">
        <v>200</v>
      </c>
      <c r="I5567" t="s">
        <v>171</v>
      </c>
      <c r="J5567" t="s">
        <v>541</v>
      </c>
      <c r="K5567" s="138">
        <v>21.4</v>
      </c>
      <c r="L5567" s="137">
        <v>0</v>
      </c>
    </row>
    <row r="5568" spans="7:12" x14ac:dyDescent="0.25">
      <c r="G5568" s="136">
        <v>43566</v>
      </c>
      <c r="H5568" t="s">
        <v>25</v>
      </c>
      <c r="I5568" t="s">
        <v>63</v>
      </c>
      <c r="J5568" t="s">
        <v>541</v>
      </c>
      <c r="K5568" s="138">
        <v>8</v>
      </c>
      <c r="L5568" s="137">
        <v>0</v>
      </c>
    </row>
    <row r="5569" spans="7:12" x14ac:dyDescent="0.25">
      <c r="G5569" s="136">
        <v>43566</v>
      </c>
      <c r="H5569" t="s">
        <v>197</v>
      </c>
      <c r="I5569" t="s">
        <v>112</v>
      </c>
      <c r="J5569" t="s">
        <v>541</v>
      </c>
      <c r="K5569" s="138">
        <v>52.95</v>
      </c>
      <c r="L5569" s="137">
        <v>0</v>
      </c>
    </row>
    <row r="5570" spans="7:12" x14ac:dyDescent="0.25">
      <c r="G5570" s="136">
        <v>43566</v>
      </c>
      <c r="H5570" t="s">
        <v>179</v>
      </c>
      <c r="I5570" t="s">
        <v>155</v>
      </c>
      <c r="J5570" t="s">
        <v>541</v>
      </c>
      <c r="K5570" s="138">
        <v>400.7</v>
      </c>
      <c r="L5570" s="137">
        <v>0</v>
      </c>
    </row>
    <row r="5571" spans="7:12" x14ac:dyDescent="0.25">
      <c r="G5571" s="136">
        <v>43566</v>
      </c>
      <c r="H5571" t="s">
        <v>28</v>
      </c>
      <c r="I5571" t="s">
        <v>112</v>
      </c>
      <c r="J5571" t="s">
        <v>541</v>
      </c>
      <c r="K5571" s="138">
        <v>23.99</v>
      </c>
      <c r="L5571" s="137">
        <v>0</v>
      </c>
    </row>
    <row r="5572" spans="7:12" x14ac:dyDescent="0.25">
      <c r="G5572" s="136">
        <v>43566</v>
      </c>
      <c r="H5572" t="s">
        <v>28</v>
      </c>
      <c r="I5572" t="s">
        <v>112</v>
      </c>
      <c r="J5572" t="s">
        <v>541</v>
      </c>
      <c r="K5572" s="138">
        <v>14.03</v>
      </c>
      <c r="L5572" s="137">
        <v>0</v>
      </c>
    </row>
    <row r="5573" spans="7:12" x14ac:dyDescent="0.25">
      <c r="G5573" s="136">
        <v>43566</v>
      </c>
      <c r="H5573" t="s">
        <v>28</v>
      </c>
      <c r="I5573" t="s">
        <v>155</v>
      </c>
      <c r="J5573" t="s">
        <v>541</v>
      </c>
      <c r="K5573" s="138">
        <v>103.25</v>
      </c>
      <c r="L5573" s="137">
        <v>0</v>
      </c>
    </row>
    <row r="5574" spans="7:12" x14ac:dyDescent="0.25">
      <c r="G5574" s="136">
        <v>43566</v>
      </c>
      <c r="H5574" t="s">
        <v>28</v>
      </c>
      <c r="I5574" t="s">
        <v>155</v>
      </c>
      <c r="J5574" t="s">
        <v>541</v>
      </c>
      <c r="K5574" s="138">
        <v>67.16</v>
      </c>
      <c r="L5574" s="137">
        <v>0</v>
      </c>
    </row>
    <row r="5575" spans="7:12" x14ac:dyDescent="0.25">
      <c r="G5575" s="136">
        <v>43566</v>
      </c>
      <c r="H5575" t="s">
        <v>28</v>
      </c>
      <c r="I5575" t="s">
        <v>155</v>
      </c>
      <c r="J5575" t="s">
        <v>541</v>
      </c>
      <c r="K5575" s="138">
        <v>33</v>
      </c>
      <c r="L5575" s="137">
        <v>0</v>
      </c>
    </row>
    <row r="5576" spans="7:12" x14ac:dyDescent="0.25">
      <c r="G5576" s="136">
        <v>43566</v>
      </c>
      <c r="H5576" t="s">
        <v>28</v>
      </c>
      <c r="I5576" t="s">
        <v>155</v>
      </c>
      <c r="J5576" t="s">
        <v>541</v>
      </c>
      <c r="K5576" s="138">
        <v>29.98</v>
      </c>
      <c r="L5576" s="137">
        <v>0</v>
      </c>
    </row>
    <row r="5577" spans="7:12" x14ac:dyDescent="0.25">
      <c r="G5577" s="136">
        <v>43566</v>
      </c>
      <c r="H5577" t="s">
        <v>28</v>
      </c>
      <c r="I5577" t="s">
        <v>155</v>
      </c>
      <c r="J5577" t="s">
        <v>541</v>
      </c>
      <c r="K5577" s="138">
        <v>17.02</v>
      </c>
      <c r="L5577" s="137">
        <v>0</v>
      </c>
    </row>
    <row r="5578" spans="7:12" x14ac:dyDescent="0.25">
      <c r="G5578" s="136">
        <v>43566</v>
      </c>
      <c r="H5578" t="s">
        <v>28</v>
      </c>
      <c r="I5578" t="s">
        <v>155</v>
      </c>
      <c r="J5578" t="s">
        <v>541</v>
      </c>
      <c r="K5578" s="138">
        <v>13.38</v>
      </c>
      <c r="L5578" s="137">
        <v>0</v>
      </c>
    </row>
    <row r="5579" spans="7:12" x14ac:dyDescent="0.25">
      <c r="G5579" s="136">
        <v>43566</v>
      </c>
      <c r="H5579" t="s">
        <v>28</v>
      </c>
      <c r="I5579" t="s">
        <v>66</v>
      </c>
      <c r="J5579" t="s">
        <v>136</v>
      </c>
      <c r="K5579" s="138">
        <v>2.1</v>
      </c>
      <c r="L5579" s="137">
        <v>0</v>
      </c>
    </row>
    <row r="5580" spans="7:12" x14ac:dyDescent="0.25">
      <c r="G5580" s="136">
        <v>43566</v>
      </c>
      <c r="H5580" t="s">
        <v>28</v>
      </c>
      <c r="I5580" t="s">
        <v>66</v>
      </c>
      <c r="J5580" t="s">
        <v>293</v>
      </c>
      <c r="K5580" s="138">
        <v>1.8</v>
      </c>
      <c r="L5580" s="137">
        <v>0</v>
      </c>
    </row>
    <row r="5581" spans="7:12" x14ac:dyDescent="0.25">
      <c r="G5581" s="136">
        <v>43567</v>
      </c>
      <c r="H5581" t="s">
        <v>27</v>
      </c>
      <c r="I5581" t="s">
        <v>63</v>
      </c>
      <c r="J5581" t="s">
        <v>542</v>
      </c>
      <c r="K5581" s="138">
        <v>8</v>
      </c>
      <c r="L5581" s="137">
        <v>0</v>
      </c>
    </row>
    <row r="5582" spans="7:12" x14ac:dyDescent="0.25">
      <c r="G5582" s="136">
        <v>43567</v>
      </c>
      <c r="H5582" t="s">
        <v>27</v>
      </c>
      <c r="I5582" t="s">
        <v>171</v>
      </c>
      <c r="J5582" t="s">
        <v>542</v>
      </c>
      <c r="K5582" s="138">
        <v>338</v>
      </c>
      <c r="L5582" s="137">
        <v>0</v>
      </c>
    </row>
    <row r="5583" spans="7:12" x14ac:dyDescent="0.25">
      <c r="G5583" s="136">
        <v>43567</v>
      </c>
      <c r="H5583" t="s">
        <v>27</v>
      </c>
      <c r="I5583" t="s">
        <v>171</v>
      </c>
      <c r="J5583" t="s">
        <v>542</v>
      </c>
      <c r="K5583" s="138">
        <v>182</v>
      </c>
      <c r="L5583" s="137">
        <v>0</v>
      </c>
    </row>
    <row r="5584" spans="7:12" x14ac:dyDescent="0.25">
      <c r="G5584" s="136">
        <v>43567</v>
      </c>
      <c r="H5584" t="s">
        <v>195</v>
      </c>
      <c r="I5584" t="s">
        <v>171</v>
      </c>
      <c r="J5584" t="s">
        <v>542</v>
      </c>
      <c r="K5584" s="138">
        <v>9.6</v>
      </c>
      <c r="L5584" s="137">
        <v>0</v>
      </c>
    </row>
    <row r="5585" spans="7:12" x14ac:dyDescent="0.25">
      <c r="G5585" s="136">
        <v>43567</v>
      </c>
      <c r="H5585" t="s">
        <v>188</v>
      </c>
      <c r="I5585" t="s">
        <v>112</v>
      </c>
      <c r="J5585" t="s">
        <v>542</v>
      </c>
      <c r="K5585" s="138">
        <v>46.28</v>
      </c>
      <c r="L5585" s="137">
        <v>0</v>
      </c>
    </row>
    <row r="5586" spans="7:12" x14ac:dyDescent="0.25">
      <c r="G5586" s="136">
        <v>43567</v>
      </c>
      <c r="H5586" t="s">
        <v>25</v>
      </c>
      <c r="I5586" t="s">
        <v>63</v>
      </c>
      <c r="J5586" t="s">
        <v>542</v>
      </c>
      <c r="K5586" s="138">
        <v>16</v>
      </c>
      <c r="L5586" s="137">
        <v>0</v>
      </c>
    </row>
    <row r="5587" spans="7:12" x14ac:dyDescent="0.25">
      <c r="G5587" s="136">
        <v>43567</v>
      </c>
      <c r="H5587" t="s">
        <v>25</v>
      </c>
      <c r="I5587" t="s">
        <v>63</v>
      </c>
      <c r="J5587" t="s">
        <v>542</v>
      </c>
      <c r="K5587" s="138">
        <v>8</v>
      </c>
      <c r="L5587" s="137">
        <v>0</v>
      </c>
    </row>
    <row r="5588" spans="7:12" x14ac:dyDescent="0.25">
      <c r="G5588" s="136">
        <v>43567</v>
      </c>
      <c r="H5588" t="s">
        <v>25</v>
      </c>
      <c r="I5588" t="s">
        <v>171</v>
      </c>
      <c r="J5588" t="s">
        <v>542</v>
      </c>
      <c r="K5588" s="138">
        <v>234</v>
      </c>
      <c r="L5588" s="137">
        <v>0</v>
      </c>
    </row>
    <row r="5589" spans="7:12" x14ac:dyDescent="0.25">
      <c r="G5589" s="136">
        <v>43567</v>
      </c>
      <c r="H5589" t="s">
        <v>211</v>
      </c>
      <c r="I5589" t="s">
        <v>163</v>
      </c>
      <c r="J5589" t="s">
        <v>542</v>
      </c>
      <c r="K5589" s="138">
        <v>500</v>
      </c>
      <c r="L5589" s="137">
        <v>0</v>
      </c>
    </row>
    <row r="5590" spans="7:12" x14ac:dyDescent="0.25">
      <c r="G5590" s="136">
        <v>43567</v>
      </c>
      <c r="H5590" t="s">
        <v>211</v>
      </c>
      <c r="I5590" t="s">
        <v>112</v>
      </c>
      <c r="J5590" t="s">
        <v>542</v>
      </c>
      <c r="K5590" s="138">
        <v>3.5</v>
      </c>
      <c r="L5590" s="137">
        <v>0</v>
      </c>
    </row>
    <row r="5591" spans="7:12" x14ac:dyDescent="0.25">
      <c r="G5591" s="136">
        <v>43567</v>
      </c>
      <c r="H5591" t="s">
        <v>197</v>
      </c>
      <c r="I5591" t="s">
        <v>112</v>
      </c>
      <c r="J5591" t="s">
        <v>542</v>
      </c>
      <c r="K5591" s="138">
        <v>8.5</v>
      </c>
      <c r="L5591" s="137">
        <v>0</v>
      </c>
    </row>
    <row r="5592" spans="7:12" x14ac:dyDescent="0.25">
      <c r="G5592" s="136">
        <v>43567</v>
      </c>
      <c r="H5592" t="s">
        <v>180</v>
      </c>
      <c r="I5592" t="s">
        <v>171</v>
      </c>
      <c r="J5592" t="s">
        <v>542</v>
      </c>
      <c r="K5592" s="138">
        <v>25</v>
      </c>
      <c r="L5592" s="137">
        <v>0</v>
      </c>
    </row>
    <row r="5593" spans="7:12" x14ac:dyDescent="0.25">
      <c r="G5593" s="136">
        <v>43567</v>
      </c>
      <c r="H5593" t="s">
        <v>28</v>
      </c>
      <c r="I5593" t="s">
        <v>155</v>
      </c>
      <c r="J5593" t="s">
        <v>542</v>
      </c>
      <c r="K5593" s="138">
        <v>34.76</v>
      </c>
      <c r="L5593" s="137">
        <v>0</v>
      </c>
    </row>
    <row r="5594" spans="7:12" x14ac:dyDescent="0.25">
      <c r="G5594" s="136">
        <v>43567</v>
      </c>
      <c r="H5594" t="s">
        <v>28</v>
      </c>
      <c r="I5594" t="s">
        <v>155</v>
      </c>
      <c r="J5594" t="s">
        <v>542</v>
      </c>
      <c r="K5594" s="138">
        <v>25</v>
      </c>
      <c r="L5594" s="137">
        <v>0</v>
      </c>
    </row>
    <row r="5595" spans="7:12" x14ac:dyDescent="0.25">
      <c r="G5595" s="136">
        <v>43567</v>
      </c>
      <c r="H5595" t="s">
        <v>28</v>
      </c>
      <c r="I5595" t="s">
        <v>176</v>
      </c>
      <c r="J5595" t="s">
        <v>542</v>
      </c>
      <c r="K5595" s="138">
        <v>35</v>
      </c>
      <c r="L5595" s="137">
        <v>0</v>
      </c>
    </row>
    <row r="5596" spans="7:12" x14ac:dyDescent="0.25">
      <c r="G5596" s="136">
        <v>43567</v>
      </c>
      <c r="H5596" t="s">
        <v>28</v>
      </c>
      <c r="I5596" t="s">
        <v>66</v>
      </c>
      <c r="J5596" t="s">
        <v>135</v>
      </c>
      <c r="K5596" s="138">
        <v>14.35</v>
      </c>
      <c r="L5596" s="137">
        <v>0</v>
      </c>
    </row>
    <row r="5597" spans="7:12" x14ac:dyDescent="0.25">
      <c r="G5597" s="136">
        <v>43567</v>
      </c>
      <c r="H5597" t="s">
        <v>28</v>
      </c>
      <c r="I5597" t="s">
        <v>66</v>
      </c>
      <c r="J5597" t="s">
        <v>104</v>
      </c>
      <c r="K5597" s="138">
        <v>2.4</v>
      </c>
      <c r="L5597" s="137">
        <v>0</v>
      </c>
    </row>
    <row r="5598" spans="7:12" x14ac:dyDescent="0.25">
      <c r="G5598" s="136">
        <v>43567</v>
      </c>
      <c r="H5598" t="s">
        <v>28</v>
      </c>
      <c r="I5598" t="s">
        <v>66</v>
      </c>
      <c r="J5598" t="s">
        <v>378</v>
      </c>
      <c r="K5598" s="138">
        <v>14.35</v>
      </c>
      <c r="L5598" s="137">
        <v>0</v>
      </c>
    </row>
    <row r="5599" spans="7:12" x14ac:dyDescent="0.25">
      <c r="G5599" s="136">
        <v>43568</v>
      </c>
      <c r="H5599" t="s">
        <v>180</v>
      </c>
      <c r="I5599" t="s">
        <v>176</v>
      </c>
      <c r="J5599" t="s">
        <v>543</v>
      </c>
      <c r="K5599" s="138">
        <v>0</v>
      </c>
      <c r="L5599" s="137">
        <v>25</v>
      </c>
    </row>
    <row r="5600" spans="7:12" x14ac:dyDescent="0.25">
      <c r="G5600" s="136">
        <v>43570</v>
      </c>
      <c r="H5600" t="s">
        <v>203</v>
      </c>
      <c r="I5600" t="s">
        <v>163</v>
      </c>
      <c r="J5600" t="s">
        <v>544</v>
      </c>
      <c r="K5600" s="138">
        <v>59.38</v>
      </c>
      <c r="L5600" s="137">
        <v>0</v>
      </c>
    </row>
    <row r="5601" spans="7:12" x14ac:dyDescent="0.25">
      <c r="G5601" s="136">
        <v>43570</v>
      </c>
      <c r="H5601" t="s">
        <v>192</v>
      </c>
      <c r="I5601" t="s">
        <v>163</v>
      </c>
      <c r="J5601" t="s">
        <v>544</v>
      </c>
      <c r="K5601" s="138">
        <v>20.25</v>
      </c>
      <c r="L5601" s="137">
        <v>0</v>
      </c>
    </row>
    <row r="5602" spans="7:12" x14ac:dyDescent="0.25">
      <c r="G5602" s="136">
        <v>43570</v>
      </c>
      <c r="H5602" t="s">
        <v>192</v>
      </c>
      <c r="I5602" t="s">
        <v>171</v>
      </c>
      <c r="J5602" t="s">
        <v>544</v>
      </c>
      <c r="K5602" s="138">
        <v>26.13</v>
      </c>
      <c r="L5602" s="137">
        <v>0</v>
      </c>
    </row>
    <row r="5603" spans="7:12" x14ac:dyDescent="0.25">
      <c r="G5603" s="136">
        <v>43570</v>
      </c>
      <c r="H5603" t="s">
        <v>27</v>
      </c>
      <c r="I5603" t="s">
        <v>63</v>
      </c>
      <c r="J5603" t="s">
        <v>544</v>
      </c>
      <c r="K5603" s="138">
        <v>8</v>
      </c>
      <c r="L5603" s="137">
        <v>0</v>
      </c>
    </row>
    <row r="5604" spans="7:12" x14ac:dyDescent="0.25">
      <c r="G5604" s="136">
        <v>43570</v>
      </c>
      <c r="H5604" t="s">
        <v>198</v>
      </c>
      <c r="I5604" t="s">
        <v>171</v>
      </c>
      <c r="J5604" t="s">
        <v>544</v>
      </c>
      <c r="K5604" s="138">
        <v>32.549999999999997</v>
      </c>
      <c r="L5604" s="137">
        <v>0</v>
      </c>
    </row>
    <row r="5605" spans="7:12" x14ac:dyDescent="0.25">
      <c r="G5605" s="136">
        <v>43570</v>
      </c>
      <c r="H5605" t="s">
        <v>183</v>
      </c>
      <c r="I5605" t="s">
        <v>171</v>
      </c>
      <c r="J5605" t="s">
        <v>544</v>
      </c>
      <c r="K5605" s="138">
        <v>9.67</v>
      </c>
      <c r="L5605" s="137">
        <v>0</v>
      </c>
    </row>
    <row r="5606" spans="7:12" x14ac:dyDescent="0.25">
      <c r="G5606" s="136">
        <v>43570</v>
      </c>
      <c r="H5606" t="s">
        <v>200</v>
      </c>
      <c r="I5606" t="s">
        <v>63</v>
      </c>
      <c r="J5606" t="s">
        <v>544</v>
      </c>
      <c r="K5606" s="138">
        <v>12.48</v>
      </c>
      <c r="L5606" s="137">
        <v>0</v>
      </c>
    </row>
    <row r="5607" spans="7:12" x14ac:dyDescent="0.25">
      <c r="G5607" s="136">
        <v>43570</v>
      </c>
      <c r="H5607" t="s">
        <v>25</v>
      </c>
      <c r="I5607" t="s">
        <v>63</v>
      </c>
      <c r="J5607" t="s">
        <v>544</v>
      </c>
      <c r="K5607" s="138">
        <v>40</v>
      </c>
      <c r="L5607" s="137">
        <v>0</v>
      </c>
    </row>
    <row r="5608" spans="7:12" x14ac:dyDescent="0.25">
      <c r="G5608" s="136">
        <v>43570</v>
      </c>
      <c r="H5608" t="s">
        <v>25</v>
      </c>
      <c r="I5608" t="s">
        <v>63</v>
      </c>
      <c r="J5608" t="s">
        <v>544</v>
      </c>
      <c r="K5608" s="138">
        <v>24</v>
      </c>
      <c r="L5608" s="137">
        <v>0</v>
      </c>
    </row>
    <row r="5609" spans="7:12" x14ac:dyDescent="0.25">
      <c r="G5609" s="136">
        <v>43570</v>
      </c>
      <c r="H5609" t="s">
        <v>25</v>
      </c>
      <c r="I5609" t="s">
        <v>63</v>
      </c>
      <c r="J5609" t="s">
        <v>544</v>
      </c>
      <c r="K5609" s="138">
        <v>16</v>
      </c>
      <c r="L5609" s="137">
        <v>0</v>
      </c>
    </row>
    <row r="5610" spans="7:12" x14ac:dyDescent="0.25">
      <c r="G5610" s="136">
        <v>43570</v>
      </c>
      <c r="H5610" t="s">
        <v>25</v>
      </c>
      <c r="I5610" t="s">
        <v>63</v>
      </c>
      <c r="J5610" t="s">
        <v>544</v>
      </c>
      <c r="K5610" s="138">
        <v>8</v>
      </c>
      <c r="L5610" s="137">
        <v>0</v>
      </c>
    </row>
    <row r="5611" spans="7:12" x14ac:dyDescent="0.25">
      <c r="G5611" s="136">
        <v>43570</v>
      </c>
      <c r="H5611" t="s">
        <v>28</v>
      </c>
      <c r="I5611" t="s">
        <v>66</v>
      </c>
      <c r="J5611" t="s">
        <v>285</v>
      </c>
      <c r="K5611" s="138">
        <v>6.85</v>
      </c>
      <c r="L5611" s="137">
        <v>0</v>
      </c>
    </row>
    <row r="5612" spans="7:12" x14ac:dyDescent="0.25">
      <c r="G5612" s="136">
        <v>43570</v>
      </c>
      <c r="H5612" t="s">
        <v>28</v>
      </c>
      <c r="I5612" t="s">
        <v>66</v>
      </c>
      <c r="J5612" t="s">
        <v>111</v>
      </c>
      <c r="K5612" s="138">
        <v>2.25</v>
      </c>
      <c r="L5612" s="137">
        <v>0</v>
      </c>
    </row>
    <row r="5613" spans="7:12" x14ac:dyDescent="0.25">
      <c r="G5613" s="136">
        <v>43570</v>
      </c>
      <c r="H5613" t="s">
        <v>28</v>
      </c>
      <c r="I5613" t="s">
        <v>171</v>
      </c>
      <c r="J5613" t="s">
        <v>544</v>
      </c>
      <c r="K5613" s="138">
        <v>44.4</v>
      </c>
      <c r="L5613" s="137">
        <v>0</v>
      </c>
    </row>
    <row r="5614" spans="7:12" x14ac:dyDescent="0.25">
      <c r="G5614" s="136">
        <v>43570</v>
      </c>
      <c r="H5614" t="s">
        <v>28</v>
      </c>
      <c r="I5614" t="s">
        <v>171</v>
      </c>
      <c r="J5614" t="s">
        <v>544</v>
      </c>
      <c r="K5614" s="138">
        <v>5</v>
      </c>
      <c r="L5614" s="137">
        <v>0</v>
      </c>
    </row>
    <row r="5615" spans="7:12" x14ac:dyDescent="0.25">
      <c r="G5615" s="136">
        <v>43571</v>
      </c>
      <c r="H5615" t="s">
        <v>27</v>
      </c>
      <c r="I5615" t="s">
        <v>63</v>
      </c>
      <c r="J5615" t="s">
        <v>545</v>
      </c>
      <c r="K5615" s="138">
        <v>16</v>
      </c>
      <c r="L5615" s="137">
        <v>0</v>
      </c>
    </row>
    <row r="5616" spans="7:12" x14ac:dyDescent="0.25">
      <c r="G5616" s="136">
        <v>43571</v>
      </c>
      <c r="H5616" t="s">
        <v>27</v>
      </c>
      <c r="I5616" t="s">
        <v>63</v>
      </c>
      <c r="J5616" t="s">
        <v>545</v>
      </c>
      <c r="K5616" s="138">
        <v>8</v>
      </c>
      <c r="L5616" s="137">
        <v>0</v>
      </c>
    </row>
    <row r="5617" spans="7:12" x14ac:dyDescent="0.25">
      <c r="G5617" s="136">
        <v>43571</v>
      </c>
      <c r="H5617" t="s">
        <v>202</v>
      </c>
      <c r="I5617" t="s">
        <v>163</v>
      </c>
      <c r="J5617" t="s">
        <v>545</v>
      </c>
      <c r="K5617" s="138">
        <v>1076.46</v>
      </c>
      <c r="L5617" s="137">
        <v>0</v>
      </c>
    </row>
    <row r="5618" spans="7:12" x14ac:dyDescent="0.25">
      <c r="G5618" s="136">
        <v>43571</v>
      </c>
      <c r="H5618" t="s">
        <v>188</v>
      </c>
      <c r="I5618" t="s">
        <v>63</v>
      </c>
      <c r="J5618" t="s">
        <v>545</v>
      </c>
      <c r="K5618" s="138">
        <v>522.97</v>
      </c>
      <c r="L5618" s="137">
        <v>0</v>
      </c>
    </row>
    <row r="5619" spans="7:12" x14ac:dyDescent="0.25">
      <c r="G5619" s="136">
        <v>43571</v>
      </c>
      <c r="H5619" t="s">
        <v>25</v>
      </c>
      <c r="I5619" t="s">
        <v>63</v>
      </c>
      <c r="J5619" t="s">
        <v>545</v>
      </c>
      <c r="K5619" s="138">
        <v>56</v>
      </c>
      <c r="L5619" s="137">
        <v>0</v>
      </c>
    </row>
    <row r="5620" spans="7:12" x14ac:dyDescent="0.25">
      <c r="G5620" s="136">
        <v>43571</v>
      </c>
      <c r="H5620" t="s">
        <v>25</v>
      </c>
      <c r="I5620" t="s">
        <v>63</v>
      </c>
      <c r="J5620" t="s">
        <v>545</v>
      </c>
      <c r="K5620" s="138">
        <v>40</v>
      </c>
      <c r="L5620" s="137">
        <v>0</v>
      </c>
    </row>
    <row r="5621" spans="7:12" x14ac:dyDescent="0.25">
      <c r="G5621" s="136">
        <v>43571</v>
      </c>
      <c r="H5621" t="s">
        <v>25</v>
      </c>
      <c r="I5621" t="s">
        <v>63</v>
      </c>
      <c r="J5621" t="s">
        <v>545</v>
      </c>
      <c r="K5621" s="138">
        <v>32</v>
      </c>
      <c r="L5621" s="137">
        <v>0</v>
      </c>
    </row>
    <row r="5622" spans="7:12" x14ac:dyDescent="0.25">
      <c r="G5622" s="136">
        <v>43571</v>
      </c>
      <c r="H5622" t="s">
        <v>25</v>
      </c>
      <c r="I5622" t="s">
        <v>63</v>
      </c>
      <c r="J5622" t="s">
        <v>545</v>
      </c>
      <c r="K5622" s="138">
        <v>24</v>
      </c>
      <c r="L5622" s="137">
        <v>0</v>
      </c>
    </row>
    <row r="5623" spans="7:12" x14ac:dyDescent="0.25">
      <c r="G5623" s="136">
        <v>43571</v>
      </c>
      <c r="H5623" t="s">
        <v>25</v>
      </c>
      <c r="I5623" t="s">
        <v>63</v>
      </c>
      <c r="J5623" t="s">
        <v>545</v>
      </c>
      <c r="K5623" s="138">
        <v>16</v>
      </c>
      <c r="L5623" s="137">
        <v>0</v>
      </c>
    </row>
    <row r="5624" spans="7:12" x14ac:dyDescent="0.25">
      <c r="G5624" s="136">
        <v>43571</v>
      </c>
      <c r="H5624" t="s">
        <v>25</v>
      </c>
      <c r="I5624" t="s">
        <v>63</v>
      </c>
      <c r="J5624" t="s">
        <v>545</v>
      </c>
      <c r="K5624" s="138">
        <v>8</v>
      </c>
      <c r="L5624" s="137">
        <v>0</v>
      </c>
    </row>
    <row r="5625" spans="7:12" x14ac:dyDescent="0.25">
      <c r="G5625" s="136">
        <v>43571</v>
      </c>
      <c r="H5625" t="s">
        <v>25</v>
      </c>
      <c r="I5625" t="s">
        <v>250</v>
      </c>
      <c r="J5625" t="s">
        <v>546</v>
      </c>
      <c r="K5625" s="138">
        <v>59.78</v>
      </c>
      <c r="L5625" s="137">
        <v>0</v>
      </c>
    </row>
    <row r="5626" spans="7:12" x14ac:dyDescent="0.25">
      <c r="G5626" s="136">
        <v>43571</v>
      </c>
      <c r="H5626" t="s">
        <v>25</v>
      </c>
      <c r="I5626" t="s">
        <v>250</v>
      </c>
      <c r="J5626" t="s">
        <v>546</v>
      </c>
      <c r="K5626" s="138">
        <v>20.72</v>
      </c>
      <c r="L5626" s="137">
        <v>0</v>
      </c>
    </row>
    <row r="5627" spans="7:12" x14ac:dyDescent="0.25">
      <c r="G5627" s="136">
        <v>43571</v>
      </c>
      <c r="H5627" t="s">
        <v>187</v>
      </c>
      <c r="I5627" t="s">
        <v>171</v>
      </c>
      <c r="J5627" t="s">
        <v>545</v>
      </c>
      <c r="K5627" s="138">
        <v>138.07</v>
      </c>
      <c r="L5627" s="137">
        <v>0</v>
      </c>
    </row>
    <row r="5628" spans="7:12" x14ac:dyDescent="0.25">
      <c r="G5628" s="136">
        <v>43571</v>
      </c>
      <c r="H5628" t="s">
        <v>180</v>
      </c>
      <c r="I5628" t="s">
        <v>63</v>
      </c>
      <c r="J5628" t="s">
        <v>545</v>
      </c>
      <c r="K5628" s="138">
        <v>10</v>
      </c>
      <c r="L5628" s="137">
        <v>0</v>
      </c>
    </row>
    <row r="5629" spans="7:12" x14ac:dyDescent="0.25">
      <c r="G5629" s="136">
        <v>43571</v>
      </c>
      <c r="H5629" t="s">
        <v>180</v>
      </c>
      <c r="I5629" t="s">
        <v>171</v>
      </c>
      <c r="J5629" t="s">
        <v>545</v>
      </c>
      <c r="K5629" s="138">
        <v>4.5999999999999996</v>
      </c>
      <c r="L5629" s="137">
        <v>0</v>
      </c>
    </row>
    <row r="5630" spans="7:12" x14ac:dyDescent="0.25">
      <c r="G5630" s="136">
        <v>43571</v>
      </c>
      <c r="H5630" t="s">
        <v>179</v>
      </c>
      <c r="I5630" t="s">
        <v>250</v>
      </c>
      <c r="J5630" t="s">
        <v>546</v>
      </c>
      <c r="K5630" s="138">
        <v>61.81</v>
      </c>
      <c r="L5630" s="137">
        <v>0</v>
      </c>
    </row>
    <row r="5631" spans="7:12" x14ac:dyDescent="0.25">
      <c r="G5631" s="136">
        <v>43571</v>
      </c>
      <c r="H5631" t="s">
        <v>28</v>
      </c>
      <c r="I5631" t="s">
        <v>163</v>
      </c>
      <c r="J5631" t="s">
        <v>545</v>
      </c>
      <c r="K5631" s="138">
        <v>52.5</v>
      </c>
      <c r="L5631" s="137">
        <v>0</v>
      </c>
    </row>
    <row r="5632" spans="7:12" x14ac:dyDescent="0.25">
      <c r="G5632" s="136">
        <v>43571</v>
      </c>
      <c r="H5632" t="s">
        <v>28</v>
      </c>
      <c r="I5632" t="s">
        <v>163</v>
      </c>
      <c r="J5632" t="s">
        <v>545</v>
      </c>
      <c r="K5632" s="138">
        <v>24.25</v>
      </c>
      <c r="L5632" s="137">
        <v>0</v>
      </c>
    </row>
    <row r="5633" spans="7:12" x14ac:dyDescent="0.25">
      <c r="G5633" s="136">
        <v>43571</v>
      </c>
      <c r="H5633" t="s">
        <v>28</v>
      </c>
      <c r="I5633" t="s">
        <v>112</v>
      </c>
      <c r="J5633" t="s">
        <v>545</v>
      </c>
      <c r="K5633" s="138">
        <v>88</v>
      </c>
      <c r="L5633" s="137">
        <v>0</v>
      </c>
    </row>
    <row r="5634" spans="7:12" x14ac:dyDescent="0.25">
      <c r="G5634" s="136">
        <v>43571</v>
      </c>
      <c r="H5634" t="s">
        <v>28</v>
      </c>
      <c r="I5634" t="s">
        <v>66</v>
      </c>
      <c r="J5634" t="s">
        <v>106</v>
      </c>
      <c r="K5634" s="138">
        <v>2.9</v>
      </c>
      <c r="L5634" s="137">
        <v>0</v>
      </c>
    </row>
    <row r="5635" spans="7:12" x14ac:dyDescent="0.25">
      <c r="G5635" s="136">
        <v>43571</v>
      </c>
      <c r="H5635" t="s">
        <v>28</v>
      </c>
      <c r="I5635" t="s">
        <v>66</v>
      </c>
      <c r="J5635" t="s">
        <v>111</v>
      </c>
      <c r="K5635" s="138">
        <v>2.25</v>
      </c>
      <c r="L5635" s="137">
        <v>0</v>
      </c>
    </row>
    <row r="5636" spans="7:12" x14ac:dyDescent="0.25">
      <c r="G5636" s="136">
        <v>43571</v>
      </c>
      <c r="H5636" t="s">
        <v>28</v>
      </c>
      <c r="I5636" t="s">
        <v>66</v>
      </c>
      <c r="J5636" t="s">
        <v>312</v>
      </c>
      <c r="K5636" s="138">
        <v>7.35</v>
      </c>
      <c r="L5636" s="137">
        <v>0</v>
      </c>
    </row>
    <row r="5637" spans="7:12" x14ac:dyDescent="0.25">
      <c r="G5637" s="136">
        <v>43571</v>
      </c>
      <c r="H5637" t="s">
        <v>28</v>
      </c>
      <c r="I5637" t="s">
        <v>171</v>
      </c>
      <c r="J5637" t="s">
        <v>545</v>
      </c>
      <c r="K5637" s="138">
        <v>12</v>
      </c>
      <c r="L5637" s="137">
        <v>0</v>
      </c>
    </row>
    <row r="5638" spans="7:12" x14ac:dyDescent="0.25">
      <c r="G5638" s="136">
        <v>43572</v>
      </c>
      <c r="H5638" t="s">
        <v>203</v>
      </c>
      <c r="I5638" t="s">
        <v>171</v>
      </c>
      <c r="J5638" t="s">
        <v>547</v>
      </c>
      <c r="K5638" s="138">
        <v>19.420000000000002</v>
      </c>
      <c r="L5638" s="137">
        <v>0</v>
      </c>
    </row>
    <row r="5639" spans="7:12" x14ac:dyDescent="0.25">
      <c r="G5639" s="136">
        <v>43572</v>
      </c>
      <c r="H5639" t="s">
        <v>27</v>
      </c>
      <c r="I5639" t="s">
        <v>63</v>
      </c>
      <c r="J5639" t="s">
        <v>547</v>
      </c>
      <c r="K5639" s="138">
        <v>8</v>
      </c>
      <c r="L5639" s="137">
        <v>0</v>
      </c>
    </row>
    <row r="5640" spans="7:12" x14ac:dyDescent="0.25">
      <c r="G5640" s="136">
        <v>43572</v>
      </c>
      <c r="H5640" t="s">
        <v>184</v>
      </c>
      <c r="I5640" t="s">
        <v>171</v>
      </c>
      <c r="J5640" t="s">
        <v>547</v>
      </c>
      <c r="K5640" s="138">
        <v>1451.8</v>
      </c>
      <c r="L5640" s="137">
        <v>0</v>
      </c>
    </row>
    <row r="5641" spans="7:12" x14ac:dyDescent="0.25">
      <c r="G5641" s="136">
        <v>43572</v>
      </c>
      <c r="H5641" t="s">
        <v>200</v>
      </c>
      <c r="I5641" t="s">
        <v>163</v>
      </c>
      <c r="J5641" t="s">
        <v>547</v>
      </c>
      <c r="K5641" s="138">
        <v>2550</v>
      </c>
      <c r="L5641" s="137">
        <v>0</v>
      </c>
    </row>
    <row r="5642" spans="7:12" x14ac:dyDescent="0.25">
      <c r="G5642" s="136">
        <v>43572</v>
      </c>
      <c r="H5642" t="s">
        <v>25</v>
      </c>
      <c r="I5642" t="s">
        <v>63</v>
      </c>
      <c r="J5642" t="s">
        <v>547</v>
      </c>
      <c r="K5642" s="138">
        <v>56</v>
      </c>
      <c r="L5642" s="137">
        <v>0</v>
      </c>
    </row>
    <row r="5643" spans="7:12" x14ac:dyDescent="0.25">
      <c r="G5643" s="136">
        <v>43572</v>
      </c>
      <c r="H5643" t="s">
        <v>25</v>
      </c>
      <c r="I5643" t="s">
        <v>63</v>
      </c>
      <c r="J5643" t="s">
        <v>547</v>
      </c>
      <c r="K5643" s="138">
        <v>48</v>
      </c>
      <c r="L5643" s="137">
        <v>0</v>
      </c>
    </row>
    <row r="5644" spans="7:12" x14ac:dyDescent="0.25">
      <c r="G5644" s="136">
        <v>43572</v>
      </c>
      <c r="H5644" t="s">
        <v>25</v>
      </c>
      <c r="I5644" t="s">
        <v>63</v>
      </c>
      <c r="J5644" t="s">
        <v>547</v>
      </c>
      <c r="K5644" s="138">
        <v>40</v>
      </c>
      <c r="L5644" s="137">
        <v>0</v>
      </c>
    </row>
    <row r="5645" spans="7:12" x14ac:dyDescent="0.25">
      <c r="G5645" s="136">
        <v>43572</v>
      </c>
      <c r="H5645" t="s">
        <v>25</v>
      </c>
      <c r="I5645" t="s">
        <v>63</v>
      </c>
      <c r="J5645" t="s">
        <v>547</v>
      </c>
      <c r="K5645" s="138">
        <v>24</v>
      </c>
      <c r="L5645" s="137">
        <v>0</v>
      </c>
    </row>
    <row r="5646" spans="7:12" x14ac:dyDescent="0.25">
      <c r="G5646" s="136">
        <v>43572</v>
      </c>
      <c r="H5646" t="s">
        <v>25</v>
      </c>
      <c r="I5646" t="s">
        <v>63</v>
      </c>
      <c r="J5646" t="s">
        <v>547</v>
      </c>
      <c r="K5646" s="138">
        <v>16</v>
      </c>
      <c r="L5646" s="137">
        <v>0</v>
      </c>
    </row>
    <row r="5647" spans="7:12" x14ac:dyDescent="0.25">
      <c r="G5647" s="136">
        <v>43572</v>
      </c>
      <c r="H5647" t="s">
        <v>25</v>
      </c>
      <c r="I5647" t="s">
        <v>63</v>
      </c>
      <c r="J5647" t="s">
        <v>547</v>
      </c>
      <c r="K5647" s="138">
        <v>8</v>
      </c>
      <c r="L5647" s="137">
        <v>0</v>
      </c>
    </row>
    <row r="5648" spans="7:12" x14ac:dyDescent="0.25">
      <c r="G5648" s="136">
        <v>43572</v>
      </c>
      <c r="H5648" t="s">
        <v>28</v>
      </c>
      <c r="I5648" t="s">
        <v>163</v>
      </c>
      <c r="J5648" t="s">
        <v>547</v>
      </c>
      <c r="K5648" s="138">
        <v>24.08</v>
      </c>
      <c r="L5648" s="137">
        <v>0</v>
      </c>
    </row>
    <row r="5649" spans="7:12" x14ac:dyDescent="0.25">
      <c r="G5649" s="136">
        <v>43572</v>
      </c>
      <c r="H5649" t="s">
        <v>28</v>
      </c>
      <c r="I5649" t="s">
        <v>112</v>
      </c>
      <c r="J5649" t="s">
        <v>547</v>
      </c>
      <c r="K5649" s="138">
        <v>61.6</v>
      </c>
      <c r="L5649" s="137">
        <v>0</v>
      </c>
    </row>
    <row r="5650" spans="7:12" x14ac:dyDescent="0.25">
      <c r="G5650" s="136">
        <v>43572</v>
      </c>
      <c r="H5650" t="s">
        <v>28</v>
      </c>
      <c r="I5650" t="s">
        <v>155</v>
      </c>
      <c r="J5650" t="s">
        <v>547</v>
      </c>
      <c r="K5650" s="138">
        <v>31.72</v>
      </c>
      <c r="L5650" s="137">
        <v>0</v>
      </c>
    </row>
    <row r="5651" spans="7:12" x14ac:dyDescent="0.25">
      <c r="G5651" s="136">
        <v>43572</v>
      </c>
      <c r="H5651" t="s">
        <v>28</v>
      </c>
      <c r="I5651" t="s">
        <v>155</v>
      </c>
      <c r="J5651" t="s">
        <v>547</v>
      </c>
      <c r="K5651" s="138">
        <v>29.65</v>
      </c>
      <c r="L5651" s="137">
        <v>0</v>
      </c>
    </row>
    <row r="5652" spans="7:12" x14ac:dyDescent="0.25">
      <c r="G5652" s="136">
        <v>43572</v>
      </c>
      <c r="H5652" t="s">
        <v>28</v>
      </c>
      <c r="I5652" t="s">
        <v>66</v>
      </c>
      <c r="J5652" t="s">
        <v>116</v>
      </c>
      <c r="K5652" s="138">
        <v>16.95</v>
      </c>
      <c r="L5652" s="137">
        <v>0</v>
      </c>
    </row>
    <row r="5653" spans="7:12" x14ac:dyDescent="0.25">
      <c r="G5653" s="136">
        <v>43572</v>
      </c>
      <c r="H5653" t="s">
        <v>28</v>
      </c>
      <c r="I5653" t="s">
        <v>171</v>
      </c>
      <c r="J5653" t="s">
        <v>547</v>
      </c>
      <c r="K5653" s="138">
        <v>12</v>
      </c>
      <c r="L5653" s="137">
        <v>0</v>
      </c>
    </row>
    <row r="5654" spans="7:12" x14ac:dyDescent="0.25">
      <c r="G5654" s="136">
        <v>43573</v>
      </c>
      <c r="H5654" t="s">
        <v>203</v>
      </c>
      <c r="I5654" t="s">
        <v>176</v>
      </c>
      <c r="J5654" t="s">
        <v>548</v>
      </c>
      <c r="K5654" s="138">
        <v>297.27999999999997</v>
      </c>
      <c r="L5654" s="137">
        <v>0</v>
      </c>
    </row>
    <row r="5655" spans="7:12" x14ac:dyDescent="0.25">
      <c r="G5655" s="136">
        <v>43573</v>
      </c>
      <c r="H5655" t="s">
        <v>191</v>
      </c>
      <c r="I5655" t="s">
        <v>163</v>
      </c>
      <c r="J5655" t="s">
        <v>548</v>
      </c>
      <c r="K5655" s="138">
        <v>68</v>
      </c>
      <c r="L5655" s="137">
        <v>0</v>
      </c>
    </row>
    <row r="5656" spans="7:12" x14ac:dyDescent="0.25">
      <c r="G5656" s="136">
        <v>43573</v>
      </c>
      <c r="H5656" t="s">
        <v>25</v>
      </c>
      <c r="I5656" t="s">
        <v>63</v>
      </c>
      <c r="J5656" t="s">
        <v>548</v>
      </c>
      <c r="K5656" s="138">
        <v>48</v>
      </c>
      <c r="L5656" s="137">
        <v>0</v>
      </c>
    </row>
    <row r="5657" spans="7:12" x14ac:dyDescent="0.25">
      <c r="G5657" s="136">
        <v>43573</v>
      </c>
      <c r="H5657" t="s">
        <v>25</v>
      </c>
      <c r="I5657" t="s">
        <v>63</v>
      </c>
      <c r="J5657" t="s">
        <v>548</v>
      </c>
      <c r="K5657" s="138">
        <v>32</v>
      </c>
      <c r="L5657" s="137">
        <v>0</v>
      </c>
    </row>
    <row r="5658" spans="7:12" x14ac:dyDescent="0.25">
      <c r="G5658" s="136">
        <v>43573</v>
      </c>
      <c r="H5658" t="s">
        <v>25</v>
      </c>
      <c r="I5658" t="s">
        <v>63</v>
      </c>
      <c r="J5658" t="s">
        <v>548</v>
      </c>
      <c r="K5658" s="138">
        <v>24</v>
      </c>
      <c r="L5658" s="137">
        <v>0</v>
      </c>
    </row>
    <row r="5659" spans="7:12" x14ac:dyDescent="0.25">
      <c r="G5659" s="136">
        <v>43573</v>
      </c>
      <c r="H5659" t="s">
        <v>25</v>
      </c>
      <c r="I5659" t="s">
        <v>63</v>
      </c>
      <c r="J5659" t="s">
        <v>548</v>
      </c>
      <c r="K5659" s="138">
        <v>16</v>
      </c>
      <c r="L5659" s="137">
        <v>0</v>
      </c>
    </row>
    <row r="5660" spans="7:12" x14ac:dyDescent="0.25">
      <c r="G5660" s="136">
        <v>43573</v>
      </c>
      <c r="H5660" t="s">
        <v>25</v>
      </c>
      <c r="I5660" t="s">
        <v>63</v>
      </c>
      <c r="J5660" t="s">
        <v>548</v>
      </c>
      <c r="K5660" s="138">
        <v>8</v>
      </c>
      <c r="L5660" s="137">
        <v>0</v>
      </c>
    </row>
    <row r="5661" spans="7:12" x14ac:dyDescent="0.25">
      <c r="G5661" s="136">
        <v>43573</v>
      </c>
      <c r="H5661" t="s">
        <v>181</v>
      </c>
      <c r="I5661" t="s">
        <v>176</v>
      </c>
      <c r="J5661" t="s">
        <v>548</v>
      </c>
      <c r="K5661" s="138">
        <v>160.51</v>
      </c>
      <c r="L5661" s="137">
        <v>0</v>
      </c>
    </row>
    <row r="5662" spans="7:12" x14ac:dyDescent="0.25">
      <c r="G5662" s="136">
        <v>43573</v>
      </c>
      <c r="H5662" t="s">
        <v>28</v>
      </c>
      <c r="I5662" t="s">
        <v>112</v>
      </c>
      <c r="J5662" t="s">
        <v>548</v>
      </c>
      <c r="K5662" s="138">
        <v>9.99</v>
      </c>
      <c r="L5662" s="137">
        <v>0</v>
      </c>
    </row>
    <row r="5663" spans="7:12" x14ac:dyDescent="0.25">
      <c r="G5663" s="136">
        <v>43573</v>
      </c>
      <c r="H5663" t="s">
        <v>28</v>
      </c>
      <c r="I5663" t="s">
        <v>155</v>
      </c>
      <c r="J5663" t="s">
        <v>548</v>
      </c>
      <c r="K5663" s="138">
        <v>42.45</v>
      </c>
      <c r="L5663" s="137">
        <v>0</v>
      </c>
    </row>
    <row r="5664" spans="7:12" x14ac:dyDescent="0.25">
      <c r="G5664" s="136">
        <v>43573</v>
      </c>
      <c r="H5664" t="s">
        <v>28</v>
      </c>
      <c r="I5664" t="s">
        <v>155</v>
      </c>
      <c r="J5664" t="s">
        <v>548</v>
      </c>
      <c r="K5664" s="138">
        <v>27.81</v>
      </c>
      <c r="L5664" s="137">
        <v>0</v>
      </c>
    </row>
    <row r="5665" spans="7:12" x14ac:dyDescent="0.25">
      <c r="G5665" s="136">
        <v>43577</v>
      </c>
      <c r="H5665" t="s">
        <v>27</v>
      </c>
      <c r="I5665" t="s">
        <v>63</v>
      </c>
      <c r="J5665" t="s">
        <v>549</v>
      </c>
      <c r="K5665" s="138">
        <v>8</v>
      </c>
      <c r="L5665" s="137">
        <v>0</v>
      </c>
    </row>
    <row r="5666" spans="7:12" x14ac:dyDescent="0.25">
      <c r="G5666" s="136">
        <v>43577</v>
      </c>
      <c r="H5666" t="s">
        <v>199</v>
      </c>
      <c r="I5666" t="s">
        <v>171</v>
      </c>
      <c r="J5666" t="s">
        <v>549</v>
      </c>
      <c r="K5666" s="138">
        <v>44.4</v>
      </c>
      <c r="L5666" s="137">
        <v>0</v>
      </c>
    </row>
    <row r="5667" spans="7:12" x14ac:dyDescent="0.25">
      <c r="G5667" s="136">
        <v>43577</v>
      </c>
      <c r="H5667" t="s">
        <v>183</v>
      </c>
      <c r="I5667" t="s">
        <v>63</v>
      </c>
      <c r="J5667" t="s">
        <v>549</v>
      </c>
      <c r="K5667" s="138">
        <v>20</v>
      </c>
      <c r="L5667" s="137">
        <v>0</v>
      </c>
    </row>
    <row r="5668" spans="7:12" x14ac:dyDescent="0.25">
      <c r="G5668" s="136">
        <v>43577</v>
      </c>
      <c r="H5668" t="s">
        <v>189</v>
      </c>
      <c r="I5668" t="s">
        <v>176</v>
      </c>
      <c r="J5668" t="s">
        <v>549</v>
      </c>
      <c r="K5668" s="138">
        <v>0</v>
      </c>
      <c r="L5668" s="137">
        <v>24</v>
      </c>
    </row>
    <row r="5669" spans="7:12" x14ac:dyDescent="0.25">
      <c r="G5669" s="136">
        <v>43577</v>
      </c>
      <c r="H5669" t="s">
        <v>191</v>
      </c>
      <c r="I5669" t="s">
        <v>42</v>
      </c>
      <c r="J5669" t="s">
        <v>549</v>
      </c>
      <c r="K5669" s="138">
        <v>393.11</v>
      </c>
      <c r="L5669" s="137">
        <v>0</v>
      </c>
    </row>
    <row r="5670" spans="7:12" x14ac:dyDescent="0.25">
      <c r="G5670" s="136">
        <v>43577</v>
      </c>
      <c r="H5670" t="s">
        <v>191</v>
      </c>
      <c r="I5670" t="s">
        <v>171</v>
      </c>
      <c r="J5670" t="s">
        <v>549</v>
      </c>
      <c r="K5670" s="138">
        <v>662.4</v>
      </c>
      <c r="L5670" s="137">
        <v>0</v>
      </c>
    </row>
    <row r="5671" spans="7:12" x14ac:dyDescent="0.25">
      <c r="G5671" s="136">
        <v>43577</v>
      </c>
      <c r="H5671" t="s">
        <v>188</v>
      </c>
      <c r="I5671" t="s">
        <v>171</v>
      </c>
      <c r="J5671" t="s">
        <v>549</v>
      </c>
      <c r="K5671" s="138">
        <v>1322.7</v>
      </c>
      <c r="L5671" s="137">
        <v>0</v>
      </c>
    </row>
    <row r="5672" spans="7:12" x14ac:dyDescent="0.25">
      <c r="G5672" s="136">
        <v>43577</v>
      </c>
      <c r="H5672" t="s">
        <v>200</v>
      </c>
      <c r="I5672" t="s">
        <v>42</v>
      </c>
      <c r="J5672" t="s">
        <v>549</v>
      </c>
      <c r="K5672" s="138">
        <v>200.88</v>
      </c>
      <c r="L5672" s="137">
        <v>0</v>
      </c>
    </row>
    <row r="5673" spans="7:12" x14ac:dyDescent="0.25">
      <c r="G5673" s="136">
        <v>43577</v>
      </c>
      <c r="H5673" t="s">
        <v>200</v>
      </c>
      <c r="I5673" t="s">
        <v>171</v>
      </c>
      <c r="J5673" t="s">
        <v>549</v>
      </c>
      <c r="K5673" s="138">
        <v>418.1</v>
      </c>
      <c r="L5673" s="137">
        <v>0</v>
      </c>
    </row>
    <row r="5674" spans="7:12" x14ac:dyDescent="0.25">
      <c r="G5674" s="136">
        <v>43577</v>
      </c>
      <c r="H5674" t="s">
        <v>25</v>
      </c>
      <c r="I5674" t="s">
        <v>63</v>
      </c>
      <c r="J5674" t="s">
        <v>549</v>
      </c>
      <c r="K5674" s="138">
        <v>24</v>
      </c>
      <c r="L5674" s="137">
        <v>0</v>
      </c>
    </row>
    <row r="5675" spans="7:12" x14ac:dyDescent="0.25">
      <c r="G5675" s="136">
        <v>43577</v>
      </c>
      <c r="H5675" t="s">
        <v>25</v>
      </c>
      <c r="I5675" t="s">
        <v>63</v>
      </c>
      <c r="J5675" t="s">
        <v>549</v>
      </c>
      <c r="K5675" s="138">
        <v>16</v>
      </c>
      <c r="L5675" s="137">
        <v>0</v>
      </c>
    </row>
    <row r="5676" spans="7:12" x14ac:dyDescent="0.25">
      <c r="G5676" s="136">
        <v>43577</v>
      </c>
      <c r="H5676" t="s">
        <v>25</v>
      </c>
      <c r="I5676" t="s">
        <v>63</v>
      </c>
      <c r="J5676" t="s">
        <v>549</v>
      </c>
      <c r="K5676" s="138">
        <v>8</v>
      </c>
      <c r="L5676" s="137">
        <v>0</v>
      </c>
    </row>
    <row r="5677" spans="7:12" x14ac:dyDescent="0.25">
      <c r="G5677" s="136">
        <v>43577</v>
      </c>
      <c r="H5677" t="s">
        <v>211</v>
      </c>
      <c r="I5677" t="s">
        <v>171</v>
      </c>
      <c r="J5677" t="s">
        <v>549</v>
      </c>
      <c r="K5677" s="138">
        <v>40.4</v>
      </c>
      <c r="L5677" s="137">
        <v>0</v>
      </c>
    </row>
    <row r="5678" spans="7:12" x14ac:dyDescent="0.25">
      <c r="G5678" s="136">
        <v>43577</v>
      </c>
      <c r="H5678" t="s">
        <v>207</v>
      </c>
      <c r="I5678" t="s">
        <v>171</v>
      </c>
      <c r="J5678" t="s">
        <v>549</v>
      </c>
      <c r="K5678" s="138">
        <v>7.28</v>
      </c>
      <c r="L5678" s="137">
        <v>0</v>
      </c>
    </row>
    <row r="5679" spans="7:12" x14ac:dyDescent="0.25">
      <c r="G5679" s="136">
        <v>43577</v>
      </c>
      <c r="H5679" t="s">
        <v>197</v>
      </c>
      <c r="I5679" t="s">
        <v>171</v>
      </c>
      <c r="J5679" t="s">
        <v>549</v>
      </c>
      <c r="K5679" s="138">
        <v>94.85</v>
      </c>
      <c r="L5679" s="137">
        <v>0</v>
      </c>
    </row>
    <row r="5680" spans="7:12" x14ac:dyDescent="0.25">
      <c r="G5680" s="136">
        <v>43577</v>
      </c>
      <c r="H5680" t="s">
        <v>187</v>
      </c>
      <c r="I5680" t="s">
        <v>171</v>
      </c>
      <c r="J5680" t="s">
        <v>549</v>
      </c>
      <c r="K5680" s="138">
        <v>117.7</v>
      </c>
      <c r="L5680" s="137">
        <v>0</v>
      </c>
    </row>
    <row r="5681" spans="7:12" x14ac:dyDescent="0.25">
      <c r="G5681" s="136">
        <v>43577</v>
      </c>
      <c r="H5681" t="s">
        <v>196</v>
      </c>
      <c r="I5681" t="s">
        <v>42</v>
      </c>
      <c r="J5681" t="s">
        <v>549</v>
      </c>
      <c r="K5681" s="138">
        <v>888.12</v>
      </c>
      <c r="L5681" s="137">
        <v>0</v>
      </c>
    </row>
    <row r="5682" spans="7:12" x14ac:dyDescent="0.25">
      <c r="G5682" s="136">
        <v>43577</v>
      </c>
      <c r="H5682" t="s">
        <v>196</v>
      </c>
      <c r="I5682" t="s">
        <v>171</v>
      </c>
      <c r="J5682" t="s">
        <v>549</v>
      </c>
      <c r="K5682" s="138">
        <v>1418.66</v>
      </c>
      <c r="L5682" s="137">
        <v>0</v>
      </c>
    </row>
    <row r="5683" spans="7:12" x14ac:dyDescent="0.25">
      <c r="G5683" s="136">
        <v>43577</v>
      </c>
      <c r="H5683" t="s">
        <v>180</v>
      </c>
      <c r="I5683" t="s">
        <v>171</v>
      </c>
      <c r="J5683" t="s">
        <v>549</v>
      </c>
      <c r="K5683" s="138">
        <v>22.3</v>
      </c>
      <c r="L5683" s="137">
        <v>0</v>
      </c>
    </row>
    <row r="5684" spans="7:12" x14ac:dyDescent="0.25">
      <c r="G5684" s="136">
        <v>43577</v>
      </c>
      <c r="H5684" t="s">
        <v>179</v>
      </c>
      <c r="I5684" t="s">
        <v>63</v>
      </c>
      <c r="J5684" t="s">
        <v>549</v>
      </c>
      <c r="K5684" s="138">
        <v>129.9</v>
      </c>
      <c r="L5684" s="137">
        <v>0</v>
      </c>
    </row>
    <row r="5685" spans="7:12" x14ac:dyDescent="0.25">
      <c r="G5685" s="136">
        <v>43577</v>
      </c>
      <c r="H5685" t="s">
        <v>179</v>
      </c>
      <c r="I5685" t="s">
        <v>163</v>
      </c>
      <c r="J5685" t="s">
        <v>549</v>
      </c>
      <c r="K5685" s="138">
        <v>40.74</v>
      </c>
      <c r="L5685" s="137">
        <v>0</v>
      </c>
    </row>
    <row r="5686" spans="7:12" x14ac:dyDescent="0.25">
      <c r="G5686" s="136">
        <v>43577</v>
      </c>
      <c r="H5686" t="s">
        <v>28</v>
      </c>
      <c r="I5686" t="s">
        <v>63</v>
      </c>
      <c r="J5686" t="s">
        <v>549</v>
      </c>
      <c r="K5686" s="138">
        <v>56.66</v>
      </c>
      <c r="L5686" s="137">
        <v>0</v>
      </c>
    </row>
    <row r="5687" spans="7:12" x14ac:dyDescent="0.25">
      <c r="G5687" s="136">
        <v>43577</v>
      </c>
      <c r="H5687" t="s">
        <v>28</v>
      </c>
      <c r="I5687" t="s">
        <v>63</v>
      </c>
      <c r="J5687" t="s">
        <v>549</v>
      </c>
      <c r="K5687" s="138">
        <v>8</v>
      </c>
      <c r="L5687" s="137">
        <v>0</v>
      </c>
    </row>
    <row r="5688" spans="7:12" x14ac:dyDescent="0.25">
      <c r="G5688" s="136">
        <v>43577</v>
      </c>
      <c r="H5688" t="s">
        <v>28</v>
      </c>
      <c r="I5688" t="s">
        <v>66</v>
      </c>
      <c r="J5688" t="s">
        <v>143</v>
      </c>
      <c r="K5688" s="138">
        <v>26</v>
      </c>
      <c r="L5688" s="137">
        <v>0</v>
      </c>
    </row>
    <row r="5689" spans="7:12" x14ac:dyDescent="0.25">
      <c r="G5689" s="136">
        <v>43577</v>
      </c>
      <c r="H5689" t="s">
        <v>28</v>
      </c>
      <c r="I5689" t="s">
        <v>66</v>
      </c>
      <c r="J5689" t="s">
        <v>121</v>
      </c>
      <c r="K5689" s="138">
        <v>16.399999999999999</v>
      </c>
      <c r="L5689" s="137">
        <v>0</v>
      </c>
    </row>
    <row r="5690" spans="7:12" x14ac:dyDescent="0.25">
      <c r="G5690" s="136">
        <v>43577</v>
      </c>
      <c r="H5690" t="s">
        <v>28</v>
      </c>
      <c r="I5690" t="s">
        <v>42</v>
      </c>
      <c r="J5690" t="s">
        <v>549</v>
      </c>
      <c r="K5690" s="138">
        <v>163.91</v>
      </c>
      <c r="L5690" s="137">
        <v>0</v>
      </c>
    </row>
    <row r="5691" spans="7:12" x14ac:dyDescent="0.25">
      <c r="G5691" s="136">
        <v>43577</v>
      </c>
      <c r="H5691" t="s">
        <v>28</v>
      </c>
      <c r="I5691" t="s">
        <v>171</v>
      </c>
      <c r="J5691" t="s">
        <v>549</v>
      </c>
      <c r="K5691" s="138">
        <v>172</v>
      </c>
      <c r="L5691" s="137">
        <v>0</v>
      </c>
    </row>
    <row r="5692" spans="7:12" x14ac:dyDescent="0.25">
      <c r="G5692" s="136">
        <v>43578</v>
      </c>
      <c r="H5692" t="s">
        <v>185</v>
      </c>
      <c r="I5692" t="s">
        <v>171</v>
      </c>
      <c r="J5692" t="s">
        <v>550</v>
      </c>
      <c r="K5692" s="138">
        <v>42</v>
      </c>
      <c r="L5692" s="137">
        <v>0</v>
      </c>
    </row>
    <row r="5693" spans="7:12" x14ac:dyDescent="0.25">
      <c r="G5693" s="136">
        <v>43578</v>
      </c>
      <c r="H5693" t="s">
        <v>209</v>
      </c>
      <c r="I5693" t="s">
        <v>155</v>
      </c>
      <c r="J5693" t="s">
        <v>550</v>
      </c>
      <c r="K5693" s="138">
        <v>70.42</v>
      </c>
      <c r="L5693" s="137">
        <v>0</v>
      </c>
    </row>
    <row r="5694" spans="7:12" x14ac:dyDescent="0.25">
      <c r="G5694" s="136">
        <v>43578</v>
      </c>
      <c r="H5694" t="s">
        <v>195</v>
      </c>
      <c r="I5694" t="s">
        <v>112</v>
      </c>
      <c r="J5694" t="s">
        <v>550</v>
      </c>
      <c r="K5694" s="138">
        <v>70.09</v>
      </c>
      <c r="L5694" s="137">
        <v>0</v>
      </c>
    </row>
    <row r="5695" spans="7:12" x14ac:dyDescent="0.25">
      <c r="G5695" s="136">
        <v>43578</v>
      </c>
      <c r="H5695" t="s">
        <v>183</v>
      </c>
      <c r="I5695" t="s">
        <v>171</v>
      </c>
      <c r="J5695" t="s">
        <v>550</v>
      </c>
      <c r="K5695" s="138">
        <v>7.62</v>
      </c>
      <c r="L5695" s="137">
        <v>0</v>
      </c>
    </row>
    <row r="5696" spans="7:12" x14ac:dyDescent="0.25">
      <c r="G5696" s="136">
        <v>43578</v>
      </c>
      <c r="H5696" t="s">
        <v>188</v>
      </c>
      <c r="I5696" t="s">
        <v>163</v>
      </c>
      <c r="J5696" t="s">
        <v>550</v>
      </c>
      <c r="K5696" s="138">
        <v>15.95</v>
      </c>
      <c r="L5696" s="137">
        <v>0</v>
      </c>
    </row>
    <row r="5697" spans="7:12" x14ac:dyDescent="0.25">
      <c r="G5697" s="136">
        <v>43578</v>
      </c>
      <c r="H5697" t="s">
        <v>188</v>
      </c>
      <c r="I5697" t="s">
        <v>155</v>
      </c>
      <c r="J5697" t="s">
        <v>550</v>
      </c>
      <c r="K5697" s="138">
        <v>23.19</v>
      </c>
      <c r="L5697" s="137">
        <v>0</v>
      </c>
    </row>
    <row r="5698" spans="7:12" x14ac:dyDescent="0.25">
      <c r="G5698" s="136">
        <v>43578</v>
      </c>
      <c r="H5698" t="s">
        <v>25</v>
      </c>
      <c r="I5698" t="s">
        <v>63</v>
      </c>
      <c r="J5698" t="s">
        <v>550</v>
      </c>
      <c r="K5698" s="138">
        <v>48</v>
      </c>
      <c r="L5698" s="137">
        <v>0</v>
      </c>
    </row>
    <row r="5699" spans="7:12" x14ac:dyDescent="0.25">
      <c r="G5699" s="136">
        <v>43578</v>
      </c>
      <c r="H5699" t="s">
        <v>25</v>
      </c>
      <c r="I5699" t="s">
        <v>63</v>
      </c>
      <c r="J5699" t="s">
        <v>550</v>
      </c>
      <c r="K5699" s="138">
        <v>32</v>
      </c>
      <c r="L5699" s="137">
        <v>0</v>
      </c>
    </row>
    <row r="5700" spans="7:12" x14ac:dyDescent="0.25">
      <c r="G5700" s="136">
        <v>43578</v>
      </c>
      <c r="H5700" t="s">
        <v>25</v>
      </c>
      <c r="I5700" t="s">
        <v>63</v>
      </c>
      <c r="J5700" t="s">
        <v>550</v>
      </c>
      <c r="K5700" s="138">
        <v>16</v>
      </c>
      <c r="L5700" s="137">
        <v>0</v>
      </c>
    </row>
    <row r="5701" spans="7:12" x14ac:dyDescent="0.25">
      <c r="G5701" s="136">
        <v>43578</v>
      </c>
      <c r="H5701" t="s">
        <v>201</v>
      </c>
      <c r="I5701" t="s">
        <v>112</v>
      </c>
      <c r="J5701" t="s">
        <v>550</v>
      </c>
      <c r="K5701" s="138">
        <v>73.75</v>
      </c>
      <c r="L5701" s="137">
        <v>0</v>
      </c>
    </row>
    <row r="5702" spans="7:12" x14ac:dyDescent="0.25">
      <c r="G5702" s="136">
        <v>43578</v>
      </c>
      <c r="H5702" t="s">
        <v>28</v>
      </c>
      <c r="I5702" t="s">
        <v>155</v>
      </c>
      <c r="J5702" t="s">
        <v>550</v>
      </c>
      <c r="K5702" s="138">
        <v>81.03</v>
      </c>
      <c r="L5702" s="137">
        <v>0</v>
      </c>
    </row>
    <row r="5703" spans="7:12" x14ac:dyDescent="0.25">
      <c r="G5703" s="136">
        <v>43578</v>
      </c>
      <c r="H5703" t="s">
        <v>28</v>
      </c>
      <c r="I5703" t="s">
        <v>155</v>
      </c>
      <c r="J5703" t="s">
        <v>550</v>
      </c>
      <c r="K5703" s="138">
        <v>73.5</v>
      </c>
      <c r="L5703" s="137">
        <v>0</v>
      </c>
    </row>
    <row r="5704" spans="7:12" x14ac:dyDescent="0.25">
      <c r="G5704" s="136">
        <v>43578</v>
      </c>
      <c r="H5704" t="s">
        <v>28</v>
      </c>
      <c r="I5704" t="s">
        <v>155</v>
      </c>
      <c r="J5704" t="s">
        <v>550</v>
      </c>
      <c r="K5704" s="138">
        <v>52.02</v>
      </c>
      <c r="L5704" s="137">
        <v>0</v>
      </c>
    </row>
    <row r="5705" spans="7:12" x14ac:dyDescent="0.25">
      <c r="G5705" s="136">
        <v>43578</v>
      </c>
      <c r="H5705" t="s">
        <v>28</v>
      </c>
      <c r="I5705" t="s">
        <v>155</v>
      </c>
      <c r="J5705" t="s">
        <v>550</v>
      </c>
      <c r="K5705" s="138">
        <v>42.45</v>
      </c>
      <c r="L5705" s="137">
        <v>0</v>
      </c>
    </row>
    <row r="5706" spans="7:12" x14ac:dyDescent="0.25">
      <c r="G5706" s="136">
        <v>43578</v>
      </c>
      <c r="H5706" t="s">
        <v>28</v>
      </c>
      <c r="I5706" t="s">
        <v>155</v>
      </c>
      <c r="J5706" t="s">
        <v>550</v>
      </c>
      <c r="K5706" s="138">
        <v>41.14</v>
      </c>
      <c r="L5706" s="137">
        <v>0</v>
      </c>
    </row>
    <row r="5707" spans="7:12" x14ac:dyDescent="0.25">
      <c r="G5707" s="136">
        <v>43578</v>
      </c>
      <c r="H5707" t="s">
        <v>28</v>
      </c>
      <c r="I5707" t="s">
        <v>66</v>
      </c>
      <c r="J5707" t="s">
        <v>320</v>
      </c>
      <c r="K5707" s="138">
        <v>2.4</v>
      </c>
      <c r="L5707" s="137">
        <v>0</v>
      </c>
    </row>
    <row r="5708" spans="7:12" x14ac:dyDescent="0.25">
      <c r="G5708" s="136">
        <v>43578</v>
      </c>
      <c r="H5708" t="s">
        <v>28</v>
      </c>
      <c r="I5708" t="s">
        <v>66</v>
      </c>
      <c r="J5708" t="s">
        <v>136</v>
      </c>
      <c r="K5708" s="138">
        <v>3.7</v>
      </c>
      <c r="L5708" s="137">
        <v>0</v>
      </c>
    </row>
    <row r="5709" spans="7:12" x14ac:dyDescent="0.25">
      <c r="G5709" s="136">
        <v>43578</v>
      </c>
      <c r="H5709" t="s">
        <v>28</v>
      </c>
      <c r="I5709" t="s">
        <v>66</v>
      </c>
      <c r="J5709" t="s">
        <v>402</v>
      </c>
      <c r="K5709" s="138">
        <v>3</v>
      </c>
      <c r="L5709" s="137">
        <v>0</v>
      </c>
    </row>
    <row r="5710" spans="7:12" x14ac:dyDescent="0.25">
      <c r="G5710" s="136">
        <v>43578</v>
      </c>
      <c r="H5710" t="s">
        <v>28</v>
      </c>
      <c r="I5710" t="s">
        <v>66</v>
      </c>
      <c r="J5710" t="s">
        <v>128</v>
      </c>
      <c r="K5710" s="138">
        <v>1.8</v>
      </c>
      <c r="L5710" s="137">
        <v>0</v>
      </c>
    </row>
    <row r="5711" spans="7:12" x14ac:dyDescent="0.25">
      <c r="G5711" s="136">
        <v>43578</v>
      </c>
      <c r="H5711" t="s">
        <v>28</v>
      </c>
      <c r="I5711" t="s">
        <v>66</v>
      </c>
      <c r="J5711" t="s">
        <v>477</v>
      </c>
      <c r="K5711" s="138">
        <v>3.7</v>
      </c>
      <c r="L5711" s="137">
        <v>0</v>
      </c>
    </row>
    <row r="5712" spans="7:12" x14ac:dyDescent="0.25">
      <c r="G5712" s="136">
        <v>43578</v>
      </c>
      <c r="H5712" t="s">
        <v>28</v>
      </c>
      <c r="I5712" t="s">
        <v>66</v>
      </c>
      <c r="J5712" t="s">
        <v>551</v>
      </c>
      <c r="K5712" s="138">
        <v>2.4</v>
      </c>
      <c r="L5712" s="137">
        <v>0</v>
      </c>
    </row>
    <row r="5713" spans="7:12" x14ac:dyDescent="0.25">
      <c r="G5713" s="136">
        <v>43578</v>
      </c>
      <c r="H5713" t="s">
        <v>28</v>
      </c>
      <c r="I5713" t="s">
        <v>66</v>
      </c>
      <c r="J5713" t="s">
        <v>143</v>
      </c>
      <c r="K5713" s="138">
        <v>26</v>
      </c>
      <c r="L5713" s="137">
        <v>0</v>
      </c>
    </row>
    <row r="5714" spans="7:12" x14ac:dyDescent="0.25">
      <c r="G5714" s="136">
        <v>43579</v>
      </c>
      <c r="H5714" t="s">
        <v>192</v>
      </c>
      <c r="I5714" t="s">
        <v>63</v>
      </c>
      <c r="J5714" t="s">
        <v>552</v>
      </c>
      <c r="K5714" s="138">
        <v>22.1</v>
      </c>
      <c r="L5714" s="137">
        <v>0</v>
      </c>
    </row>
    <row r="5715" spans="7:12" x14ac:dyDescent="0.25">
      <c r="G5715" s="136">
        <v>43579</v>
      </c>
      <c r="H5715" t="s">
        <v>27</v>
      </c>
      <c r="I5715" t="s">
        <v>63</v>
      </c>
      <c r="J5715" t="s">
        <v>552</v>
      </c>
      <c r="K5715" s="138">
        <v>16</v>
      </c>
      <c r="L5715" s="137">
        <v>0</v>
      </c>
    </row>
    <row r="5716" spans="7:12" x14ac:dyDescent="0.25">
      <c r="G5716" s="136">
        <v>43579</v>
      </c>
      <c r="H5716" t="s">
        <v>184</v>
      </c>
      <c r="I5716" t="s">
        <v>171</v>
      </c>
      <c r="J5716" t="s">
        <v>552</v>
      </c>
      <c r="K5716" s="138">
        <v>56</v>
      </c>
      <c r="L5716" s="137">
        <v>0</v>
      </c>
    </row>
    <row r="5717" spans="7:12" x14ac:dyDescent="0.25">
      <c r="G5717" s="136">
        <v>43579</v>
      </c>
      <c r="H5717" t="s">
        <v>25</v>
      </c>
      <c r="I5717" t="s">
        <v>63</v>
      </c>
      <c r="J5717" t="s">
        <v>552</v>
      </c>
      <c r="K5717" s="138">
        <v>104</v>
      </c>
      <c r="L5717" s="137">
        <v>0</v>
      </c>
    </row>
    <row r="5718" spans="7:12" x14ac:dyDescent="0.25">
      <c r="G5718" s="136">
        <v>43579</v>
      </c>
      <c r="H5718" t="s">
        <v>25</v>
      </c>
      <c r="I5718" t="s">
        <v>63</v>
      </c>
      <c r="J5718" t="s">
        <v>552</v>
      </c>
      <c r="K5718" s="138">
        <v>56</v>
      </c>
      <c r="L5718" s="137">
        <v>0</v>
      </c>
    </row>
    <row r="5719" spans="7:12" x14ac:dyDescent="0.25">
      <c r="G5719" s="136">
        <v>43579</v>
      </c>
      <c r="H5719" t="s">
        <v>25</v>
      </c>
      <c r="I5719" t="s">
        <v>63</v>
      </c>
      <c r="J5719" t="s">
        <v>552</v>
      </c>
      <c r="K5719" s="138">
        <v>32</v>
      </c>
      <c r="L5719" s="137">
        <v>0</v>
      </c>
    </row>
    <row r="5720" spans="7:12" x14ac:dyDescent="0.25">
      <c r="G5720" s="136">
        <v>43579</v>
      </c>
      <c r="H5720" t="s">
        <v>25</v>
      </c>
      <c r="I5720" t="s">
        <v>63</v>
      </c>
      <c r="J5720" t="s">
        <v>552</v>
      </c>
      <c r="K5720" s="138">
        <v>16</v>
      </c>
      <c r="L5720" s="137">
        <v>0</v>
      </c>
    </row>
    <row r="5721" spans="7:12" x14ac:dyDescent="0.25">
      <c r="G5721" s="136">
        <v>43579</v>
      </c>
      <c r="H5721" t="s">
        <v>25</v>
      </c>
      <c r="I5721" t="s">
        <v>63</v>
      </c>
      <c r="J5721" t="s">
        <v>552</v>
      </c>
      <c r="K5721" s="138">
        <v>8</v>
      </c>
      <c r="L5721" s="137">
        <v>0</v>
      </c>
    </row>
    <row r="5722" spans="7:12" x14ac:dyDescent="0.25">
      <c r="G5722" s="136">
        <v>43579</v>
      </c>
      <c r="H5722" t="s">
        <v>211</v>
      </c>
      <c r="I5722" t="s">
        <v>42</v>
      </c>
      <c r="J5722" t="s">
        <v>552</v>
      </c>
      <c r="K5722" s="138">
        <v>139.03</v>
      </c>
      <c r="L5722" s="137">
        <v>0</v>
      </c>
    </row>
    <row r="5723" spans="7:12" x14ac:dyDescent="0.25">
      <c r="G5723" s="136">
        <v>43579</v>
      </c>
      <c r="H5723" t="s">
        <v>196</v>
      </c>
      <c r="I5723" t="s">
        <v>42</v>
      </c>
      <c r="J5723" t="s">
        <v>552</v>
      </c>
      <c r="K5723" s="138">
        <v>228</v>
      </c>
      <c r="L5723" s="137">
        <v>0</v>
      </c>
    </row>
    <row r="5724" spans="7:12" x14ac:dyDescent="0.25">
      <c r="G5724" s="136">
        <v>43579</v>
      </c>
      <c r="H5724" t="s">
        <v>180</v>
      </c>
      <c r="I5724" t="s">
        <v>163</v>
      </c>
      <c r="J5724" t="s">
        <v>552</v>
      </c>
      <c r="K5724" s="138">
        <v>91.91</v>
      </c>
      <c r="L5724" s="137">
        <v>0</v>
      </c>
    </row>
    <row r="5725" spans="7:12" x14ac:dyDescent="0.25">
      <c r="G5725" s="136">
        <v>43579</v>
      </c>
      <c r="H5725" t="s">
        <v>28</v>
      </c>
      <c r="I5725" t="s">
        <v>66</v>
      </c>
      <c r="J5725" t="s">
        <v>111</v>
      </c>
      <c r="K5725" s="138">
        <v>9.1999999999999993</v>
      </c>
      <c r="L5725" s="137">
        <v>0</v>
      </c>
    </row>
    <row r="5726" spans="7:12" x14ac:dyDescent="0.25">
      <c r="G5726" s="136">
        <v>43579</v>
      </c>
      <c r="H5726" t="s">
        <v>28</v>
      </c>
      <c r="I5726" t="s">
        <v>66</v>
      </c>
      <c r="J5726" t="s">
        <v>116</v>
      </c>
      <c r="K5726" s="138">
        <v>7.35</v>
      </c>
      <c r="L5726" s="137">
        <v>0</v>
      </c>
    </row>
    <row r="5727" spans="7:12" x14ac:dyDescent="0.25">
      <c r="G5727" s="136">
        <v>43579</v>
      </c>
      <c r="H5727" t="s">
        <v>28</v>
      </c>
      <c r="I5727" t="s">
        <v>171</v>
      </c>
      <c r="J5727" t="s">
        <v>552</v>
      </c>
      <c r="K5727" s="138">
        <v>12</v>
      </c>
      <c r="L5727" s="137">
        <v>0</v>
      </c>
    </row>
    <row r="5728" spans="7:12" x14ac:dyDescent="0.25">
      <c r="G5728" s="136">
        <v>43580</v>
      </c>
      <c r="H5728" t="s">
        <v>27</v>
      </c>
      <c r="I5728" t="s">
        <v>63</v>
      </c>
      <c r="J5728" t="s">
        <v>553</v>
      </c>
      <c r="K5728" s="138">
        <v>32</v>
      </c>
      <c r="L5728" s="137">
        <v>0</v>
      </c>
    </row>
    <row r="5729" spans="7:12" x14ac:dyDescent="0.25">
      <c r="G5729" s="136">
        <v>43580</v>
      </c>
      <c r="H5729" t="s">
        <v>27</v>
      </c>
      <c r="I5729" t="s">
        <v>63</v>
      </c>
      <c r="J5729" t="s">
        <v>553</v>
      </c>
      <c r="K5729" s="138">
        <v>8</v>
      </c>
      <c r="L5729" s="137">
        <v>0</v>
      </c>
    </row>
    <row r="5730" spans="7:12" x14ac:dyDescent="0.25">
      <c r="G5730" s="136">
        <v>43580</v>
      </c>
      <c r="H5730" t="s">
        <v>27</v>
      </c>
      <c r="I5730" t="s">
        <v>251</v>
      </c>
      <c r="J5730" t="s">
        <v>554</v>
      </c>
      <c r="K5730" s="138">
        <v>193.97</v>
      </c>
      <c r="L5730" s="137">
        <v>0</v>
      </c>
    </row>
    <row r="5731" spans="7:12" x14ac:dyDescent="0.25">
      <c r="G5731" s="136">
        <v>43580</v>
      </c>
      <c r="H5731" t="s">
        <v>27</v>
      </c>
      <c r="I5731" t="s">
        <v>251</v>
      </c>
      <c r="J5731" t="s">
        <v>554</v>
      </c>
      <c r="K5731" s="138">
        <v>130.63999999999999</v>
      </c>
      <c r="L5731" s="137">
        <v>0</v>
      </c>
    </row>
    <row r="5732" spans="7:12" x14ac:dyDescent="0.25">
      <c r="G5732" s="136">
        <v>43580</v>
      </c>
      <c r="H5732" t="s">
        <v>27</v>
      </c>
      <c r="I5732" t="s">
        <v>251</v>
      </c>
      <c r="J5732" t="s">
        <v>554</v>
      </c>
      <c r="K5732" s="138">
        <v>108.33</v>
      </c>
      <c r="L5732" s="137">
        <v>0</v>
      </c>
    </row>
    <row r="5733" spans="7:12" x14ac:dyDescent="0.25">
      <c r="G5733" s="136">
        <v>43580</v>
      </c>
      <c r="H5733" t="s">
        <v>27</v>
      </c>
      <c r="I5733" t="s">
        <v>251</v>
      </c>
      <c r="J5733" t="s">
        <v>554</v>
      </c>
      <c r="K5733" s="138">
        <v>61.3</v>
      </c>
      <c r="L5733" s="137">
        <v>0</v>
      </c>
    </row>
    <row r="5734" spans="7:12" x14ac:dyDescent="0.25">
      <c r="G5734" s="136">
        <v>43580</v>
      </c>
      <c r="H5734" t="s">
        <v>27</v>
      </c>
      <c r="I5734" t="s">
        <v>251</v>
      </c>
      <c r="J5734" t="s">
        <v>554</v>
      </c>
      <c r="K5734" s="138">
        <v>48.4</v>
      </c>
      <c r="L5734" s="137">
        <v>0</v>
      </c>
    </row>
    <row r="5735" spans="7:12" x14ac:dyDescent="0.25">
      <c r="G5735" s="136">
        <v>43580</v>
      </c>
      <c r="H5735" t="s">
        <v>27</v>
      </c>
      <c r="I5735" t="s">
        <v>251</v>
      </c>
      <c r="J5735" t="s">
        <v>554</v>
      </c>
      <c r="K5735" s="138">
        <v>46.57</v>
      </c>
      <c r="L5735" s="137">
        <v>0</v>
      </c>
    </row>
    <row r="5736" spans="7:12" x14ac:dyDescent="0.25">
      <c r="G5736" s="136">
        <v>43580</v>
      </c>
      <c r="H5736" t="s">
        <v>27</v>
      </c>
      <c r="I5736" t="s">
        <v>251</v>
      </c>
      <c r="J5736" t="s">
        <v>554</v>
      </c>
      <c r="K5736" s="138">
        <v>33.229999999999997</v>
      </c>
      <c r="L5736" s="137">
        <v>0</v>
      </c>
    </row>
    <row r="5737" spans="7:12" x14ac:dyDescent="0.25">
      <c r="G5737" s="136">
        <v>43580</v>
      </c>
      <c r="H5737" t="s">
        <v>27</v>
      </c>
      <c r="I5737" t="s">
        <v>251</v>
      </c>
      <c r="J5737" t="s">
        <v>554</v>
      </c>
      <c r="K5737" s="138">
        <v>29.35</v>
      </c>
      <c r="L5737" s="137">
        <v>0</v>
      </c>
    </row>
    <row r="5738" spans="7:12" x14ac:dyDescent="0.25">
      <c r="G5738" s="136">
        <v>43580</v>
      </c>
      <c r="H5738" t="s">
        <v>27</v>
      </c>
      <c r="I5738" t="s">
        <v>251</v>
      </c>
      <c r="J5738" t="s">
        <v>554</v>
      </c>
      <c r="K5738" s="138">
        <v>26.38</v>
      </c>
      <c r="L5738" s="137">
        <v>0</v>
      </c>
    </row>
    <row r="5739" spans="7:12" x14ac:dyDescent="0.25">
      <c r="G5739" s="136">
        <v>43580</v>
      </c>
      <c r="H5739" t="s">
        <v>27</v>
      </c>
      <c r="I5739" t="s">
        <v>251</v>
      </c>
      <c r="J5739" t="s">
        <v>554</v>
      </c>
      <c r="K5739" s="138">
        <v>25.11</v>
      </c>
      <c r="L5739" s="137">
        <v>0</v>
      </c>
    </row>
    <row r="5740" spans="7:12" x14ac:dyDescent="0.25">
      <c r="G5740" s="136">
        <v>43580</v>
      </c>
      <c r="H5740" t="s">
        <v>27</v>
      </c>
      <c r="I5740" t="s">
        <v>251</v>
      </c>
      <c r="J5740" t="s">
        <v>554</v>
      </c>
      <c r="K5740" s="138">
        <v>21.92</v>
      </c>
      <c r="L5740" s="137">
        <v>0</v>
      </c>
    </row>
    <row r="5741" spans="7:12" x14ac:dyDescent="0.25">
      <c r="G5741" s="136">
        <v>43580</v>
      </c>
      <c r="H5741" t="s">
        <v>27</v>
      </c>
      <c r="I5741" t="s">
        <v>251</v>
      </c>
      <c r="J5741" t="s">
        <v>554</v>
      </c>
      <c r="K5741" s="138">
        <v>16.88</v>
      </c>
      <c r="L5741" s="137">
        <v>0</v>
      </c>
    </row>
    <row r="5742" spans="7:12" x14ac:dyDescent="0.25">
      <c r="G5742" s="136">
        <v>43580</v>
      </c>
      <c r="H5742" t="s">
        <v>27</v>
      </c>
      <c r="I5742" t="s">
        <v>251</v>
      </c>
      <c r="J5742" t="s">
        <v>554</v>
      </c>
      <c r="K5742" s="138">
        <v>9.89</v>
      </c>
      <c r="L5742" s="137">
        <v>0</v>
      </c>
    </row>
    <row r="5743" spans="7:12" x14ac:dyDescent="0.25">
      <c r="G5743" s="136">
        <v>43580</v>
      </c>
      <c r="H5743" t="s">
        <v>212</v>
      </c>
      <c r="I5743" t="s">
        <v>176</v>
      </c>
      <c r="J5743" t="s">
        <v>553</v>
      </c>
      <c r="K5743" s="138">
        <v>393.28</v>
      </c>
      <c r="L5743" s="137">
        <v>0</v>
      </c>
    </row>
    <row r="5744" spans="7:12" x14ac:dyDescent="0.25">
      <c r="G5744" s="136">
        <v>43580</v>
      </c>
      <c r="H5744" t="s">
        <v>185</v>
      </c>
      <c r="I5744" t="s">
        <v>251</v>
      </c>
      <c r="J5744" t="s">
        <v>554</v>
      </c>
      <c r="K5744" s="138">
        <v>181.36</v>
      </c>
      <c r="L5744" s="137">
        <v>0</v>
      </c>
    </row>
    <row r="5745" spans="7:12" x14ac:dyDescent="0.25">
      <c r="G5745" s="136">
        <v>43580</v>
      </c>
      <c r="H5745" t="s">
        <v>184</v>
      </c>
      <c r="I5745" t="s">
        <v>251</v>
      </c>
      <c r="J5745" t="s">
        <v>554</v>
      </c>
      <c r="K5745" s="138">
        <v>13.02</v>
      </c>
      <c r="L5745" s="137">
        <v>0</v>
      </c>
    </row>
    <row r="5746" spans="7:12" x14ac:dyDescent="0.25">
      <c r="G5746" s="136">
        <v>43580</v>
      </c>
      <c r="H5746" t="s">
        <v>195</v>
      </c>
      <c r="I5746" t="s">
        <v>251</v>
      </c>
      <c r="J5746" t="s">
        <v>554</v>
      </c>
      <c r="K5746" s="138">
        <v>518.6</v>
      </c>
      <c r="L5746" s="137">
        <v>0</v>
      </c>
    </row>
    <row r="5747" spans="7:12" x14ac:dyDescent="0.25">
      <c r="G5747" s="136">
        <v>43580</v>
      </c>
      <c r="H5747" t="s">
        <v>183</v>
      </c>
      <c r="I5747" t="s">
        <v>251</v>
      </c>
      <c r="J5747" t="s">
        <v>554</v>
      </c>
      <c r="K5747" s="138">
        <v>2256.5</v>
      </c>
      <c r="L5747" s="137">
        <v>0</v>
      </c>
    </row>
    <row r="5748" spans="7:12" x14ac:dyDescent="0.25">
      <c r="G5748" s="136">
        <v>43580</v>
      </c>
      <c r="H5748" t="s">
        <v>189</v>
      </c>
      <c r="I5748" t="s">
        <v>251</v>
      </c>
      <c r="J5748" t="s">
        <v>554</v>
      </c>
      <c r="K5748" s="138">
        <v>537.95000000000005</v>
      </c>
      <c r="L5748" s="137">
        <v>0</v>
      </c>
    </row>
    <row r="5749" spans="7:12" x14ac:dyDescent="0.25">
      <c r="G5749" s="136">
        <v>43580</v>
      </c>
      <c r="H5749" t="s">
        <v>193</v>
      </c>
      <c r="I5749" t="s">
        <v>251</v>
      </c>
      <c r="J5749" t="s">
        <v>554</v>
      </c>
      <c r="K5749" s="138">
        <v>49.9</v>
      </c>
      <c r="L5749" s="137">
        <v>0</v>
      </c>
    </row>
    <row r="5750" spans="7:12" x14ac:dyDescent="0.25">
      <c r="G5750" s="136">
        <v>43580</v>
      </c>
      <c r="H5750" t="s">
        <v>188</v>
      </c>
      <c r="I5750" t="s">
        <v>251</v>
      </c>
      <c r="J5750" t="s">
        <v>554</v>
      </c>
      <c r="K5750" s="138">
        <v>10767.85</v>
      </c>
      <c r="L5750" s="137">
        <v>0</v>
      </c>
    </row>
    <row r="5751" spans="7:12" x14ac:dyDescent="0.25">
      <c r="G5751" s="136">
        <v>43580</v>
      </c>
      <c r="H5751" t="s">
        <v>200</v>
      </c>
      <c r="I5751" t="s">
        <v>171</v>
      </c>
      <c r="J5751" t="s">
        <v>553</v>
      </c>
      <c r="K5751" s="138">
        <v>26.2</v>
      </c>
      <c r="L5751" s="137">
        <v>0</v>
      </c>
    </row>
    <row r="5752" spans="7:12" x14ac:dyDescent="0.25">
      <c r="G5752" s="136">
        <v>43580</v>
      </c>
      <c r="H5752" t="s">
        <v>25</v>
      </c>
      <c r="I5752" t="s">
        <v>63</v>
      </c>
      <c r="J5752" t="s">
        <v>553</v>
      </c>
      <c r="K5752" s="138">
        <v>48</v>
      </c>
      <c r="L5752" s="137">
        <v>0</v>
      </c>
    </row>
    <row r="5753" spans="7:12" x14ac:dyDescent="0.25">
      <c r="G5753" s="136">
        <v>43580</v>
      </c>
      <c r="H5753" t="s">
        <v>25</v>
      </c>
      <c r="I5753" t="s">
        <v>63</v>
      </c>
      <c r="J5753" t="s">
        <v>553</v>
      </c>
      <c r="K5753" s="138">
        <v>32</v>
      </c>
      <c r="L5753" s="137">
        <v>0</v>
      </c>
    </row>
    <row r="5754" spans="7:12" x14ac:dyDescent="0.25">
      <c r="G5754" s="136">
        <v>43580</v>
      </c>
      <c r="H5754" t="s">
        <v>25</v>
      </c>
      <c r="I5754" t="s">
        <v>63</v>
      </c>
      <c r="J5754" t="s">
        <v>553</v>
      </c>
      <c r="K5754" s="138">
        <v>16</v>
      </c>
      <c r="L5754" s="137">
        <v>0</v>
      </c>
    </row>
    <row r="5755" spans="7:12" x14ac:dyDescent="0.25">
      <c r="G5755" s="136">
        <v>43580</v>
      </c>
      <c r="H5755" t="s">
        <v>25</v>
      </c>
      <c r="I5755" t="s">
        <v>63</v>
      </c>
      <c r="J5755" t="s">
        <v>553</v>
      </c>
      <c r="K5755" s="138">
        <v>8</v>
      </c>
      <c r="L5755" s="137">
        <v>0</v>
      </c>
    </row>
    <row r="5756" spans="7:12" x14ac:dyDescent="0.25">
      <c r="G5756" s="136">
        <v>43580</v>
      </c>
      <c r="H5756" t="s">
        <v>25</v>
      </c>
      <c r="I5756" t="s">
        <v>251</v>
      </c>
      <c r="J5756" t="s">
        <v>554</v>
      </c>
      <c r="K5756" s="138">
        <v>644.11</v>
      </c>
      <c r="L5756" s="137">
        <v>0</v>
      </c>
    </row>
    <row r="5757" spans="7:12" x14ac:dyDescent="0.25">
      <c r="G5757" s="136">
        <v>43580</v>
      </c>
      <c r="H5757" t="s">
        <v>25</v>
      </c>
      <c r="I5757" t="s">
        <v>251</v>
      </c>
      <c r="J5757" t="s">
        <v>554</v>
      </c>
      <c r="K5757" s="138">
        <v>618.82000000000005</v>
      </c>
      <c r="L5757" s="137">
        <v>0</v>
      </c>
    </row>
    <row r="5758" spans="7:12" x14ac:dyDescent="0.25">
      <c r="G5758" s="136">
        <v>43580</v>
      </c>
      <c r="H5758" t="s">
        <v>25</v>
      </c>
      <c r="I5758" t="s">
        <v>251</v>
      </c>
      <c r="J5758" t="s">
        <v>554</v>
      </c>
      <c r="K5758" s="138">
        <v>539.51</v>
      </c>
      <c r="L5758" s="137">
        <v>0</v>
      </c>
    </row>
    <row r="5759" spans="7:12" x14ac:dyDescent="0.25">
      <c r="G5759" s="136">
        <v>43580</v>
      </c>
      <c r="H5759" t="s">
        <v>25</v>
      </c>
      <c r="I5759" t="s">
        <v>251</v>
      </c>
      <c r="J5759" t="s">
        <v>554</v>
      </c>
      <c r="K5759" s="138">
        <v>504.84</v>
      </c>
      <c r="L5759" s="137">
        <v>0</v>
      </c>
    </row>
    <row r="5760" spans="7:12" x14ac:dyDescent="0.25">
      <c r="G5760" s="136">
        <v>43580</v>
      </c>
      <c r="H5760" t="s">
        <v>25</v>
      </c>
      <c r="I5760" t="s">
        <v>251</v>
      </c>
      <c r="J5760" t="s">
        <v>554</v>
      </c>
      <c r="K5760" s="138">
        <v>486.85</v>
      </c>
      <c r="L5760" s="137">
        <v>0</v>
      </c>
    </row>
    <row r="5761" spans="7:12" x14ac:dyDescent="0.25">
      <c r="G5761" s="136">
        <v>43580</v>
      </c>
      <c r="H5761" t="s">
        <v>25</v>
      </c>
      <c r="I5761" t="s">
        <v>251</v>
      </c>
      <c r="J5761" t="s">
        <v>554</v>
      </c>
      <c r="K5761" s="138">
        <v>430.92</v>
      </c>
      <c r="L5761" s="137">
        <v>0</v>
      </c>
    </row>
    <row r="5762" spans="7:12" x14ac:dyDescent="0.25">
      <c r="G5762" s="136">
        <v>43580</v>
      </c>
      <c r="H5762" t="s">
        <v>25</v>
      </c>
      <c r="I5762" t="s">
        <v>251</v>
      </c>
      <c r="J5762" t="s">
        <v>554</v>
      </c>
      <c r="K5762" s="138">
        <v>427.96</v>
      </c>
      <c r="L5762" s="137">
        <v>0</v>
      </c>
    </row>
    <row r="5763" spans="7:12" x14ac:dyDescent="0.25">
      <c r="G5763" s="136">
        <v>43580</v>
      </c>
      <c r="H5763" t="s">
        <v>25</v>
      </c>
      <c r="I5763" t="s">
        <v>251</v>
      </c>
      <c r="J5763" t="s">
        <v>554</v>
      </c>
      <c r="K5763" s="138">
        <v>396.19</v>
      </c>
      <c r="L5763" s="137">
        <v>0</v>
      </c>
    </row>
    <row r="5764" spans="7:12" x14ac:dyDescent="0.25">
      <c r="G5764" s="136">
        <v>43580</v>
      </c>
      <c r="H5764" t="s">
        <v>25</v>
      </c>
      <c r="I5764" t="s">
        <v>251</v>
      </c>
      <c r="J5764" t="s">
        <v>554</v>
      </c>
      <c r="K5764" s="138">
        <v>391.03</v>
      </c>
      <c r="L5764" s="137">
        <v>0</v>
      </c>
    </row>
    <row r="5765" spans="7:12" x14ac:dyDescent="0.25">
      <c r="G5765" s="136">
        <v>43580</v>
      </c>
      <c r="H5765" t="s">
        <v>25</v>
      </c>
      <c r="I5765" t="s">
        <v>251</v>
      </c>
      <c r="J5765" t="s">
        <v>554</v>
      </c>
      <c r="K5765" s="138">
        <v>384.42</v>
      </c>
      <c r="L5765" s="137">
        <v>0</v>
      </c>
    </row>
    <row r="5766" spans="7:12" x14ac:dyDescent="0.25">
      <c r="G5766" s="136">
        <v>43580</v>
      </c>
      <c r="H5766" t="s">
        <v>25</v>
      </c>
      <c r="I5766" t="s">
        <v>251</v>
      </c>
      <c r="J5766" t="s">
        <v>554</v>
      </c>
      <c r="K5766" s="138">
        <v>379.26</v>
      </c>
      <c r="L5766" s="137">
        <v>0</v>
      </c>
    </row>
    <row r="5767" spans="7:12" x14ac:dyDescent="0.25">
      <c r="G5767" s="136">
        <v>43580</v>
      </c>
      <c r="H5767" t="s">
        <v>25</v>
      </c>
      <c r="I5767" t="s">
        <v>251</v>
      </c>
      <c r="J5767" t="s">
        <v>554</v>
      </c>
      <c r="K5767" s="138">
        <v>330.37</v>
      </c>
      <c r="L5767" s="137">
        <v>0</v>
      </c>
    </row>
    <row r="5768" spans="7:12" x14ac:dyDescent="0.25">
      <c r="G5768" s="136">
        <v>43580</v>
      </c>
      <c r="H5768" t="s">
        <v>25</v>
      </c>
      <c r="I5768" t="s">
        <v>251</v>
      </c>
      <c r="J5768" t="s">
        <v>554</v>
      </c>
      <c r="K5768" s="138">
        <v>321.02999999999997</v>
      </c>
      <c r="L5768" s="137">
        <v>0</v>
      </c>
    </row>
    <row r="5769" spans="7:12" x14ac:dyDescent="0.25">
      <c r="G5769" s="136">
        <v>43580</v>
      </c>
      <c r="H5769" t="s">
        <v>25</v>
      </c>
      <c r="I5769" t="s">
        <v>251</v>
      </c>
      <c r="J5769" t="s">
        <v>554</v>
      </c>
      <c r="K5769" s="138">
        <v>290.17</v>
      </c>
      <c r="L5769" s="137">
        <v>0</v>
      </c>
    </row>
    <row r="5770" spans="7:12" x14ac:dyDescent="0.25">
      <c r="G5770" s="136">
        <v>43580</v>
      </c>
      <c r="H5770" t="s">
        <v>25</v>
      </c>
      <c r="I5770" t="s">
        <v>251</v>
      </c>
      <c r="J5770" t="s">
        <v>554</v>
      </c>
      <c r="K5770" s="138">
        <v>233.45</v>
      </c>
      <c r="L5770" s="137">
        <v>0</v>
      </c>
    </row>
    <row r="5771" spans="7:12" x14ac:dyDescent="0.25">
      <c r="G5771" s="136">
        <v>43580</v>
      </c>
      <c r="H5771" t="s">
        <v>25</v>
      </c>
      <c r="I5771" t="s">
        <v>251</v>
      </c>
      <c r="J5771" t="s">
        <v>554</v>
      </c>
      <c r="K5771" s="138">
        <v>204.36</v>
      </c>
      <c r="L5771" s="137">
        <v>0</v>
      </c>
    </row>
    <row r="5772" spans="7:12" x14ac:dyDescent="0.25">
      <c r="G5772" s="136">
        <v>43580</v>
      </c>
      <c r="H5772" t="s">
        <v>25</v>
      </c>
      <c r="I5772" t="s">
        <v>251</v>
      </c>
      <c r="J5772" t="s">
        <v>554</v>
      </c>
      <c r="K5772" s="138">
        <v>168.11</v>
      </c>
      <c r="L5772" s="137">
        <v>0</v>
      </c>
    </row>
    <row r="5773" spans="7:12" x14ac:dyDescent="0.25">
      <c r="G5773" s="136">
        <v>43580</v>
      </c>
      <c r="H5773" t="s">
        <v>25</v>
      </c>
      <c r="I5773" t="s">
        <v>251</v>
      </c>
      <c r="J5773" t="s">
        <v>554</v>
      </c>
      <c r="K5773" s="138">
        <v>149.43</v>
      </c>
      <c r="L5773" s="137">
        <v>0</v>
      </c>
    </row>
    <row r="5774" spans="7:12" x14ac:dyDescent="0.25">
      <c r="G5774" s="136">
        <v>43580</v>
      </c>
      <c r="H5774" t="s">
        <v>25</v>
      </c>
      <c r="I5774" t="s">
        <v>251</v>
      </c>
      <c r="J5774" t="s">
        <v>554</v>
      </c>
      <c r="K5774" s="138">
        <v>138.5</v>
      </c>
      <c r="L5774" s="137">
        <v>0</v>
      </c>
    </row>
    <row r="5775" spans="7:12" x14ac:dyDescent="0.25">
      <c r="G5775" s="136">
        <v>43580</v>
      </c>
      <c r="H5775" t="s">
        <v>25</v>
      </c>
      <c r="I5775" t="s">
        <v>251</v>
      </c>
      <c r="J5775" t="s">
        <v>554</v>
      </c>
      <c r="K5775" s="138">
        <v>112.93</v>
      </c>
      <c r="L5775" s="137">
        <v>0</v>
      </c>
    </row>
    <row r="5776" spans="7:12" x14ac:dyDescent="0.25">
      <c r="G5776" s="136">
        <v>43580</v>
      </c>
      <c r="H5776" t="s">
        <v>25</v>
      </c>
      <c r="I5776" t="s">
        <v>251</v>
      </c>
      <c r="J5776" t="s">
        <v>554</v>
      </c>
      <c r="K5776" s="138">
        <v>83.16</v>
      </c>
      <c r="L5776" s="137">
        <v>0</v>
      </c>
    </row>
    <row r="5777" spans="7:12" x14ac:dyDescent="0.25">
      <c r="G5777" s="136">
        <v>43580</v>
      </c>
      <c r="H5777" t="s">
        <v>25</v>
      </c>
      <c r="I5777" t="s">
        <v>251</v>
      </c>
      <c r="J5777" t="s">
        <v>554</v>
      </c>
      <c r="K5777" s="138">
        <v>82.01</v>
      </c>
      <c r="L5777" s="137">
        <v>0</v>
      </c>
    </row>
    <row r="5778" spans="7:12" x14ac:dyDescent="0.25">
      <c r="G5778" s="136">
        <v>43580</v>
      </c>
      <c r="H5778" t="s">
        <v>25</v>
      </c>
      <c r="I5778" t="s">
        <v>251</v>
      </c>
      <c r="J5778" t="s">
        <v>554</v>
      </c>
      <c r="K5778" s="138">
        <v>80.13</v>
      </c>
      <c r="L5778" s="137">
        <v>0</v>
      </c>
    </row>
    <row r="5779" spans="7:12" x14ac:dyDescent="0.25">
      <c r="G5779" s="136">
        <v>43580</v>
      </c>
      <c r="H5779" t="s">
        <v>25</v>
      </c>
      <c r="I5779" t="s">
        <v>251</v>
      </c>
      <c r="J5779" t="s">
        <v>554</v>
      </c>
      <c r="K5779" s="138">
        <v>72.31</v>
      </c>
      <c r="L5779" s="137">
        <v>0</v>
      </c>
    </row>
    <row r="5780" spans="7:12" x14ac:dyDescent="0.25">
      <c r="G5780" s="136">
        <v>43580</v>
      </c>
      <c r="H5780" t="s">
        <v>25</v>
      </c>
      <c r="I5780" t="s">
        <v>251</v>
      </c>
      <c r="J5780" t="s">
        <v>554</v>
      </c>
      <c r="K5780" s="138">
        <v>63.22</v>
      </c>
      <c r="L5780" s="137">
        <v>0</v>
      </c>
    </row>
    <row r="5781" spans="7:12" x14ac:dyDescent="0.25">
      <c r="G5781" s="136">
        <v>43580</v>
      </c>
      <c r="H5781" t="s">
        <v>25</v>
      </c>
      <c r="I5781" t="s">
        <v>251</v>
      </c>
      <c r="J5781" t="s">
        <v>554</v>
      </c>
      <c r="K5781" s="138">
        <v>59.35</v>
      </c>
      <c r="L5781" s="137">
        <v>0</v>
      </c>
    </row>
    <row r="5782" spans="7:12" x14ac:dyDescent="0.25">
      <c r="G5782" s="136">
        <v>43580</v>
      </c>
      <c r="H5782" t="s">
        <v>25</v>
      </c>
      <c r="I5782" t="s">
        <v>251</v>
      </c>
      <c r="J5782" t="s">
        <v>554</v>
      </c>
      <c r="K5782" s="138">
        <v>56.89</v>
      </c>
      <c r="L5782" s="137">
        <v>0</v>
      </c>
    </row>
    <row r="5783" spans="7:12" x14ac:dyDescent="0.25">
      <c r="G5783" s="136">
        <v>43580</v>
      </c>
      <c r="H5783" t="s">
        <v>25</v>
      </c>
      <c r="I5783" t="s">
        <v>251</v>
      </c>
      <c r="J5783" t="s">
        <v>554</v>
      </c>
      <c r="K5783" s="138">
        <v>50.11</v>
      </c>
      <c r="L5783" s="137">
        <v>0</v>
      </c>
    </row>
    <row r="5784" spans="7:12" x14ac:dyDescent="0.25">
      <c r="G5784" s="136">
        <v>43580</v>
      </c>
      <c r="H5784" t="s">
        <v>25</v>
      </c>
      <c r="I5784" t="s">
        <v>251</v>
      </c>
      <c r="J5784" t="s">
        <v>554</v>
      </c>
      <c r="K5784" s="138">
        <v>45.98</v>
      </c>
      <c r="L5784" s="137">
        <v>0</v>
      </c>
    </row>
    <row r="5785" spans="7:12" x14ac:dyDescent="0.25">
      <c r="G5785" s="136">
        <v>43580</v>
      </c>
      <c r="H5785" t="s">
        <v>25</v>
      </c>
      <c r="I5785" t="s">
        <v>251</v>
      </c>
      <c r="J5785" t="s">
        <v>554</v>
      </c>
      <c r="K5785" s="138">
        <v>23.39</v>
      </c>
      <c r="L5785" s="137">
        <v>0</v>
      </c>
    </row>
    <row r="5786" spans="7:12" x14ac:dyDescent="0.25">
      <c r="G5786" s="136">
        <v>43580</v>
      </c>
      <c r="H5786" t="s">
        <v>25</v>
      </c>
      <c r="I5786" t="s">
        <v>251</v>
      </c>
      <c r="J5786" t="s">
        <v>554</v>
      </c>
      <c r="K5786" s="138">
        <v>20.239999999999998</v>
      </c>
      <c r="L5786" s="137">
        <v>0</v>
      </c>
    </row>
    <row r="5787" spans="7:12" x14ac:dyDescent="0.25">
      <c r="G5787" s="136">
        <v>43580</v>
      </c>
      <c r="H5787" t="s">
        <v>25</v>
      </c>
      <c r="I5787" t="s">
        <v>251</v>
      </c>
      <c r="J5787" t="s">
        <v>554</v>
      </c>
      <c r="K5787" s="138">
        <v>13.77</v>
      </c>
      <c r="L5787" s="137">
        <v>0</v>
      </c>
    </row>
    <row r="5788" spans="7:12" x14ac:dyDescent="0.25">
      <c r="G5788" s="136">
        <v>43580</v>
      </c>
      <c r="H5788" t="s">
        <v>25</v>
      </c>
      <c r="I5788" t="s">
        <v>251</v>
      </c>
      <c r="J5788" t="s">
        <v>554</v>
      </c>
      <c r="K5788" s="138">
        <v>13.32</v>
      </c>
      <c r="L5788" s="137">
        <v>0</v>
      </c>
    </row>
    <row r="5789" spans="7:12" x14ac:dyDescent="0.25">
      <c r="G5789" s="136">
        <v>43580</v>
      </c>
      <c r="H5789" t="s">
        <v>25</v>
      </c>
      <c r="I5789" t="s">
        <v>251</v>
      </c>
      <c r="J5789" t="s">
        <v>554</v>
      </c>
      <c r="K5789" s="138">
        <v>7.42</v>
      </c>
      <c r="L5789" s="137">
        <v>0</v>
      </c>
    </row>
    <row r="5790" spans="7:12" x14ac:dyDescent="0.25">
      <c r="G5790" s="136">
        <v>43580</v>
      </c>
      <c r="H5790" t="s">
        <v>197</v>
      </c>
      <c r="I5790" t="s">
        <v>155</v>
      </c>
      <c r="J5790" t="s">
        <v>553</v>
      </c>
      <c r="K5790" s="138">
        <v>17</v>
      </c>
      <c r="L5790" s="137">
        <v>0</v>
      </c>
    </row>
    <row r="5791" spans="7:12" x14ac:dyDescent="0.25">
      <c r="G5791" s="136">
        <v>43580</v>
      </c>
      <c r="H5791" t="s">
        <v>197</v>
      </c>
      <c r="I5791" t="s">
        <v>176</v>
      </c>
      <c r="J5791" t="s">
        <v>553</v>
      </c>
      <c r="K5791" s="138">
        <v>398.73</v>
      </c>
      <c r="L5791" s="137">
        <v>0</v>
      </c>
    </row>
    <row r="5792" spans="7:12" x14ac:dyDescent="0.25">
      <c r="G5792" s="136">
        <v>43580</v>
      </c>
      <c r="H5792" t="s">
        <v>187</v>
      </c>
      <c r="I5792" t="s">
        <v>171</v>
      </c>
      <c r="J5792" t="s">
        <v>553</v>
      </c>
      <c r="K5792" s="138">
        <v>44.22</v>
      </c>
      <c r="L5792" s="137">
        <v>0</v>
      </c>
    </row>
    <row r="5793" spans="7:12" x14ac:dyDescent="0.25">
      <c r="G5793" s="136">
        <v>43580</v>
      </c>
      <c r="H5793" t="s">
        <v>179</v>
      </c>
      <c r="I5793" t="s">
        <v>63</v>
      </c>
      <c r="J5793" t="s">
        <v>553</v>
      </c>
      <c r="K5793" s="138">
        <v>129.9</v>
      </c>
      <c r="L5793" s="137">
        <v>0</v>
      </c>
    </row>
    <row r="5794" spans="7:12" x14ac:dyDescent="0.25">
      <c r="G5794" s="136">
        <v>43580</v>
      </c>
      <c r="H5794" t="s">
        <v>179</v>
      </c>
      <c r="I5794" t="s">
        <v>251</v>
      </c>
      <c r="J5794" t="s">
        <v>554</v>
      </c>
      <c r="K5794" s="138">
        <v>1738.68</v>
      </c>
      <c r="L5794" s="137">
        <v>0</v>
      </c>
    </row>
    <row r="5795" spans="7:12" x14ac:dyDescent="0.25">
      <c r="G5795" s="136">
        <v>43580</v>
      </c>
      <c r="H5795" t="s">
        <v>28</v>
      </c>
      <c r="I5795" t="s">
        <v>155</v>
      </c>
      <c r="J5795" t="s">
        <v>553</v>
      </c>
      <c r="K5795" s="138">
        <v>36.659999999999997</v>
      </c>
      <c r="L5795" s="137">
        <v>0</v>
      </c>
    </row>
    <row r="5796" spans="7:12" x14ac:dyDescent="0.25">
      <c r="G5796" s="136">
        <v>43580</v>
      </c>
      <c r="H5796" t="s">
        <v>28</v>
      </c>
      <c r="I5796" t="s">
        <v>155</v>
      </c>
      <c r="J5796" t="s">
        <v>553</v>
      </c>
      <c r="K5796" s="138">
        <v>29.5</v>
      </c>
      <c r="L5796" s="137">
        <v>0</v>
      </c>
    </row>
    <row r="5797" spans="7:12" x14ac:dyDescent="0.25">
      <c r="G5797" s="136">
        <v>43580</v>
      </c>
      <c r="H5797" t="s">
        <v>28</v>
      </c>
      <c r="I5797" t="s">
        <v>66</v>
      </c>
      <c r="J5797" t="s">
        <v>367</v>
      </c>
      <c r="K5797" s="138">
        <v>8.4</v>
      </c>
      <c r="L5797" s="137">
        <v>0</v>
      </c>
    </row>
    <row r="5798" spans="7:12" x14ac:dyDescent="0.25">
      <c r="G5798" s="136">
        <v>43580</v>
      </c>
      <c r="H5798" t="s">
        <v>28</v>
      </c>
      <c r="I5798" t="s">
        <v>66</v>
      </c>
      <c r="J5798" t="s">
        <v>111</v>
      </c>
      <c r="K5798" s="138">
        <v>2.7</v>
      </c>
      <c r="L5798" s="137">
        <v>0</v>
      </c>
    </row>
    <row r="5799" spans="7:12" x14ac:dyDescent="0.25">
      <c r="G5799" s="136">
        <v>43580</v>
      </c>
      <c r="H5799" t="s">
        <v>28</v>
      </c>
      <c r="I5799" t="s">
        <v>66</v>
      </c>
      <c r="J5799" t="s">
        <v>139</v>
      </c>
      <c r="K5799" s="138">
        <v>8</v>
      </c>
      <c r="L5799" s="137">
        <v>0</v>
      </c>
    </row>
    <row r="5800" spans="7:12" x14ac:dyDescent="0.25">
      <c r="G5800" s="136">
        <v>43580</v>
      </c>
      <c r="H5800" t="s">
        <v>28</v>
      </c>
      <c r="I5800" t="s">
        <v>66</v>
      </c>
      <c r="J5800" t="s">
        <v>105</v>
      </c>
      <c r="K5800" s="138">
        <v>50</v>
      </c>
      <c r="L5800" s="137">
        <v>0</v>
      </c>
    </row>
    <row r="5801" spans="7:12" x14ac:dyDescent="0.25">
      <c r="G5801" s="136">
        <v>43580</v>
      </c>
      <c r="H5801" t="s">
        <v>28</v>
      </c>
      <c r="I5801" t="s">
        <v>66</v>
      </c>
      <c r="J5801" t="s">
        <v>276</v>
      </c>
      <c r="K5801" s="138">
        <v>2.4</v>
      </c>
      <c r="L5801" s="137">
        <v>0</v>
      </c>
    </row>
    <row r="5802" spans="7:12" x14ac:dyDescent="0.25">
      <c r="G5802" s="136">
        <v>43580</v>
      </c>
      <c r="H5802" t="s">
        <v>28</v>
      </c>
      <c r="I5802" t="s">
        <v>66</v>
      </c>
      <c r="J5802" t="s">
        <v>378</v>
      </c>
      <c r="K5802" s="138">
        <v>16.399999999999999</v>
      </c>
      <c r="L5802" s="137">
        <v>0</v>
      </c>
    </row>
    <row r="5803" spans="7:12" x14ac:dyDescent="0.25">
      <c r="G5803" s="136">
        <v>43580</v>
      </c>
      <c r="H5803" t="s">
        <v>28</v>
      </c>
      <c r="I5803" t="s">
        <v>66</v>
      </c>
      <c r="J5803" t="s">
        <v>114</v>
      </c>
      <c r="K5803" s="138">
        <v>2.7</v>
      </c>
      <c r="L5803" s="137">
        <v>0</v>
      </c>
    </row>
    <row r="5804" spans="7:12" x14ac:dyDescent="0.25">
      <c r="G5804" s="136">
        <v>43580</v>
      </c>
      <c r="H5804" t="s">
        <v>28</v>
      </c>
      <c r="I5804" t="s">
        <v>66</v>
      </c>
      <c r="J5804" t="s">
        <v>123</v>
      </c>
      <c r="K5804" s="138">
        <v>4.5</v>
      </c>
      <c r="L5804" s="137">
        <v>0</v>
      </c>
    </row>
    <row r="5805" spans="7:12" x14ac:dyDescent="0.25">
      <c r="G5805" s="136">
        <v>43580</v>
      </c>
      <c r="H5805" t="s">
        <v>28</v>
      </c>
      <c r="I5805" t="s">
        <v>251</v>
      </c>
      <c r="J5805" t="s">
        <v>554</v>
      </c>
      <c r="K5805" s="138">
        <v>138.09</v>
      </c>
      <c r="L5805" s="137">
        <v>0</v>
      </c>
    </row>
    <row r="5806" spans="7:12" x14ac:dyDescent="0.25">
      <c r="G5806" s="136">
        <v>43580</v>
      </c>
      <c r="H5806" t="s">
        <v>28</v>
      </c>
      <c r="I5806" t="s">
        <v>251</v>
      </c>
      <c r="J5806" t="s">
        <v>554</v>
      </c>
      <c r="K5806" s="138">
        <v>88.18</v>
      </c>
      <c r="L5806" s="137">
        <v>0</v>
      </c>
    </row>
    <row r="5807" spans="7:12" x14ac:dyDescent="0.25">
      <c r="G5807" s="136">
        <v>43580</v>
      </c>
      <c r="H5807" t="s">
        <v>28</v>
      </c>
      <c r="I5807" t="s">
        <v>251</v>
      </c>
      <c r="J5807" t="s">
        <v>554</v>
      </c>
      <c r="K5807" s="138">
        <v>47.78</v>
      </c>
      <c r="L5807" s="137">
        <v>0</v>
      </c>
    </row>
    <row r="5808" spans="7:12" x14ac:dyDescent="0.25">
      <c r="G5808" s="136">
        <v>43580</v>
      </c>
      <c r="H5808" t="s">
        <v>28</v>
      </c>
      <c r="I5808" t="s">
        <v>251</v>
      </c>
      <c r="J5808" t="s">
        <v>554</v>
      </c>
      <c r="K5808" s="138">
        <v>38.03</v>
      </c>
      <c r="L5808" s="137">
        <v>0</v>
      </c>
    </row>
    <row r="5809" spans="7:12" x14ac:dyDescent="0.25">
      <c r="G5809" s="136">
        <v>43580</v>
      </c>
      <c r="H5809" t="s">
        <v>28</v>
      </c>
      <c r="I5809" t="s">
        <v>251</v>
      </c>
      <c r="J5809" t="s">
        <v>554</v>
      </c>
      <c r="K5809" s="138">
        <v>30.08</v>
      </c>
      <c r="L5809" s="137">
        <v>0</v>
      </c>
    </row>
    <row r="5810" spans="7:12" x14ac:dyDescent="0.25">
      <c r="G5810" s="136">
        <v>43581</v>
      </c>
      <c r="H5810" t="s">
        <v>204</v>
      </c>
      <c r="I5810" t="s">
        <v>176</v>
      </c>
      <c r="J5810" t="s">
        <v>555</v>
      </c>
      <c r="K5810" s="138">
        <v>121.75</v>
      </c>
      <c r="L5810" s="137">
        <v>0</v>
      </c>
    </row>
    <row r="5811" spans="7:12" x14ac:dyDescent="0.25">
      <c r="G5811" s="136">
        <v>43581</v>
      </c>
      <c r="H5811" t="s">
        <v>192</v>
      </c>
      <c r="I5811" t="s">
        <v>176</v>
      </c>
      <c r="J5811" t="s">
        <v>555</v>
      </c>
      <c r="K5811" s="138">
        <v>349.8</v>
      </c>
      <c r="L5811" s="137">
        <v>0</v>
      </c>
    </row>
    <row r="5812" spans="7:12" x14ac:dyDescent="0.25">
      <c r="G5812" s="136">
        <v>43581</v>
      </c>
      <c r="H5812" t="s">
        <v>27</v>
      </c>
      <c r="I5812" t="s">
        <v>63</v>
      </c>
      <c r="J5812" t="s">
        <v>555</v>
      </c>
      <c r="K5812" s="138">
        <v>8</v>
      </c>
      <c r="L5812" s="137">
        <v>0</v>
      </c>
    </row>
    <row r="5813" spans="7:12" x14ac:dyDescent="0.25">
      <c r="G5813" s="136">
        <v>43581</v>
      </c>
      <c r="H5813" t="s">
        <v>183</v>
      </c>
      <c r="I5813" t="s">
        <v>171</v>
      </c>
      <c r="J5813" t="s">
        <v>555</v>
      </c>
      <c r="K5813" s="138">
        <v>29.3</v>
      </c>
      <c r="L5813" s="137">
        <v>0</v>
      </c>
    </row>
    <row r="5814" spans="7:12" x14ac:dyDescent="0.25">
      <c r="G5814" s="136">
        <v>43581</v>
      </c>
      <c r="H5814" t="s">
        <v>188</v>
      </c>
      <c r="I5814" t="s">
        <v>171</v>
      </c>
      <c r="J5814" t="s">
        <v>555</v>
      </c>
      <c r="K5814" s="138">
        <v>88</v>
      </c>
      <c r="L5814" s="137">
        <v>0</v>
      </c>
    </row>
    <row r="5815" spans="7:12" x14ac:dyDescent="0.25">
      <c r="G5815" s="136">
        <v>43581</v>
      </c>
      <c r="H5815" t="s">
        <v>25</v>
      </c>
      <c r="I5815" t="s">
        <v>63</v>
      </c>
      <c r="J5815" t="s">
        <v>555</v>
      </c>
      <c r="K5815" s="138">
        <v>24</v>
      </c>
      <c r="L5815" s="137">
        <v>0</v>
      </c>
    </row>
    <row r="5816" spans="7:12" x14ac:dyDescent="0.25">
      <c r="G5816" s="136">
        <v>43581</v>
      </c>
      <c r="H5816" t="s">
        <v>25</v>
      </c>
      <c r="I5816" t="s">
        <v>63</v>
      </c>
      <c r="J5816" t="s">
        <v>555</v>
      </c>
      <c r="K5816" s="138">
        <v>16</v>
      </c>
      <c r="L5816" s="137">
        <v>0</v>
      </c>
    </row>
    <row r="5817" spans="7:12" x14ac:dyDescent="0.25">
      <c r="G5817" s="136">
        <v>43581</v>
      </c>
      <c r="H5817" t="s">
        <v>201</v>
      </c>
      <c r="I5817" t="s">
        <v>176</v>
      </c>
      <c r="J5817" t="s">
        <v>555</v>
      </c>
      <c r="K5817" s="138">
        <v>51.8</v>
      </c>
      <c r="L5817" s="137">
        <v>0</v>
      </c>
    </row>
    <row r="5818" spans="7:12" x14ac:dyDescent="0.25">
      <c r="G5818" s="136">
        <v>43581</v>
      </c>
      <c r="H5818" t="s">
        <v>180</v>
      </c>
      <c r="I5818" t="s">
        <v>176</v>
      </c>
      <c r="J5818" t="s">
        <v>555</v>
      </c>
      <c r="K5818" s="138">
        <v>143</v>
      </c>
      <c r="L5818" s="137">
        <v>0</v>
      </c>
    </row>
    <row r="5819" spans="7:12" x14ac:dyDescent="0.25">
      <c r="G5819" s="136">
        <v>43581</v>
      </c>
      <c r="H5819" t="s">
        <v>179</v>
      </c>
      <c r="I5819" t="s">
        <v>176</v>
      </c>
      <c r="J5819" t="s">
        <v>555</v>
      </c>
      <c r="K5819" s="138">
        <v>571.54999999999995</v>
      </c>
      <c r="L5819" s="137">
        <v>0</v>
      </c>
    </row>
    <row r="5820" spans="7:12" x14ac:dyDescent="0.25">
      <c r="G5820" s="136">
        <v>43581</v>
      </c>
      <c r="H5820" t="s">
        <v>28</v>
      </c>
      <c r="I5820" t="s">
        <v>63</v>
      </c>
      <c r="J5820" t="s">
        <v>555</v>
      </c>
      <c r="K5820" s="138">
        <v>8</v>
      </c>
      <c r="L5820" s="137">
        <v>0</v>
      </c>
    </row>
    <row r="5821" spans="7:12" x14ac:dyDescent="0.25">
      <c r="G5821" s="136">
        <v>43581</v>
      </c>
      <c r="H5821" t="s">
        <v>28</v>
      </c>
      <c r="I5821" t="s">
        <v>66</v>
      </c>
      <c r="J5821" t="s">
        <v>136</v>
      </c>
      <c r="K5821" s="138">
        <v>9.1999999999999993</v>
      </c>
      <c r="L5821" s="137">
        <v>0</v>
      </c>
    </row>
    <row r="5822" spans="7:12" x14ac:dyDescent="0.25">
      <c r="G5822" s="136">
        <v>43581</v>
      </c>
      <c r="H5822" t="s">
        <v>28</v>
      </c>
      <c r="I5822" t="s">
        <v>66</v>
      </c>
      <c r="J5822" t="s">
        <v>367</v>
      </c>
      <c r="K5822" s="138">
        <v>9.1999999999999993</v>
      </c>
      <c r="L5822" s="137">
        <v>0</v>
      </c>
    </row>
    <row r="5823" spans="7:12" x14ac:dyDescent="0.25">
      <c r="G5823" s="136">
        <v>43581</v>
      </c>
      <c r="H5823" t="s">
        <v>28</v>
      </c>
      <c r="I5823" t="s">
        <v>66</v>
      </c>
      <c r="J5823" t="s">
        <v>135</v>
      </c>
      <c r="K5823" s="138">
        <v>16.399999999999999</v>
      </c>
      <c r="L5823" s="137">
        <v>0</v>
      </c>
    </row>
    <row r="5824" spans="7:12" x14ac:dyDescent="0.25">
      <c r="G5824" s="136">
        <v>43581</v>
      </c>
      <c r="H5824" t="s">
        <v>28</v>
      </c>
      <c r="I5824" t="s">
        <v>66</v>
      </c>
      <c r="J5824" t="s">
        <v>116</v>
      </c>
      <c r="K5824" s="138">
        <v>2.25</v>
      </c>
      <c r="L5824" s="137">
        <v>0</v>
      </c>
    </row>
    <row r="5825" spans="7:12" x14ac:dyDescent="0.25">
      <c r="G5825" s="136">
        <v>43581</v>
      </c>
      <c r="H5825" t="s">
        <v>28</v>
      </c>
      <c r="I5825" t="s">
        <v>66</v>
      </c>
      <c r="J5825" t="s">
        <v>107</v>
      </c>
      <c r="K5825" s="138">
        <v>5</v>
      </c>
      <c r="L5825" s="137">
        <v>0</v>
      </c>
    </row>
    <row r="5826" spans="7:12" x14ac:dyDescent="0.25">
      <c r="G5826" s="136">
        <v>43581</v>
      </c>
      <c r="H5826" t="s">
        <v>28</v>
      </c>
      <c r="I5826" t="s">
        <v>171</v>
      </c>
      <c r="J5826" t="s">
        <v>555</v>
      </c>
      <c r="K5826" s="138">
        <v>43.4</v>
      </c>
      <c r="L5826" s="137">
        <v>0</v>
      </c>
    </row>
    <row r="5827" spans="7:12" x14ac:dyDescent="0.25">
      <c r="G5827" s="136">
        <v>43582</v>
      </c>
      <c r="H5827" t="s">
        <v>28</v>
      </c>
      <c r="I5827" t="s">
        <v>66</v>
      </c>
      <c r="J5827" t="s">
        <v>537</v>
      </c>
      <c r="K5827" s="138">
        <v>6.6</v>
      </c>
      <c r="L5827" s="137">
        <v>0</v>
      </c>
    </row>
    <row r="5828" spans="7:12" x14ac:dyDescent="0.25">
      <c r="G5828" s="136">
        <v>43582</v>
      </c>
      <c r="H5828" t="s">
        <v>28</v>
      </c>
      <c r="I5828" t="s">
        <v>66</v>
      </c>
      <c r="J5828" t="s">
        <v>143</v>
      </c>
      <c r="K5828" s="138">
        <v>26</v>
      </c>
      <c r="L5828" s="137">
        <v>0</v>
      </c>
    </row>
    <row r="5829" spans="7:12" x14ac:dyDescent="0.25">
      <c r="G5829" s="136">
        <v>43582</v>
      </c>
      <c r="H5829" t="s">
        <v>28</v>
      </c>
      <c r="I5829" t="s">
        <v>66</v>
      </c>
      <c r="J5829" t="s">
        <v>122</v>
      </c>
      <c r="K5829" s="138">
        <v>4.75</v>
      </c>
      <c r="L5829" s="137">
        <v>0</v>
      </c>
    </row>
    <row r="5830" spans="7:12" x14ac:dyDescent="0.25">
      <c r="G5830" s="136">
        <v>43584</v>
      </c>
      <c r="H5830" t="s">
        <v>192</v>
      </c>
      <c r="I5830" t="s">
        <v>112</v>
      </c>
      <c r="J5830" t="s">
        <v>556</v>
      </c>
      <c r="K5830" s="138">
        <v>81.349999999999994</v>
      </c>
      <c r="L5830" s="137">
        <v>0</v>
      </c>
    </row>
    <row r="5831" spans="7:12" x14ac:dyDescent="0.25">
      <c r="G5831" s="136">
        <v>43584</v>
      </c>
      <c r="H5831" t="s">
        <v>27</v>
      </c>
      <c r="I5831" t="s">
        <v>63</v>
      </c>
      <c r="J5831" t="s">
        <v>556</v>
      </c>
      <c r="K5831" s="138">
        <v>24</v>
      </c>
      <c r="L5831" s="137">
        <v>0</v>
      </c>
    </row>
    <row r="5832" spans="7:12" x14ac:dyDescent="0.25">
      <c r="G5832" s="136">
        <v>43584</v>
      </c>
      <c r="H5832" t="s">
        <v>27</v>
      </c>
      <c r="I5832" t="s">
        <v>63</v>
      </c>
      <c r="J5832" t="s">
        <v>556</v>
      </c>
      <c r="K5832" s="138">
        <v>8</v>
      </c>
      <c r="L5832" s="137">
        <v>0</v>
      </c>
    </row>
    <row r="5833" spans="7:12" x14ac:dyDescent="0.25">
      <c r="G5833" s="136">
        <v>43584</v>
      </c>
      <c r="H5833" t="s">
        <v>183</v>
      </c>
      <c r="I5833" t="s">
        <v>171</v>
      </c>
      <c r="J5833" t="s">
        <v>556</v>
      </c>
      <c r="K5833" s="138">
        <v>8</v>
      </c>
      <c r="L5833" s="137">
        <v>0</v>
      </c>
    </row>
    <row r="5834" spans="7:12" x14ac:dyDescent="0.25">
      <c r="G5834" s="136">
        <v>43584</v>
      </c>
      <c r="H5834" t="s">
        <v>188</v>
      </c>
      <c r="I5834" t="s">
        <v>250</v>
      </c>
      <c r="J5834" t="s">
        <v>557</v>
      </c>
      <c r="K5834" s="138">
        <v>691.7</v>
      </c>
      <c r="L5834" s="137">
        <v>0</v>
      </c>
    </row>
    <row r="5835" spans="7:12" x14ac:dyDescent="0.25">
      <c r="G5835" s="136">
        <v>43584</v>
      </c>
      <c r="H5835" t="s">
        <v>25</v>
      </c>
      <c r="I5835" t="s">
        <v>63</v>
      </c>
      <c r="J5835" t="s">
        <v>556</v>
      </c>
      <c r="K5835" s="138">
        <v>24</v>
      </c>
      <c r="L5835" s="137">
        <v>0</v>
      </c>
    </row>
    <row r="5836" spans="7:12" x14ac:dyDescent="0.25">
      <c r="G5836" s="136">
        <v>43584</v>
      </c>
      <c r="H5836" t="s">
        <v>25</v>
      </c>
      <c r="I5836" t="s">
        <v>63</v>
      </c>
      <c r="J5836" t="s">
        <v>556</v>
      </c>
      <c r="K5836" s="138">
        <v>8</v>
      </c>
      <c r="L5836" s="137">
        <v>0</v>
      </c>
    </row>
    <row r="5837" spans="7:12" x14ac:dyDescent="0.25">
      <c r="G5837" s="136">
        <v>43584</v>
      </c>
      <c r="H5837" t="s">
        <v>181</v>
      </c>
      <c r="I5837" t="s">
        <v>176</v>
      </c>
      <c r="J5837" t="s">
        <v>556</v>
      </c>
      <c r="K5837" s="138">
        <v>50.6</v>
      </c>
      <c r="L5837" s="137">
        <v>0</v>
      </c>
    </row>
    <row r="5838" spans="7:12" x14ac:dyDescent="0.25">
      <c r="G5838" s="136">
        <v>43584</v>
      </c>
      <c r="H5838" t="s">
        <v>180</v>
      </c>
      <c r="I5838" t="s">
        <v>171</v>
      </c>
      <c r="J5838" t="s">
        <v>556</v>
      </c>
      <c r="K5838" s="138">
        <v>7.7</v>
      </c>
      <c r="L5838" s="137">
        <v>0</v>
      </c>
    </row>
    <row r="5839" spans="7:12" x14ac:dyDescent="0.25">
      <c r="G5839" s="136">
        <v>43584</v>
      </c>
      <c r="H5839" t="s">
        <v>28</v>
      </c>
      <c r="I5839" t="s">
        <v>112</v>
      </c>
      <c r="J5839" t="s">
        <v>556</v>
      </c>
      <c r="K5839" s="138">
        <v>32.799999999999997</v>
      </c>
      <c r="L5839" s="137">
        <v>0</v>
      </c>
    </row>
    <row r="5840" spans="7:12" x14ac:dyDescent="0.25">
      <c r="G5840" s="136">
        <v>43584</v>
      </c>
      <c r="H5840" t="s">
        <v>28</v>
      </c>
      <c r="I5840" t="s">
        <v>155</v>
      </c>
      <c r="J5840" t="s">
        <v>556</v>
      </c>
      <c r="K5840" s="138">
        <v>107.63</v>
      </c>
      <c r="L5840" s="137">
        <v>0</v>
      </c>
    </row>
    <row r="5841" spans="7:12" x14ac:dyDescent="0.25">
      <c r="G5841" s="136">
        <v>43584</v>
      </c>
      <c r="H5841" t="s">
        <v>28</v>
      </c>
      <c r="I5841" t="s">
        <v>155</v>
      </c>
      <c r="J5841" t="s">
        <v>556</v>
      </c>
      <c r="K5841" s="138">
        <v>75.75</v>
      </c>
      <c r="L5841" s="137">
        <v>0</v>
      </c>
    </row>
    <row r="5842" spans="7:12" x14ac:dyDescent="0.25">
      <c r="G5842" s="136">
        <v>43584</v>
      </c>
      <c r="H5842" t="s">
        <v>28</v>
      </c>
      <c r="I5842" t="s">
        <v>155</v>
      </c>
      <c r="J5842" t="s">
        <v>556</v>
      </c>
      <c r="K5842" s="138">
        <v>72.760000000000005</v>
      </c>
      <c r="L5842" s="137">
        <v>0</v>
      </c>
    </row>
    <row r="5843" spans="7:12" x14ac:dyDescent="0.25">
      <c r="G5843" s="136">
        <v>43584</v>
      </c>
      <c r="H5843" t="s">
        <v>28</v>
      </c>
      <c r="I5843" t="s">
        <v>155</v>
      </c>
      <c r="J5843" t="s">
        <v>556</v>
      </c>
      <c r="K5843" s="138">
        <v>60</v>
      </c>
      <c r="L5843" s="137">
        <v>0</v>
      </c>
    </row>
    <row r="5844" spans="7:12" x14ac:dyDescent="0.25">
      <c r="G5844" s="136">
        <v>43584</v>
      </c>
      <c r="H5844" t="s">
        <v>28</v>
      </c>
      <c r="I5844" t="s">
        <v>155</v>
      </c>
      <c r="J5844" t="s">
        <v>556</v>
      </c>
      <c r="K5844" s="138">
        <v>24.15</v>
      </c>
      <c r="L5844" s="137">
        <v>0</v>
      </c>
    </row>
    <row r="5845" spans="7:12" x14ac:dyDescent="0.25">
      <c r="G5845" s="136">
        <v>43584</v>
      </c>
      <c r="H5845" t="s">
        <v>28</v>
      </c>
      <c r="I5845" t="s">
        <v>155</v>
      </c>
      <c r="J5845" t="s">
        <v>556</v>
      </c>
      <c r="K5845" s="138">
        <v>23.85</v>
      </c>
      <c r="L5845" s="137">
        <v>0</v>
      </c>
    </row>
    <row r="5846" spans="7:12" x14ac:dyDescent="0.25">
      <c r="G5846" s="136">
        <v>43584</v>
      </c>
      <c r="H5846" t="s">
        <v>28</v>
      </c>
      <c r="I5846" t="s">
        <v>155</v>
      </c>
      <c r="J5846" t="s">
        <v>556</v>
      </c>
      <c r="K5846" s="138">
        <v>7.47</v>
      </c>
      <c r="L5846" s="137">
        <v>0</v>
      </c>
    </row>
    <row r="5847" spans="7:12" x14ac:dyDescent="0.25">
      <c r="G5847" s="136">
        <v>43584</v>
      </c>
      <c r="H5847" t="s">
        <v>28</v>
      </c>
      <c r="I5847" t="s">
        <v>171</v>
      </c>
      <c r="J5847" t="s">
        <v>556</v>
      </c>
      <c r="K5847" s="138">
        <v>32</v>
      </c>
      <c r="L5847" s="137">
        <v>0</v>
      </c>
    </row>
    <row r="5848" spans="7:12" x14ac:dyDescent="0.25">
      <c r="G5848" s="136">
        <v>43584</v>
      </c>
      <c r="H5848" t="s">
        <v>28</v>
      </c>
      <c r="I5848" t="s">
        <v>171</v>
      </c>
      <c r="J5848" t="s">
        <v>556</v>
      </c>
      <c r="K5848" s="138">
        <v>12</v>
      </c>
      <c r="L5848" s="137">
        <v>0</v>
      </c>
    </row>
    <row r="5849" spans="7:12" x14ac:dyDescent="0.25">
      <c r="G5849" s="136">
        <v>43585</v>
      </c>
      <c r="H5849" t="s">
        <v>192</v>
      </c>
      <c r="I5849" t="s">
        <v>155</v>
      </c>
      <c r="J5849" t="s">
        <v>558</v>
      </c>
      <c r="K5849" s="138">
        <v>764.79</v>
      </c>
      <c r="L5849" s="137">
        <v>0</v>
      </c>
    </row>
    <row r="5850" spans="7:12" x14ac:dyDescent="0.25">
      <c r="G5850" s="136">
        <v>43585</v>
      </c>
      <c r="H5850" t="s">
        <v>188</v>
      </c>
      <c r="I5850" t="s">
        <v>175</v>
      </c>
      <c r="J5850" t="s">
        <v>558</v>
      </c>
      <c r="K5850" s="138">
        <v>4850</v>
      </c>
      <c r="L5850" s="137">
        <v>0</v>
      </c>
    </row>
    <row r="5851" spans="7:12" x14ac:dyDescent="0.25">
      <c r="G5851" s="136">
        <v>43585</v>
      </c>
      <c r="H5851" t="s">
        <v>188</v>
      </c>
      <c r="I5851" t="s">
        <v>252</v>
      </c>
      <c r="J5851" t="s">
        <v>500</v>
      </c>
      <c r="K5851" s="138">
        <v>0</v>
      </c>
      <c r="L5851" s="137">
        <v>6000</v>
      </c>
    </row>
    <row r="5852" spans="7:12" x14ac:dyDescent="0.25">
      <c r="G5852" s="136">
        <v>43585</v>
      </c>
      <c r="H5852" t="s">
        <v>25</v>
      </c>
      <c r="I5852" t="s">
        <v>171</v>
      </c>
      <c r="J5852" t="s">
        <v>558</v>
      </c>
      <c r="K5852" s="138">
        <v>676</v>
      </c>
      <c r="L5852" s="137">
        <v>0</v>
      </c>
    </row>
    <row r="5853" spans="7:12" x14ac:dyDescent="0.25">
      <c r="G5853" s="136">
        <v>43585</v>
      </c>
      <c r="H5853" t="s">
        <v>25</v>
      </c>
      <c r="I5853" t="s">
        <v>171</v>
      </c>
      <c r="J5853" t="s">
        <v>558</v>
      </c>
      <c r="K5853" s="138">
        <v>182</v>
      </c>
      <c r="L5853" s="137">
        <v>0</v>
      </c>
    </row>
    <row r="5854" spans="7:12" x14ac:dyDescent="0.25">
      <c r="G5854" s="136">
        <v>43585</v>
      </c>
      <c r="H5854" t="s">
        <v>25</v>
      </c>
      <c r="I5854" t="s">
        <v>171</v>
      </c>
      <c r="J5854" t="s">
        <v>558</v>
      </c>
      <c r="K5854" s="138">
        <v>110.5</v>
      </c>
      <c r="L5854" s="137">
        <v>0</v>
      </c>
    </row>
    <row r="5855" spans="7:12" x14ac:dyDescent="0.25">
      <c r="G5855" s="136">
        <v>43585</v>
      </c>
      <c r="H5855" t="s">
        <v>211</v>
      </c>
      <c r="I5855" t="s">
        <v>175</v>
      </c>
      <c r="J5855" t="s">
        <v>558</v>
      </c>
      <c r="K5855" s="138">
        <v>1000</v>
      </c>
      <c r="L5855" s="137">
        <v>0</v>
      </c>
    </row>
    <row r="5856" spans="7:12" x14ac:dyDescent="0.25">
      <c r="G5856" s="136">
        <v>43587</v>
      </c>
      <c r="H5856" t="s">
        <v>27</v>
      </c>
      <c r="I5856" t="s">
        <v>63</v>
      </c>
      <c r="J5856" t="s">
        <v>559</v>
      </c>
      <c r="K5856" s="138">
        <v>16</v>
      </c>
      <c r="L5856" s="137">
        <v>0</v>
      </c>
    </row>
    <row r="5857" spans="7:12" x14ac:dyDescent="0.25">
      <c r="G5857" s="136">
        <v>43587</v>
      </c>
      <c r="H5857" t="s">
        <v>27</v>
      </c>
      <c r="I5857" t="s">
        <v>63</v>
      </c>
      <c r="J5857" t="s">
        <v>559</v>
      </c>
      <c r="K5857" s="138">
        <v>8</v>
      </c>
      <c r="L5857" s="137">
        <v>0</v>
      </c>
    </row>
    <row r="5858" spans="7:12" x14ac:dyDescent="0.25">
      <c r="G5858" s="136">
        <v>43587</v>
      </c>
      <c r="H5858" t="s">
        <v>199</v>
      </c>
      <c r="I5858" t="s">
        <v>171</v>
      </c>
      <c r="J5858" t="s">
        <v>559</v>
      </c>
      <c r="K5858" s="138">
        <v>22.5</v>
      </c>
      <c r="L5858" s="137">
        <v>0</v>
      </c>
    </row>
    <row r="5859" spans="7:12" x14ac:dyDescent="0.25">
      <c r="G5859" s="136">
        <v>43587</v>
      </c>
      <c r="H5859" t="s">
        <v>212</v>
      </c>
      <c r="I5859" t="s">
        <v>171</v>
      </c>
      <c r="J5859" t="s">
        <v>559</v>
      </c>
      <c r="K5859" s="138">
        <v>14</v>
      </c>
      <c r="L5859" s="137">
        <v>0</v>
      </c>
    </row>
    <row r="5860" spans="7:12" x14ac:dyDescent="0.25">
      <c r="G5860" s="136">
        <v>43587</v>
      </c>
      <c r="H5860" t="s">
        <v>195</v>
      </c>
      <c r="I5860" t="s">
        <v>163</v>
      </c>
      <c r="J5860" t="s">
        <v>559</v>
      </c>
      <c r="K5860" s="138">
        <v>92</v>
      </c>
      <c r="L5860" s="137">
        <v>0</v>
      </c>
    </row>
    <row r="5861" spans="7:12" x14ac:dyDescent="0.25">
      <c r="G5861" s="136">
        <v>43587</v>
      </c>
      <c r="H5861" t="s">
        <v>183</v>
      </c>
      <c r="I5861" t="s">
        <v>171</v>
      </c>
      <c r="J5861" t="s">
        <v>559</v>
      </c>
      <c r="K5861" s="138">
        <v>10</v>
      </c>
      <c r="L5861" s="137">
        <v>0</v>
      </c>
    </row>
    <row r="5862" spans="7:12" x14ac:dyDescent="0.25">
      <c r="G5862" s="136">
        <v>43587</v>
      </c>
      <c r="H5862" t="s">
        <v>191</v>
      </c>
      <c r="I5862" t="s">
        <v>163</v>
      </c>
      <c r="J5862" t="s">
        <v>559</v>
      </c>
      <c r="K5862" s="138">
        <v>30</v>
      </c>
      <c r="L5862" s="137">
        <v>0</v>
      </c>
    </row>
    <row r="5863" spans="7:12" x14ac:dyDescent="0.25">
      <c r="G5863" s="136">
        <v>43587</v>
      </c>
      <c r="H5863" t="s">
        <v>188</v>
      </c>
      <c r="I5863" t="s">
        <v>175</v>
      </c>
      <c r="J5863" t="s">
        <v>559</v>
      </c>
      <c r="K5863" s="138">
        <v>20320</v>
      </c>
      <c r="L5863" s="137">
        <v>0</v>
      </c>
    </row>
    <row r="5864" spans="7:12" x14ac:dyDescent="0.25">
      <c r="G5864" s="136">
        <v>43587</v>
      </c>
      <c r="H5864" t="s">
        <v>188</v>
      </c>
      <c r="I5864" t="s">
        <v>171</v>
      </c>
      <c r="J5864" t="s">
        <v>559</v>
      </c>
      <c r="K5864" s="138">
        <v>30.26</v>
      </c>
      <c r="L5864" s="137">
        <v>0</v>
      </c>
    </row>
    <row r="5865" spans="7:12" x14ac:dyDescent="0.25">
      <c r="G5865" s="136">
        <v>43587</v>
      </c>
      <c r="H5865" t="s">
        <v>25</v>
      </c>
      <c r="I5865" t="s">
        <v>63</v>
      </c>
      <c r="J5865" t="s">
        <v>559</v>
      </c>
      <c r="K5865" s="138">
        <v>88</v>
      </c>
      <c r="L5865" s="137">
        <v>0</v>
      </c>
    </row>
    <row r="5866" spans="7:12" x14ac:dyDescent="0.25">
      <c r="G5866" s="136">
        <v>43587</v>
      </c>
      <c r="H5866" t="s">
        <v>25</v>
      </c>
      <c r="I5866" t="s">
        <v>63</v>
      </c>
      <c r="J5866" t="s">
        <v>559</v>
      </c>
      <c r="K5866" s="138">
        <v>24</v>
      </c>
      <c r="L5866" s="137">
        <v>0</v>
      </c>
    </row>
    <row r="5867" spans="7:12" x14ac:dyDescent="0.25">
      <c r="G5867" s="136">
        <v>43587</v>
      </c>
      <c r="H5867" t="s">
        <v>25</v>
      </c>
      <c r="I5867" t="s">
        <v>63</v>
      </c>
      <c r="J5867" t="s">
        <v>559</v>
      </c>
      <c r="K5867" s="138">
        <v>16</v>
      </c>
      <c r="L5867" s="137">
        <v>0</v>
      </c>
    </row>
    <row r="5868" spans="7:12" x14ac:dyDescent="0.25">
      <c r="G5868" s="136">
        <v>43587</v>
      </c>
      <c r="H5868" t="s">
        <v>25</v>
      </c>
      <c r="I5868" t="s">
        <v>63</v>
      </c>
      <c r="J5868" t="s">
        <v>559</v>
      </c>
      <c r="K5868" s="138">
        <v>8</v>
      </c>
      <c r="L5868" s="137">
        <v>0</v>
      </c>
    </row>
    <row r="5869" spans="7:12" x14ac:dyDescent="0.25">
      <c r="G5869" s="136">
        <v>43587</v>
      </c>
      <c r="H5869" t="s">
        <v>180</v>
      </c>
      <c r="I5869" t="s">
        <v>171</v>
      </c>
      <c r="J5869" t="s">
        <v>559</v>
      </c>
      <c r="K5869" s="138">
        <v>7.7</v>
      </c>
      <c r="L5869" s="137">
        <v>0</v>
      </c>
    </row>
    <row r="5870" spans="7:12" x14ac:dyDescent="0.25">
      <c r="G5870" s="136">
        <v>43587</v>
      </c>
      <c r="H5870" t="s">
        <v>179</v>
      </c>
      <c r="I5870" t="s">
        <v>163</v>
      </c>
      <c r="J5870" t="s">
        <v>559</v>
      </c>
      <c r="K5870" s="138">
        <v>46.13</v>
      </c>
      <c r="L5870" s="137">
        <v>0</v>
      </c>
    </row>
    <row r="5871" spans="7:12" x14ac:dyDescent="0.25">
      <c r="G5871" s="136">
        <v>43587</v>
      </c>
      <c r="H5871" t="s">
        <v>28</v>
      </c>
      <c r="I5871" t="s">
        <v>63</v>
      </c>
      <c r="J5871" t="s">
        <v>559</v>
      </c>
      <c r="K5871" s="138">
        <v>8</v>
      </c>
      <c r="L5871" s="137">
        <v>0</v>
      </c>
    </row>
    <row r="5872" spans="7:12" x14ac:dyDescent="0.25">
      <c r="G5872" s="136">
        <v>43587</v>
      </c>
      <c r="H5872" t="s">
        <v>28</v>
      </c>
      <c r="I5872" t="s">
        <v>221</v>
      </c>
      <c r="J5872" t="s">
        <v>524</v>
      </c>
      <c r="K5872" s="138">
        <v>5</v>
      </c>
      <c r="L5872" s="137">
        <v>0</v>
      </c>
    </row>
    <row r="5873" spans="7:12" x14ac:dyDescent="0.25">
      <c r="G5873" s="136">
        <v>43587</v>
      </c>
      <c r="H5873" t="s">
        <v>28</v>
      </c>
      <c r="I5873" t="s">
        <v>66</v>
      </c>
      <c r="J5873" t="s">
        <v>104</v>
      </c>
      <c r="K5873" s="138">
        <v>10</v>
      </c>
      <c r="L5873" s="137">
        <v>0</v>
      </c>
    </row>
    <row r="5874" spans="7:12" x14ac:dyDescent="0.25">
      <c r="G5874" s="136">
        <v>43588</v>
      </c>
      <c r="H5874" t="s">
        <v>27</v>
      </c>
      <c r="I5874" t="s">
        <v>63</v>
      </c>
      <c r="J5874" t="s">
        <v>560</v>
      </c>
      <c r="K5874" s="138">
        <v>8</v>
      </c>
      <c r="L5874" s="137">
        <v>0</v>
      </c>
    </row>
    <row r="5875" spans="7:12" x14ac:dyDescent="0.25">
      <c r="G5875" s="136">
        <v>43588</v>
      </c>
      <c r="H5875" t="s">
        <v>199</v>
      </c>
      <c r="I5875" t="s">
        <v>112</v>
      </c>
      <c r="J5875" t="s">
        <v>560</v>
      </c>
      <c r="K5875" s="138">
        <v>51.51</v>
      </c>
      <c r="L5875" s="137">
        <v>0</v>
      </c>
    </row>
    <row r="5876" spans="7:12" x14ac:dyDescent="0.25">
      <c r="G5876" s="136">
        <v>43588</v>
      </c>
      <c r="H5876" t="s">
        <v>212</v>
      </c>
      <c r="I5876" t="s">
        <v>171</v>
      </c>
      <c r="J5876" t="s">
        <v>560</v>
      </c>
      <c r="K5876" s="138">
        <v>170</v>
      </c>
      <c r="L5876" s="137">
        <v>0</v>
      </c>
    </row>
    <row r="5877" spans="7:12" x14ac:dyDescent="0.25">
      <c r="G5877" s="136">
        <v>43588</v>
      </c>
      <c r="H5877" t="s">
        <v>183</v>
      </c>
      <c r="I5877" t="s">
        <v>171</v>
      </c>
      <c r="J5877" t="s">
        <v>560</v>
      </c>
      <c r="K5877" s="138">
        <v>2100</v>
      </c>
      <c r="L5877" s="137">
        <v>0</v>
      </c>
    </row>
    <row r="5878" spans="7:12" x14ac:dyDescent="0.25">
      <c r="G5878" s="136">
        <v>43588</v>
      </c>
      <c r="H5878" t="s">
        <v>189</v>
      </c>
      <c r="I5878" t="s">
        <v>171</v>
      </c>
      <c r="J5878" t="s">
        <v>560</v>
      </c>
      <c r="K5878" s="138">
        <v>150</v>
      </c>
      <c r="L5878" s="137">
        <v>0</v>
      </c>
    </row>
    <row r="5879" spans="7:12" x14ac:dyDescent="0.25">
      <c r="G5879" s="136">
        <v>43588</v>
      </c>
      <c r="H5879" t="s">
        <v>191</v>
      </c>
      <c r="I5879" t="s">
        <v>171</v>
      </c>
      <c r="J5879" t="s">
        <v>560</v>
      </c>
      <c r="K5879" s="138">
        <v>435</v>
      </c>
      <c r="L5879" s="137">
        <v>0</v>
      </c>
    </row>
    <row r="5880" spans="7:12" x14ac:dyDescent="0.25">
      <c r="G5880" s="136">
        <v>43588</v>
      </c>
      <c r="H5880" t="s">
        <v>188</v>
      </c>
      <c r="I5880" t="s">
        <v>63</v>
      </c>
      <c r="J5880" t="s">
        <v>560</v>
      </c>
      <c r="K5880" s="138">
        <v>45</v>
      </c>
      <c r="L5880" s="137">
        <v>0</v>
      </c>
    </row>
    <row r="5881" spans="7:12" x14ac:dyDescent="0.25">
      <c r="G5881" s="136">
        <v>43588</v>
      </c>
      <c r="H5881" t="s">
        <v>188</v>
      </c>
      <c r="I5881" t="s">
        <v>112</v>
      </c>
      <c r="J5881" t="s">
        <v>560</v>
      </c>
      <c r="K5881" s="138">
        <v>80.02</v>
      </c>
      <c r="L5881" s="137">
        <v>0</v>
      </c>
    </row>
    <row r="5882" spans="7:12" x14ac:dyDescent="0.25">
      <c r="G5882" s="136">
        <v>43588</v>
      </c>
      <c r="H5882" t="s">
        <v>188</v>
      </c>
      <c r="I5882" t="s">
        <v>171</v>
      </c>
      <c r="J5882" t="s">
        <v>560</v>
      </c>
      <c r="K5882" s="138">
        <v>235</v>
      </c>
      <c r="L5882" s="137">
        <v>0</v>
      </c>
    </row>
    <row r="5883" spans="7:12" x14ac:dyDescent="0.25">
      <c r="G5883" s="136">
        <v>43588</v>
      </c>
      <c r="H5883" t="s">
        <v>200</v>
      </c>
      <c r="I5883" t="s">
        <v>176</v>
      </c>
      <c r="J5883" t="s">
        <v>560</v>
      </c>
      <c r="K5883" s="138">
        <v>2023.13</v>
      </c>
      <c r="L5883" s="137">
        <v>0</v>
      </c>
    </row>
    <row r="5884" spans="7:12" x14ac:dyDescent="0.25">
      <c r="G5884" s="136">
        <v>43588</v>
      </c>
      <c r="H5884" t="s">
        <v>200</v>
      </c>
      <c r="I5884" t="s">
        <v>171</v>
      </c>
      <c r="J5884" t="s">
        <v>560</v>
      </c>
      <c r="K5884" s="138">
        <v>475</v>
      </c>
      <c r="L5884" s="137">
        <v>0</v>
      </c>
    </row>
    <row r="5885" spans="7:12" x14ac:dyDescent="0.25">
      <c r="G5885" s="136">
        <v>43588</v>
      </c>
      <c r="H5885" t="s">
        <v>25</v>
      </c>
      <c r="I5885" t="s">
        <v>63</v>
      </c>
      <c r="J5885" t="s">
        <v>560</v>
      </c>
      <c r="K5885" s="138">
        <v>32</v>
      </c>
      <c r="L5885" s="137">
        <v>0</v>
      </c>
    </row>
    <row r="5886" spans="7:12" x14ac:dyDescent="0.25">
      <c r="G5886" s="136">
        <v>43588</v>
      </c>
      <c r="H5886" t="s">
        <v>25</v>
      </c>
      <c r="I5886" t="s">
        <v>63</v>
      </c>
      <c r="J5886" t="s">
        <v>560</v>
      </c>
      <c r="K5886" s="138">
        <v>16</v>
      </c>
      <c r="L5886" s="137">
        <v>0</v>
      </c>
    </row>
    <row r="5887" spans="7:12" x14ac:dyDescent="0.25">
      <c r="G5887" s="136">
        <v>43588</v>
      </c>
      <c r="H5887" t="s">
        <v>25</v>
      </c>
      <c r="I5887" t="s">
        <v>63</v>
      </c>
      <c r="J5887" t="s">
        <v>560</v>
      </c>
      <c r="K5887" s="138">
        <v>8</v>
      </c>
      <c r="L5887" s="137">
        <v>0</v>
      </c>
    </row>
    <row r="5888" spans="7:12" x14ac:dyDescent="0.25">
      <c r="G5888" s="136">
        <v>43588</v>
      </c>
      <c r="H5888" t="s">
        <v>207</v>
      </c>
      <c r="I5888" t="s">
        <v>176</v>
      </c>
      <c r="J5888" t="s">
        <v>560</v>
      </c>
      <c r="K5888" s="138">
        <v>36.799999999999997</v>
      </c>
      <c r="L5888" s="137">
        <v>0</v>
      </c>
    </row>
    <row r="5889" spans="7:12" x14ac:dyDescent="0.25">
      <c r="G5889" s="136">
        <v>43588</v>
      </c>
      <c r="H5889" t="s">
        <v>181</v>
      </c>
      <c r="I5889" t="s">
        <v>171</v>
      </c>
      <c r="J5889" t="s">
        <v>560</v>
      </c>
      <c r="K5889" s="138">
        <v>38.200000000000003</v>
      </c>
      <c r="L5889" s="137">
        <v>0</v>
      </c>
    </row>
    <row r="5890" spans="7:12" x14ac:dyDescent="0.25">
      <c r="G5890" s="136">
        <v>43588</v>
      </c>
      <c r="H5890" t="s">
        <v>187</v>
      </c>
      <c r="I5890" t="s">
        <v>171</v>
      </c>
      <c r="J5890" t="s">
        <v>560</v>
      </c>
      <c r="K5890" s="138">
        <v>379.7</v>
      </c>
      <c r="L5890" s="137">
        <v>0</v>
      </c>
    </row>
    <row r="5891" spans="7:12" x14ac:dyDescent="0.25">
      <c r="G5891" s="136">
        <v>43588</v>
      </c>
      <c r="H5891" t="s">
        <v>196</v>
      </c>
      <c r="I5891" t="s">
        <v>63</v>
      </c>
      <c r="J5891" t="s">
        <v>560</v>
      </c>
      <c r="K5891" s="138">
        <v>62.75</v>
      </c>
      <c r="L5891" s="137">
        <v>0</v>
      </c>
    </row>
    <row r="5892" spans="7:12" x14ac:dyDescent="0.25">
      <c r="G5892" s="136">
        <v>43588</v>
      </c>
      <c r="H5892" t="s">
        <v>196</v>
      </c>
      <c r="I5892" t="s">
        <v>42</v>
      </c>
      <c r="J5892" t="s">
        <v>560</v>
      </c>
      <c r="K5892" s="138">
        <v>70.23</v>
      </c>
      <c r="L5892" s="137">
        <v>0</v>
      </c>
    </row>
    <row r="5893" spans="7:12" x14ac:dyDescent="0.25">
      <c r="G5893" s="136">
        <v>43588</v>
      </c>
      <c r="H5893" t="s">
        <v>196</v>
      </c>
      <c r="I5893" t="s">
        <v>171</v>
      </c>
      <c r="J5893" t="s">
        <v>560</v>
      </c>
      <c r="K5893" s="138">
        <v>1330.46</v>
      </c>
      <c r="L5893" s="137">
        <v>0</v>
      </c>
    </row>
    <row r="5894" spans="7:12" x14ac:dyDescent="0.25">
      <c r="G5894" s="136">
        <v>43588</v>
      </c>
      <c r="H5894" t="s">
        <v>180</v>
      </c>
      <c r="I5894" t="s">
        <v>42</v>
      </c>
      <c r="J5894" t="s">
        <v>560</v>
      </c>
      <c r="K5894" s="138">
        <v>70.23</v>
      </c>
      <c r="L5894" s="137">
        <v>0</v>
      </c>
    </row>
    <row r="5895" spans="7:12" x14ac:dyDescent="0.25">
      <c r="G5895" s="136">
        <v>43588</v>
      </c>
      <c r="H5895" t="s">
        <v>28</v>
      </c>
      <c r="I5895" t="s">
        <v>112</v>
      </c>
      <c r="J5895" t="s">
        <v>560</v>
      </c>
      <c r="K5895" s="138">
        <v>160.66</v>
      </c>
      <c r="L5895" s="137">
        <v>0</v>
      </c>
    </row>
    <row r="5896" spans="7:12" x14ac:dyDescent="0.25">
      <c r="G5896" s="136">
        <v>43588</v>
      </c>
      <c r="H5896" t="s">
        <v>28</v>
      </c>
      <c r="I5896" t="s">
        <v>112</v>
      </c>
      <c r="J5896" t="s">
        <v>560</v>
      </c>
      <c r="K5896" s="138">
        <v>118.89</v>
      </c>
      <c r="L5896" s="137">
        <v>0</v>
      </c>
    </row>
    <row r="5897" spans="7:12" x14ac:dyDescent="0.25">
      <c r="G5897" s="136">
        <v>43588</v>
      </c>
      <c r="H5897" t="s">
        <v>28</v>
      </c>
      <c r="I5897" t="s">
        <v>112</v>
      </c>
      <c r="J5897" t="s">
        <v>560</v>
      </c>
      <c r="K5897" s="138">
        <v>96</v>
      </c>
      <c r="L5897" s="137">
        <v>0</v>
      </c>
    </row>
    <row r="5898" spans="7:12" x14ac:dyDescent="0.25">
      <c r="G5898" s="136">
        <v>43588</v>
      </c>
      <c r="H5898" t="s">
        <v>28</v>
      </c>
      <c r="I5898" t="s">
        <v>112</v>
      </c>
      <c r="J5898" t="s">
        <v>560</v>
      </c>
      <c r="K5898" s="138">
        <v>23.99</v>
      </c>
      <c r="L5898" s="137">
        <v>0</v>
      </c>
    </row>
    <row r="5899" spans="7:12" x14ac:dyDescent="0.25">
      <c r="G5899" s="136">
        <v>43588</v>
      </c>
      <c r="H5899" t="s">
        <v>28</v>
      </c>
      <c r="I5899" t="s">
        <v>155</v>
      </c>
      <c r="J5899" t="s">
        <v>560</v>
      </c>
      <c r="K5899" s="138">
        <v>128.6</v>
      </c>
      <c r="L5899" s="137">
        <v>0</v>
      </c>
    </row>
    <row r="5900" spans="7:12" x14ac:dyDescent="0.25">
      <c r="G5900" s="136">
        <v>43588</v>
      </c>
      <c r="H5900" t="s">
        <v>28</v>
      </c>
      <c r="I5900" t="s">
        <v>155</v>
      </c>
      <c r="J5900" t="s">
        <v>560</v>
      </c>
      <c r="K5900" s="138">
        <v>84.3</v>
      </c>
      <c r="L5900" s="137">
        <v>0</v>
      </c>
    </row>
    <row r="5901" spans="7:12" x14ac:dyDescent="0.25">
      <c r="G5901" s="136">
        <v>43588</v>
      </c>
      <c r="H5901" t="s">
        <v>28</v>
      </c>
      <c r="I5901" t="s">
        <v>155</v>
      </c>
      <c r="J5901" t="s">
        <v>560</v>
      </c>
      <c r="K5901" s="138">
        <v>81.069999999999993</v>
      </c>
      <c r="L5901" s="137">
        <v>0</v>
      </c>
    </row>
    <row r="5902" spans="7:12" x14ac:dyDescent="0.25">
      <c r="G5902" s="136">
        <v>43588</v>
      </c>
      <c r="H5902" t="s">
        <v>28</v>
      </c>
      <c r="I5902" t="s">
        <v>155</v>
      </c>
      <c r="J5902" t="s">
        <v>560</v>
      </c>
      <c r="K5902" s="138">
        <v>77.64</v>
      </c>
      <c r="L5902" s="137">
        <v>0</v>
      </c>
    </row>
    <row r="5903" spans="7:12" x14ac:dyDescent="0.25">
      <c r="G5903" s="136">
        <v>43588</v>
      </c>
      <c r="H5903" t="s">
        <v>28</v>
      </c>
      <c r="I5903" t="s">
        <v>155</v>
      </c>
      <c r="J5903" t="s">
        <v>560</v>
      </c>
      <c r="K5903" s="138">
        <v>66.81</v>
      </c>
      <c r="L5903" s="137">
        <v>0</v>
      </c>
    </row>
    <row r="5904" spans="7:12" x14ac:dyDescent="0.25">
      <c r="G5904" s="136">
        <v>43588</v>
      </c>
      <c r="H5904" t="s">
        <v>28</v>
      </c>
      <c r="I5904" t="s">
        <v>155</v>
      </c>
      <c r="J5904" t="s">
        <v>560</v>
      </c>
      <c r="K5904" s="138">
        <v>63.7</v>
      </c>
      <c r="L5904" s="137">
        <v>0</v>
      </c>
    </row>
    <row r="5905" spans="7:12" x14ac:dyDescent="0.25">
      <c r="G5905" s="136">
        <v>43588</v>
      </c>
      <c r="H5905" t="s">
        <v>28</v>
      </c>
      <c r="I5905" t="s">
        <v>155</v>
      </c>
      <c r="J5905" t="s">
        <v>560</v>
      </c>
      <c r="K5905" s="138">
        <v>33.44</v>
      </c>
      <c r="L5905" s="137">
        <v>0</v>
      </c>
    </row>
    <row r="5906" spans="7:12" x14ac:dyDescent="0.25">
      <c r="G5906" s="136">
        <v>43588</v>
      </c>
      <c r="H5906" t="s">
        <v>28</v>
      </c>
      <c r="I5906" t="s">
        <v>155</v>
      </c>
      <c r="J5906" t="s">
        <v>560</v>
      </c>
      <c r="K5906" s="138">
        <v>28.07</v>
      </c>
      <c r="L5906" s="137">
        <v>0</v>
      </c>
    </row>
    <row r="5907" spans="7:12" x14ac:dyDescent="0.25">
      <c r="G5907" s="136">
        <v>43588</v>
      </c>
      <c r="H5907" t="s">
        <v>28</v>
      </c>
      <c r="I5907" t="s">
        <v>155</v>
      </c>
      <c r="J5907" t="s">
        <v>560</v>
      </c>
      <c r="K5907" s="138">
        <v>23.76</v>
      </c>
      <c r="L5907" s="137">
        <v>0</v>
      </c>
    </row>
    <row r="5908" spans="7:12" x14ac:dyDescent="0.25">
      <c r="G5908" s="136">
        <v>43588</v>
      </c>
      <c r="H5908" t="s">
        <v>28</v>
      </c>
      <c r="I5908" t="s">
        <v>155</v>
      </c>
      <c r="J5908" t="s">
        <v>560</v>
      </c>
      <c r="K5908" s="138">
        <v>21.95</v>
      </c>
      <c r="L5908" s="137">
        <v>0</v>
      </c>
    </row>
    <row r="5909" spans="7:12" x14ac:dyDescent="0.25">
      <c r="G5909" s="136">
        <v>43588</v>
      </c>
      <c r="H5909" t="s">
        <v>28</v>
      </c>
      <c r="I5909" t="s">
        <v>66</v>
      </c>
      <c r="J5909" t="s">
        <v>125</v>
      </c>
      <c r="K5909" s="138">
        <v>3.5</v>
      </c>
      <c r="L5909" s="137">
        <v>0</v>
      </c>
    </row>
    <row r="5910" spans="7:12" x14ac:dyDescent="0.25">
      <c r="G5910" s="136">
        <v>43588</v>
      </c>
      <c r="H5910" t="s">
        <v>28</v>
      </c>
      <c r="I5910" t="s">
        <v>66</v>
      </c>
      <c r="J5910" t="s">
        <v>107</v>
      </c>
      <c r="K5910" s="138">
        <v>2.25</v>
      </c>
      <c r="L5910" s="137">
        <v>0</v>
      </c>
    </row>
    <row r="5911" spans="7:12" x14ac:dyDescent="0.25">
      <c r="G5911" s="136">
        <v>43588</v>
      </c>
      <c r="H5911" t="s">
        <v>28</v>
      </c>
      <c r="I5911" t="s">
        <v>42</v>
      </c>
      <c r="J5911" t="s">
        <v>560</v>
      </c>
      <c r="K5911" s="138">
        <v>245.24</v>
      </c>
      <c r="L5911" s="137">
        <v>0</v>
      </c>
    </row>
    <row r="5912" spans="7:12" x14ac:dyDescent="0.25">
      <c r="G5912" s="136">
        <v>43588</v>
      </c>
      <c r="H5912" t="s">
        <v>28</v>
      </c>
      <c r="I5912" t="s">
        <v>171</v>
      </c>
      <c r="J5912" t="s">
        <v>560</v>
      </c>
      <c r="K5912" s="138">
        <v>8.9499999999999993</v>
      </c>
      <c r="L5912" s="137">
        <v>0</v>
      </c>
    </row>
    <row r="5913" spans="7:12" x14ac:dyDescent="0.25">
      <c r="G5913" s="136">
        <v>43589</v>
      </c>
      <c r="H5913" t="s">
        <v>27</v>
      </c>
      <c r="I5913" t="s">
        <v>63</v>
      </c>
      <c r="J5913" t="s">
        <v>561</v>
      </c>
      <c r="K5913" s="138">
        <v>16</v>
      </c>
      <c r="L5913" s="137">
        <v>0</v>
      </c>
    </row>
    <row r="5914" spans="7:12" x14ac:dyDescent="0.25">
      <c r="G5914" s="136">
        <v>43589</v>
      </c>
      <c r="H5914" t="s">
        <v>183</v>
      </c>
      <c r="I5914" t="s">
        <v>171</v>
      </c>
      <c r="J5914" t="s">
        <v>561</v>
      </c>
      <c r="K5914" s="138">
        <v>14.05</v>
      </c>
      <c r="L5914" s="137">
        <v>0</v>
      </c>
    </row>
    <row r="5915" spans="7:12" x14ac:dyDescent="0.25">
      <c r="G5915" s="136">
        <v>43589</v>
      </c>
      <c r="H5915" t="s">
        <v>25</v>
      </c>
      <c r="I5915" t="s">
        <v>63</v>
      </c>
      <c r="J5915" t="s">
        <v>561</v>
      </c>
      <c r="K5915" s="138">
        <v>96</v>
      </c>
      <c r="L5915" s="137">
        <v>0</v>
      </c>
    </row>
    <row r="5916" spans="7:12" x14ac:dyDescent="0.25">
      <c r="G5916" s="136">
        <v>43589</v>
      </c>
      <c r="H5916" t="s">
        <v>25</v>
      </c>
      <c r="I5916" t="s">
        <v>63</v>
      </c>
      <c r="J5916" t="s">
        <v>561</v>
      </c>
      <c r="K5916" s="138">
        <v>80</v>
      </c>
      <c r="L5916" s="137">
        <v>0</v>
      </c>
    </row>
    <row r="5917" spans="7:12" x14ac:dyDescent="0.25">
      <c r="G5917" s="136">
        <v>43589</v>
      </c>
      <c r="H5917" t="s">
        <v>25</v>
      </c>
      <c r="I5917" t="s">
        <v>63</v>
      </c>
      <c r="J5917" t="s">
        <v>561</v>
      </c>
      <c r="K5917" s="138">
        <v>48</v>
      </c>
      <c r="L5917" s="137">
        <v>0</v>
      </c>
    </row>
    <row r="5918" spans="7:12" x14ac:dyDescent="0.25">
      <c r="G5918" s="136">
        <v>43589</v>
      </c>
      <c r="H5918" t="s">
        <v>25</v>
      </c>
      <c r="I5918" t="s">
        <v>63</v>
      </c>
      <c r="J5918" t="s">
        <v>561</v>
      </c>
      <c r="K5918" s="138">
        <v>40</v>
      </c>
      <c r="L5918" s="137">
        <v>0</v>
      </c>
    </row>
    <row r="5919" spans="7:12" x14ac:dyDescent="0.25">
      <c r="G5919" s="136">
        <v>43589</v>
      </c>
      <c r="H5919" t="s">
        <v>25</v>
      </c>
      <c r="I5919" t="s">
        <v>63</v>
      </c>
      <c r="J5919" t="s">
        <v>561</v>
      </c>
      <c r="K5919" s="138">
        <v>32</v>
      </c>
      <c r="L5919" s="137">
        <v>0</v>
      </c>
    </row>
    <row r="5920" spans="7:12" x14ac:dyDescent="0.25">
      <c r="G5920" s="136">
        <v>43589</v>
      </c>
      <c r="H5920" t="s">
        <v>25</v>
      </c>
      <c r="I5920" t="s">
        <v>63</v>
      </c>
      <c r="J5920" t="s">
        <v>561</v>
      </c>
      <c r="K5920" s="138">
        <v>16</v>
      </c>
      <c r="L5920" s="137">
        <v>0</v>
      </c>
    </row>
    <row r="5921" spans="7:12" x14ac:dyDescent="0.25">
      <c r="G5921" s="136">
        <v>43589</v>
      </c>
      <c r="H5921" t="s">
        <v>25</v>
      </c>
      <c r="I5921" t="s">
        <v>63</v>
      </c>
      <c r="J5921" t="s">
        <v>561</v>
      </c>
      <c r="K5921" s="138">
        <v>8</v>
      </c>
      <c r="L5921" s="137">
        <v>0</v>
      </c>
    </row>
    <row r="5922" spans="7:12" x14ac:dyDescent="0.25">
      <c r="G5922" s="136">
        <v>43589</v>
      </c>
      <c r="H5922" t="s">
        <v>180</v>
      </c>
      <c r="I5922" t="s">
        <v>63</v>
      </c>
      <c r="J5922" t="s">
        <v>561</v>
      </c>
      <c r="K5922" s="138">
        <v>10</v>
      </c>
      <c r="L5922" s="137">
        <v>0</v>
      </c>
    </row>
    <row r="5923" spans="7:12" x14ac:dyDescent="0.25">
      <c r="G5923" s="136">
        <v>43589</v>
      </c>
      <c r="H5923" t="s">
        <v>180</v>
      </c>
      <c r="I5923" t="s">
        <v>163</v>
      </c>
      <c r="J5923" t="s">
        <v>561</v>
      </c>
      <c r="K5923" s="138">
        <v>25.95</v>
      </c>
      <c r="L5923" s="137">
        <v>0</v>
      </c>
    </row>
    <row r="5924" spans="7:12" x14ac:dyDescent="0.25">
      <c r="G5924" s="136">
        <v>43589</v>
      </c>
      <c r="H5924" t="s">
        <v>180</v>
      </c>
      <c r="I5924" t="s">
        <v>171</v>
      </c>
      <c r="J5924" t="s">
        <v>561</v>
      </c>
      <c r="K5924" s="138">
        <v>4.5999999999999996</v>
      </c>
      <c r="L5924" s="137">
        <v>0</v>
      </c>
    </row>
    <row r="5925" spans="7:12" x14ac:dyDescent="0.25">
      <c r="G5925" s="136">
        <v>43589</v>
      </c>
      <c r="H5925" t="s">
        <v>28</v>
      </c>
      <c r="I5925" t="s">
        <v>63</v>
      </c>
      <c r="J5925" t="s">
        <v>561</v>
      </c>
      <c r="K5925" s="138">
        <v>8</v>
      </c>
      <c r="L5925" s="137">
        <v>0</v>
      </c>
    </row>
    <row r="5926" spans="7:12" x14ac:dyDescent="0.25">
      <c r="G5926" s="136">
        <v>43589</v>
      </c>
      <c r="H5926" t="s">
        <v>28</v>
      </c>
      <c r="I5926" t="s">
        <v>66</v>
      </c>
      <c r="J5926" t="s">
        <v>285</v>
      </c>
      <c r="K5926" s="138">
        <v>2.65</v>
      </c>
      <c r="L5926" s="137">
        <v>0</v>
      </c>
    </row>
    <row r="5927" spans="7:12" x14ac:dyDescent="0.25">
      <c r="G5927" s="136">
        <v>43591</v>
      </c>
      <c r="H5927" t="s">
        <v>198</v>
      </c>
      <c r="I5927" t="s">
        <v>171</v>
      </c>
      <c r="J5927" t="s">
        <v>562</v>
      </c>
      <c r="K5927" s="138">
        <v>51.55</v>
      </c>
      <c r="L5927" s="137">
        <v>0</v>
      </c>
    </row>
    <row r="5928" spans="7:12" x14ac:dyDescent="0.25">
      <c r="G5928" s="136">
        <v>43591</v>
      </c>
      <c r="H5928" t="s">
        <v>185</v>
      </c>
      <c r="I5928" t="s">
        <v>163</v>
      </c>
      <c r="J5928" t="s">
        <v>562</v>
      </c>
      <c r="K5928" s="138">
        <v>292.12</v>
      </c>
      <c r="L5928" s="137">
        <v>0</v>
      </c>
    </row>
    <row r="5929" spans="7:12" x14ac:dyDescent="0.25">
      <c r="G5929" s="136">
        <v>43591</v>
      </c>
      <c r="H5929" t="s">
        <v>188</v>
      </c>
      <c r="I5929" t="s">
        <v>112</v>
      </c>
      <c r="J5929" t="s">
        <v>562</v>
      </c>
      <c r="K5929" s="138">
        <v>21</v>
      </c>
      <c r="L5929" s="137">
        <v>0</v>
      </c>
    </row>
    <row r="5930" spans="7:12" x14ac:dyDescent="0.25">
      <c r="G5930" s="136">
        <v>43591</v>
      </c>
      <c r="H5930" t="s">
        <v>200</v>
      </c>
      <c r="I5930" t="s">
        <v>63</v>
      </c>
      <c r="J5930" t="s">
        <v>562</v>
      </c>
      <c r="K5930" s="138">
        <v>49.79</v>
      </c>
      <c r="L5930" s="137">
        <v>0</v>
      </c>
    </row>
    <row r="5931" spans="7:12" x14ac:dyDescent="0.25">
      <c r="G5931" s="136">
        <v>43591</v>
      </c>
      <c r="H5931" t="s">
        <v>25</v>
      </c>
      <c r="I5931" t="s">
        <v>63</v>
      </c>
      <c r="J5931" t="s">
        <v>562</v>
      </c>
      <c r="K5931" s="138">
        <v>88</v>
      </c>
      <c r="L5931" s="137">
        <v>0</v>
      </c>
    </row>
    <row r="5932" spans="7:12" x14ac:dyDescent="0.25">
      <c r="G5932" s="136">
        <v>43591</v>
      </c>
      <c r="H5932" t="s">
        <v>25</v>
      </c>
      <c r="I5932" t="s">
        <v>63</v>
      </c>
      <c r="J5932" t="s">
        <v>562</v>
      </c>
      <c r="K5932" s="138">
        <v>64</v>
      </c>
      <c r="L5932" s="137">
        <v>0</v>
      </c>
    </row>
    <row r="5933" spans="7:12" x14ac:dyDescent="0.25">
      <c r="G5933" s="136">
        <v>43591</v>
      </c>
      <c r="H5933" t="s">
        <v>25</v>
      </c>
      <c r="I5933" t="s">
        <v>63</v>
      </c>
      <c r="J5933" t="s">
        <v>562</v>
      </c>
      <c r="K5933" s="138">
        <v>56</v>
      </c>
      <c r="L5933" s="137">
        <v>0</v>
      </c>
    </row>
    <row r="5934" spans="7:12" x14ac:dyDescent="0.25">
      <c r="G5934" s="136">
        <v>43591</v>
      </c>
      <c r="H5934" t="s">
        <v>25</v>
      </c>
      <c r="I5934" t="s">
        <v>63</v>
      </c>
      <c r="J5934" t="s">
        <v>562</v>
      </c>
      <c r="K5934" s="138">
        <v>40</v>
      </c>
      <c r="L5934" s="137">
        <v>0</v>
      </c>
    </row>
    <row r="5935" spans="7:12" x14ac:dyDescent="0.25">
      <c r="G5935" s="136">
        <v>43591</v>
      </c>
      <c r="H5935" t="s">
        <v>25</v>
      </c>
      <c r="I5935" t="s">
        <v>63</v>
      </c>
      <c r="J5935" t="s">
        <v>562</v>
      </c>
      <c r="K5935" s="138">
        <v>32</v>
      </c>
      <c r="L5935" s="137">
        <v>0</v>
      </c>
    </row>
    <row r="5936" spans="7:12" x14ac:dyDescent="0.25">
      <c r="G5936" s="136">
        <v>43591</v>
      </c>
      <c r="H5936" t="s">
        <v>25</v>
      </c>
      <c r="I5936" t="s">
        <v>63</v>
      </c>
      <c r="J5936" t="s">
        <v>562</v>
      </c>
      <c r="K5936" s="138">
        <v>24</v>
      </c>
      <c r="L5936" s="137">
        <v>0</v>
      </c>
    </row>
    <row r="5937" spans="7:12" x14ac:dyDescent="0.25">
      <c r="G5937" s="136">
        <v>43591</v>
      </c>
      <c r="H5937" t="s">
        <v>25</v>
      </c>
      <c r="I5937" t="s">
        <v>63</v>
      </c>
      <c r="J5937" t="s">
        <v>562</v>
      </c>
      <c r="K5937" s="138">
        <v>16</v>
      </c>
      <c r="L5937" s="137">
        <v>0</v>
      </c>
    </row>
    <row r="5938" spans="7:12" x14ac:dyDescent="0.25">
      <c r="G5938" s="136">
        <v>43591</v>
      </c>
      <c r="H5938" t="s">
        <v>25</v>
      </c>
      <c r="I5938" t="s">
        <v>63</v>
      </c>
      <c r="J5938" t="s">
        <v>562</v>
      </c>
      <c r="K5938" s="138">
        <v>8</v>
      </c>
      <c r="L5938" s="137">
        <v>0</v>
      </c>
    </row>
    <row r="5939" spans="7:12" x14ac:dyDescent="0.25">
      <c r="G5939" s="136">
        <v>43591</v>
      </c>
      <c r="H5939" t="s">
        <v>25</v>
      </c>
      <c r="I5939" t="s">
        <v>171</v>
      </c>
      <c r="J5939" t="s">
        <v>562</v>
      </c>
      <c r="K5939" s="138">
        <v>380</v>
      </c>
      <c r="L5939" s="137">
        <v>0</v>
      </c>
    </row>
    <row r="5940" spans="7:12" x14ac:dyDescent="0.25">
      <c r="G5940" s="136">
        <v>43591</v>
      </c>
      <c r="H5940" t="s">
        <v>181</v>
      </c>
      <c r="I5940" t="s">
        <v>171</v>
      </c>
      <c r="J5940" t="s">
        <v>562</v>
      </c>
      <c r="K5940" s="138">
        <v>213.19</v>
      </c>
      <c r="L5940" s="137">
        <v>0</v>
      </c>
    </row>
    <row r="5941" spans="7:12" x14ac:dyDescent="0.25">
      <c r="G5941" s="136">
        <v>43591</v>
      </c>
      <c r="H5941" t="s">
        <v>187</v>
      </c>
      <c r="I5941" t="s">
        <v>171</v>
      </c>
      <c r="J5941" t="s">
        <v>562</v>
      </c>
      <c r="K5941" s="138">
        <v>76.349999999999994</v>
      </c>
      <c r="L5941" s="137">
        <v>0</v>
      </c>
    </row>
    <row r="5942" spans="7:12" x14ac:dyDescent="0.25">
      <c r="G5942" s="136">
        <v>43591</v>
      </c>
      <c r="H5942" t="s">
        <v>180</v>
      </c>
      <c r="I5942" t="s">
        <v>171</v>
      </c>
      <c r="J5942" t="s">
        <v>562</v>
      </c>
      <c r="K5942" s="138">
        <v>4.78</v>
      </c>
      <c r="L5942" s="137">
        <v>0</v>
      </c>
    </row>
    <row r="5943" spans="7:12" x14ac:dyDescent="0.25">
      <c r="G5943" s="136">
        <v>43591</v>
      </c>
      <c r="H5943" t="s">
        <v>28</v>
      </c>
      <c r="I5943" t="s">
        <v>63</v>
      </c>
      <c r="J5943" t="s">
        <v>562</v>
      </c>
      <c r="K5943" s="138">
        <v>16</v>
      </c>
      <c r="L5943" s="137">
        <v>0</v>
      </c>
    </row>
    <row r="5944" spans="7:12" x14ac:dyDescent="0.25">
      <c r="G5944" s="136">
        <v>43591</v>
      </c>
      <c r="H5944" t="s">
        <v>28</v>
      </c>
      <c r="I5944" t="s">
        <v>155</v>
      </c>
      <c r="J5944" t="s">
        <v>562</v>
      </c>
      <c r="K5944" s="138">
        <v>91</v>
      </c>
      <c r="L5944" s="137">
        <v>0</v>
      </c>
    </row>
    <row r="5945" spans="7:12" x14ac:dyDescent="0.25">
      <c r="G5945" s="136">
        <v>43591</v>
      </c>
      <c r="H5945" t="s">
        <v>28</v>
      </c>
      <c r="I5945" t="s">
        <v>155</v>
      </c>
      <c r="J5945" t="s">
        <v>562</v>
      </c>
      <c r="K5945" s="138">
        <v>67.069999999999993</v>
      </c>
      <c r="L5945" s="137">
        <v>0</v>
      </c>
    </row>
    <row r="5946" spans="7:12" x14ac:dyDescent="0.25">
      <c r="G5946" s="136">
        <v>43591</v>
      </c>
      <c r="H5946" t="s">
        <v>28</v>
      </c>
      <c r="I5946" t="s">
        <v>155</v>
      </c>
      <c r="J5946" t="s">
        <v>562</v>
      </c>
      <c r="K5946" s="138">
        <v>55.52</v>
      </c>
      <c r="L5946" s="137">
        <v>0</v>
      </c>
    </row>
    <row r="5947" spans="7:12" x14ac:dyDescent="0.25">
      <c r="G5947" s="136">
        <v>43591</v>
      </c>
      <c r="H5947" t="s">
        <v>28</v>
      </c>
      <c r="I5947" t="s">
        <v>155</v>
      </c>
      <c r="J5947" t="s">
        <v>562</v>
      </c>
      <c r="K5947" s="138">
        <v>48.62</v>
      </c>
      <c r="L5947" s="137">
        <v>0</v>
      </c>
    </row>
    <row r="5948" spans="7:12" x14ac:dyDescent="0.25">
      <c r="G5948" s="136">
        <v>43591</v>
      </c>
      <c r="H5948" t="s">
        <v>28</v>
      </c>
      <c r="I5948" t="s">
        <v>155</v>
      </c>
      <c r="J5948" t="s">
        <v>562</v>
      </c>
      <c r="K5948" s="138">
        <v>31.03</v>
      </c>
      <c r="L5948" s="137">
        <v>0</v>
      </c>
    </row>
    <row r="5949" spans="7:12" x14ac:dyDescent="0.25">
      <c r="G5949" s="136">
        <v>43591</v>
      </c>
      <c r="H5949" t="s">
        <v>28</v>
      </c>
      <c r="I5949" t="s">
        <v>155</v>
      </c>
      <c r="J5949" t="s">
        <v>562</v>
      </c>
      <c r="K5949" s="138">
        <v>24.57</v>
      </c>
      <c r="L5949" s="137">
        <v>0</v>
      </c>
    </row>
    <row r="5950" spans="7:12" x14ac:dyDescent="0.25">
      <c r="G5950" s="136">
        <v>43591</v>
      </c>
      <c r="H5950" t="s">
        <v>28</v>
      </c>
      <c r="I5950" t="s">
        <v>155</v>
      </c>
      <c r="J5950" t="s">
        <v>562</v>
      </c>
      <c r="K5950" s="138">
        <v>9.89</v>
      </c>
      <c r="L5950" s="137">
        <v>0</v>
      </c>
    </row>
    <row r="5951" spans="7:12" x14ac:dyDescent="0.25">
      <c r="G5951" s="136">
        <v>43591</v>
      </c>
      <c r="H5951" t="s">
        <v>28</v>
      </c>
      <c r="I5951" t="s">
        <v>66</v>
      </c>
      <c r="J5951" t="s">
        <v>141</v>
      </c>
      <c r="K5951" s="138">
        <v>3.15</v>
      </c>
      <c r="L5951" s="137">
        <v>0</v>
      </c>
    </row>
    <row r="5952" spans="7:12" x14ac:dyDescent="0.25">
      <c r="G5952" s="136">
        <v>43591</v>
      </c>
      <c r="H5952" t="s">
        <v>28</v>
      </c>
      <c r="I5952" t="s">
        <v>66</v>
      </c>
      <c r="J5952" t="s">
        <v>142</v>
      </c>
      <c r="K5952" s="138">
        <v>22</v>
      </c>
      <c r="L5952" s="137">
        <v>0</v>
      </c>
    </row>
    <row r="5953" spans="7:12" x14ac:dyDescent="0.25">
      <c r="G5953" s="136">
        <v>43591</v>
      </c>
      <c r="H5953" t="s">
        <v>28</v>
      </c>
      <c r="I5953" t="s">
        <v>66</v>
      </c>
      <c r="J5953" t="s">
        <v>124</v>
      </c>
      <c r="K5953" s="138">
        <v>3</v>
      </c>
      <c r="L5953" s="137">
        <v>0</v>
      </c>
    </row>
    <row r="5954" spans="7:12" x14ac:dyDescent="0.25">
      <c r="G5954" s="136">
        <v>43592</v>
      </c>
      <c r="H5954" t="s">
        <v>192</v>
      </c>
      <c r="I5954" t="s">
        <v>63</v>
      </c>
      <c r="J5954" t="s">
        <v>563</v>
      </c>
      <c r="K5954" s="138">
        <v>159.9</v>
      </c>
      <c r="L5954" s="137">
        <v>0</v>
      </c>
    </row>
    <row r="5955" spans="7:12" x14ac:dyDescent="0.25">
      <c r="G5955" s="136">
        <v>43592</v>
      </c>
      <c r="H5955" t="s">
        <v>27</v>
      </c>
      <c r="I5955" t="s">
        <v>63</v>
      </c>
      <c r="J5955" t="s">
        <v>563</v>
      </c>
      <c r="K5955" s="138">
        <v>8</v>
      </c>
      <c r="L5955" s="137">
        <v>0</v>
      </c>
    </row>
    <row r="5956" spans="7:12" x14ac:dyDescent="0.25">
      <c r="G5956" s="136">
        <v>43592</v>
      </c>
      <c r="H5956" t="s">
        <v>199</v>
      </c>
      <c r="I5956" t="s">
        <v>163</v>
      </c>
      <c r="J5956" t="s">
        <v>563</v>
      </c>
      <c r="K5956" s="138">
        <v>30</v>
      </c>
      <c r="L5956" s="137">
        <v>0</v>
      </c>
    </row>
    <row r="5957" spans="7:12" x14ac:dyDescent="0.25">
      <c r="G5957" s="136">
        <v>43592</v>
      </c>
      <c r="H5957" t="s">
        <v>195</v>
      </c>
      <c r="I5957" t="s">
        <v>63</v>
      </c>
      <c r="J5957" t="s">
        <v>563</v>
      </c>
      <c r="K5957" s="138">
        <v>21.06</v>
      </c>
      <c r="L5957" s="137">
        <v>0</v>
      </c>
    </row>
    <row r="5958" spans="7:12" x14ac:dyDescent="0.25">
      <c r="G5958" s="136">
        <v>43592</v>
      </c>
      <c r="H5958" t="s">
        <v>191</v>
      </c>
      <c r="I5958" t="s">
        <v>178</v>
      </c>
      <c r="J5958" t="s">
        <v>563</v>
      </c>
      <c r="K5958" s="138">
        <v>84.53</v>
      </c>
      <c r="L5958" s="137">
        <v>0</v>
      </c>
    </row>
    <row r="5959" spans="7:12" x14ac:dyDescent="0.25">
      <c r="G5959" s="136">
        <v>43592</v>
      </c>
      <c r="H5959" t="s">
        <v>191</v>
      </c>
      <c r="I5959" t="s">
        <v>171</v>
      </c>
      <c r="J5959" t="s">
        <v>563</v>
      </c>
      <c r="K5959" s="138">
        <v>23.05</v>
      </c>
      <c r="L5959" s="137">
        <v>0</v>
      </c>
    </row>
    <row r="5960" spans="7:12" x14ac:dyDescent="0.25">
      <c r="G5960" s="136">
        <v>43592</v>
      </c>
      <c r="H5960" t="s">
        <v>200</v>
      </c>
      <c r="I5960" t="s">
        <v>171</v>
      </c>
      <c r="J5960" t="s">
        <v>563</v>
      </c>
      <c r="K5960" s="138">
        <v>26.2</v>
      </c>
      <c r="L5960" s="137">
        <v>0</v>
      </c>
    </row>
    <row r="5961" spans="7:12" x14ac:dyDescent="0.25">
      <c r="G5961" s="136">
        <v>43592</v>
      </c>
      <c r="H5961" t="s">
        <v>25</v>
      </c>
      <c r="I5961" t="s">
        <v>63</v>
      </c>
      <c r="J5961" t="s">
        <v>563</v>
      </c>
      <c r="K5961" s="138">
        <v>80</v>
      </c>
      <c r="L5961" s="137">
        <v>0</v>
      </c>
    </row>
    <row r="5962" spans="7:12" x14ac:dyDescent="0.25">
      <c r="G5962" s="136">
        <v>43592</v>
      </c>
      <c r="H5962" t="s">
        <v>25</v>
      </c>
      <c r="I5962" t="s">
        <v>63</v>
      </c>
      <c r="J5962" t="s">
        <v>563</v>
      </c>
      <c r="K5962" s="138">
        <v>56</v>
      </c>
      <c r="L5962" s="137">
        <v>0</v>
      </c>
    </row>
    <row r="5963" spans="7:12" x14ac:dyDescent="0.25">
      <c r="G5963" s="136">
        <v>43592</v>
      </c>
      <c r="H5963" t="s">
        <v>25</v>
      </c>
      <c r="I5963" t="s">
        <v>63</v>
      </c>
      <c r="J5963" t="s">
        <v>563</v>
      </c>
      <c r="K5963" s="138">
        <v>24</v>
      </c>
      <c r="L5963" s="137">
        <v>0</v>
      </c>
    </row>
    <row r="5964" spans="7:12" x14ac:dyDescent="0.25">
      <c r="G5964" s="136">
        <v>43592</v>
      </c>
      <c r="H5964" t="s">
        <v>25</v>
      </c>
      <c r="I5964" t="s">
        <v>63</v>
      </c>
      <c r="J5964" t="s">
        <v>563</v>
      </c>
      <c r="K5964" s="138">
        <v>16</v>
      </c>
      <c r="L5964" s="137">
        <v>0</v>
      </c>
    </row>
    <row r="5965" spans="7:12" x14ac:dyDescent="0.25">
      <c r="G5965" s="136">
        <v>43592</v>
      </c>
      <c r="H5965" t="s">
        <v>25</v>
      </c>
      <c r="I5965" t="s">
        <v>63</v>
      </c>
      <c r="J5965" t="s">
        <v>563</v>
      </c>
      <c r="K5965" s="138">
        <v>8</v>
      </c>
      <c r="L5965" s="137">
        <v>0</v>
      </c>
    </row>
    <row r="5966" spans="7:12" x14ac:dyDescent="0.25">
      <c r="G5966" s="136">
        <v>43592</v>
      </c>
      <c r="H5966" t="s">
        <v>25</v>
      </c>
      <c r="I5966" t="s">
        <v>253</v>
      </c>
      <c r="J5966" t="s">
        <v>564</v>
      </c>
      <c r="K5966" s="138">
        <v>114.74</v>
      </c>
      <c r="L5966" s="137">
        <v>0</v>
      </c>
    </row>
    <row r="5967" spans="7:12" x14ac:dyDescent="0.25">
      <c r="G5967" s="136">
        <v>43592</v>
      </c>
      <c r="H5967" t="s">
        <v>25</v>
      </c>
      <c r="I5967" t="s">
        <v>171</v>
      </c>
      <c r="J5967" t="s">
        <v>563</v>
      </c>
      <c r="K5967" s="138">
        <v>147.9</v>
      </c>
      <c r="L5967" s="137">
        <v>0</v>
      </c>
    </row>
    <row r="5968" spans="7:12" x14ac:dyDescent="0.25">
      <c r="G5968" s="136">
        <v>43592</v>
      </c>
      <c r="H5968" t="s">
        <v>201</v>
      </c>
      <c r="I5968" t="s">
        <v>112</v>
      </c>
      <c r="J5968" t="s">
        <v>563</v>
      </c>
      <c r="K5968" s="138">
        <v>5.16</v>
      </c>
      <c r="L5968" s="137">
        <v>0</v>
      </c>
    </row>
    <row r="5969" spans="7:12" x14ac:dyDescent="0.25">
      <c r="G5969" s="136">
        <v>43592</v>
      </c>
      <c r="H5969" t="s">
        <v>181</v>
      </c>
      <c r="I5969" t="s">
        <v>171</v>
      </c>
      <c r="J5969" t="s">
        <v>563</v>
      </c>
      <c r="K5969" s="138">
        <v>360.16</v>
      </c>
      <c r="L5969" s="137">
        <v>0</v>
      </c>
    </row>
    <row r="5970" spans="7:12" x14ac:dyDescent="0.25">
      <c r="G5970" s="136">
        <v>43592</v>
      </c>
      <c r="H5970" t="s">
        <v>179</v>
      </c>
      <c r="I5970" t="s">
        <v>112</v>
      </c>
      <c r="J5970" t="s">
        <v>563</v>
      </c>
      <c r="K5970" s="138">
        <v>142.87</v>
      </c>
      <c r="L5970" s="137">
        <v>0</v>
      </c>
    </row>
    <row r="5971" spans="7:12" x14ac:dyDescent="0.25">
      <c r="G5971" s="136">
        <v>43592</v>
      </c>
      <c r="H5971" t="s">
        <v>28</v>
      </c>
      <c r="I5971" t="s">
        <v>112</v>
      </c>
      <c r="J5971" t="s">
        <v>563</v>
      </c>
      <c r="K5971" s="138">
        <v>35.950000000000003</v>
      </c>
      <c r="L5971" s="137">
        <v>0</v>
      </c>
    </row>
    <row r="5972" spans="7:12" x14ac:dyDescent="0.25">
      <c r="G5972" s="136">
        <v>43592</v>
      </c>
      <c r="H5972" t="s">
        <v>28</v>
      </c>
      <c r="I5972" t="s">
        <v>155</v>
      </c>
      <c r="J5972" t="s">
        <v>563</v>
      </c>
      <c r="K5972" s="138">
        <v>163.47999999999999</v>
      </c>
      <c r="L5972" s="137">
        <v>0</v>
      </c>
    </row>
    <row r="5973" spans="7:12" x14ac:dyDescent="0.25">
      <c r="G5973" s="136">
        <v>43592</v>
      </c>
      <c r="H5973" t="s">
        <v>28</v>
      </c>
      <c r="I5973" t="s">
        <v>155</v>
      </c>
      <c r="J5973" t="s">
        <v>563</v>
      </c>
      <c r="K5973" s="138">
        <v>64.31</v>
      </c>
      <c r="L5973" s="137">
        <v>0</v>
      </c>
    </row>
    <row r="5974" spans="7:12" x14ac:dyDescent="0.25">
      <c r="G5974" s="136">
        <v>43592</v>
      </c>
      <c r="H5974" t="s">
        <v>28</v>
      </c>
      <c r="I5974" t="s">
        <v>155</v>
      </c>
      <c r="J5974" t="s">
        <v>563</v>
      </c>
      <c r="K5974" s="138">
        <v>53.37</v>
      </c>
      <c r="L5974" s="137">
        <v>0</v>
      </c>
    </row>
    <row r="5975" spans="7:12" x14ac:dyDescent="0.25">
      <c r="G5975" s="136">
        <v>43592</v>
      </c>
      <c r="H5975" t="s">
        <v>28</v>
      </c>
      <c r="I5975" t="s">
        <v>155</v>
      </c>
      <c r="J5975" t="s">
        <v>563</v>
      </c>
      <c r="K5975" s="138">
        <v>42.03</v>
      </c>
      <c r="L5975" s="137">
        <v>0</v>
      </c>
    </row>
    <row r="5976" spans="7:12" x14ac:dyDescent="0.25">
      <c r="G5976" s="136">
        <v>43592</v>
      </c>
      <c r="H5976" t="s">
        <v>28</v>
      </c>
      <c r="I5976" t="s">
        <v>155</v>
      </c>
      <c r="J5976" t="s">
        <v>563</v>
      </c>
      <c r="K5976" s="138">
        <v>36.979999999999997</v>
      </c>
      <c r="L5976" s="137">
        <v>0</v>
      </c>
    </row>
    <row r="5977" spans="7:12" x14ac:dyDescent="0.25">
      <c r="G5977" s="136">
        <v>43592</v>
      </c>
      <c r="H5977" t="s">
        <v>28</v>
      </c>
      <c r="I5977" t="s">
        <v>155</v>
      </c>
      <c r="J5977" t="s">
        <v>563</v>
      </c>
      <c r="K5977" s="138">
        <v>25.57</v>
      </c>
      <c r="L5977" s="137">
        <v>0</v>
      </c>
    </row>
    <row r="5978" spans="7:12" x14ac:dyDescent="0.25">
      <c r="G5978" s="136">
        <v>43592</v>
      </c>
      <c r="H5978" t="s">
        <v>28</v>
      </c>
      <c r="I5978" t="s">
        <v>221</v>
      </c>
      <c r="J5978" t="s">
        <v>524</v>
      </c>
      <c r="K5978" s="138">
        <v>10</v>
      </c>
      <c r="L5978" s="137">
        <v>0</v>
      </c>
    </row>
    <row r="5979" spans="7:12" x14ac:dyDescent="0.25">
      <c r="G5979" s="136">
        <v>43592</v>
      </c>
      <c r="H5979" t="s">
        <v>28</v>
      </c>
      <c r="I5979" t="s">
        <v>66</v>
      </c>
      <c r="J5979" t="s">
        <v>142</v>
      </c>
      <c r="K5979" s="138">
        <v>22</v>
      </c>
      <c r="L5979" s="137">
        <v>0</v>
      </c>
    </row>
    <row r="5980" spans="7:12" x14ac:dyDescent="0.25">
      <c r="G5980" s="136">
        <v>43593</v>
      </c>
      <c r="H5980" t="s">
        <v>195</v>
      </c>
      <c r="I5980" t="s">
        <v>163</v>
      </c>
      <c r="J5980" t="s">
        <v>565</v>
      </c>
      <c r="K5980" s="138">
        <v>85.7</v>
      </c>
      <c r="L5980" s="137">
        <v>0</v>
      </c>
    </row>
    <row r="5981" spans="7:12" x14ac:dyDescent="0.25">
      <c r="G5981" s="136">
        <v>43593</v>
      </c>
      <c r="H5981" t="s">
        <v>25</v>
      </c>
      <c r="I5981" t="s">
        <v>63</v>
      </c>
      <c r="J5981" t="s">
        <v>565</v>
      </c>
      <c r="K5981" s="138">
        <v>24</v>
      </c>
      <c r="L5981" s="137">
        <v>0</v>
      </c>
    </row>
    <row r="5982" spans="7:12" x14ac:dyDescent="0.25">
      <c r="G5982" s="136">
        <v>43593</v>
      </c>
      <c r="H5982" t="s">
        <v>25</v>
      </c>
      <c r="I5982" t="s">
        <v>63</v>
      </c>
      <c r="J5982" t="s">
        <v>565</v>
      </c>
      <c r="K5982" s="138">
        <v>16</v>
      </c>
      <c r="L5982" s="137">
        <v>0</v>
      </c>
    </row>
    <row r="5983" spans="7:12" x14ac:dyDescent="0.25">
      <c r="G5983" s="136">
        <v>43593</v>
      </c>
      <c r="H5983" t="s">
        <v>25</v>
      </c>
      <c r="I5983" t="s">
        <v>63</v>
      </c>
      <c r="J5983" t="s">
        <v>565</v>
      </c>
      <c r="K5983" s="138">
        <v>8</v>
      </c>
      <c r="L5983" s="137">
        <v>0</v>
      </c>
    </row>
    <row r="5984" spans="7:12" x14ac:dyDescent="0.25">
      <c r="G5984" s="136">
        <v>43593</v>
      </c>
      <c r="H5984" t="s">
        <v>187</v>
      </c>
      <c r="I5984" t="s">
        <v>171</v>
      </c>
      <c r="J5984" t="s">
        <v>565</v>
      </c>
      <c r="K5984" s="138">
        <v>38</v>
      </c>
      <c r="L5984" s="137">
        <v>0</v>
      </c>
    </row>
    <row r="5985" spans="7:12" x14ac:dyDescent="0.25">
      <c r="G5985" s="136">
        <v>43593</v>
      </c>
      <c r="H5985" t="s">
        <v>180</v>
      </c>
      <c r="I5985" t="s">
        <v>171</v>
      </c>
      <c r="J5985" t="s">
        <v>565</v>
      </c>
      <c r="K5985" s="138">
        <v>24</v>
      </c>
      <c r="L5985" s="137">
        <v>0</v>
      </c>
    </row>
    <row r="5986" spans="7:12" x14ac:dyDescent="0.25">
      <c r="G5986" s="136">
        <v>43593</v>
      </c>
      <c r="H5986" t="s">
        <v>179</v>
      </c>
      <c r="I5986" t="s">
        <v>63</v>
      </c>
      <c r="J5986" t="s">
        <v>565</v>
      </c>
      <c r="K5986" s="138">
        <v>12.64</v>
      </c>
      <c r="L5986" s="137">
        <v>0</v>
      </c>
    </row>
    <row r="5987" spans="7:12" x14ac:dyDescent="0.25">
      <c r="G5987" s="136">
        <v>43593</v>
      </c>
      <c r="H5987" t="s">
        <v>179</v>
      </c>
      <c r="I5987" t="s">
        <v>112</v>
      </c>
      <c r="J5987" t="s">
        <v>565</v>
      </c>
      <c r="K5987" s="138">
        <v>0</v>
      </c>
      <c r="L5987" s="137">
        <v>129.9</v>
      </c>
    </row>
    <row r="5988" spans="7:12" x14ac:dyDescent="0.25">
      <c r="G5988" s="136">
        <v>43593</v>
      </c>
      <c r="H5988" t="s">
        <v>28</v>
      </c>
      <c r="I5988" t="s">
        <v>66</v>
      </c>
      <c r="J5988" t="s">
        <v>320</v>
      </c>
      <c r="K5988" s="138">
        <v>4.8</v>
      </c>
      <c r="L5988" s="137">
        <v>0</v>
      </c>
    </row>
    <row r="5989" spans="7:12" x14ac:dyDescent="0.25">
      <c r="G5989" s="136">
        <v>43593</v>
      </c>
      <c r="H5989" t="s">
        <v>28</v>
      </c>
      <c r="I5989" t="s">
        <v>66</v>
      </c>
      <c r="J5989" t="s">
        <v>99</v>
      </c>
      <c r="K5989" s="138">
        <v>16.350000000000001</v>
      </c>
      <c r="L5989" s="137">
        <v>0</v>
      </c>
    </row>
    <row r="5990" spans="7:12" x14ac:dyDescent="0.25">
      <c r="G5990" s="136">
        <v>43593</v>
      </c>
      <c r="H5990" t="s">
        <v>28</v>
      </c>
      <c r="I5990" t="s">
        <v>66</v>
      </c>
      <c r="J5990" t="s">
        <v>318</v>
      </c>
      <c r="K5990" s="138">
        <v>3.6</v>
      </c>
      <c r="L5990" s="137">
        <v>0</v>
      </c>
    </row>
    <row r="5991" spans="7:12" x14ac:dyDescent="0.25">
      <c r="G5991" s="136">
        <v>43593</v>
      </c>
      <c r="H5991" t="s">
        <v>28</v>
      </c>
      <c r="I5991" t="s">
        <v>171</v>
      </c>
      <c r="J5991" t="s">
        <v>565</v>
      </c>
      <c r="K5991" s="138">
        <v>12</v>
      </c>
      <c r="L5991" s="137">
        <v>0</v>
      </c>
    </row>
    <row r="5992" spans="7:12" x14ac:dyDescent="0.25">
      <c r="G5992" s="136">
        <v>43594</v>
      </c>
      <c r="H5992" t="s">
        <v>192</v>
      </c>
      <c r="I5992" t="s">
        <v>63</v>
      </c>
      <c r="J5992" t="s">
        <v>566</v>
      </c>
      <c r="K5992" s="138">
        <v>14.5</v>
      </c>
      <c r="L5992" s="137">
        <v>0</v>
      </c>
    </row>
    <row r="5993" spans="7:12" x14ac:dyDescent="0.25">
      <c r="G5993" s="136">
        <v>43594</v>
      </c>
      <c r="H5993" t="s">
        <v>27</v>
      </c>
      <c r="I5993" t="s">
        <v>63</v>
      </c>
      <c r="J5993" t="s">
        <v>566</v>
      </c>
      <c r="K5993" s="138">
        <v>8</v>
      </c>
      <c r="L5993" s="137">
        <v>0</v>
      </c>
    </row>
    <row r="5994" spans="7:12" x14ac:dyDescent="0.25">
      <c r="G5994" s="136">
        <v>43594</v>
      </c>
      <c r="H5994" t="s">
        <v>195</v>
      </c>
      <c r="I5994" t="s">
        <v>176</v>
      </c>
      <c r="J5994" t="s">
        <v>566</v>
      </c>
      <c r="K5994" s="138">
        <v>28.95</v>
      </c>
      <c r="L5994" s="137">
        <v>0</v>
      </c>
    </row>
    <row r="5995" spans="7:12" x14ac:dyDescent="0.25">
      <c r="G5995" s="136">
        <v>43594</v>
      </c>
      <c r="H5995" t="s">
        <v>189</v>
      </c>
      <c r="I5995" t="s">
        <v>171</v>
      </c>
      <c r="J5995" t="s">
        <v>566</v>
      </c>
      <c r="K5995" s="138">
        <v>8</v>
      </c>
      <c r="L5995" s="137">
        <v>0</v>
      </c>
    </row>
    <row r="5996" spans="7:12" x14ac:dyDescent="0.25">
      <c r="G5996" s="136">
        <v>43594</v>
      </c>
      <c r="H5996" t="s">
        <v>188</v>
      </c>
      <c r="I5996" t="s">
        <v>112</v>
      </c>
      <c r="J5996" t="s">
        <v>566</v>
      </c>
      <c r="K5996" s="138">
        <v>29.5</v>
      </c>
      <c r="L5996" s="137">
        <v>0</v>
      </c>
    </row>
    <row r="5997" spans="7:12" x14ac:dyDescent="0.25">
      <c r="G5997" s="136">
        <v>43594</v>
      </c>
      <c r="H5997" t="s">
        <v>25</v>
      </c>
      <c r="I5997" t="s">
        <v>63</v>
      </c>
      <c r="J5997" t="s">
        <v>566</v>
      </c>
      <c r="K5997" s="138">
        <v>56</v>
      </c>
      <c r="L5997" s="137">
        <v>0</v>
      </c>
    </row>
    <row r="5998" spans="7:12" x14ac:dyDescent="0.25">
      <c r="G5998" s="136">
        <v>43594</v>
      </c>
      <c r="H5998" t="s">
        <v>25</v>
      </c>
      <c r="I5998" t="s">
        <v>63</v>
      </c>
      <c r="J5998" t="s">
        <v>566</v>
      </c>
      <c r="K5998" s="138">
        <v>16</v>
      </c>
      <c r="L5998" s="137">
        <v>0</v>
      </c>
    </row>
    <row r="5999" spans="7:12" x14ac:dyDescent="0.25">
      <c r="G5999" s="136">
        <v>43594</v>
      </c>
      <c r="H5999" t="s">
        <v>25</v>
      </c>
      <c r="I5999" t="s">
        <v>63</v>
      </c>
      <c r="J5999" t="s">
        <v>566</v>
      </c>
      <c r="K5999" s="138">
        <v>8</v>
      </c>
      <c r="L5999" s="137">
        <v>0</v>
      </c>
    </row>
    <row r="6000" spans="7:12" x14ac:dyDescent="0.25">
      <c r="G6000" s="136">
        <v>43594</v>
      </c>
      <c r="H6000" t="s">
        <v>179</v>
      </c>
      <c r="I6000" t="s">
        <v>175</v>
      </c>
      <c r="J6000" t="s">
        <v>566</v>
      </c>
      <c r="K6000" s="138">
        <v>90.05</v>
      </c>
      <c r="L6000" s="137">
        <v>0</v>
      </c>
    </row>
    <row r="6001" spans="7:12" x14ac:dyDescent="0.25">
      <c r="G6001" s="136">
        <v>43594</v>
      </c>
      <c r="H6001" t="s">
        <v>28</v>
      </c>
      <c r="I6001" t="s">
        <v>63</v>
      </c>
      <c r="J6001" t="s">
        <v>566</v>
      </c>
      <c r="K6001" s="138">
        <v>24</v>
      </c>
      <c r="L6001" s="137">
        <v>0</v>
      </c>
    </row>
    <row r="6002" spans="7:12" x14ac:dyDescent="0.25">
      <c r="G6002" s="136">
        <v>43594</v>
      </c>
      <c r="H6002" t="s">
        <v>28</v>
      </c>
      <c r="I6002" t="s">
        <v>155</v>
      </c>
      <c r="J6002" t="s">
        <v>566</v>
      </c>
      <c r="K6002" s="138">
        <v>43.38</v>
      </c>
      <c r="L6002" s="137">
        <v>0</v>
      </c>
    </row>
    <row r="6003" spans="7:12" x14ac:dyDescent="0.25">
      <c r="G6003" s="136">
        <v>43594</v>
      </c>
      <c r="H6003" t="s">
        <v>28</v>
      </c>
      <c r="I6003" t="s">
        <v>155</v>
      </c>
      <c r="J6003" t="s">
        <v>566</v>
      </c>
      <c r="K6003" s="138">
        <v>39.44</v>
      </c>
      <c r="L6003" s="137">
        <v>0</v>
      </c>
    </row>
    <row r="6004" spans="7:12" x14ac:dyDescent="0.25">
      <c r="G6004" s="136">
        <v>43594</v>
      </c>
      <c r="H6004" t="s">
        <v>28</v>
      </c>
      <c r="I6004" t="s">
        <v>155</v>
      </c>
      <c r="J6004" t="s">
        <v>566</v>
      </c>
      <c r="K6004" s="138">
        <v>32.82</v>
      </c>
      <c r="L6004" s="137">
        <v>0</v>
      </c>
    </row>
    <row r="6005" spans="7:12" x14ac:dyDescent="0.25">
      <c r="G6005" s="136">
        <v>43594</v>
      </c>
      <c r="H6005" t="s">
        <v>28</v>
      </c>
      <c r="I6005" t="s">
        <v>155</v>
      </c>
      <c r="J6005" t="s">
        <v>566</v>
      </c>
      <c r="K6005" s="138">
        <v>32.799999999999997</v>
      </c>
      <c r="L6005" s="137">
        <v>0</v>
      </c>
    </row>
    <row r="6006" spans="7:12" x14ac:dyDescent="0.25">
      <c r="G6006" s="136">
        <v>43594</v>
      </c>
      <c r="H6006" t="s">
        <v>28</v>
      </c>
      <c r="I6006" t="s">
        <v>155</v>
      </c>
      <c r="J6006" t="s">
        <v>566</v>
      </c>
      <c r="K6006" s="138">
        <v>20.67</v>
      </c>
      <c r="L6006" s="137">
        <v>0</v>
      </c>
    </row>
    <row r="6007" spans="7:12" x14ac:dyDescent="0.25">
      <c r="G6007" s="136">
        <v>43594</v>
      </c>
      <c r="H6007" t="s">
        <v>28</v>
      </c>
      <c r="I6007" t="s">
        <v>66</v>
      </c>
      <c r="J6007" t="s">
        <v>100</v>
      </c>
      <c r="K6007" s="138">
        <v>1.8</v>
      </c>
      <c r="L6007" s="137">
        <v>0</v>
      </c>
    </row>
    <row r="6008" spans="7:12" x14ac:dyDescent="0.25">
      <c r="G6008" s="136">
        <v>43594</v>
      </c>
      <c r="H6008" t="s">
        <v>28</v>
      </c>
      <c r="I6008" t="s">
        <v>66</v>
      </c>
      <c r="J6008" t="s">
        <v>118</v>
      </c>
      <c r="K6008" s="138">
        <v>5.55</v>
      </c>
      <c r="L6008" s="137">
        <v>0</v>
      </c>
    </row>
    <row r="6009" spans="7:12" x14ac:dyDescent="0.25">
      <c r="G6009" s="136">
        <v>43594</v>
      </c>
      <c r="H6009" t="s">
        <v>28</v>
      </c>
      <c r="I6009" t="s">
        <v>171</v>
      </c>
      <c r="J6009" t="s">
        <v>566</v>
      </c>
      <c r="K6009" s="138">
        <v>60</v>
      </c>
      <c r="L6009" s="137">
        <v>0</v>
      </c>
    </row>
    <row r="6010" spans="7:12" x14ac:dyDescent="0.25">
      <c r="G6010" s="136">
        <v>43594</v>
      </c>
      <c r="H6010" t="s">
        <v>28</v>
      </c>
      <c r="I6010" t="s">
        <v>171</v>
      </c>
      <c r="J6010" t="s">
        <v>566</v>
      </c>
      <c r="K6010" s="138">
        <v>5.4</v>
      </c>
      <c r="L6010" s="137">
        <v>0</v>
      </c>
    </row>
    <row r="6011" spans="7:12" x14ac:dyDescent="0.25">
      <c r="G6011" s="136">
        <v>43595</v>
      </c>
      <c r="H6011" t="s">
        <v>203</v>
      </c>
      <c r="I6011" t="s">
        <v>171</v>
      </c>
      <c r="J6011" t="s">
        <v>567</v>
      </c>
      <c r="K6011" s="138">
        <v>10.25</v>
      </c>
      <c r="L6011" s="137">
        <v>0</v>
      </c>
    </row>
    <row r="6012" spans="7:12" x14ac:dyDescent="0.25">
      <c r="G6012" s="136">
        <v>43595</v>
      </c>
      <c r="H6012" t="s">
        <v>192</v>
      </c>
      <c r="I6012" t="s">
        <v>112</v>
      </c>
      <c r="J6012" t="s">
        <v>567</v>
      </c>
      <c r="K6012" s="138">
        <v>728.97</v>
      </c>
      <c r="L6012" s="137">
        <v>0</v>
      </c>
    </row>
    <row r="6013" spans="7:12" x14ac:dyDescent="0.25">
      <c r="G6013" s="136">
        <v>43595</v>
      </c>
      <c r="H6013" t="s">
        <v>192</v>
      </c>
      <c r="I6013" t="s">
        <v>155</v>
      </c>
      <c r="J6013" t="s">
        <v>567</v>
      </c>
      <c r="K6013" s="138">
        <v>5.08</v>
      </c>
      <c r="L6013" s="137">
        <v>0</v>
      </c>
    </row>
    <row r="6014" spans="7:12" x14ac:dyDescent="0.25">
      <c r="G6014" s="136">
        <v>43595</v>
      </c>
      <c r="H6014" t="s">
        <v>27</v>
      </c>
      <c r="I6014" t="s">
        <v>63</v>
      </c>
      <c r="J6014" t="s">
        <v>567</v>
      </c>
      <c r="K6014" s="138">
        <v>8</v>
      </c>
      <c r="L6014" s="137">
        <v>0</v>
      </c>
    </row>
    <row r="6015" spans="7:12" x14ac:dyDescent="0.25">
      <c r="G6015" s="136">
        <v>43595</v>
      </c>
      <c r="H6015" t="s">
        <v>27</v>
      </c>
      <c r="I6015" t="s">
        <v>254</v>
      </c>
      <c r="J6015" t="s">
        <v>568</v>
      </c>
      <c r="K6015" s="138">
        <v>334.93</v>
      </c>
      <c r="L6015" s="137">
        <v>0</v>
      </c>
    </row>
    <row r="6016" spans="7:12" x14ac:dyDescent="0.25">
      <c r="G6016" s="136">
        <v>43595</v>
      </c>
      <c r="H6016" t="s">
        <v>27</v>
      </c>
      <c r="I6016" t="s">
        <v>254</v>
      </c>
      <c r="J6016" t="s">
        <v>568</v>
      </c>
      <c r="K6016" s="138">
        <v>324.77</v>
      </c>
      <c r="L6016" s="137">
        <v>0</v>
      </c>
    </row>
    <row r="6017" spans="7:12" x14ac:dyDescent="0.25">
      <c r="G6017" s="136">
        <v>43595</v>
      </c>
      <c r="H6017" t="s">
        <v>27</v>
      </c>
      <c r="I6017" t="s">
        <v>254</v>
      </c>
      <c r="J6017" t="s">
        <v>568</v>
      </c>
      <c r="K6017" s="138">
        <v>143.35</v>
      </c>
      <c r="L6017" s="137">
        <v>0</v>
      </c>
    </row>
    <row r="6018" spans="7:12" x14ac:dyDescent="0.25">
      <c r="G6018" s="136">
        <v>43595</v>
      </c>
      <c r="H6018" t="s">
        <v>27</v>
      </c>
      <c r="I6018" t="s">
        <v>254</v>
      </c>
      <c r="J6018" t="s">
        <v>568</v>
      </c>
      <c r="K6018" s="138">
        <v>108.19</v>
      </c>
      <c r="L6018" s="137">
        <v>0</v>
      </c>
    </row>
    <row r="6019" spans="7:12" x14ac:dyDescent="0.25">
      <c r="G6019" s="136">
        <v>43595</v>
      </c>
      <c r="H6019" t="s">
        <v>27</v>
      </c>
      <c r="I6019" t="s">
        <v>254</v>
      </c>
      <c r="J6019" t="s">
        <v>568</v>
      </c>
      <c r="K6019" s="138">
        <v>107.54</v>
      </c>
      <c r="L6019" s="137">
        <v>0</v>
      </c>
    </row>
    <row r="6020" spans="7:12" x14ac:dyDescent="0.25">
      <c r="G6020" s="136">
        <v>43595</v>
      </c>
      <c r="H6020" t="s">
        <v>27</v>
      </c>
      <c r="I6020" t="s">
        <v>254</v>
      </c>
      <c r="J6020" t="s">
        <v>568</v>
      </c>
      <c r="K6020" s="138">
        <v>60.14</v>
      </c>
      <c r="L6020" s="137">
        <v>0</v>
      </c>
    </row>
    <row r="6021" spans="7:12" x14ac:dyDescent="0.25">
      <c r="G6021" s="136">
        <v>43595</v>
      </c>
      <c r="H6021" t="s">
        <v>27</v>
      </c>
      <c r="I6021" t="s">
        <v>254</v>
      </c>
      <c r="J6021" t="s">
        <v>568</v>
      </c>
      <c r="K6021" s="138">
        <v>42.8</v>
      </c>
      <c r="L6021" s="137">
        <v>0</v>
      </c>
    </row>
    <row r="6022" spans="7:12" x14ac:dyDescent="0.25">
      <c r="G6022" s="136">
        <v>43595</v>
      </c>
      <c r="H6022" t="s">
        <v>27</v>
      </c>
      <c r="I6022" t="s">
        <v>254</v>
      </c>
      <c r="J6022" t="s">
        <v>568</v>
      </c>
      <c r="K6022" s="138">
        <v>40.04</v>
      </c>
      <c r="L6022" s="137">
        <v>0</v>
      </c>
    </row>
    <row r="6023" spans="7:12" x14ac:dyDescent="0.25">
      <c r="G6023" s="136">
        <v>43595</v>
      </c>
      <c r="H6023" t="s">
        <v>27</v>
      </c>
      <c r="I6023" t="s">
        <v>254</v>
      </c>
      <c r="J6023" t="s">
        <v>568</v>
      </c>
      <c r="K6023" s="138">
        <v>37.83</v>
      </c>
      <c r="L6023" s="137">
        <v>0</v>
      </c>
    </row>
    <row r="6024" spans="7:12" x14ac:dyDescent="0.25">
      <c r="G6024" s="136">
        <v>43595</v>
      </c>
      <c r="H6024" t="s">
        <v>27</v>
      </c>
      <c r="I6024" t="s">
        <v>254</v>
      </c>
      <c r="J6024" t="s">
        <v>568</v>
      </c>
      <c r="K6024" s="138">
        <v>32.380000000000003</v>
      </c>
      <c r="L6024" s="137">
        <v>0</v>
      </c>
    </row>
    <row r="6025" spans="7:12" x14ac:dyDescent="0.25">
      <c r="G6025" s="136">
        <v>43595</v>
      </c>
      <c r="H6025" t="s">
        <v>27</v>
      </c>
      <c r="I6025" t="s">
        <v>254</v>
      </c>
      <c r="J6025" t="s">
        <v>568</v>
      </c>
      <c r="K6025" s="138">
        <v>32.01</v>
      </c>
      <c r="L6025" s="137">
        <v>0</v>
      </c>
    </row>
    <row r="6026" spans="7:12" x14ac:dyDescent="0.25">
      <c r="G6026" s="136">
        <v>43595</v>
      </c>
      <c r="H6026" t="s">
        <v>27</v>
      </c>
      <c r="I6026" t="s">
        <v>254</v>
      </c>
      <c r="J6026" t="s">
        <v>568</v>
      </c>
      <c r="K6026" s="138">
        <v>27.47</v>
      </c>
      <c r="L6026" s="137">
        <v>0</v>
      </c>
    </row>
    <row r="6027" spans="7:12" x14ac:dyDescent="0.25">
      <c r="G6027" s="136">
        <v>43595</v>
      </c>
      <c r="H6027" t="s">
        <v>27</v>
      </c>
      <c r="I6027" t="s">
        <v>254</v>
      </c>
      <c r="J6027" t="s">
        <v>568</v>
      </c>
      <c r="K6027" s="138">
        <v>27.06</v>
      </c>
      <c r="L6027" s="137">
        <v>0</v>
      </c>
    </row>
    <row r="6028" spans="7:12" x14ac:dyDescent="0.25">
      <c r="G6028" s="136">
        <v>43595</v>
      </c>
      <c r="H6028" t="s">
        <v>27</v>
      </c>
      <c r="I6028" t="s">
        <v>254</v>
      </c>
      <c r="J6028" t="s">
        <v>568</v>
      </c>
      <c r="K6028" s="138">
        <v>25.48</v>
      </c>
      <c r="L6028" s="137">
        <v>0</v>
      </c>
    </row>
    <row r="6029" spans="7:12" x14ac:dyDescent="0.25">
      <c r="G6029" s="136">
        <v>43595</v>
      </c>
      <c r="H6029" t="s">
        <v>27</v>
      </c>
      <c r="I6029" t="s">
        <v>254</v>
      </c>
      <c r="J6029" t="s">
        <v>568</v>
      </c>
      <c r="K6029" s="138">
        <v>14.18</v>
      </c>
      <c r="L6029" s="137">
        <v>0</v>
      </c>
    </row>
    <row r="6030" spans="7:12" x14ac:dyDescent="0.25">
      <c r="G6030" s="136">
        <v>43595</v>
      </c>
      <c r="H6030" t="s">
        <v>27</v>
      </c>
      <c r="I6030" t="s">
        <v>254</v>
      </c>
      <c r="J6030" t="s">
        <v>568</v>
      </c>
      <c r="K6030" s="138">
        <v>12.62</v>
      </c>
      <c r="L6030" s="137">
        <v>0</v>
      </c>
    </row>
    <row r="6031" spans="7:12" x14ac:dyDescent="0.25">
      <c r="G6031" s="136">
        <v>43595</v>
      </c>
      <c r="H6031" t="s">
        <v>27</v>
      </c>
      <c r="I6031" t="s">
        <v>254</v>
      </c>
      <c r="J6031" t="s">
        <v>568</v>
      </c>
      <c r="K6031" s="138">
        <v>9.67</v>
      </c>
      <c r="L6031" s="137">
        <v>0</v>
      </c>
    </row>
    <row r="6032" spans="7:12" x14ac:dyDescent="0.25">
      <c r="G6032" s="136">
        <v>43595</v>
      </c>
      <c r="H6032" t="s">
        <v>184</v>
      </c>
      <c r="I6032" t="s">
        <v>254</v>
      </c>
      <c r="J6032" t="s">
        <v>568</v>
      </c>
      <c r="K6032" s="138">
        <v>38.590000000000003</v>
      </c>
      <c r="L6032" s="137">
        <v>0</v>
      </c>
    </row>
    <row r="6033" spans="7:12" x14ac:dyDescent="0.25">
      <c r="G6033" s="136">
        <v>43595</v>
      </c>
      <c r="H6033" t="s">
        <v>195</v>
      </c>
      <c r="I6033" t="s">
        <v>254</v>
      </c>
      <c r="J6033" t="s">
        <v>568</v>
      </c>
      <c r="K6033" s="138">
        <v>542.38</v>
      </c>
      <c r="L6033" s="137">
        <v>0</v>
      </c>
    </row>
    <row r="6034" spans="7:12" x14ac:dyDescent="0.25">
      <c r="G6034" s="136">
        <v>43595</v>
      </c>
      <c r="H6034" t="s">
        <v>183</v>
      </c>
      <c r="I6034" t="s">
        <v>163</v>
      </c>
      <c r="J6034" t="s">
        <v>567</v>
      </c>
      <c r="K6034" s="138">
        <v>81.73</v>
      </c>
      <c r="L6034" s="137">
        <v>0</v>
      </c>
    </row>
    <row r="6035" spans="7:12" x14ac:dyDescent="0.25">
      <c r="G6035" s="136">
        <v>43595</v>
      </c>
      <c r="H6035" t="s">
        <v>183</v>
      </c>
      <c r="I6035" t="s">
        <v>254</v>
      </c>
      <c r="J6035" t="s">
        <v>568</v>
      </c>
      <c r="K6035" s="138">
        <v>2309.17</v>
      </c>
      <c r="L6035" s="137">
        <v>0</v>
      </c>
    </row>
    <row r="6036" spans="7:12" x14ac:dyDescent="0.25">
      <c r="G6036" s="136">
        <v>43595</v>
      </c>
      <c r="H6036" t="s">
        <v>183</v>
      </c>
      <c r="I6036" t="s">
        <v>171</v>
      </c>
      <c r="J6036" t="s">
        <v>567</v>
      </c>
      <c r="K6036" s="138">
        <v>23.86</v>
      </c>
      <c r="L6036" s="137">
        <v>0</v>
      </c>
    </row>
    <row r="6037" spans="7:12" x14ac:dyDescent="0.25">
      <c r="G6037" s="136">
        <v>43595</v>
      </c>
      <c r="H6037" t="s">
        <v>189</v>
      </c>
      <c r="I6037" t="s">
        <v>163</v>
      </c>
      <c r="J6037" t="s">
        <v>567</v>
      </c>
      <c r="K6037" s="138">
        <v>66</v>
      </c>
      <c r="L6037" s="137">
        <v>0</v>
      </c>
    </row>
    <row r="6038" spans="7:12" x14ac:dyDescent="0.25">
      <c r="G6038" s="136">
        <v>43595</v>
      </c>
      <c r="H6038" t="s">
        <v>189</v>
      </c>
      <c r="I6038" t="s">
        <v>254</v>
      </c>
      <c r="J6038" t="s">
        <v>568</v>
      </c>
      <c r="K6038" s="138">
        <v>1368.34</v>
      </c>
      <c r="L6038" s="137">
        <v>0</v>
      </c>
    </row>
    <row r="6039" spans="7:12" x14ac:dyDescent="0.25">
      <c r="G6039" s="136">
        <v>43595</v>
      </c>
      <c r="H6039" t="s">
        <v>193</v>
      </c>
      <c r="I6039" t="s">
        <v>254</v>
      </c>
      <c r="J6039" t="s">
        <v>568</v>
      </c>
      <c r="K6039" s="138">
        <v>22.38</v>
      </c>
      <c r="L6039" s="137">
        <v>0</v>
      </c>
    </row>
    <row r="6040" spans="7:12" x14ac:dyDescent="0.25">
      <c r="G6040" s="136">
        <v>43595</v>
      </c>
      <c r="H6040" t="s">
        <v>188</v>
      </c>
      <c r="I6040" t="s">
        <v>254</v>
      </c>
      <c r="J6040" t="s">
        <v>568</v>
      </c>
      <c r="K6040" s="138">
        <v>2484.4899999999998</v>
      </c>
      <c r="L6040" s="137">
        <v>0</v>
      </c>
    </row>
    <row r="6041" spans="7:12" x14ac:dyDescent="0.25">
      <c r="G6041" s="136">
        <v>43595</v>
      </c>
      <c r="H6041" t="s">
        <v>25</v>
      </c>
      <c r="I6041" t="s">
        <v>63</v>
      </c>
      <c r="J6041" t="s">
        <v>567</v>
      </c>
      <c r="K6041" s="138">
        <v>16</v>
      </c>
      <c r="L6041" s="137">
        <v>0</v>
      </c>
    </row>
    <row r="6042" spans="7:12" x14ac:dyDescent="0.25">
      <c r="G6042" s="136">
        <v>43595</v>
      </c>
      <c r="H6042" t="s">
        <v>25</v>
      </c>
      <c r="I6042" t="s">
        <v>254</v>
      </c>
      <c r="J6042" t="s">
        <v>568</v>
      </c>
      <c r="K6042" s="138">
        <v>1143.8499999999999</v>
      </c>
      <c r="L6042" s="137">
        <v>0</v>
      </c>
    </row>
    <row r="6043" spans="7:12" x14ac:dyDescent="0.25">
      <c r="G6043" s="136">
        <v>43595</v>
      </c>
      <c r="H6043" t="s">
        <v>25</v>
      </c>
      <c r="I6043" t="s">
        <v>254</v>
      </c>
      <c r="J6043" t="s">
        <v>568</v>
      </c>
      <c r="K6043" s="138">
        <v>681.89</v>
      </c>
      <c r="L6043" s="137">
        <v>0</v>
      </c>
    </row>
    <row r="6044" spans="7:12" x14ac:dyDescent="0.25">
      <c r="G6044" s="136">
        <v>43595</v>
      </c>
      <c r="H6044" t="s">
        <v>25</v>
      </c>
      <c r="I6044" t="s">
        <v>254</v>
      </c>
      <c r="J6044" t="s">
        <v>568</v>
      </c>
      <c r="K6044" s="138">
        <v>671.12</v>
      </c>
      <c r="L6044" s="137">
        <v>0</v>
      </c>
    </row>
    <row r="6045" spans="7:12" x14ac:dyDescent="0.25">
      <c r="G6045" s="136">
        <v>43595</v>
      </c>
      <c r="H6045" t="s">
        <v>25</v>
      </c>
      <c r="I6045" t="s">
        <v>254</v>
      </c>
      <c r="J6045" t="s">
        <v>568</v>
      </c>
      <c r="K6045" s="138">
        <v>597.71</v>
      </c>
      <c r="L6045" s="137">
        <v>0</v>
      </c>
    </row>
    <row r="6046" spans="7:12" x14ac:dyDescent="0.25">
      <c r="G6046" s="136">
        <v>43595</v>
      </c>
      <c r="H6046" t="s">
        <v>25</v>
      </c>
      <c r="I6046" t="s">
        <v>254</v>
      </c>
      <c r="J6046" t="s">
        <v>568</v>
      </c>
      <c r="K6046" s="138">
        <v>597.52</v>
      </c>
      <c r="L6046" s="137">
        <v>0</v>
      </c>
    </row>
    <row r="6047" spans="7:12" x14ac:dyDescent="0.25">
      <c r="G6047" s="136">
        <v>43595</v>
      </c>
      <c r="H6047" t="s">
        <v>25</v>
      </c>
      <c r="I6047" t="s">
        <v>254</v>
      </c>
      <c r="J6047" t="s">
        <v>568</v>
      </c>
      <c r="K6047" s="138">
        <v>571.58000000000004</v>
      </c>
      <c r="L6047" s="137">
        <v>0</v>
      </c>
    </row>
    <row r="6048" spans="7:12" x14ac:dyDescent="0.25">
      <c r="G6048" s="136">
        <v>43595</v>
      </c>
      <c r="H6048" t="s">
        <v>25</v>
      </c>
      <c r="I6048" t="s">
        <v>254</v>
      </c>
      <c r="J6048" t="s">
        <v>568</v>
      </c>
      <c r="K6048" s="138">
        <v>448.2</v>
      </c>
      <c r="L6048" s="137">
        <v>0</v>
      </c>
    </row>
    <row r="6049" spans="7:12" x14ac:dyDescent="0.25">
      <c r="G6049" s="136">
        <v>43595</v>
      </c>
      <c r="H6049" t="s">
        <v>25</v>
      </c>
      <c r="I6049" t="s">
        <v>254</v>
      </c>
      <c r="J6049" t="s">
        <v>568</v>
      </c>
      <c r="K6049" s="138">
        <v>440.66</v>
      </c>
      <c r="L6049" s="137">
        <v>0</v>
      </c>
    </row>
    <row r="6050" spans="7:12" x14ac:dyDescent="0.25">
      <c r="G6050" s="136">
        <v>43595</v>
      </c>
      <c r="H6050" t="s">
        <v>25</v>
      </c>
      <c r="I6050" t="s">
        <v>254</v>
      </c>
      <c r="J6050" t="s">
        <v>568</v>
      </c>
      <c r="K6050" s="138">
        <v>368.43</v>
      </c>
      <c r="L6050" s="137">
        <v>0</v>
      </c>
    </row>
    <row r="6051" spans="7:12" x14ac:dyDescent="0.25">
      <c r="G6051" s="136">
        <v>43595</v>
      </c>
      <c r="H6051" t="s">
        <v>25</v>
      </c>
      <c r="I6051" t="s">
        <v>254</v>
      </c>
      <c r="J6051" t="s">
        <v>568</v>
      </c>
      <c r="K6051" s="138">
        <v>365.42</v>
      </c>
      <c r="L6051" s="137">
        <v>0</v>
      </c>
    </row>
    <row r="6052" spans="7:12" x14ac:dyDescent="0.25">
      <c r="G6052" s="136">
        <v>43595</v>
      </c>
      <c r="H6052" t="s">
        <v>25</v>
      </c>
      <c r="I6052" t="s">
        <v>254</v>
      </c>
      <c r="J6052" t="s">
        <v>568</v>
      </c>
      <c r="K6052" s="138">
        <v>365.3</v>
      </c>
      <c r="L6052" s="137">
        <v>0</v>
      </c>
    </row>
    <row r="6053" spans="7:12" x14ac:dyDescent="0.25">
      <c r="G6053" s="136">
        <v>43595</v>
      </c>
      <c r="H6053" t="s">
        <v>25</v>
      </c>
      <c r="I6053" t="s">
        <v>254</v>
      </c>
      <c r="J6053" t="s">
        <v>568</v>
      </c>
      <c r="K6053" s="138">
        <v>360.46</v>
      </c>
      <c r="L6053" s="137">
        <v>0</v>
      </c>
    </row>
    <row r="6054" spans="7:12" x14ac:dyDescent="0.25">
      <c r="G6054" s="136">
        <v>43595</v>
      </c>
      <c r="H6054" t="s">
        <v>25</v>
      </c>
      <c r="I6054" t="s">
        <v>254</v>
      </c>
      <c r="J6054" t="s">
        <v>568</v>
      </c>
      <c r="K6054" s="138">
        <v>355.04</v>
      </c>
      <c r="L6054" s="137">
        <v>0</v>
      </c>
    </row>
    <row r="6055" spans="7:12" x14ac:dyDescent="0.25">
      <c r="G6055" s="136">
        <v>43595</v>
      </c>
      <c r="H6055" t="s">
        <v>25</v>
      </c>
      <c r="I6055" t="s">
        <v>254</v>
      </c>
      <c r="J6055" t="s">
        <v>568</v>
      </c>
      <c r="K6055" s="138">
        <v>303.57</v>
      </c>
      <c r="L6055" s="137">
        <v>0</v>
      </c>
    </row>
    <row r="6056" spans="7:12" x14ac:dyDescent="0.25">
      <c r="G6056" s="136">
        <v>43595</v>
      </c>
      <c r="H6056" t="s">
        <v>25</v>
      </c>
      <c r="I6056" t="s">
        <v>254</v>
      </c>
      <c r="J6056" t="s">
        <v>568</v>
      </c>
      <c r="K6056" s="138">
        <v>259.92</v>
      </c>
      <c r="L6056" s="137">
        <v>0</v>
      </c>
    </row>
    <row r="6057" spans="7:12" x14ac:dyDescent="0.25">
      <c r="G6057" s="136">
        <v>43595</v>
      </c>
      <c r="H6057" t="s">
        <v>25</v>
      </c>
      <c r="I6057" t="s">
        <v>254</v>
      </c>
      <c r="J6057" t="s">
        <v>568</v>
      </c>
      <c r="K6057" s="138">
        <v>252.32</v>
      </c>
      <c r="L6057" s="137">
        <v>0</v>
      </c>
    </row>
    <row r="6058" spans="7:12" x14ac:dyDescent="0.25">
      <c r="G6058" s="136">
        <v>43595</v>
      </c>
      <c r="H6058" t="s">
        <v>25</v>
      </c>
      <c r="I6058" t="s">
        <v>254</v>
      </c>
      <c r="J6058" t="s">
        <v>568</v>
      </c>
      <c r="K6058" s="138">
        <v>215.34</v>
      </c>
      <c r="L6058" s="137">
        <v>0</v>
      </c>
    </row>
    <row r="6059" spans="7:12" x14ac:dyDescent="0.25">
      <c r="G6059" s="136">
        <v>43595</v>
      </c>
      <c r="H6059" t="s">
        <v>25</v>
      </c>
      <c r="I6059" t="s">
        <v>254</v>
      </c>
      <c r="J6059" t="s">
        <v>568</v>
      </c>
      <c r="K6059" s="138">
        <v>183.98</v>
      </c>
      <c r="L6059" s="137">
        <v>0</v>
      </c>
    </row>
    <row r="6060" spans="7:12" x14ac:dyDescent="0.25">
      <c r="G6060" s="136">
        <v>43595</v>
      </c>
      <c r="H6060" t="s">
        <v>25</v>
      </c>
      <c r="I6060" t="s">
        <v>254</v>
      </c>
      <c r="J6060" t="s">
        <v>568</v>
      </c>
      <c r="K6060" s="138">
        <v>132.81</v>
      </c>
      <c r="L6060" s="137">
        <v>0</v>
      </c>
    </row>
    <row r="6061" spans="7:12" x14ac:dyDescent="0.25">
      <c r="G6061" s="136">
        <v>43595</v>
      </c>
      <c r="H6061" t="s">
        <v>25</v>
      </c>
      <c r="I6061" t="s">
        <v>254</v>
      </c>
      <c r="J6061" t="s">
        <v>568</v>
      </c>
      <c r="K6061" s="138">
        <v>125.81</v>
      </c>
      <c r="L6061" s="137">
        <v>0</v>
      </c>
    </row>
    <row r="6062" spans="7:12" x14ac:dyDescent="0.25">
      <c r="G6062" s="136">
        <v>43595</v>
      </c>
      <c r="H6062" t="s">
        <v>25</v>
      </c>
      <c r="I6062" t="s">
        <v>254</v>
      </c>
      <c r="J6062" t="s">
        <v>568</v>
      </c>
      <c r="K6062" s="138">
        <v>88.69</v>
      </c>
      <c r="L6062" s="137">
        <v>0</v>
      </c>
    </row>
    <row r="6063" spans="7:12" x14ac:dyDescent="0.25">
      <c r="G6063" s="136">
        <v>43595</v>
      </c>
      <c r="H6063" t="s">
        <v>25</v>
      </c>
      <c r="I6063" t="s">
        <v>254</v>
      </c>
      <c r="J6063" t="s">
        <v>568</v>
      </c>
      <c r="K6063" s="138">
        <v>24.96</v>
      </c>
      <c r="L6063" s="137">
        <v>0</v>
      </c>
    </row>
    <row r="6064" spans="7:12" x14ac:dyDescent="0.25">
      <c r="G6064" s="136">
        <v>43595</v>
      </c>
      <c r="H6064" t="s">
        <v>25</v>
      </c>
      <c r="I6064" t="s">
        <v>254</v>
      </c>
      <c r="J6064" t="s">
        <v>568</v>
      </c>
      <c r="K6064" s="138">
        <v>10.050000000000001</v>
      </c>
      <c r="L6064" s="137">
        <v>0</v>
      </c>
    </row>
    <row r="6065" spans="7:12" x14ac:dyDescent="0.25">
      <c r="G6065" s="136">
        <v>43595</v>
      </c>
      <c r="H6065" t="s">
        <v>25</v>
      </c>
      <c r="I6065" t="s">
        <v>254</v>
      </c>
      <c r="J6065" t="s">
        <v>568</v>
      </c>
      <c r="K6065" s="138">
        <v>9.66</v>
      </c>
      <c r="L6065" s="137">
        <v>0</v>
      </c>
    </row>
    <row r="6066" spans="7:12" x14ac:dyDescent="0.25">
      <c r="G6066" s="136">
        <v>43595</v>
      </c>
      <c r="H6066" t="s">
        <v>201</v>
      </c>
      <c r="I6066" t="s">
        <v>112</v>
      </c>
      <c r="J6066" t="s">
        <v>567</v>
      </c>
      <c r="K6066" s="138">
        <v>91.6</v>
      </c>
      <c r="L6066" s="137">
        <v>0</v>
      </c>
    </row>
    <row r="6067" spans="7:12" x14ac:dyDescent="0.25">
      <c r="G6067" s="136">
        <v>43595</v>
      </c>
      <c r="H6067" t="s">
        <v>211</v>
      </c>
      <c r="I6067" t="s">
        <v>254</v>
      </c>
      <c r="J6067" t="s">
        <v>568</v>
      </c>
      <c r="K6067" s="138">
        <v>344.62</v>
      </c>
      <c r="L6067" s="137">
        <v>0</v>
      </c>
    </row>
    <row r="6068" spans="7:12" x14ac:dyDescent="0.25">
      <c r="G6068" s="136">
        <v>43595</v>
      </c>
      <c r="H6068" t="s">
        <v>180</v>
      </c>
      <c r="I6068" t="s">
        <v>254</v>
      </c>
      <c r="J6068" t="s">
        <v>568</v>
      </c>
      <c r="K6068" s="138">
        <v>18.37</v>
      </c>
      <c r="L6068" s="137">
        <v>0</v>
      </c>
    </row>
    <row r="6069" spans="7:12" x14ac:dyDescent="0.25">
      <c r="G6069" s="136">
        <v>43595</v>
      </c>
      <c r="H6069" t="s">
        <v>180</v>
      </c>
      <c r="I6069" t="s">
        <v>171</v>
      </c>
      <c r="J6069" t="s">
        <v>567</v>
      </c>
      <c r="K6069" s="138">
        <v>14.05</v>
      </c>
      <c r="L6069" s="137">
        <v>0</v>
      </c>
    </row>
    <row r="6070" spans="7:12" x14ac:dyDescent="0.25">
      <c r="G6070" s="136">
        <v>43595</v>
      </c>
      <c r="H6070" t="s">
        <v>179</v>
      </c>
      <c r="I6070" t="s">
        <v>254</v>
      </c>
      <c r="J6070" t="s">
        <v>568</v>
      </c>
      <c r="K6070" s="138">
        <v>1065.6300000000001</v>
      </c>
      <c r="L6070" s="137">
        <v>0</v>
      </c>
    </row>
    <row r="6071" spans="7:12" x14ac:dyDescent="0.25">
      <c r="G6071" s="136">
        <v>43595</v>
      </c>
      <c r="H6071" t="s">
        <v>28</v>
      </c>
      <c r="I6071" t="s">
        <v>63</v>
      </c>
      <c r="J6071" t="s">
        <v>567</v>
      </c>
      <c r="K6071" s="138">
        <v>32</v>
      </c>
      <c r="L6071" s="137">
        <v>0</v>
      </c>
    </row>
    <row r="6072" spans="7:12" x14ac:dyDescent="0.25">
      <c r="G6072" s="136">
        <v>43595</v>
      </c>
      <c r="H6072" t="s">
        <v>28</v>
      </c>
      <c r="I6072" t="s">
        <v>163</v>
      </c>
      <c r="J6072" t="s">
        <v>567</v>
      </c>
      <c r="K6072" s="138">
        <v>30</v>
      </c>
      <c r="L6072" s="137">
        <v>0</v>
      </c>
    </row>
    <row r="6073" spans="7:12" x14ac:dyDescent="0.25">
      <c r="G6073" s="136">
        <v>43595</v>
      </c>
      <c r="H6073" t="s">
        <v>28</v>
      </c>
      <c r="I6073" t="s">
        <v>163</v>
      </c>
      <c r="J6073" t="s">
        <v>567</v>
      </c>
      <c r="K6073" s="138">
        <v>25.06</v>
      </c>
      <c r="L6073" s="137">
        <v>0</v>
      </c>
    </row>
    <row r="6074" spans="7:12" x14ac:dyDescent="0.25">
      <c r="G6074" s="136">
        <v>43595</v>
      </c>
      <c r="H6074" t="s">
        <v>28</v>
      </c>
      <c r="I6074" t="s">
        <v>112</v>
      </c>
      <c r="J6074" t="s">
        <v>567</v>
      </c>
      <c r="K6074" s="138">
        <v>9.5</v>
      </c>
      <c r="L6074" s="137">
        <v>0</v>
      </c>
    </row>
    <row r="6075" spans="7:12" x14ac:dyDescent="0.25">
      <c r="G6075" s="136">
        <v>43595</v>
      </c>
      <c r="H6075" t="s">
        <v>28</v>
      </c>
      <c r="I6075" t="s">
        <v>155</v>
      </c>
      <c r="J6075" t="s">
        <v>567</v>
      </c>
      <c r="K6075" s="138">
        <v>94.69</v>
      </c>
      <c r="L6075" s="137">
        <v>0</v>
      </c>
    </row>
    <row r="6076" spans="7:12" x14ac:dyDescent="0.25">
      <c r="G6076" s="136">
        <v>43595</v>
      </c>
      <c r="H6076" t="s">
        <v>28</v>
      </c>
      <c r="I6076" t="s">
        <v>155</v>
      </c>
      <c r="J6076" t="s">
        <v>567</v>
      </c>
      <c r="K6076" s="138">
        <v>71.5</v>
      </c>
      <c r="L6076" s="137">
        <v>0</v>
      </c>
    </row>
    <row r="6077" spans="7:12" x14ac:dyDescent="0.25">
      <c r="G6077" s="136">
        <v>43595</v>
      </c>
      <c r="H6077" t="s">
        <v>28</v>
      </c>
      <c r="I6077" t="s">
        <v>155</v>
      </c>
      <c r="J6077" t="s">
        <v>567</v>
      </c>
      <c r="K6077" s="138">
        <v>45.28</v>
      </c>
      <c r="L6077" s="137">
        <v>0</v>
      </c>
    </row>
    <row r="6078" spans="7:12" x14ac:dyDescent="0.25">
      <c r="G6078" s="136">
        <v>43595</v>
      </c>
      <c r="H6078" t="s">
        <v>28</v>
      </c>
      <c r="I6078" t="s">
        <v>155</v>
      </c>
      <c r="J6078" t="s">
        <v>567</v>
      </c>
      <c r="K6078" s="138">
        <v>21.2</v>
      </c>
      <c r="L6078" s="137">
        <v>0</v>
      </c>
    </row>
    <row r="6079" spans="7:12" x14ac:dyDescent="0.25">
      <c r="G6079" s="136">
        <v>43595</v>
      </c>
      <c r="H6079" t="s">
        <v>28</v>
      </c>
      <c r="I6079" t="s">
        <v>155</v>
      </c>
      <c r="J6079" t="s">
        <v>567</v>
      </c>
      <c r="K6079" s="138">
        <v>18.88</v>
      </c>
      <c r="L6079" s="137">
        <v>0</v>
      </c>
    </row>
    <row r="6080" spans="7:12" x14ac:dyDescent="0.25">
      <c r="G6080" s="136">
        <v>43595</v>
      </c>
      <c r="H6080" t="s">
        <v>28</v>
      </c>
      <c r="I6080" t="s">
        <v>155</v>
      </c>
      <c r="J6080" t="s">
        <v>567</v>
      </c>
      <c r="K6080" s="138">
        <v>13.99</v>
      </c>
      <c r="L6080" s="137">
        <v>0</v>
      </c>
    </row>
    <row r="6081" spans="7:12" x14ac:dyDescent="0.25">
      <c r="G6081" s="136">
        <v>43595</v>
      </c>
      <c r="H6081" t="s">
        <v>28</v>
      </c>
      <c r="I6081" t="s">
        <v>66</v>
      </c>
      <c r="J6081" t="s">
        <v>105</v>
      </c>
      <c r="K6081" s="138">
        <v>15</v>
      </c>
      <c r="L6081" s="137">
        <v>0</v>
      </c>
    </row>
    <row r="6082" spans="7:12" x14ac:dyDescent="0.25">
      <c r="G6082" s="136">
        <v>43595</v>
      </c>
      <c r="H6082" t="s">
        <v>28</v>
      </c>
      <c r="I6082" t="s">
        <v>66</v>
      </c>
      <c r="J6082" t="s">
        <v>378</v>
      </c>
      <c r="K6082" s="138">
        <v>9.5500000000000007</v>
      </c>
      <c r="L6082" s="137">
        <v>0</v>
      </c>
    </row>
    <row r="6083" spans="7:12" x14ac:dyDescent="0.25">
      <c r="G6083" s="136">
        <v>43595</v>
      </c>
      <c r="H6083" t="s">
        <v>28</v>
      </c>
      <c r="I6083" t="s">
        <v>66</v>
      </c>
      <c r="J6083" t="s">
        <v>140</v>
      </c>
      <c r="K6083" s="138">
        <v>12</v>
      </c>
      <c r="L6083" s="137">
        <v>0</v>
      </c>
    </row>
    <row r="6084" spans="7:12" x14ac:dyDescent="0.25">
      <c r="G6084" s="136">
        <v>43595</v>
      </c>
      <c r="H6084" t="s">
        <v>28</v>
      </c>
      <c r="I6084" t="s">
        <v>254</v>
      </c>
      <c r="J6084" t="s">
        <v>568</v>
      </c>
      <c r="K6084" s="138">
        <v>409.39</v>
      </c>
      <c r="L6084" s="137">
        <v>0</v>
      </c>
    </row>
    <row r="6085" spans="7:12" x14ac:dyDescent="0.25">
      <c r="G6085" s="136">
        <v>43595</v>
      </c>
      <c r="H6085" t="s">
        <v>28</v>
      </c>
      <c r="I6085" t="s">
        <v>254</v>
      </c>
      <c r="J6085" t="s">
        <v>568</v>
      </c>
      <c r="K6085" s="138">
        <v>86.68</v>
      </c>
      <c r="L6085" s="137">
        <v>0</v>
      </c>
    </row>
    <row r="6086" spans="7:12" x14ac:dyDescent="0.25">
      <c r="G6086" s="136">
        <v>43595</v>
      </c>
      <c r="H6086" t="s">
        <v>28</v>
      </c>
      <c r="I6086" t="s">
        <v>254</v>
      </c>
      <c r="J6086" t="s">
        <v>568</v>
      </c>
      <c r="K6086" s="138">
        <v>85.06</v>
      </c>
      <c r="L6086" s="137">
        <v>0</v>
      </c>
    </row>
    <row r="6087" spans="7:12" x14ac:dyDescent="0.25">
      <c r="G6087" s="136">
        <v>43595</v>
      </c>
      <c r="H6087" t="s">
        <v>28</v>
      </c>
      <c r="I6087" t="s">
        <v>254</v>
      </c>
      <c r="J6087" t="s">
        <v>568</v>
      </c>
      <c r="K6087" s="138">
        <v>83.57</v>
      </c>
      <c r="L6087" s="137">
        <v>0</v>
      </c>
    </row>
    <row r="6088" spans="7:12" x14ac:dyDescent="0.25">
      <c r="G6088" s="136">
        <v>43595</v>
      </c>
      <c r="H6088" t="s">
        <v>28</v>
      </c>
      <c r="I6088" t="s">
        <v>254</v>
      </c>
      <c r="J6088" t="s">
        <v>568</v>
      </c>
      <c r="K6088" s="138">
        <v>74.62</v>
      </c>
      <c r="L6088" s="137">
        <v>0</v>
      </c>
    </row>
    <row r="6089" spans="7:12" x14ac:dyDescent="0.25">
      <c r="G6089" s="136">
        <v>43595</v>
      </c>
      <c r="H6089" t="s">
        <v>28</v>
      </c>
      <c r="I6089" t="s">
        <v>254</v>
      </c>
      <c r="J6089" t="s">
        <v>568</v>
      </c>
      <c r="K6089" s="138">
        <v>67.13</v>
      </c>
      <c r="L6089" s="137">
        <v>0</v>
      </c>
    </row>
    <row r="6090" spans="7:12" x14ac:dyDescent="0.25">
      <c r="G6090" s="136">
        <v>43595</v>
      </c>
      <c r="H6090" t="s">
        <v>28</v>
      </c>
      <c r="I6090" t="s">
        <v>254</v>
      </c>
      <c r="J6090" t="s">
        <v>568</v>
      </c>
      <c r="K6090" s="138">
        <v>52.97</v>
      </c>
      <c r="L6090" s="137">
        <v>0</v>
      </c>
    </row>
    <row r="6091" spans="7:12" x14ac:dyDescent="0.25">
      <c r="G6091" s="136">
        <v>43595</v>
      </c>
      <c r="H6091" t="s">
        <v>28</v>
      </c>
      <c r="I6091" t="s">
        <v>254</v>
      </c>
      <c r="J6091" t="s">
        <v>568</v>
      </c>
      <c r="K6091" s="138">
        <v>38.03</v>
      </c>
      <c r="L6091" s="137">
        <v>0</v>
      </c>
    </row>
    <row r="6092" spans="7:12" x14ac:dyDescent="0.25">
      <c r="G6092" s="136">
        <v>43595</v>
      </c>
      <c r="H6092" t="s">
        <v>28</v>
      </c>
      <c r="I6092" t="s">
        <v>171</v>
      </c>
      <c r="J6092" t="s">
        <v>567</v>
      </c>
      <c r="K6092" s="138">
        <v>12</v>
      </c>
      <c r="L6092" s="137">
        <v>0</v>
      </c>
    </row>
    <row r="6093" spans="7:12" x14ac:dyDescent="0.25">
      <c r="G6093" s="136">
        <v>43596</v>
      </c>
      <c r="H6093" t="s">
        <v>28</v>
      </c>
      <c r="I6093" t="s">
        <v>66</v>
      </c>
      <c r="J6093" t="s">
        <v>124</v>
      </c>
      <c r="K6093" s="138">
        <v>6.4</v>
      </c>
      <c r="L6093" s="137">
        <v>0</v>
      </c>
    </row>
    <row r="6094" spans="7:12" x14ac:dyDescent="0.25">
      <c r="G6094" s="136">
        <v>43598</v>
      </c>
      <c r="H6094" t="s">
        <v>27</v>
      </c>
      <c r="I6094" t="s">
        <v>63</v>
      </c>
      <c r="J6094" t="s">
        <v>569</v>
      </c>
      <c r="K6094" s="138">
        <v>24</v>
      </c>
      <c r="L6094" s="137">
        <v>0</v>
      </c>
    </row>
    <row r="6095" spans="7:12" x14ac:dyDescent="0.25">
      <c r="G6095" s="136">
        <v>43598</v>
      </c>
      <c r="H6095" t="s">
        <v>27</v>
      </c>
      <c r="I6095" t="s">
        <v>63</v>
      </c>
      <c r="J6095" t="s">
        <v>569</v>
      </c>
      <c r="K6095" s="138">
        <v>8</v>
      </c>
      <c r="L6095" s="137">
        <v>0</v>
      </c>
    </row>
    <row r="6096" spans="7:12" x14ac:dyDescent="0.25">
      <c r="G6096" s="136">
        <v>43598</v>
      </c>
      <c r="H6096" t="s">
        <v>188</v>
      </c>
      <c r="I6096" t="s">
        <v>178</v>
      </c>
      <c r="J6096" t="s">
        <v>569</v>
      </c>
      <c r="K6096" s="138">
        <v>50</v>
      </c>
      <c r="L6096" s="137">
        <v>0</v>
      </c>
    </row>
    <row r="6097" spans="7:12" x14ac:dyDescent="0.25">
      <c r="G6097" s="136">
        <v>43598</v>
      </c>
      <c r="H6097" t="s">
        <v>188</v>
      </c>
      <c r="I6097" t="s">
        <v>112</v>
      </c>
      <c r="J6097" t="s">
        <v>569</v>
      </c>
      <c r="K6097" s="138">
        <v>64.650000000000006</v>
      </c>
      <c r="L6097" s="137">
        <v>0</v>
      </c>
    </row>
    <row r="6098" spans="7:12" x14ac:dyDescent="0.25">
      <c r="G6098" s="136">
        <v>43598</v>
      </c>
      <c r="H6098" t="s">
        <v>25</v>
      </c>
      <c r="I6098" t="s">
        <v>63</v>
      </c>
      <c r="J6098" t="s">
        <v>569</v>
      </c>
      <c r="K6098" s="138">
        <v>48</v>
      </c>
      <c r="L6098" s="137">
        <v>0</v>
      </c>
    </row>
    <row r="6099" spans="7:12" x14ac:dyDescent="0.25">
      <c r="G6099" s="136">
        <v>43598</v>
      </c>
      <c r="H6099" t="s">
        <v>25</v>
      </c>
      <c r="I6099" t="s">
        <v>63</v>
      </c>
      <c r="J6099" t="s">
        <v>569</v>
      </c>
      <c r="K6099" s="138">
        <v>40</v>
      </c>
      <c r="L6099" s="137">
        <v>0</v>
      </c>
    </row>
    <row r="6100" spans="7:12" x14ac:dyDescent="0.25">
      <c r="G6100" s="136">
        <v>43598</v>
      </c>
      <c r="H6100" t="s">
        <v>25</v>
      </c>
      <c r="I6100" t="s">
        <v>63</v>
      </c>
      <c r="J6100" t="s">
        <v>569</v>
      </c>
      <c r="K6100" s="138">
        <v>16</v>
      </c>
      <c r="L6100" s="137">
        <v>0</v>
      </c>
    </row>
    <row r="6101" spans="7:12" x14ac:dyDescent="0.25">
      <c r="G6101" s="136">
        <v>43598</v>
      </c>
      <c r="H6101" t="s">
        <v>25</v>
      </c>
      <c r="I6101" t="s">
        <v>63</v>
      </c>
      <c r="J6101" t="s">
        <v>569</v>
      </c>
      <c r="K6101" s="138">
        <v>8</v>
      </c>
      <c r="L6101" s="137">
        <v>0</v>
      </c>
    </row>
    <row r="6102" spans="7:12" x14ac:dyDescent="0.25">
      <c r="G6102" s="136">
        <v>43598</v>
      </c>
      <c r="H6102" t="s">
        <v>180</v>
      </c>
      <c r="I6102" t="s">
        <v>171</v>
      </c>
      <c r="J6102" t="s">
        <v>569</v>
      </c>
      <c r="K6102" s="138">
        <v>11</v>
      </c>
      <c r="L6102" s="137">
        <v>0</v>
      </c>
    </row>
    <row r="6103" spans="7:12" x14ac:dyDescent="0.25">
      <c r="G6103" s="136">
        <v>43598</v>
      </c>
      <c r="H6103" t="s">
        <v>28</v>
      </c>
      <c r="I6103" t="s">
        <v>63</v>
      </c>
      <c r="J6103" t="s">
        <v>569</v>
      </c>
      <c r="K6103" s="138">
        <v>8</v>
      </c>
      <c r="L6103" s="137">
        <v>0</v>
      </c>
    </row>
    <row r="6104" spans="7:12" x14ac:dyDescent="0.25">
      <c r="G6104" s="136">
        <v>43598</v>
      </c>
      <c r="H6104" t="s">
        <v>28</v>
      </c>
      <c r="I6104" t="s">
        <v>155</v>
      </c>
      <c r="J6104" t="s">
        <v>569</v>
      </c>
      <c r="K6104" s="138">
        <v>35</v>
      </c>
      <c r="L6104" s="137">
        <v>0</v>
      </c>
    </row>
    <row r="6105" spans="7:12" x14ac:dyDescent="0.25">
      <c r="G6105" s="136">
        <v>43598</v>
      </c>
      <c r="H6105" t="s">
        <v>28</v>
      </c>
      <c r="I6105" t="s">
        <v>155</v>
      </c>
      <c r="J6105" t="s">
        <v>569</v>
      </c>
      <c r="K6105" s="138">
        <v>24.82</v>
      </c>
      <c r="L6105" s="137">
        <v>0</v>
      </c>
    </row>
    <row r="6106" spans="7:12" x14ac:dyDescent="0.25">
      <c r="G6106" s="136">
        <v>43598</v>
      </c>
      <c r="H6106" t="s">
        <v>28</v>
      </c>
      <c r="I6106" t="s">
        <v>66</v>
      </c>
      <c r="J6106" t="s">
        <v>143</v>
      </c>
      <c r="K6106" s="138">
        <v>26</v>
      </c>
      <c r="L6106" s="137">
        <v>0</v>
      </c>
    </row>
    <row r="6107" spans="7:12" x14ac:dyDescent="0.25">
      <c r="G6107" s="136">
        <v>43598</v>
      </c>
      <c r="H6107" t="s">
        <v>28</v>
      </c>
      <c r="I6107" t="s">
        <v>66</v>
      </c>
      <c r="J6107" t="s">
        <v>378</v>
      </c>
      <c r="K6107" s="138">
        <v>4.2</v>
      </c>
      <c r="L6107" s="137">
        <v>0</v>
      </c>
    </row>
    <row r="6108" spans="7:12" x14ac:dyDescent="0.25">
      <c r="G6108" s="136">
        <v>43598</v>
      </c>
      <c r="H6108" t="s">
        <v>28</v>
      </c>
      <c r="I6108" t="s">
        <v>66</v>
      </c>
      <c r="J6108" t="s">
        <v>107</v>
      </c>
      <c r="K6108" s="138">
        <v>3</v>
      </c>
      <c r="L6108" s="137">
        <v>0</v>
      </c>
    </row>
    <row r="6109" spans="7:12" x14ac:dyDescent="0.25">
      <c r="G6109" s="136">
        <v>43599</v>
      </c>
      <c r="H6109" t="s">
        <v>184</v>
      </c>
      <c r="I6109" t="s">
        <v>171</v>
      </c>
      <c r="J6109" t="s">
        <v>570</v>
      </c>
      <c r="K6109" s="138">
        <v>25</v>
      </c>
      <c r="L6109" s="137">
        <v>0</v>
      </c>
    </row>
    <row r="6110" spans="7:12" x14ac:dyDescent="0.25">
      <c r="G6110" s="136">
        <v>43599</v>
      </c>
      <c r="H6110" t="s">
        <v>180</v>
      </c>
      <c r="I6110" t="s">
        <v>171</v>
      </c>
      <c r="J6110" t="s">
        <v>570</v>
      </c>
      <c r="K6110" s="138">
        <v>17.68</v>
      </c>
      <c r="L6110" s="137">
        <v>0</v>
      </c>
    </row>
    <row r="6111" spans="7:12" x14ac:dyDescent="0.25">
      <c r="G6111" s="136">
        <v>43599</v>
      </c>
      <c r="H6111" t="s">
        <v>28</v>
      </c>
      <c r="I6111" t="s">
        <v>63</v>
      </c>
      <c r="J6111" t="s">
        <v>570</v>
      </c>
      <c r="K6111" s="138">
        <v>8</v>
      </c>
      <c r="L6111" s="137">
        <v>0</v>
      </c>
    </row>
    <row r="6112" spans="7:12" x14ac:dyDescent="0.25">
      <c r="G6112" s="136">
        <v>43599</v>
      </c>
      <c r="H6112" t="s">
        <v>28</v>
      </c>
      <c r="I6112" t="s">
        <v>155</v>
      </c>
      <c r="J6112" t="s">
        <v>570</v>
      </c>
      <c r="K6112" s="138">
        <v>0</v>
      </c>
      <c r="L6112" s="137">
        <v>5</v>
      </c>
    </row>
    <row r="6113" spans="7:12" x14ac:dyDescent="0.25">
      <c r="G6113" s="136">
        <v>43599</v>
      </c>
      <c r="H6113" t="s">
        <v>28</v>
      </c>
      <c r="I6113" t="s">
        <v>66</v>
      </c>
      <c r="J6113" t="s">
        <v>143</v>
      </c>
      <c r="K6113" s="138">
        <v>26</v>
      </c>
      <c r="L6113" s="137">
        <v>0</v>
      </c>
    </row>
    <row r="6114" spans="7:12" x14ac:dyDescent="0.25">
      <c r="G6114" s="136">
        <v>43599</v>
      </c>
      <c r="H6114" t="s">
        <v>28</v>
      </c>
      <c r="I6114" t="s">
        <v>66</v>
      </c>
      <c r="J6114" t="s">
        <v>137</v>
      </c>
      <c r="K6114" s="138">
        <v>3</v>
      </c>
      <c r="L6114" s="137">
        <v>0</v>
      </c>
    </row>
    <row r="6115" spans="7:12" x14ac:dyDescent="0.25">
      <c r="G6115" s="136">
        <v>43599</v>
      </c>
      <c r="H6115" t="s">
        <v>28</v>
      </c>
      <c r="I6115" t="s">
        <v>171</v>
      </c>
      <c r="J6115" t="s">
        <v>570</v>
      </c>
      <c r="K6115" s="138">
        <v>12</v>
      </c>
      <c r="L6115" s="137">
        <v>0</v>
      </c>
    </row>
    <row r="6116" spans="7:12" x14ac:dyDescent="0.25">
      <c r="G6116" s="136">
        <v>43600</v>
      </c>
      <c r="H6116" t="s">
        <v>192</v>
      </c>
      <c r="I6116" t="s">
        <v>178</v>
      </c>
      <c r="J6116" t="s">
        <v>571</v>
      </c>
      <c r="K6116" s="138">
        <v>281.52999999999997</v>
      </c>
      <c r="L6116" s="137">
        <v>0</v>
      </c>
    </row>
    <row r="6117" spans="7:12" x14ac:dyDescent="0.25">
      <c r="G6117" s="136">
        <v>43600</v>
      </c>
      <c r="H6117" t="s">
        <v>192</v>
      </c>
      <c r="I6117" t="s">
        <v>171</v>
      </c>
      <c r="J6117" t="s">
        <v>571</v>
      </c>
      <c r="K6117" s="138">
        <v>10.7</v>
      </c>
      <c r="L6117" s="137">
        <v>0</v>
      </c>
    </row>
    <row r="6118" spans="7:12" x14ac:dyDescent="0.25">
      <c r="G6118" s="136">
        <v>43600</v>
      </c>
      <c r="H6118" t="s">
        <v>202</v>
      </c>
      <c r="I6118" t="s">
        <v>171</v>
      </c>
      <c r="J6118" t="s">
        <v>571</v>
      </c>
      <c r="K6118" s="138">
        <v>258.66000000000003</v>
      </c>
      <c r="L6118" s="137">
        <v>0</v>
      </c>
    </row>
    <row r="6119" spans="7:12" x14ac:dyDescent="0.25">
      <c r="G6119" s="136">
        <v>43600</v>
      </c>
      <c r="H6119" t="s">
        <v>188</v>
      </c>
      <c r="I6119" t="s">
        <v>155</v>
      </c>
      <c r="J6119" t="s">
        <v>571</v>
      </c>
      <c r="K6119" s="138">
        <v>22.86</v>
      </c>
      <c r="L6119" s="137">
        <v>0</v>
      </c>
    </row>
    <row r="6120" spans="7:12" x14ac:dyDescent="0.25">
      <c r="G6120" s="136">
        <v>43600</v>
      </c>
      <c r="H6120" t="s">
        <v>200</v>
      </c>
      <c r="I6120" t="s">
        <v>63</v>
      </c>
      <c r="J6120" t="s">
        <v>571</v>
      </c>
      <c r="K6120" s="138">
        <v>138.59</v>
      </c>
      <c r="L6120" s="137">
        <v>0</v>
      </c>
    </row>
    <row r="6121" spans="7:12" x14ac:dyDescent="0.25">
      <c r="G6121" s="136">
        <v>43600</v>
      </c>
      <c r="H6121" t="s">
        <v>25</v>
      </c>
      <c r="I6121" t="s">
        <v>63</v>
      </c>
      <c r="J6121" t="s">
        <v>571</v>
      </c>
      <c r="K6121" s="138">
        <v>64</v>
      </c>
      <c r="L6121" s="137">
        <v>0</v>
      </c>
    </row>
    <row r="6122" spans="7:12" x14ac:dyDescent="0.25">
      <c r="G6122" s="136">
        <v>43600</v>
      </c>
      <c r="H6122" t="s">
        <v>25</v>
      </c>
      <c r="I6122" t="s">
        <v>63</v>
      </c>
      <c r="J6122" t="s">
        <v>571</v>
      </c>
      <c r="K6122" s="138">
        <v>40</v>
      </c>
      <c r="L6122" s="137">
        <v>0</v>
      </c>
    </row>
    <row r="6123" spans="7:12" x14ac:dyDescent="0.25">
      <c r="G6123" s="136">
        <v>43600</v>
      </c>
      <c r="H6123" t="s">
        <v>25</v>
      </c>
      <c r="I6123" t="s">
        <v>63</v>
      </c>
      <c r="J6123" t="s">
        <v>571</v>
      </c>
      <c r="K6123" s="138">
        <v>16</v>
      </c>
      <c r="L6123" s="137">
        <v>0</v>
      </c>
    </row>
    <row r="6124" spans="7:12" x14ac:dyDescent="0.25">
      <c r="G6124" s="136">
        <v>43600</v>
      </c>
      <c r="H6124" t="s">
        <v>25</v>
      </c>
      <c r="I6124" t="s">
        <v>63</v>
      </c>
      <c r="J6124" t="s">
        <v>571</v>
      </c>
      <c r="K6124" s="138">
        <v>8</v>
      </c>
      <c r="L6124" s="137">
        <v>0</v>
      </c>
    </row>
    <row r="6125" spans="7:12" x14ac:dyDescent="0.25">
      <c r="G6125" s="136">
        <v>43600</v>
      </c>
      <c r="H6125" t="s">
        <v>25</v>
      </c>
      <c r="I6125" t="s">
        <v>171</v>
      </c>
      <c r="J6125" t="s">
        <v>571</v>
      </c>
      <c r="K6125" s="138">
        <v>152</v>
      </c>
      <c r="L6125" s="137">
        <v>0</v>
      </c>
    </row>
    <row r="6126" spans="7:12" x14ac:dyDescent="0.25">
      <c r="G6126" s="136">
        <v>43600</v>
      </c>
      <c r="H6126" t="s">
        <v>197</v>
      </c>
      <c r="I6126" t="s">
        <v>171</v>
      </c>
      <c r="J6126" t="s">
        <v>571</v>
      </c>
      <c r="K6126" s="138">
        <v>127.12</v>
      </c>
      <c r="L6126" s="137">
        <v>0</v>
      </c>
    </row>
    <row r="6127" spans="7:12" x14ac:dyDescent="0.25">
      <c r="G6127" s="136">
        <v>43600</v>
      </c>
      <c r="H6127" t="s">
        <v>180</v>
      </c>
      <c r="I6127" t="s">
        <v>63</v>
      </c>
      <c r="J6127" t="s">
        <v>571</v>
      </c>
      <c r="K6127" s="138">
        <v>10</v>
      </c>
      <c r="L6127" s="137">
        <v>0</v>
      </c>
    </row>
    <row r="6128" spans="7:12" x14ac:dyDescent="0.25">
      <c r="G6128" s="136">
        <v>43600</v>
      </c>
      <c r="H6128" t="s">
        <v>28</v>
      </c>
      <c r="I6128" t="s">
        <v>63</v>
      </c>
      <c r="J6128" t="s">
        <v>571</v>
      </c>
      <c r="K6128" s="138">
        <v>130</v>
      </c>
      <c r="L6128" s="137">
        <v>0</v>
      </c>
    </row>
    <row r="6129" spans="7:12" x14ac:dyDescent="0.25">
      <c r="G6129" s="136">
        <v>43600</v>
      </c>
      <c r="H6129" t="s">
        <v>28</v>
      </c>
      <c r="I6129" t="s">
        <v>178</v>
      </c>
      <c r="J6129" t="s">
        <v>571</v>
      </c>
      <c r="K6129" s="138">
        <v>50</v>
      </c>
      <c r="L6129" s="137">
        <v>0</v>
      </c>
    </row>
    <row r="6130" spans="7:12" x14ac:dyDescent="0.25">
      <c r="G6130" s="136">
        <v>43600</v>
      </c>
      <c r="H6130" t="s">
        <v>28</v>
      </c>
      <c r="I6130" t="s">
        <v>112</v>
      </c>
      <c r="J6130" t="s">
        <v>571</v>
      </c>
      <c r="K6130" s="138">
        <v>64.95</v>
      </c>
      <c r="L6130" s="137">
        <v>0</v>
      </c>
    </row>
    <row r="6131" spans="7:12" x14ac:dyDescent="0.25">
      <c r="G6131" s="136">
        <v>43600</v>
      </c>
      <c r="H6131" t="s">
        <v>28</v>
      </c>
      <c r="I6131" t="s">
        <v>155</v>
      </c>
      <c r="J6131" t="s">
        <v>571</v>
      </c>
      <c r="K6131" s="138">
        <v>142.61000000000001</v>
      </c>
      <c r="L6131" s="137">
        <v>0</v>
      </c>
    </row>
    <row r="6132" spans="7:12" x14ac:dyDescent="0.25">
      <c r="G6132" s="136">
        <v>43600</v>
      </c>
      <c r="H6132" t="s">
        <v>28</v>
      </c>
      <c r="I6132" t="s">
        <v>155</v>
      </c>
      <c r="J6132" t="s">
        <v>571</v>
      </c>
      <c r="K6132" s="138">
        <v>122.34</v>
      </c>
      <c r="L6132" s="137">
        <v>0</v>
      </c>
    </row>
    <row r="6133" spans="7:12" x14ac:dyDescent="0.25">
      <c r="G6133" s="136">
        <v>43600</v>
      </c>
      <c r="H6133" t="s">
        <v>28</v>
      </c>
      <c r="I6133" t="s">
        <v>155</v>
      </c>
      <c r="J6133" t="s">
        <v>571</v>
      </c>
      <c r="K6133" s="138">
        <v>92.79</v>
      </c>
      <c r="L6133" s="137">
        <v>0</v>
      </c>
    </row>
    <row r="6134" spans="7:12" x14ac:dyDescent="0.25">
      <c r="G6134" s="136">
        <v>43600</v>
      </c>
      <c r="H6134" t="s">
        <v>28</v>
      </c>
      <c r="I6134" t="s">
        <v>155</v>
      </c>
      <c r="J6134" t="s">
        <v>571</v>
      </c>
      <c r="K6134" s="138">
        <v>31.14</v>
      </c>
      <c r="L6134" s="137">
        <v>0</v>
      </c>
    </row>
    <row r="6135" spans="7:12" x14ac:dyDescent="0.25">
      <c r="G6135" s="136">
        <v>43600</v>
      </c>
      <c r="H6135" t="s">
        <v>28</v>
      </c>
      <c r="I6135" t="s">
        <v>155</v>
      </c>
      <c r="J6135" t="s">
        <v>571</v>
      </c>
      <c r="K6135" s="138">
        <v>22.65</v>
      </c>
      <c r="L6135" s="137">
        <v>0</v>
      </c>
    </row>
    <row r="6136" spans="7:12" x14ac:dyDescent="0.25">
      <c r="G6136" s="136">
        <v>43600</v>
      </c>
      <c r="H6136" t="s">
        <v>28</v>
      </c>
      <c r="I6136" t="s">
        <v>155</v>
      </c>
      <c r="J6136" t="s">
        <v>571</v>
      </c>
      <c r="K6136" s="138">
        <v>19.29</v>
      </c>
      <c r="L6136" s="137">
        <v>0</v>
      </c>
    </row>
    <row r="6137" spans="7:12" x14ac:dyDescent="0.25">
      <c r="G6137" s="136">
        <v>43600</v>
      </c>
      <c r="H6137" t="s">
        <v>28</v>
      </c>
      <c r="I6137" t="s">
        <v>155</v>
      </c>
      <c r="J6137" t="s">
        <v>571</v>
      </c>
      <c r="K6137" s="138">
        <v>8.6999999999999993</v>
      </c>
      <c r="L6137" s="137">
        <v>0</v>
      </c>
    </row>
    <row r="6138" spans="7:12" x14ac:dyDescent="0.25">
      <c r="G6138" s="136">
        <v>43600</v>
      </c>
      <c r="H6138" t="s">
        <v>28</v>
      </c>
      <c r="I6138" t="s">
        <v>66</v>
      </c>
      <c r="J6138" t="s">
        <v>285</v>
      </c>
      <c r="K6138" s="138">
        <v>8.6999999999999993</v>
      </c>
      <c r="L6138" s="137">
        <v>0</v>
      </c>
    </row>
    <row r="6139" spans="7:12" x14ac:dyDescent="0.25">
      <c r="G6139" s="136">
        <v>43600</v>
      </c>
      <c r="H6139" t="s">
        <v>28</v>
      </c>
      <c r="I6139" t="s">
        <v>66</v>
      </c>
      <c r="J6139" t="s">
        <v>121</v>
      </c>
      <c r="K6139" s="138">
        <v>3</v>
      </c>
      <c r="L6139" s="137">
        <v>0</v>
      </c>
    </row>
    <row r="6140" spans="7:12" x14ac:dyDescent="0.25">
      <c r="G6140" s="136">
        <v>43601</v>
      </c>
      <c r="H6140" t="s">
        <v>204</v>
      </c>
      <c r="I6140" t="s">
        <v>176</v>
      </c>
      <c r="J6140" t="s">
        <v>572</v>
      </c>
      <c r="K6140" s="138">
        <v>0</v>
      </c>
      <c r="L6140" s="137">
        <v>92.1</v>
      </c>
    </row>
    <row r="6141" spans="7:12" x14ac:dyDescent="0.25">
      <c r="G6141" s="136">
        <v>43601</v>
      </c>
      <c r="H6141" t="s">
        <v>192</v>
      </c>
      <c r="I6141" t="s">
        <v>176</v>
      </c>
      <c r="J6141" t="s">
        <v>572</v>
      </c>
      <c r="K6141" s="138">
        <v>0</v>
      </c>
      <c r="L6141" s="137">
        <v>342.3</v>
      </c>
    </row>
    <row r="6142" spans="7:12" x14ac:dyDescent="0.25">
      <c r="G6142" s="136">
        <v>43601</v>
      </c>
      <c r="H6142" t="s">
        <v>27</v>
      </c>
      <c r="I6142" t="s">
        <v>63</v>
      </c>
      <c r="J6142" t="s">
        <v>572</v>
      </c>
      <c r="K6142" s="138">
        <v>8</v>
      </c>
      <c r="L6142" s="137">
        <v>0</v>
      </c>
    </row>
    <row r="6143" spans="7:12" x14ac:dyDescent="0.25">
      <c r="G6143" s="136">
        <v>43601</v>
      </c>
      <c r="H6143" t="s">
        <v>27</v>
      </c>
      <c r="I6143" t="s">
        <v>171</v>
      </c>
      <c r="J6143" t="s">
        <v>572</v>
      </c>
      <c r="K6143" s="138">
        <v>182</v>
      </c>
      <c r="L6143" s="137">
        <v>0</v>
      </c>
    </row>
    <row r="6144" spans="7:12" x14ac:dyDescent="0.25">
      <c r="G6144" s="136">
        <v>43601</v>
      </c>
      <c r="H6144" t="s">
        <v>183</v>
      </c>
      <c r="I6144" t="s">
        <v>171</v>
      </c>
      <c r="J6144" t="s">
        <v>572</v>
      </c>
      <c r="K6144" s="138">
        <v>21.05</v>
      </c>
      <c r="L6144" s="137">
        <v>0</v>
      </c>
    </row>
    <row r="6145" spans="7:12" x14ac:dyDescent="0.25">
      <c r="G6145" s="136">
        <v>43601</v>
      </c>
      <c r="H6145" t="s">
        <v>191</v>
      </c>
      <c r="I6145" t="s">
        <v>163</v>
      </c>
      <c r="J6145" t="s">
        <v>572</v>
      </c>
      <c r="K6145" s="138">
        <v>40</v>
      </c>
      <c r="L6145" s="137">
        <v>0</v>
      </c>
    </row>
    <row r="6146" spans="7:12" x14ac:dyDescent="0.25">
      <c r="G6146" s="136">
        <v>43601</v>
      </c>
      <c r="H6146" t="s">
        <v>200</v>
      </c>
      <c r="I6146" t="s">
        <v>63</v>
      </c>
      <c r="J6146" t="s">
        <v>572</v>
      </c>
      <c r="K6146" s="138">
        <v>159.80000000000001</v>
      </c>
      <c r="L6146" s="137">
        <v>0</v>
      </c>
    </row>
    <row r="6147" spans="7:12" x14ac:dyDescent="0.25">
      <c r="G6147" s="136">
        <v>43601</v>
      </c>
      <c r="H6147" t="s">
        <v>25</v>
      </c>
      <c r="I6147" t="s">
        <v>63</v>
      </c>
      <c r="J6147" t="s">
        <v>572</v>
      </c>
      <c r="K6147" s="138">
        <v>48</v>
      </c>
      <c r="L6147" s="137">
        <v>0</v>
      </c>
    </row>
    <row r="6148" spans="7:12" x14ac:dyDescent="0.25">
      <c r="G6148" s="136">
        <v>43601</v>
      </c>
      <c r="H6148" t="s">
        <v>25</v>
      </c>
      <c r="I6148" t="s">
        <v>63</v>
      </c>
      <c r="J6148" t="s">
        <v>572</v>
      </c>
      <c r="K6148" s="138">
        <v>40</v>
      </c>
      <c r="L6148" s="137">
        <v>0</v>
      </c>
    </row>
    <row r="6149" spans="7:12" x14ac:dyDescent="0.25">
      <c r="G6149" s="136">
        <v>43601</v>
      </c>
      <c r="H6149" t="s">
        <v>25</v>
      </c>
      <c r="I6149" t="s">
        <v>63</v>
      </c>
      <c r="J6149" t="s">
        <v>572</v>
      </c>
      <c r="K6149" s="138">
        <v>24</v>
      </c>
      <c r="L6149" s="137">
        <v>0</v>
      </c>
    </row>
    <row r="6150" spans="7:12" x14ac:dyDescent="0.25">
      <c r="G6150" s="136">
        <v>43601</v>
      </c>
      <c r="H6150" t="s">
        <v>25</v>
      </c>
      <c r="I6150" t="s">
        <v>63</v>
      </c>
      <c r="J6150" t="s">
        <v>572</v>
      </c>
      <c r="K6150" s="138">
        <v>16</v>
      </c>
      <c r="L6150" s="137">
        <v>0</v>
      </c>
    </row>
    <row r="6151" spans="7:12" x14ac:dyDescent="0.25">
      <c r="G6151" s="136">
        <v>43601</v>
      </c>
      <c r="H6151" t="s">
        <v>25</v>
      </c>
      <c r="I6151" t="s">
        <v>63</v>
      </c>
      <c r="J6151" t="s">
        <v>572</v>
      </c>
      <c r="K6151" s="138">
        <v>8</v>
      </c>
      <c r="L6151" s="137">
        <v>0</v>
      </c>
    </row>
    <row r="6152" spans="7:12" x14ac:dyDescent="0.25">
      <c r="G6152" s="136">
        <v>43601</v>
      </c>
      <c r="H6152" t="s">
        <v>25</v>
      </c>
      <c r="I6152" t="s">
        <v>171</v>
      </c>
      <c r="J6152" t="s">
        <v>572</v>
      </c>
      <c r="K6152" s="138">
        <v>676</v>
      </c>
      <c r="L6152" s="137">
        <v>0</v>
      </c>
    </row>
    <row r="6153" spans="7:12" x14ac:dyDescent="0.25">
      <c r="G6153" s="136">
        <v>43601</v>
      </c>
      <c r="H6153" t="s">
        <v>201</v>
      </c>
      <c r="I6153" t="s">
        <v>176</v>
      </c>
      <c r="J6153" t="s">
        <v>572</v>
      </c>
      <c r="K6153" s="138">
        <v>0</v>
      </c>
      <c r="L6153" s="137">
        <v>0.6</v>
      </c>
    </row>
    <row r="6154" spans="7:12" x14ac:dyDescent="0.25">
      <c r="G6154" s="136">
        <v>43601</v>
      </c>
      <c r="H6154" t="s">
        <v>207</v>
      </c>
      <c r="I6154" t="s">
        <v>176</v>
      </c>
      <c r="J6154" t="s">
        <v>572</v>
      </c>
      <c r="K6154" s="138">
        <v>0</v>
      </c>
      <c r="L6154" s="137">
        <v>23</v>
      </c>
    </row>
    <row r="6155" spans="7:12" x14ac:dyDescent="0.25">
      <c r="G6155" s="136">
        <v>43601</v>
      </c>
      <c r="H6155" t="s">
        <v>187</v>
      </c>
      <c r="I6155" t="s">
        <v>171</v>
      </c>
      <c r="J6155" t="s">
        <v>572</v>
      </c>
      <c r="K6155" s="138">
        <v>50</v>
      </c>
      <c r="L6155" s="137">
        <v>0</v>
      </c>
    </row>
    <row r="6156" spans="7:12" x14ac:dyDescent="0.25">
      <c r="G6156" s="136">
        <v>43601</v>
      </c>
      <c r="H6156" t="s">
        <v>180</v>
      </c>
      <c r="I6156" t="s">
        <v>176</v>
      </c>
      <c r="J6156" t="s">
        <v>572</v>
      </c>
      <c r="K6156" s="138">
        <v>0</v>
      </c>
      <c r="L6156" s="137">
        <v>191.9</v>
      </c>
    </row>
    <row r="6157" spans="7:12" x14ac:dyDescent="0.25">
      <c r="G6157" s="136">
        <v>43601</v>
      </c>
      <c r="H6157" t="s">
        <v>179</v>
      </c>
      <c r="I6157" t="s">
        <v>176</v>
      </c>
      <c r="J6157" t="s">
        <v>572</v>
      </c>
      <c r="K6157" s="138">
        <v>0</v>
      </c>
      <c r="L6157" s="137">
        <v>614.4</v>
      </c>
    </row>
    <row r="6158" spans="7:12" x14ac:dyDescent="0.25">
      <c r="G6158" s="136">
        <v>43601</v>
      </c>
      <c r="H6158" t="s">
        <v>28</v>
      </c>
      <c r="I6158" t="s">
        <v>112</v>
      </c>
      <c r="J6158" t="s">
        <v>572</v>
      </c>
      <c r="K6158" s="138">
        <v>112</v>
      </c>
      <c r="L6158" s="137">
        <v>0</v>
      </c>
    </row>
    <row r="6159" spans="7:12" x14ac:dyDescent="0.25">
      <c r="G6159" s="136">
        <v>43601</v>
      </c>
      <c r="H6159" t="s">
        <v>28</v>
      </c>
      <c r="I6159" t="s">
        <v>66</v>
      </c>
      <c r="J6159" t="s">
        <v>134</v>
      </c>
      <c r="K6159" s="138">
        <v>5</v>
      </c>
      <c r="L6159" s="137">
        <v>0</v>
      </c>
    </row>
    <row r="6160" spans="7:12" x14ac:dyDescent="0.25">
      <c r="G6160" s="136">
        <v>43601</v>
      </c>
      <c r="H6160" t="s">
        <v>28</v>
      </c>
      <c r="I6160" t="s">
        <v>66</v>
      </c>
      <c r="J6160" t="s">
        <v>372</v>
      </c>
      <c r="K6160" s="138">
        <v>22.5</v>
      </c>
      <c r="L6160" s="137">
        <v>0</v>
      </c>
    </row>
    <row r="6161" spans="7:12" x14ac:dyDescent="0.25">
      <c r="G6161" s="136">
        <v>43601</v>
      </c>
      <c r="H6161" t="s">
        <v>28</v>
      </c>
      <c r="I6161" t="s">
        <v>66</v>
      </c>
      <c r="J6161" t="s">
        <v>116</v>
      </c>
      <c r="K6161" s="138">
        <v>3</v>
      </c>
      <c r="L6161" s="137">
        <v>0</v>
      </c>
    </row>
    <row r="6162" spans="7:12" x14ac:dyDescent="0.25">
      <c r="G6162" s="136">
        <v>43601</v>
      </c>
      <c r="H6162" t="s">
        <v>28</v>
      </c>
      <c r="I6162" t="s">
        <v>171</v>
      </c>
      <c r="J6162" t="s">
        <v>572</v>
      </c>
      <c r="K6162" s="138">
        <v>110.5</v>
      </c>
      <c r="L6162" s="137">
        <v>0</v>
      </c>
    </row>
    <row r="6163" spans="7:12" x14ac:dyDescent="0.25">
      <c r="G6163" s="136">
        <v>43602</v>
      </c>
      <c r="H6163" t="s">
        <v>204</v>
      </c>
      <c r="I6163" t="s">
        <v>176</v>
      </c>
      <c r="J6163" t="s">
        <v>573</v>
      </c>
      <c r="K6163" s="138">
        <v>184.2</v>
      </c>
      <c r="L6163" s="137">
        <v>0</v>
      </c>
    </row>
    <row r="6164" spans="7:12" x14ac:dyDescent="0.25">
      <c r="G6164" s="136">
        <v>43602</v>
      </c>
      <c r="H6164" t="s">
        <v>192</v>
      </c>
      <c r="I6164" t="s">
        <v>176</v>
      </c>
      <c r="J6164" t="s">
        <v>573</v>
      </c>
      <c r="K6164" s="138">
        <v>684.6</v>
      </c>
      <c r="L6164" s="137">
        <v>0</v>
      </c>
    </row>
    <row r="6165" spans="7:12" x14ac:dyDescent="0.25">
      <c r="G6165" s="136">
        <v>43602</v>
      </c>
      <c r="H6165" t="s">
        <v>184</v>
      </c>
      <c r="I6165" t="s">
        <v>171</v>
      </c>
      <c r="J6165" t="s">
        <v>573</v>
      </c>
      <c r="K6165" s="138">
        <v>63.2</v>
      </c>
      <c r="L6165" s="137">
        <v>0</v>
      </c>
    </row>
    <row r="6166" spans="7:12" x14ac:dyDescent="0.25">
      <c r="G6166" s="136">
        <v>43602</v>
      </c>
      <c r="H6166" t="s">
        <v>195</v>
      </c>
      <c r="I6166" t="s">
        <v>171</v>
      </c>
      <c r="J6166" t="s">
        <v>573</v>
      </c>
      <c r="K6166" s="138">
        <v>24</v>
      </c>
      <c r="L6166" s="137">
        <v>0</v>
      </c>
    </row>
    <row r="6167" spans="7:12" x14ac:dyDescent="0.25">
      <c r="G6167" s="136">
        <v>43602</v>
      </c>
      <c r="H6167" t="s">
        <v>189</v>
      </c>
      <c r="I6167" t="s">
        <v>171</v>
      </c>
      <c r="J6167" t="s">
        <v>573</v>
      </c>
      <c r="K6167" s="138">
        <v>103.5</v>
      </c>
      <c r="L6167" s="137">
        <v>0</v>
      </c>
    </row>
    <row r="6168" spans="7:12" x14ac:dyDescent="0.25">
      <c r="G6168" s="136">
        <v>43602</v>
      </c>
      <c r="H6168" t="s">
        <v>191</v>
      </c>
      <c r="I6168" t="s">
        <v>42</v>
      </c>
      <c r="J6168" t="s">
        <v>573</v>
      </c>
      <c r="K6168" s="138">
        <v>26.78</v>
      </c>
      <c r="L6168" s="137">
        <v>0</v>
      </c>
    </row>
    <row r="6169" spans="7:12" x14ac:dyDescent="0.25">
      <c r="G6169" s="136">
        <v>43602</v>
      </c>
      <c r="H6169" t="s">
        <v>193</v>
      </c>
      <c r="I6169" t="s">
        <v>171</v>
      </c>
      <c r="J6169" t="s">
        <v>573</v>
      </c>
      <c r="K6169" s="138">
        <v>47.45</v>
      </c>
      <c r="L6169" s="137">
        <v>0</v>
      </c>
    </row>
    <row r="6170" spans="7:12" x14ac:dyDescent="0.25">
      <c r="G6170" s="136">
        <v>43602</v>
      </c>
      <c r="H6170" t="s">
        <v>188</v>
      </c>
      <c r="I6170" t="s">
        <v>171</v>
      </c>
      <c r="J6170" t="s">
        <v>573</v>
      </c>
      <c r="K6170" s="138">
        <v>24</v>
      </c>
      <c r="L6170" s="137">
        <v>0</v>
      </c>
    </row>
    <row r="6171" spans="7:12" x14ac:dyDescent="0.25">
      <c r="G6171" s="136">
        <v>43602</v>
      </c>
      <c r="H6171" t="s">
        <v>201</v>
      </c>
      <c r="I6171" t="s">
        <v>176</v>
      </c>
      <c r="J6171" t="s">
        <v>573</v>
      </c>
      <c r="K6171" s="138">
        <v>1.2</v>
      </c>
      <c r="L6171" s="137">
        <v>0</v>
      </c>
    </row>
    <row r="6172" spans="7:12" x14ac:dyDescent="0.25">
      <c r="G6172" s="136">
        <v>43602</v>
      </c>
      <c r="H6172" t="s">
        <v>207</v>
      </c>
      <c r="I6172" t="s">
        <v>63</v>
      </c>
      <c r="J6172" t="s">
        <v>573</v>
      </c>
      <c r="K6172" s="138">
        <v>74.099999999999994</v>
      </c>
      <c r="L6172" s="137">
        <v>0</v>
      </c>
    </row>
    <row r="6173" spans="7:12" x14ac:dyDescent="0.25">
      <c r="G6173" s="136">
        <v>43602</v>
      </c>
      <c r="H6173" t="s">
        <v>207</v>
      </c>
      <c r="I6173" t="s">
        <v>176</v>
      </c>
      <c r="J6173" t="s">
        <v>573</v>
      </c>
      <c r="K6173" s="138">
        <v>46</v>
      </c>
      <c r="L6173" s="137">
        <v>0</v>
      </c>
    </row>
    <row r="6174" spans="7:12" x14ac:dyDescent="0.25">
      <c r="G6174" s="136">
        <v>43602</v>
      </c>
      <c r="H6174" t="s">
        <v>180</v>
      </c>
      <c r="I6174" t="s">
        <v>176</v>
      </c>
      <c r="J6174" t="s">
        <v>573</v>
      </c>
      <c r="K6174" s="138">
        <v>383.8</v>
      </c>
      <c r="L6174" s="137">
        <v>0</v>
      </c>
    </row>
    <row r="6175" spans="7:12" x14ac:dyDescent="0.25">
      <c r="G6175" s="136">
        <v>43602</v>
      </c>
      <c r="H6175" t="s">
        <v>180</v>
      </c>
      <c r="I6175" t="s">
        <v>171</v>
      </c>
      <c r="J6175" t="s">
        <v>573</v>
      </c>
      <c r="K6175" s="138">
        <v>20.22</v>
      </c>
      <c r="L6175" s="137">
        <v>0</v>
      </c>
    </row>
    <row r="6176" spans="7:12" x14ac:dyDescent="0.25">
      <c r="G6176" s="136">
        <v>43602</v>
      </c>
      <c r="H6176" t="s">
        <v>179</v>
      </c>
      <c r="I6176" t="s">
        <v>176</v>
      </c>
      <c r="J6176" t="s">
        <v>573</v>
      </c>
      <c r="K6176" s="138">
        <v>1228.8</v>
      </c>
      <c r="L6176" s="137">
        <v>0</v>
      </c>
    </row>
    <row r="6177" spans="7:12" x14ac:dyDescent="0.25">
      <c r="G6177" s="136">
        <v>43602</v>
      </c>
      <c r="H6177" t="s">
        <v>179</v>
      </c>
      <c r="I6177" t="s">
        <v>253</v>
      </c>
      <c r="J6177" t="s">
        <v>574</v>
      </c>
      <c r="K6177" s="138">
        <v>2.27</v>
      </c>
      <c r="L6177" s="137">
        <v>0</v>
      </c>
    </row>
    <row r="6178" spans="7:12" x14ac:dyDescent="0.25">
      <c r="G6178" s="136">
        <v>43602</v>
      </c>
      <c r="H6178" t="s">
        <v>28</v>
      </c>
      <c r="I6178" t="s">
        <v>66</v>
      </c>
      <c r="J6178" t="s">
        <v>372</v>
      </c>
      <c r="K6178" s="138">
        <v>22.5</v>
      </c>
      <c r="L6178" s="137">
        <v>0</v>
      </c>
    </row>
    <row r="6179" spans="7:12" x14ac:dyDescent="0.25">
      <c r="G6179" s="136">
        <v>43602</v>
      </c>
      <c r="H6179" t="s">
        <v>28</v>
      </c>
      <c r="I6179" t="s">
        <v>66</v>
      </c>
      <c r="J6179" t="s">
        <v>123</v>
      </c>
      <c r="K6179" s="138">
        <v>9</v>
      </c>
      <c r="L6179" s="137">
        <v>0</v>
      </c>
    </row>
    <row r="6180" spans="7:12" x14ac:dyDescent="0.25">
      <c r="G6180" s="136">
        <v>43603</v>
      </c>
      <c r="H6180" t="s">
        <v>212</v>
      </c>
      <c r="I6180" t="s">
        <v>163</v>
      </c>
      <c r="J6180" t="s">
        <v>575</v>
      </c>
      <c r="K6180" s="138">
        <v>526.63</v>
      </c>
      <c r="L6180" s="137">
        <v>0</v>
      </c>
    </row>
    <row r="6181" spans="7:12" x14ac:dyDescent="0.25">
      <c r="G6181" s="136">
        <v>43603</v>
      </c>
      <c r="H6181" t="s">
        <v>186</v>
      </c>
      <c r="I6181" t="s">
        <v>63</v>
      </c>
      <c r="J6181" t="s">
        <v>575</v>
      </c>
      <c r="K6181" s="138">
        <v>12.5</v>
      </c>
      <c r="L6181" s="137">
        <v>0</v>
      </c>
    </row>
    <row r="6182" spans="7:12" x14ac:dyDescent="0.25">
      <c r="G6182" s="136">
        <v>43603</v>
      </c>
      <c r="H6182" t="s">
        <v>189</v>
      </c>
      <c r="I6182" t="s">
        <v>171</v>
      </c>
      <c r="J6182" t="s">
        <v>575</v>
      </c>
      <c r="K6182" s="138">
        <v>25.2</v>
      </c>
      <c r="L6182" s="137">
        <v>0</v>
      </c>
    </row>
    <row r="6183" spans="7:12" x14ac:dyDescent="0.25">
      <c r="G6183" s="136">
        <v>43603</v>
      </c>
      <c r="H6183" t="s">
        <v>188</v>
      </c>
      <c r="I6183" t="s">
        <v>163</v>
      </c>
      <c r="J6183" t="s">
        <v>575</v>
      </c>
      <c r="K6183" s="138">
        <v>65.75</v>
      </c>
      <c r="L6183" s="137">
        <v>0</v>
      </c>
    </row>
    <row r="6184" spans="7:12" x14ac:dyDescent="0.25">
      <c r="G6184" s="136">
        <v>43603</v>
      </c>
      <c r="H6184" t="s">
        <v>25</v>
      </c>
      <c r="I6184" t="s">
        <v>63</v>
      </c>
      <c r="J6184" t="s">
        <v>575</v>
      </c>
      <c r="K6184" s="138">
        <v>96</v>
      </c>
      <c r="L6184" s="137">
        <v>0</v>
      </c>
    </row>
    <row r="6185" spans="7:12" x14ac:dyDescent="0.25">
      <c r="G6185" s="136">
        <v>43603</v>
      </c>
      <c r="H6185" t="s">
        <v>25</v>
      </c>
      <c r="I6185" t="s">
        <v>63</v>
      </c>
      <c r="J6185" t="s">
        <v>575</v>
      </c>
      <c r="K6185" s="138">
        <v>80</v>
      </c>
      <c r="L6185" s="137">
        <v>0</v>
      </c>
    </row>
    <row r="6186" spans="7:12" x14ac:dyDescent="0.25">
      <c r="G6186" s="136">
        <v>43603</v>
      </c>
      <c r="H6186" t="s">
        <v>25</v>
      </c>
      <c r="I6186" t="s">
        <v>63</v>
      </c>
      <c r="J6186" t="s">
        <v>575</v>
      </c>
      <c r="K6186" s="138">
        <v>64</v>
      </c>
      <c r="L6186" s="137">
        <v>0</v>
      </c>
    </row>
    <row r="6187" spans="7:12" x14ac:dyDescent="0.25">
      <c r="G6187" s="136">
        <v>43603</v>
      </c>
      <c r="H6187" t="s">
        <v>25</v>
      </c>
      <c r="I6187" t="s">
        <v>63</v>
      </c>
      <c r="J6187" t="s">
        <v>575</v>
      </c>
      <c r="K6187" s="138">
        <v>56</v>
      </c>
      <c r="L6187" s="137">
        <v>0</v>
      </c>
    </row>
    <row r="6188" spans="7:12" x14ac:dyDescent="0.25">
      <c r="G6188" s="136">
        <v>43603</v>
      </c>
      <c r="H6188" t="s">
        <v>25</v>
      </c>
      <c r="I6188" t="s">
        <v>63</v>
      </c>
      <c r="J6188" t="s">
        <v>575</v>
      </c>
      <c r="K6188" s="138">
        <v>40</v>
      </c>
      <c r="L6188" s="137">
        <v>0</v>
      </c>
    </row>
    <row r="6189" spans="7:12" x14ac:dyDescent="0.25">
      <c r="G6189" s="136">
        <v>43603</v>
      </c>
      <c r="H6189" t="s">
        <v>25</v>
      </c>
      <c r="I6189" t="s">
        <v>63</v>
      </c>
      <c r="J6189" t="s">
        <v>575</v>
      </c>
      <c r="K6189" s="138">
        <v>32</v>
      </c>
      <c r="L6189" s="137">
        <v>0</v>
      </c>
    </row>
    <row r="6190" spans="7:12" x14ac:dyDescent="0.25">
      <c r="G6190" s="136">
        <v>43603</v>
      </c>
      <c r="H6190" t="s">
        <v>25</v>
      </c>
      <c r="I6190" t="s">
        <v>63</v>
      </c>
      <c r="J6190" t="s">
        <v>575</v>
      </c>
      <c r="K6190" s="138">
        <v>24</v>
      </c>
      <c r="L6190" s="137">
        <v>0</v>
      </c>
    </row>
    <row r="6191" spans="7:12" x14ac:dyDescent="0.25">
      <c r="G6191" s="136">
        <v>43603</v>
      </c>
      <c r="H6191" t="s">
        <v>25</v>
      </c>
      <c r="I6191" t="s">
        <v>63</v>
      </c>
      <c r="J6191" t="s">
        <v>575</v>
      </c>
      <c r="K6191" s="138">
        <v>16</v>
      </c>
      <c r="L6191" s="137">
        <v>0</v>
      </c>
    </row>
    <row r="6192" spans="7:12" x14ac:dyDescent="0.25">
      <c r="G6192" s="136">
        <v>43603</v>
      </c>
      <c r="H6192" t="s">
        <v>25</v>
      </c>
      <c r="I6192" t="s">
        <v>63</v>
      </c>
      <c r="J6192" t="s">
        <v>575</v>
      </c>
      <c r="K6192" s="138">
        <v>8</v>
      </c>
      <c r="L6192" s="137">
        <v>0</v>
      </c>
    </row>
    <row r="6193" spans="7:12" x14ac:dyDescent="0.25">
      <c r="G6193" s="136">
        <v>43603</v>
      </c>
      <c r="H6193" t="s">
        <v>28</v>
      </c>
      <c r="I6193" t="s">
        <v>171</v>
      </c>
      <c r="J6193" t="s">
        <v>575</v>
      </c>
      <c r="K6193" s="138">
        <v>40</v>
      </c>
      <c r="L6193" s="137">
        <v>0</v>
      </c>
    </row>
    <row r="6194" spans="7:12" x14ac:dyDescent="0.25">
      <c r="G6194" s="136">
        <v>43603</v>
      </c>
      <c r="H6194" t="s">
        <v>28</v>
      </c>
      <c r="I6194" t="s">
        <v>171</v>
      </c>
      <c r="J6194" t="s">
        <v>575</v>
      </c>
      <c r="K6194" s="138">
        <v>12</v>
      </c>
      <c r="L6194" s="137">
        <v>0</v>
      </c>
    </row>
    <row r="6195" spans="7:12" x14ac:dyDescent="0.25">
      <c r="G6195" s="136">
        <v>43605</v>
      </c>
      <c r="H6195" t="s">
        <v>184</v>
      </c>
      <c r="I6195" t="s">
        <v>176</v>
      </c>
      <c r="J6195" t="s">
        <v>576</v>
      </c>
      <c r="K6195" s="138">
        <v>0</v>
      </c>
      <c r="L6195" s="137">
        <v>9.1999999999999993</v>
      </c>
    </row>
    <row r="6196" spans="7:12" x14ac:dyDescent="0.25">
      <c r="G6196" s="136">
        <v>43605</v>
      </c>
      <c r="H6196" t="s">
        <v>25</v>
      </c>
      <c r="I6196" t="s">
        <v>63</v>
      </c>
      <c r="J6196" t="s">
        <v>576</v>
      </c>
      <c r="K6196" s="138">
        <v>56</v>
      </c>
      <c r="L6196" s="137">
        <v>0</v>
      </c>
    </row>
    <row r="6197" spans="7:12" x14ac:dyDescent="0.25">
      <c r="G6197" s="136">
        <v>43605</v>
      </c>
      <c r="H6197" t="s">
        <v>28</v>
      </c>
      <c r="I6197" t="s">
        <v>171</v>
      </c>
      <c r="J6197" t="s">
        <v>576</v>
      </c>
      <c r="K6197" s="138">
        <v>19</v>
      </c>
      <c r="L6197" s="137">
        <v>0</v>
      </c>
    </row>
    <row r="6198" spans="7:12" x14ac:dyDescent="0.25">
      <c r="G6198" s="136">
        <v>43606</v>
      </c>
      <c r="H6198" t="s">
        <v>203</v>
      </c>
      <c r="I6198" t="s">
        <v>112</v>
      </c>
      <c r="J6198" t="s">
        <v>577</v>
      </c>
      <c r="K6198" s="138">
        <v>64.86</v>
      </c>
      <c r="L6198" s="137">
        <v>0</v>
      </c>
    </row>
    <row r="6199" spans="7:12" x14ac:dyDescent="0.25">
      <c r="G6199" s="136">
        <v>43606</v>
      </c>
      <c r="H6199" t="s">
        <v>27</v>
      </c>
      <c r="I6199" t="s">
        <v>63</v>
      </c>
      <c r="J6199" t="s">
        <v>577</v>
      </c>
      <c r="K6199" s="138">
        <v>8</v>
      </c>
      <c r="L6199" s="137">
        <v>0</v>
      </c>
    </row>
    <row r="6200" spans="7:12" x14ac:dyDescent="0.25">
      <c r="G6200" s="136">
        <v>43606</v>
      </c>
      <c r="H6200" t="s">
        <v>183</v>
      </c>
      <c r="I6200" t="s">
        <v>171</v>
      </c>
      <c r="J6200" t="s">
        <v>577</v>
      </c>
      <c r="K6200" s="138">
        <v>55</v>
      </c>
      <c r="L6200" s="137">
        <v>0</v>
      </c>
    </row>
    <row r="6201" spans="7:12" x14ac:dyDescent="0.25">
      <c r="G6201" s="136">
        <v>43606</v>
      </c>
      <c r="H6201" t="s">
        <v>188</v>
      </c>
      <c r="I6201" t="s">
        <v>163</v>
      </c>
      <c r="J6201" t="s">
        <v>577</v>
      </c>
      <c r="K6201" s="138">
        <v>32.68</v>
      </c>
      <c r="L6201" s="137">
        <v>0</v>
      </c>
    </row>
    <row r="6202" spans="7:12" x14ac:dyDescent="0.25">
      <c r="G6202" s="136">
        <v>43606</v>
      </c>
      <c r="H6202" t="s">
        <v>188</v>
      </c>
      <c r="I6202" t="s">
        <v>112</v>
      </c>
      <c r="J6202" t="s">
        <v>577</v>
      </c>
      <c r="K6202" s="138">
        <v>0</v>
      </c>
      <c r="L6202" s="137">
        <v>33.36</v>
      </c>
    </row>
    <row r="6203" spans="7:12" x14ac:dyDescent="0.25">
      <c r="G6203" s="136">
        <v>43606</v>
      </c>
      <c r="H6203" t="s">
        <v>188</v>
      </c>
      <c r="I6203" t="s">
        <v>155</v>
      </c>
      <c r="J6203" t="s">
        <v>577</v>
      </c>
      <c r="K6203" s="138">
        <v>32.1</v>
      </c>
      <c r="L6203" s="137">
        <v>0</v>
      </c>
    </row>
    <row r="6204" spans="7:12" x14ac:dyDescent="0.25">
      <c r="G6204" s="136">
        <v>43606</v>
      </c>
      <c r="H6204" t="s">
        <v>25</v>
      </c>
      <c r="I6204" t="s">
        <v>63</v>
      </c>
      <c r="J6204" t="s">
        <v>577</v>
      </c>
      <c r="K6204" s="138">
        <v>72</v>
      </c>
      <c r="L6204" s="137">
        <v>0</v>
      </c>
    </row>
    <row r="6205" spans="7:12" x14ac:dyDescent="0.25">
      <c r="G6205" s="136">
        <v>43606</v>
      </c>
      <c r="H6205" t="s">
        <v>25</v>
      </c>
      <c r="I6205" t="s">
        <v>63</v>
      </c>
      <c r="J6205" t="s">
        <v>577</v>
      </c>
      <c r="K6205" s="138">
        <v>56</v>
      </c>
      <c r="L6205" s="137">
        <v>0</v>
      </c>
    </row>
    <row r="6206" spans="7:12" x14ac:dyDescent="0.25">
      <c r="G6206" s="136">
        <v>43606</v>
      </c>
      <c r="H6206" t="s">
        <v>25</v>
      </c>
      <c r="I6206" t="s">
        <v>63</v>
      </c>
      <c r="J6206" t="s">
        <v>577</v>
      </c>
      <c r="K6206" s="138">
        <v>24</v>
      </c>
      <c r="L6206" s="137">
        <v>0</v>
      </c>
    </row>
    <row r="6207" spans="7:12" x14ac:dyDescent="0.25">
      <c r="G6207" s="136">
        <v>43606</v>
      </c>
      <c r="H6207" t="s">
        <v>25</v>
      </c>
      <c r="I6207" t="s">
        <v>63</v>
      </c>
      <c r="J6207" t="s">
        <v>577</v>
      </c>
      <c r="K6207" s="138">
        <v>16</v>
      </c>
      <c r="L6207" s="137">
        <v>0</v>
      </c>
    </row>
    <row r="6208" spans="7:12" x14ac:dyDescent="0.25">
      <c r="G6208" s="136">
        <v>43606</v>
      </c>
      <c r="H6208" t="s">
        <v>25</v>
      </c>
      <c r="I6208" t="s">
        <v>63</v>
      </c>
      <c r="J6208" t="s">
        <v>577</v>
      </c>
      <c r="K6208" s="138">
        <v>8</v>
      </c>
      <c r="L6208" s="137">
        <v>0</v>
      </c>
    </row>
    <row r="6209" spans="7:12" x14ac:dyDescent="0.25">
      <c r="G6209" s="136">
        <v>43606</v>
      </c>
      <c r="H6209" t="s">
        <v>181</v>
      </c>
      <c r="I6209" t="s">
        <v>176</v>
      </c>
      <c r="J6209" t="s">
        <v>577</v>
      </c>
      <c r="K6209" s="138">
        <v>35</v>
      </c>
      <c r="L6209" s="137">
        <v>0</v>
      </c>
    </row>
    <row r="6210" spans="7:12" x14ac:dyDescent="0.25">
      <c r="G6210" s="136">
        <v>43606</v>
      </c>
      <c r="H6210" t="s">
        <v>197</v>
      </c>
      <c r="I6210" t="s">
        <v>155</v>
      </c>
      <c r="J6210" t="s">
        <v>577</v>
      </c>
      <c r="K6210" s="138">
        <v>23.29</v>
      </c>
      <c r="L6210" s="137">
        <v>0</v>
      </c>
    </row>
    <row r="6211" spans="7:12" x14ac:dyDescent="0.25">
      <c r="G6211" s="136">
        <v>43606</v>
      </c>
      <c r="H6211" t="s">
        <v>196</v>
      </c>
      <c r="I6211" t="s">
        <v>112</v>
      </c>
      <c r="J6211" t="s">
        <v>577</v>
      </c>
      <c r="K6211" s="138">
        <v>21.58</v>
      </c>
      <c r="L6211" s="137">
        <v>0</v>
      </c>
    </row>
    <row r="6212" spans="7:12" x14ac:dyDescent="0.25">
      <c r="G6212" s="136">
        <v>43606</v>
      </c>
      <c r="H6212" t="s">
        <v>196</v>
      </c>
      <c r="I6212" t="s">
        <v>176</v>
      </c>
      <c r="J6212" t="s">
        <v>577</v>
      </c>
      <c r="K6212" s="138">
        <v>197.95</v>
      </c>
      <c r="L6212" s="137">
        <v>0</v>
      </c>
    </row>
    <row r="6213" spans="7:12" x14ac:dyDescent="0.25">
      <c r="G6213" s="136">
        <v>43606</v>
      </c>
      <c r="H6213" t="s">
        <v>180</v>
      </c>
      <c r="I6213" t="s">
        <v>171</v>
      </c>
      <c r="J6213" t="s">
        <v>577</v>
      </c>
      <c r="K6213" s="138">
        <v>30.35</v>
      </c>
      <c r="L6213" s="137">
        <v>0</v>
      </c>
    </row>
    <row r="6214" spans="7:12" x14ac:dyDescent="0.25">
      <c r="G6214" s="136">
        <v>43606</v>
      </c>
      <c r="H6214" t="s">
        <v>28</v>
      </c>
      <c r="I6214" t="s">
        <v>63</v>
      </c>
      <c r="J6214" t="s">
        <v>577</v>
      </c>
      <c r="K6214" s="138">
        <v>8</v>
      </c>
      <c r="L6214" s="137">
        <v>0</v>
      </c>
    </row>
    <row r="6215" spans="7:12" x14ac:dyDescent="0.25">
      <c r="G6215" s="136">
        <v>43606</v>
      </c>
      <c r="H6215" t="s">
        <v>28</v>
      </c>
      <c r="I6215" t="s">
        <v>112</v>
      </c>
      <c r="J6215" t="s">
        <v>577</v>
      </c>
      <c r="K6215" s="138">
        <v>41.3</v>
      </c>
      <c r="L6215" s="137">
        <v>0</v>
      </c>
    </row>
    <row r="6216" spans="7:12" x14ac:dyDescent="0.25">
      <c r="G6216" s="136">
        <v>43606</v>
      </c>
      <c r="H6216" t="s">
        <v>28</v>
      </c>
      <c r="I6216" t="s">
        <v>155</v>
      </c>
      <c r="J6216" t="s">
        <v>577</v>
      </c>
      <c r="K6216" s="138">
        <v>85.82</v>
      </c>
      <c r="L6216" s="137">
        <v>0</v>
      </c>
    </row>
    <row r="6217" spans="7:12" x14ac:dyDescent="0.25">
      <c r="G6217" s="136">
        <v>43606</v>
      </c>
      <c r="H6217" t="s">
        <v>28</v>
      </c>
      <c r="I6217" t="s">
        <v>155</v>
      </c>
      <c r="J6217" t="s">
        <v>577</v>
      </c>
      <c r="K6217" s="138">
        <v>82.55</v>
      </c>
      <c r="L6217" s="137">
        <v>0</v>
      </c>
    </row>
    <row r="6218" spans="7:12" x14ac:dyDescent="0.25">
      <c r="G6218" s="136">
        <v>43606</v>
      </c>
      <c r="H6218" t="s">
        <v>28</v>
      </c>
      <c r="I6218" t="s">
        <v>155</v>
      </c>
      <c r="J6218" t="s">
        <v>577</v>
      </c>
      <c r="K6218" s="138">
        <v>56.62</v>
      </c>
      <c r="L6218" s="137">
        <v>0</v>
      </c>
    </row>
    <row r="6219" spans="7:12" x14ac:dyDescent="0.25">
      <c r="G6219" s="136">
        <v>43606</v>
      </c>
      <c r="H6219" t="s">
        <v>28</v>
      </c>
      <c r="I6219" t="s">
        <v>155</v>
      </c>
      <c r="J6219" t="s">
        <v>577</v>
      </c>
      <c r="K6219" s="138">
        <v>41.97</v>
      </c>
      <c r="L6219" s="137">
        <v>0</v>
      </c>
    </row>
    <row r="6220" spans="7:12" x14ac:dyDescent="0.25">
      <c r="G6220" s="136">
        <v>43606</v>
      </c>
      <c r="H6220" t="s">
        <v>28</v>
      </c>
      <c r="I6220" t="s">
        <v>155</v>
      </c>
      <c r="J6220" t="s">
        <v>577</v>
      </c>
      <c r="K6220" s="138">
        <v>37.31</v>
      </c>
      <c r="L6220" s="137">
        <v>0</v>
      </c>
    </row>
    <row r="6221" spans="7:12" x14ac:dyDescent="0.25">
      <c r="G6221" s="136">
        <v>43606</v>
      </c>
      <c r="H6221" t="s">
        <v>28</v>
      </c>
      <c r="I6221" t="s">
        <v>155</v>
      </c>
      <c r="J6221" t="s">
        <v>577</v>
      </c>
      <c r="K6221" s="138">
        <v>31.5</v>
      </c>
      <c r="L6221" s="137">
        <v>0</v>
      </c>
    </row>
    <row r="6222" spans="7:12" x14ac:dyDescent="0.25">
      <c r="G6222" s="136">
        <v>43606</v>
      </c>
      <c r="H6222" t="s">
        <v>28</v>
      </c>
      <c r="I6222" t="s">
        <v>155</v>
      </c>
      <c r="J6222" t="s">
        <v>577</v>
      </c>
      <c r="K6222" s="138">
        <v>10.99</v>
      </c>
      <c r="L6222" s="137">
        <v>0</v>
      </c>
    </row>
    <row r="6223" spans="7:12" x14ac:dyDescent="0.25">
      <c r="G6223" s="136">
        <v>43606</v>
      </c>
      <c r="H6223" t="s">
        <v>28</v>
      </c>
      <c r="I6223" t="s">
        <v>176</v>
      </c>
      <c r="J6223" t="s">
        <v>577</v>
      </c>
      <c r="K6223" s="138">
        <v>28</v>
      </c>
      <c r="L6223" s="137">
        <v>0</v>
      </c>
    </row>
    <row r="6224" spans="7:12" x14ac:dyDescent="0.25">
      <c r="G6224" s="136">
        <v>43606</v>
      </c>
      <c r="H6224" t="s">
        <v>28</v>
      </c>
      <c r="I6224" t="s">
        <v>66</v>
      </c>
      <c r="J6224" t="s">
        <v>142</v>
      </c>
      <c r="K6224" s="138">
        <v>22</v>
      </c>
      <c r="L6224" s="137">
        <v>0</v>
      </c>
    </row>
    <row r="6225" spans="7:12" x14ac:dyDescent="0.25">
      <c r="G6225" s="136">
        <v>43606</v>
      </c>
      <c r="H6225" t="s">
        <v>28</v>
      </c>
      <c r="I6225" t="s">
        <v>66</v>
      </c>
      <c r="J6225" t="s">
        <v>100</v>
      </c>
      <c r="K6225" s="138">
        <v>10.25</v>
      </c>
      <c r="L6225" s="137">
        <v>0</v>
      </c>
    </row>
    <row r="6226" spans="7:12" x14ac:dyDescent="0.25">
      <c r="G6226" s="136">
        <v>43606</v>
      </c>
      <c r="H6226" t="s">
        <v>28</v>
      </c>
      <c r="I6226" t="s">
        <v>66</v>
      </c>
      <c r="J6226" t="s">
        <v>107</v>
      </c>
      <c r="K6226" s="138">
        <v>2</v>
      </c>
      <c r="L6226" s="137">
        <v>0</v>
      </c>
    </row>
    <row r="6227" spans="7:12" x14ac:dyDescent="0.25">
      <c r="G6227" s="136">
        <v>43606</v>
      </c>
      <c r="H6227" t="s">
        <v>28</v>
      </c>
      <c r="I6227" t="s">
        <v>171</v>
      </c>
      <c r="J6227" t="s">
        <v>577</v>
      </c>
      <c r="K6227" s="138">
        <v>30.77</v>
      </c>
      <c r="L6227" s="137">
        <v>0</v>
      </c>
    </row>
    <row r="6228" spans="7:12" x14ac:dyDescent="0.25">
      <c r="G6228" s="136">
        <v>43607</v>
      </c>
      <c r="H6228" t="s">
        <v>27</v>
      </c>
      <c r="I6228" t="s">
        <v>63</v>
      </c>
      <c r="J6228" t="s">
        <v>578</v>
      </c>
      <c r="K6228" s="138">
        <v>24</v>
      </c>
      <c r="L6228" s="137">
        <v>0</v>
      </c>
    </row>
    <row r="6229" spans="7:12" x14ac:dyDescent="0.25">
      <c r="G6229" s="136">
        <v>43607</v>
      </c>
      <c r="H6229" t="s">
        <v>27</v>
      </c>
      <c r="I6229" t="s">
        <v>63</v>
      </c>
      <c r="J6229" t="s">
        <v>578</v>
      </c>
      <c r="K6229" s="138">
        <v>8</v>
      </c>
      <c r="L6229" s="137">
        <v>0</v>
      </c>
    </row>
    <row r="6230" spans="7:12" x14ac:dyDescent="0.25">
      <c r="G6230" s="136">
        <v>43607</v>
      </c>
      <c r="H6230" t="s">
        <v>183</v>
      </c>
      <c r="I6230" t="s">
        <v>171</v>
      </c>
      <c r="J6230" t="s">
        <v>578</v>
      </c>
      <c r="K6230" s="138">
        <v>7.78</v>
      </c>
      <c r="L6230" s="137">
        <v>0</v>
      </c>
    </row>
    <row r="6231" spans="7:12" x14ac:dyDescent="0.25">
      <c r="G6231" s="136">
        <v>43607</v>
      </c>
      <c r="H6231" t="s">
        <v>189</v>
      </c>
      <c r="I6231" t="s">
        <v>175</v>
      </c>
      <c r="J6231" t="s">
        <v>578</v>
      </c>
      <c r="K6231" s="138">
        <v>50</v>
      </c>
      <c r="L6231" s="137">
        <v>0</v>
      </c>
    </row>
    <row r="6232" spans="7:12" x14ac:dyDescent="0.25">
      <c r="G6232" s="136">
        <v>43607</v>
      </c>
      <c r="H6232" t="s">
        <v>213</v>
      </c>
      <c r="I6232" t="s">
        <v>163</v>
      </c>
      <c r="J6232" t="s">
        <v>578</v>
      </c>
      <c r="K6232" s="138">
        <v>600</v>
      </c>
      <c r="L6232" s="137">
        <v>0</v>
      </c>
    </row>
    <row r="6233" spans="7:12" x14ac:dyDescent="0.25">
      <c r="G6233" s="136">
        <v>43607</v>
      </c>
      <c r="H6233" t="s">
        <v>25</v>
      </c>
      <c r="I6233" t="s">
        <v>63</v>
      </c>
      <c r="J6233" t="s">
        <v>578</v>
      </c>
      <c r="K6233" s="138">
        <v>16</v>
      </c>
      <c r="L6233" s="137">
        <v>0</v>
      </c>
    </row>
    <row r="6234" spans="7:12" x14ac:dyDescent="0.25">
      <c r="G6234" s="136">
        <v>43607</v>
      </c>
      <c r="H6234" t="s">
        <v>25</v>
      </c>
      <c r="I6234" t="s">
        <v>63</v>
      </c>
      <c r="J6234" t="s">
        <v>578</v>
      </c>
      <c r="K6234" s="138">
        <v>8</v>
      </c>
      <c r="L6234" s="137">
        <v>0</v>
      </c>
    </row>
    <row r="6235" spans="7:12" x14ac:dyDescent="0.25">
      <c r="G6235" s="136">
        <v>43607</v>
      </c>
      <c r="H6235" t="s">
        <v>180</v>
      </c>
      <c r="I6235" t="s">
        <v>63</v>
      </c>
      <c r="J6235" t="s">
        <v>578</v>
      </c>
      <c r="K6235" s="138">
        <v>59.8</v>
      </c>
      <c r="L6235" s="137">
        <v>0</v>
      </c>
    </row>
    <row r="6236" spans="7:12" x14ac:dyDescent="0.25">
      <c r="G6236" s="136">
        <v>43607</v>
      </c>
      <c r="H6236" t="s">
        <v>180</v>
      </c>
      <c r="I6236" t="s">
        <v>163</v>
      </c>
      <c r="J6236" t="s">
        <v>578</v>
      </c>
      <c r="K6236" s="138">
        <v>33</v>
      </c>
      <c r="L6236" s="137">
        <v>0</v>
      </c>
    </row>
    <row r="6237" spans="7:12" x14ac:dyDescent="0.25">
      <c r="G6237" s="136">
        <v>43607</v>
      </c>
      <c r="H6237" t="s">
        <v>180</v>
      </c>
      <c r="I6237" t="s">
        <v>171</v>
      </c>
      <c r="J6237" t="s">
        <v>578</v>
      </c>
      <c r="K6237" s="138">
        <v>10</v>
      </c>
      <c r="L6237" s="137">
        <v>0</v>
      </c>
    </row>
    <row r="6238" spans="7:12" x14ac:dyDescent="0.25">
      <c r="G6238" s="136">
        <v>43607</v>
      </c>
      <c r="H6238" t="s">
        <v>28</v>
      </c>
      <c r="I6238" t="s">
        <v>66</v>
      </c>
      <c r="J6238" t="s">
        <v>367</v>
      </c>
      <c r="K6238" s="138">
        <v>9.1999999999999993</v>
      </c>
      <c r="L6238" s="137">
        <v>0</v>
      </c>
    </row>
    <row r="6239" spans="7:12" x14ac:dyDescent="0.25">
      <c r="G6239" s="136">
        <v>43607</v>
      </c>
      <c r="H6239" t="s">
        <v>28</v>
      </c>
      <c r="I6239" t="s">
        <v>66</v>
      </c>
      <c r="J6239" t="s">
        <v>477</v>
      </c>
      <c r="K6239" s="138">
        <v>16.7</v>
      </c>
      <c r="L6239" s="137">
        <v>0</v>
      </c>
    </row>
    <row r="6240" spans="7:12" x14ac:dyDescent="0.25">
      <c r="G6240" s="136">
        <v>43607</v>
      </c>
      <c r="H6240" t="s">
        <v>28</v>
      </c>
      <c r="I6240" t="s">
        <v>66</v>
      </c>
      <c r="J6240" t="s">
        <v>75</v>
      </c>
      <c r="K6240" s="138">
        <v>34.799999999999997</v>
      </c>
      <c r="L6240" s="137">
        <v>0</v>
      </c>
    </row>
    <row r="6241" spans="7:12" x14ac:dyDescent="0.25">
      <c r="G6241" s="136">
        <v>43607</v>
      </c>
      <c r="H6241" t="s">
        <v>28</v>
      </c>
      <c r="I6241" t="s">
        <v>66</v>
      </c>
      <c r="J6241" t="s">
        <v>99</v>
      </c>
      <c r="K6241" s="138">
        <v>16.399999999999999</v>
      </c>
      <c r="L6241" s="137">
        <v>0</v>
      </c>
    </row>
    <row r="6242" spans="7:12" x14ac:dyDescent="0.25">
      <c r="G6242" s="136">
        <v>43607</v>
      </c>
      <c r="H6242" t="s">
        <v>28</v>
      </c>
      <c r="I6242" t="s">
        <v>66</v>
      </c>
      <c r="J6242" t="s">
        <v>318</v>
      </c>
      <c r="K6242" s="138">
        <v>21.6</v>
      </c>
      <c r="L6242" s="137">
        <v>0</v>
      </c>
    </row>
    <row r="6243" spans="7:12" x14ac:dyDescent="0.25">
      <c r="G6243" s="136">
        <v>43607</v>
      </c>
      <c r="H6243" t="s">
        <v>28</v>
      </c>
      <c r="I6243" t="s">
        <v>66</v>
      </c>
      <c r="J6243" t="s">
        <v>378</v>
      </c>
      <c r="K6243" s="138">
        <v>16.399999999999999</v>
      </c>
      <c r="L6243" s="137">
        <v>0</v>
      </c>
    </row>
    <row r="6244" spans="7:12" x14ac:dyDescent="0.25">
      <c r="G6244" s="136">
        <v>43607</v>
      </c>
      <c r="H6244" t="s">
        <v>28</v>
      </c>
      <c r="I6244" t="s">
        <v>171</v>
      </c>
      <c r="J6244" t="s">
        <v>578</v>
      </c>
      <c r="K6244" s="138">
        <v>39</v>
      </c>
      <c r="L6244" s="137">
        <v>0</v>
      </c>
    </row>
    <row r="6245" spans="7:12" x14ac:dyDescent="0.25">
      <c r="G6245" s="136">
        <v>43607</v>
      </c>
      <c r="H6245" t="s">
        <v>28</v>
      </c>
      <c r="I6245" t="s">
        <v>171</v>
      </c>
      <c r="J6245" t="s">
        <v>578</v>
      </c>
      <c r="K6245" s="138">
        <v>30</v>
      </c>
      <c r="L6245" s="137">
        <v>0</v>
      </c>
    </row>
    <row r="6246" spans="7:12" x14ac:dyDescent="0.25">
      <c r="G6246" s="136">
        <v>43608</v>
      </c>
      <c r="H6246" t="s">
        <v>27</v>
      </c>
      <c r="I6246" t="s">
        <v>63</v>
      </c>
      <c r="J6246" t="s">
        <v>579</v>
      </c>
      <c r="K6246" s="138">
        <v>56</v>
      </c>
      <c r="L6246" s="137">
        <v>0</v>
      </c>
    </row>
    <row r="6247" spans="7:12" x14ac:dyDescent="0.25">
      <c r="G6247" s="136">
        <v>43608</v>
      </c>
      <c r="H6247" t="s">
        <v>212</v>
      </c>
      <c r="I6247" t="s">
        <v>176</v>
      </c>
      <c r="J6247" t="s">
        <v>579</v>
      </c>
      <c r="K6247" s="138">
        <v>0</v>
      </c>
      <c r="L6247" s="137">
        <v>14</v>
      </c>
    </row>
    <row r="6248" spans="7:12" x14ac:dyDescent="0.25">
      <c r="G6248" s="136">
        <v>43608</v>
      </c>
      <c r="H6248" t="s">
        <v>185</v>
      </c>
      <c r="I6248" t="s">
        <v>176</v>
      </c>
      <c r="J6248" t="s">
        <v>579</v>
      </c>
      <c r="K6248" s="138">
        <v>14</v>
      </c>
      <c r="L6248" s="137">
        <v>0</v>
      </c>
    </row>
    <row r="6249" spans="7:12" x14ac:dyDescent="0.25">
      <c r="G6249" s="136">
        <v>43608</v>
      </c>
      <c r="H6249" t="s">
        <v>25</v>
      </c>
      <c r="I6249" t="s">
        <v>63</v>
      </c>
      <c r="J6249" t="s">
        <v>579</v>
      </c>
      <c r="K6249" s="138">
        <v>40</v>
      </c>
      <c r="L6249" s="137">
        <v>0</v>
      </c>
    </row>
    <row r="6250" spans="7:12" x14ac:dyDescent="0.25">
      <c r="G6250" s="136">
        <v>43608</v>
      </c>
      <c r="H6250" t="s">
        <v>25</v>
      </c>
      <c r="I6250" t="s">
        <v>63</v>
      </c>
      <c r="J6250" t="s">
        <v>579</v>
      </c>
      <c r="K6250" s="138">
        <v>16</v>
      </c>
      <c r="L6250" s="137">
        <v>0</v>
      </c>
    </row>
    <row r="6251" spans="7:12" x14ac:dyDescent="0.25">
      <c r="G6251" s="136">
        <v>43608</v>
      </c>
      <c r="H6251" t="s">
        <v>25</v>
      </c>
      <c r="I6251" t="s">
        <v>63</v>
      </c>
      <c r="J6251" t="s">
        <v>579</v>
      </c>
      <c r="K6251" s="138">
        <v>8</v>
      </c>
      <c r="L6251" s="137">
        <v>0</v>
      </c>
    </row>
    <row r="6252" spans="7:12" x14ac:dyDescent="0.25">
      <c r="G6252" s="136">
        <v>43608</v>
      </c>
      <c r="H6252" t="s">
        <v>181</v>
      </c>
      <c r="I6252" t="s">
        <v>171</v>
      </c>
      <c r="J6252" t="s">
        <v>579</v>
      </c>
      <c r="K6252" s="138">
        <v>55.75</v>
      </c>
      <c r="L6252" s="137">
        <v>0</v>
      </c>
    </row>
    <row r="6253" spans="7:12" x14ac:dyDescent="0.25">
      <c r="G6253" s="136">
        <v>43608</v>
      </c>
      <c r="H6253" t="s">
        <v>28</v>
      </c>
      <c r="I6253" t="s">
        <v>112</v>
      </c>
      <c r="J6253" t="s">
        <v>579</v>
      </c>
      <c r="K6253" s="138">
        <v>0</v>
      </c>
      <c r="L6253" s="137">
        <v>8</v>
      </c>
    </row>
    <row r="6254" spans="7:12" x14ac:dyDescent="0.25">
      <c r="G6254" s="136">
        <v>43608</v>
      </c>
      <c r="H6254" t="s">
        <v>28</v>
      </c>
      <c r="I6254" t="s">
        <v>66</v>
      </c>
      <c r="J6254" t="s">
        <v>135</v>
      </c>
      <c r="K6254" s="138">
        <v>16.399999999999999</v>
      </c>
      <c r="L6254" s="137">
        <v>0</v>
      </c>
    </row>
    <row r="6255" spans="7:12" x14ac:dyDescent="0.25">
      <c r="G6255" s="136">
        <v>43609</v>
      </c>
      <c r="H6255" t="s">
        <v>27</v>
      </c>
      <c r="I6255" t="s">
        <v>63</v>
      </c>
      <c r="J6255" t="s">
        <v>580</v>
      </c>
      <c r="K6255" s="138">
        <v>8</v>
      </c>
      <c r="L6255" s="137">
        <v>0</v>
      </c>
    </row>
    <row r="6256" spans="7:12" x14ac:dyDescent="0.25">
      <c r="G6256" s="136">
        <v>43609</v>
      </c>
      <c r="H6256" t="s">
        <v>212</v>
      </c>
      <c r="I6256" t="s">
        <v>171</v>
      </c>
      <c r="J6256" t="s">
        <v>580</v>
      </c>
      <c r="K6256" s="138">
        <v>401</v>
      </c>
      <c r="L6256" s="137">
        <v>0</v>
      </c>
    </row>
    <row r="6257" spans="7:12" x14ac:dyDescent="0.25">
      <c r="G6257" s="136">
        <v>43609</v>
      </c>
      <c r="H6257" t="s">
        <v>185</v>
      </c>
      <c r="I6257" t="s">
        <v>171</v>
      </c>
      <c r="J6257" t="s">
        <v>580</v>
      </c>
      <c r="K6257" s="138">
        <v>5</v>
      </c>
      <c r="L6257" s="137">
        <v>0</v>
      </c>
    </row>
    <row r="6258" spans="7:12" x14ac:dyDescent="0.25">
      <c r="G6258" s="136">
        <v>43609</v>
      </c>
      <c r="H6258" t="s">
        <v>184</v>
      </c>
      <c r="I6258" t="s">
        <v>171</v>
      </c>
      <c r="J6258" t="s">
        <v>580</v>
      </c>
      <c r="K6258" s="138">
        <v>10</v>
      </c>
      <c r="L6258" s="137">
        <v>0</v>
      </c>
    </row>
    <row r="6259" spans="7:12" x14ac:dyDescent="0.25">
      <c r="G6259" s="136">
        <v>43609</v>
      </c>
      <c r="H6259" t="s">
        <v>195</v>
      </c>
      <c r="I6259" t="s">
        <v>171</v>
      </c>
      <c r="J6259" t="s">
        <v>580</v>
      </c>
      <c r="K6259" s="138">
        <v>796.6</v>
      </c>
      <c r="L6259" s="137">
        <v>0</v>
      </c>
    </row>
    <row r="6260" spans="7:12" x14ac:dyDescent="0.25">
      <c r="G6260" s="136">
        <v>43609</v>
      </c>
      <c r="H6260" t="s">
        <v>183</v>
      </c>
      <c r="I6260" t="s">
        <v>178</v>
      </c>
      <c r="J6260" t="s">
        <v>580</v>
      </c>
      <c r="K6260" s="138">
        <v>25</v>
      </c>
      <c r="L6260" s="137">
        <v>0</v>
      </c>
    </row>
    <row r="6261" spans="7:12" x14ac:dyDescent="0.25">
      <c r="G6261" s="136">
        <v>43609</v>
      </c>
      <c r="H6261" t="s">
        <v>189</v>
      </c>
      <c r="I6261" t="s">
        <v>171</v>
      </c>
      <c r="J6261" t="s">
        <v>580</v>
      </c>
      <c r="K6261" s="138">
        <v>50.5</v>
      </c>
      <c r="L6261" s="137">
        <v>0</v>
      </c>
    </row>
    <row r="6262" spans="7:12" x14ac:dyDescent="0.25">
      <c r="G6262" s="136">
        <v>43609</v>
      </c>
      <c r="H6262" t="s">
        <v>188</v>
      </c>
      <c r="I6262" t="s">
        <v>112</v>
      </c>
      <c r="J6262" t="s">
        <v>580</v>
      </c>
      <c r="K6262" s="138">
        <v>17.5</v>
      </c>
      <c r="L6262" s="137">
        <v>0</v>
      </c>
    </row>
    <row r="6263" spans="7:12" x14ac:dyDescent="0.25">
      <c r="G6263" s="136">
        <v>43609</v>
      </c>
      <c r="H6263" t="s">
        <v>188</v>
      </c>
      <c r="I6263" t="s">
        <v>171</v>
      </c>
      <c r="J6263" t="s">
        <v>580</v>
      </c>
      <c r="K6263" s="138">
        <v>167.3</v>
      </c>
      <c r="L6263" s="137">
        <v>0</v>
      </c>
    </row>
    <row r="6264" spans="7:12" x14ac:dyDescent="0.25">
      <c r="G6264" s="136">
        <v>43609</v>
      </c>
      <c r="H6264" t="s">
        <v>200</v>
      </c>
      <c r="I6264" t="s">
        <v>171</v>
      </c>
      <c r="J6264" t="s">
        <v>580</v>
      </c>
      <c r="K6264" s="138">
        <v>10</v>
      </c>
      <c r="L6264" s="137">
        <v>0</v>
      </c>
    </row>
    <row r="6265" spans="7:12" x14ac:dyDescent="0.25">
      <c r="G6265" s="136">
        <v>43609</v>
      </c>
      <c r="H6265" t="s">
        <v>25</v>
      </c>
      <c r="I6265" t="s">
        <v>63</v>
      </c>
      <c r="J6265" t="s">
        <v>580</v>
      </c>
      <c r="K6265" s="138">
        <v>8</v>
      </c>
      <c r="L6265" s="137">
        <v>0</v>
      </c>
    </row>
    <row r="6266" spans="7:12" x14ac:dyDescent="0.25">
      <c r="G6266" s="136">
        <v>43609</v>
      </c>
      <c r="H6266" t="s">
        <v>207</v>
      </c>
      <c r="I6266" t="s">
        <v>112</v>
      </c>
      <c r="J6266" t="s">
        <v>580</v>
      </c>
      <c r="K6266" s="138">
        <v>31.5</v>
      </c>
      <c r="L6266" s="137">
        <v>0</v>
      </c>
    </row>
    <row r="6267" spans="7:12" x14ac:dyDescent="0.25">
      <c r="G6267" s="136">
        <v>43609</v>
      </c>
      <c r="H6267" t="s">
        <v>187</v>
      </c>
      <c r="I6267" t="s">
        <v>42</v>
      </c>
      <c r="J6267" t="s">
        <v>580</v>
      </c>
      <c r="K6267" s="138">
        <v>44</v>
      </c>
      <c r="L6267" s="137">
        <v>0</v>
      </c>
    </row>
    <row r="6268" spans="7:12" x14ac:dyDescent="0.25">
      <c r="G6268" s="136">
        <v>43609</v>
      </c>
      <c r="H6268" t="s">
        <v>196</v>
      </c>
      <c r="I6268" t="s">
        <v>171</v>
      </c>
      <c r="J6268" t="s">
        <v>580</v>
      </c>
      <c r="K6268" s="138">
        <v>514.4</v>
      </c>
      <c r="L6268" s="137">
        <v>0</v>
      </c>
    </row>
    <row r="6269" spans="7:12" x14ac:dyDescent="0.25">
      <c r="G6269" s="136">
        <v>43609</v>
      </c>
      <c r="H6269" t="s">
        <v>28</v>
      </c>
      <c r="I6269" t="s">
        <v>112</v>
      </c>
      <c r="J6269" t="s">
        <v>580</v>
      </c>
      <c r="K6269" s="138">
        <v>148</v>
      </c>
      <c r="L6269" s="137">
        <v>0</v>
      </c>
    </row>
    <row r="6270" spans="7:12" x14ac:dyDescent="0.25">
      <c r="G6270" s="136">
        <v>43609</v>
      </c>
      <c r="H6270" t="s">
        <v>28</v>
      </c>
      <c r="I6270" t="s">
        <v>112</v>
      </c>
      <c r="J6270" t="s">
        <v>580</v>
      </c>
      <c r="K6270" s="138">
        <v>73.319999999999993</v>
      </c>
      <c r="L6270" s="137">
        <v>0</v>
      </c>
    </row>
    <row r="6271" spans="7:12" x14ac:dyDescent="0.25">
      <c r="G6271" s="136">
        <v>43609</v>
      </c>
      <c r="H6271" t="s">
        <v>28</v>
      </c>
      <c r="I6271" t="s">
        <v>112</v>
      </c>
      <c r="J6271" t="s">
        <v>580</v>
      </c>
      <c r="K6271" s="138">
        <v>25.66</v>
      </c>
      <c r="L6271" s="137">
        <v>0</v>
      </c>
    </row>
    <row r="6272" spans="7:12" x14ac:dyDescent="0.25">
      <c r="G6272" s="136">
        <v>43609</v>
      </c>
      <c r="H6272" t="s">
        <v>28</v>
      </c>
      <c r="I6272" t="s">
        <v>112</v>
      </c>
      <c r="J6272" t="s">
        <v>580</v>
      </c>
      <c r="K6272" s="138">
        <v>23.99</v>
      </c>
      <c r="L6272" s="137">
        <v>0</v>
      </c>
    </row>
    <row r="6273" spans="7:12" x14ac:dyDescent="0.25">
      <c r="G6273" s="136">
        <v>43609</v>
      </c>
      <c r="H6273" t="s">
        <v>28</v>
      </c>
      <c r="I6273" t="s">
        <v>112</v>
      </c>
      <c r="J6273" t="s">
        <v>580</v>
      </c>
      <c r="K6273" s="138">
        <v>23.95</v>
      </c>
      <c r="L6273" s="137">
        <v>0</v>
      </c>
    </row>
    <row r="6274" spans="7:12" x14ac:dyDescent="0.25">
      <c r="G6274" s="136">
        <v>43609</v>
      </c>
      <c r="H6274" t="s">
        <v>28</v>
      </c>
      <c r="I6274" t="s">
        <v>155</v>
      </c>
      <c r="J6274" t="s">
        <v>580</v>
      </c>
      <c r="K6274" s="138">
        <v>99.51</v>
      </c>
      <c r="L6274" s="137">
        <v>0</v>
      </c>
    </row>
    <row r="6275" spans="7:12" x14ac:dyDescent="0.25">
      <c r="G6275" s="136">
        <v>43609</v>
      </c>
      <c r="H6275" t="s">
        <v>28</v>
      </c>
      <c r="I6275" t="s">
        <v>155</v>
      </c>
      <c r="J6275" t="s">
        <v>580</v>
      </c>
      <c r="K6275" s="138">
        <v>97.75</v>
      </c>
      <c r="L6275" s="137">
        <v>0</v>
      </c>
    </row>
    <row r="6276" spans="7:12" x14ac:dyDescent="0.25">
      <c r="G6276" s="136">
        <v>43609</v>
      </c>
      <c r="H6276" t="s">
        <v>28</v>
      </c>
      <c r="I6276" t="s">
        <v>155</v>
      </c>
      <c r="J6276" t="s">
        <v>580</v>
      </c>
      <c r="K6276" s="138">
        <v>43.73</v>
      </c>
      <c r="L6276" s="137">
        <v>0</v>
      </c>
    </row>
    <row r="6277" spans="7:12" x14ac:dyDescent="0.25">
      <c r="G6277" s="136">
        <v>43609</v>
      </c>
      <c r="H6277" t="s">
        <v>28</v>
      </c>
      <c r="I6277" t="s">
        <v>155</v>
      </c>
      <c r="J6277" t="s">
        <v>580</v>
      </c>
      <c r="K6277" s="138">
        <v>25.97</v>
      </c>
      <c r="L6277" s="137">
        <v>0</v>
      </c>
    </row>
    <row r="6278" spans="7:12" x14ac:dyDescent="0.25">
      <c r="G6278" s="136">
        <v>43610</v>
      </c>
      <c r="H6278" t="s">
        <v>203</v>
      </c>
      <c r="I6278" t="s">
        <v>255</v>
      </c>
      <c r="J6278" t="s">
        <v>581</v>
      </c>
      <c r="K6278" s="138">
        <v>516.86</v>
      </c>
      <c r="L6278" s="137">
        <v>0</v>
      </c>
    </row>
    <row r="6279" spans="7:12" x14ac:dyDescent="0.25">
      <c r="G6279" s="136">
        <v>43610</v>
      </c>
      <c r="H6279" t="s">
        <v>27</v>
      </c>
      <c r="I6279" t="s">
        <v>63</v>
      </c>
      <c r="J6279" t="s">
        <v>582</v>
      </c>
      <c r="K6279" s="138">
        <v>8</v>
      </c>
      <c r="L6279" s="137">
        <v>0</v>
      </c>
    </row>
    <row r="6280" spans="7:12" x14ac:dyDescent="0.25">
      <c r="G6280" s="136">
        <v>43610</v>
      </c>
      <c r="H6280" t="s">
        <v>27</v>
      </c>
      <c r="I6280" t="s">
        <v>255</v>
      </c>
      <c r="J6280" t="s">
        <v>581</v>
      </c>
      <c r="K6280" s="138">
        <v>269.23</v>
      </c>
      <c r="L6280" s="137">
        <v>0</v>
      </c>
    </row>
    <row r="6281" spans="7:12" x14ac:dyDescent="0.25">
      <c r="G6281" s="136">
        <v>43610</v>
      </c>
      <c r="H6281" t="s">
        <v>27</v>
      </c>
      <c r="I6281" t="s">
        <v>255</v>
      </c>
      <c r="J6281" t="s">
        <v>581</v>
      </c>
      <c r="K6281" s="138">
        <v>199.9</v>
      </c>
      <c r="L6281" s="137">
        <v>0</v>
      </c>
    </row>
    <row r="6282" spans="7:12" x14ac:dyDescent="0.25">
      <c r="G6282" s="136">
        <v>43610</v>
      </c>
      <c r="H6282" t="s">
        <v>27</v>
      </c>
      <c r="I6282" t="s">
        <v>255</v>
      </c>
      <c r="J6282" t="s">
        <v>581</v>
      </c>
      <c r="K6282" s="138">
        <v>150.13</v>
      </c>
      <c r="L6282" s="137">
        <v>0</v>
      </c>
    </row>
    <row r="6283" spans="7:12" x14ac:dyDescent="0.25">
      <c r="G6283" s="136">
        <v>43610</v>
      </c>
      <c r="H6283" t="s">
        <v>27</v>
      </c>
      <c r="I6283" t="s">
        <v>255</v>
      </c>
      <c r="J6283" t="s">
        <v>581</v>
      </c>
      <c r="K6283" s="138">
        <v>125.74</v>
      </c>
      <c r="L6283" s="137">
        <v>0</v>
      </c>
    </row>
    <row r="6284" spans="7:12" x14ac:dyDescent="0.25">
      <c r="G6284" s="136">
        <v>43610</v>
      </c>
      <c r="H6284" t="s">
        <v>27</v>
      </c>
      <c r="I6284" t="s">
        <v>255</v>
      </c>
      <c r="J6284" t="s">
        <v>581</v>
      </c>
      <c r="K6284" s="138">
        <v>83.96</v>
      </c>
      <c r="L6284" s="137">
        <v>0</v>
      </c>
    </row>
    <row r="6285" spans="7:12" x14ac:dyDescent="0.25">
      <c r="G6285" s="136">
        <v>43610</v>
      </c>
      <c r="H6285" t="s">
        <v>27</v>
      </c>
      <c r="I6285" t="s">
        <v>255</v>
      </c>
      <c r="J6285" t="s">
        <v>581</v>
      </c>
      <c r="K6285" s="138">
        <v>76.97</v>
      </c>
      <c r="L6285" s="137">
        <v>0</v>
      </c>
    </row>
    <row r="6286" spans="7:12" x14ac:dyDescent="0.25">
      <c r="G6286" s="136">
        <v>43610</v>
      </c>
      <c r="H6286" t="s">
        <v>27</v>
      </c>
      <c r="I6286" t="s">
        <v>255</v>
      </c>
      <c r="J6286" t="s">
        <v>581</v>
      </c>
      <c r="K6286" s="138">
        <v>73.849999999999994</v>
      </c>
      <c r="L6286" s="137">
        <v>0</v>
      </c>
    </row>
    <row r="6287" spans="7:12" x14ac:dyDescent="0.25">
      <c r="G6287" s="136">
        <v>43610</v>
      </c>
      <c r="H6287" t="s">
        <v>27</v>
      </c>
      <c r="I6287" t="s">
        <v>255</v>
      </c>
      <c r="J6287" t="s">
        <v>581</v>
      </c>
      <c r="K6287" s="138">
        <v>51.31</v>
      </c>
      <c r="L6287" s="137">
        <v>0</v>
      </c>
    </row>
    <row r="6288" spans="7:12" x14ac:dyDescent="0.25">
      <c r="G6288" s="136">
        <v>43610</v>
      </c>
      <c r="H6288" t="s">
        <v>27</v>
      </c>
      <c r="I6288" t="s">
        <v>255</v>
      </c>
      <c r="J6288" t="s">
        <v>581</v>
      </c>
      <c r="K6288" s="138">
        <v>38.090000000000003</v>
      </c>
      <c r="L6288" s="137">
        <v>0</v>
      </c>
    </row>
    <row r="6289" spans="7:12" x14ac:dyDescent="0.25">
      <c r="G6289" s="136">
        <v>43610</v>
      </c>
      <c r="H6289" t="s">
        <v>27</v>
      </c>
      <c r="I6289" t="s">
        <v>255</v>
      </c>
      <c r="J6289" t="s">
        <v>581</v>
      </c>
      <c r="K6289" s="138">
        <v>37.630000000000003</v>
      </c>
      <c r="L6289" s="137">
        <v>0</v>
      </c>
    </row>
    <row r="6290" spans="7:12" x14ac:dyDescent="0.25">
      <c r="G6290" s="136">
        <v>43610</v>
      </c>
      <c r="H6290" t="s">
        <v>27</v>
      </c>
      <c r="I6290" t="s">
        <v>255</v>
      </c>
      <c r="J6290" t="s">
        <v>581</v>
      </c>
      <c r="K6290" s="138">
        <v>32.130000000000003</v>
      </c>
      <c r="L6290" s="137">
        <v>0</v>
      </c>
    </row>
    <row r="6291" spans="7:12" x14ac:dyDescent="0.25">
      <c r="G6291" s="136">
        <v>43610</v>
      </c>
      <c r="H6291" t="s">
        <v>27</v>
      </c>
      <c r="I6291" t="s">
        <v>255</v>
      </c>
      <c r="J6291" t="s">
        <v>581</v>
      </c>
      <c r="K6291" s="138">
        <v>31.22</v>
      </c>
      <c r="L6291" s="137">
        <v>0</v>
      </c>
    </row>
    <row r="6292" spans="7:12" x14ac:dyDescent="0.25">
      <c r="G6292" s="136">
        <v>43610</v>
      </c>
      <c r="H6292" t="s">
        <v>27</v>
      </c>
      <c r="I6292" t="s">
        <v>255</v>
      </c>
      <c r="J6292" t="s">
        <v>581</v>
      </c>
      <c r="K6292" s="138">
        <v>19.329999999999998</v>
      </c>
      <c r="L6292" s="137">
        <v>0</v>
      </c>
    </row>
    <row r="6293" spans="7:12" x14ac:dyDescent="0.25">
      <c r="G6293" s="136">
        <v>43610</v>
      </c>
      <c r="H6293" t="s">
        <v>27</v>
      </c>
      <c r="I6293" t="s">
        <v>255</v>
      </c>
      <c r="J6293" t="s">
        <v>581</v>
      </c>
      <c r="K6293" s="138">
        <v>11.08</v>
      </c>
      <c r="L6293" s="137">
        <v>0</v>
      </c>
    </row>
    <row r="6294" spans="7:12" x14ac:dyDescent="0.25">
      <c r="G6294" s="136">
        <v>43610</v>
      </c>
      <c r="H6294" t="s">
        <v>27</v>
      </c>
      <c r="I6294" t="s">
        <v>255</v>
      </c>
      <c r="J6294" t="s">
        <v>581</v>
      </c>
      <c r="K6294" s="138">
        <v>10.27</v>
      </c>
      <c r="L6294" s="137">
        <v>0</v>
      </c>
    </row>
    <row r="6295" spans="7:12" x14ac:dyDescent="0.25">
      <c r="G6295" s="136">
        <v>43610</v>
      </c>
      <c r="H6295" t="s">
        <v>202</v>
      </c>
      <c r="I6295" t="s">
        <v>163</v>
      </c>
      <c r="J6295" t="s">
        <v>582</v>
      </c>
      <c r="K6295" s="138">
        <v>1501.66</v>
      </c>
      <c r="L6295" s="137">
        <v>0</v>
      </c>
    </row>
    <row r="6296" spans="7:12" x14ac:dyDescent="0.25">
      <c r="G6296" s="136">
        <v>43610</v>
      </c>
      <c r="H6296" t="s">
        <v>212</v>
      </c>
      <c r="I6296" t="s">
        <v>42</v>
      </c>
      <c r="J6296" t="s">
        <v>582</v>
      </c>
      <c r="K6296" s="138">
        <v>50.25</v>
      </c>
      <c r="L6296" s="137">
        <v>0</v>
      </c>
    </row>
    <row r="6297" spans="7:12" x14ac:dyDescent="0.25">
      <c r="G6297" s="136">
        <v>43610</v>
      </c>
      <c r="H6297" t="s">
        <v>184</v>
      </c>
      <c r="I6297" t="s">
        <v>171</v>
      </c>
      <c r="J6297" t="s">
        <v>582</v>
      </c>
      <c r="K6297" s="138">
        <v>10</v>
      </c>
      <c r="L6297" s="137">
        <v>0</v>
      </c>
    </row>
    <row r="6298" spans="7:12" x14ac:dyDescent="0.25">
      <c r="G6298" s="136">
        <v>43610</v>
      </c>
      <c r="H6298" t="s">
        <v>195</v>
      </c>
      <c r="I6298" t="s">
        <v>255</v>
      </c>
      <c r="J6298" t="s">
        <v>581</v>
      </c>
      <c r="K6298" s="138">
        <v>328.77</v>
      </c>
      <c r="L6298" s="137">
        <v>0</v>
      </c>
    </row>
    <row r="6299" spans="7:12" x14ac:dyDescent="0.25">
      <c r="G6299" s="136">
        <v>43610</v>
      </c>
      <c r="H6299" t="s">
        <v>183</v>
      </c>
      <c r="I6299" t="s">
        <v>255</v>
      </c>
      <c r="J6299" t="s">
        <v>581</v>
      </c>
      <c r="K6299" s="138">
        <v>11432.58</v>
      </c>
      <c r="L6299" s="137">
        <v>0</v>
      </c>
    </row>
    <row r="6300" spans="7:12" x14ac:dyDescent="0.25">
      <c r="G6300" s="136">
        <v>43610</v>
      </c>
      <c r="H6300" t="s">
        <v>25</v>
      </c>
      <c r="I6300" t="s">
        <v>63</v>
      </c>
      <c r="J6300" t="s">
        <v>582</v>
      </c>
      <c r="K6300" s="138">
        <v>40</v>
      </c>
      <c r="L6300" s="137">
        <v>0</v>
      </c>
    </row>
    <row r="6301" spans="7:12" x14ac:dyDescent="0.25">
      <c r="G6301" s="136">
        <v>43610</v>
      </c>
      <c r="H6301" t="s">
        <v>25</v>
      </c>
      <c r="I6301" t="s">
        <v>63</v>
      </c>
      <c r="J6301" t="s">
        <v>582</v>
      </c>
      <c r="K6301" s="138">
        <v>24</v>
      </c>
      <c r="L6301" s="137">
        <v>0</v>
      </c>
    </row>
    <row r="6302" spans="7:12" x14ac:dyDescent="0.25">
      <c r="G6302" s="136">
        <v>43610</v>
      </c>
      <c r="H6302" t="s">
        <v>25</v>
      </c>
      <c r="I6302" t="s">
        <v>63</v>
      </c>
      <c r="J6302" t="s">
        <v>582</v>
      </c>
      <c r="K6302" s="138">
        <v>8</v>
      </c>
      <c r="L6302" s="137">
        <v>0</v>
      </c>
    </row>
    <row r="6303" spans="7:12" x14ac:dyDescent="0.25">
      <c r="G6303" s="136">
        <v>43610</v>
      </c>
      <c r="H6303" t="s">
        <v>25</v>
      </c>
      <c r="I6303" t="s">
        <v>112</v>
      </c>
      <c r="J6303" t="s">
        <v>582</v>
      </c>
      <c r="K6303" s="138">
        <v>0</v>
      </c>
      <c r="L6303" s="137">
        <v>16</v>
      </c>
    </row>
    <row r="6304" spans="7:12" x14ac:dyDescent="0.25">
      <c r="G6304" s="136">
        <v>43610</v>
      </c>
      <c r="H6304" t="s">
        <v>25</v>
      </c>
      <c r="I6304" t="s">
        <v>255</v>
      </c>
      <c r="J6304" t="s">
        <v>581</v>
      </c>
      <c r="K6304" s="138">
        <v>1334.36</v>
      </c>
      <c r="L6304" s="137">
        <v>0</v>
      </c>
    </row>
    <row r="6305" spans="7:12" x14ac:dyDescent="0.25">
      <c r="G6305" s="136">
        <v>43610</v>
      </c>
      <c r="H6305" t="s">
        <v>25</v>
      </c>
      <c r="I6305" t="s">
        <v>255</v>
      </c>
      <c r="J6305" t="s">
        <v>581</v>
      </c>
      <c r="K6305" s="138">
        <v>1045.49</v>
      </c>
      <c r="L6305" s="137">
        <v>0</v>
      </c>
    </row>
    <row r="6306" spans="7:12" x14ac:dyDescent="0.25">
      <c r="G6306" s="136">
        <v>43610</v>
      </c>
      <c r="H6306" t="s">
        <v>25</v>
      </c>
      <c r="I6306" t="s">
        <v>255</v>
      </c>
      <c r="J6306" t="s">
        <v>581</v>
      </c>
      <c r="K6306" s="138">
        <v>980.37</v>
      </c>
      <c r="L6306" s="137">
        <v>0</v>
      </c>
    </row>
    <row r="6307" spans="7:12" x14ac:dyDescent="0.25">
      <c r="G6307" s="136">
        <v>43610</v>
      </c>
      <c r="H6307" t="s">
        <v>25</v>
      </c>
      <c r="I6307" t="s">
        <v>255</v>
      </c>
      <c r="J6307" t="s">
        <v>581</v>
      </c>
      <c r="K6307" s="138">
        <v>936.65</v>
      </c>
      <c r="L6307" s="137">
        <v>0</v>
      </c>
    </row>
    <row r="6308" spans="7:12" x14ac:dyDescent="0.25">
      <c r="G6308" s="136">
        <v>43610</v>
      </c>
      <c r="H6308" t="s">
        <v>25</v>
      </c>
      <c r="I6308" t="s">
        <v>255</v>
      </c>
      <c r="J6308" t="s">
        <v>581</v>
      </c>
      <c r="K6308" s="138">
        <v>808.05</v>
      </c>
      <c r="L6308" s="137">
        <v>0</v>
      </c>
    </row>
    <row r="6309" spans="7:12" x14ac:dyDescent="0.25">
      <c r="G6309" s="136">
        <v>43610</v>
      </c>
      <c r="H6309" t="s">
        <v>25</v>
      </c>
      <c r="I6309" t="s">
        <v>255</v>
      </c>
      <c r="J6309" t="s">
        <v>581</v>
      </c>
      <c r="K6309" s="138">
        <v>703.22</v>
      </c>
      <c r="L6309" s="137">
        <v>0</v>
      </c>
    </row>
    <row r="6310" spans="7:12" x14ac:dyDescent="0.25">
      <c r="G6310" s="136">
        <v>43610</v>
      </c>
      <c r="H6310" t="s">
        <v>25</v>
      </c>
      <c r="I6310" t="s">
        <v>255</v>
      </c>
      <c r="J6310" t="s">
        <v>581</v>
      </c>
      <c r="K6310" s="138">
        <v>637.09</v>
      </c>
      <c r="L6310" s="137">
        <v>0</v>
      </c>
    </row>
    <row r="6311" spans="7:12" x14ac:dyDescent="0.25">
      <c r="G6311" s="136">
        <v>43610</v>
      </c>
      <c r="H6311" t="s">
        <v>25</v>
      </c>
      <c r="I6311" t="s">
        <v>255</v>
      </c>
      <c r="J6311" t="s">
        <v>581</v>
      </c>
      <c r="K6311" s="138">
        <v>554.16</v>
      </c>
      <c r="L6311" s="137">
        <v>0</v>
      </c>
    </row>
    <row r="6312" spans="7:12" x14ac:dyDescent="0.25">
      <c r="G6312" s="136">
        <v>43610</v>
      </c>
      <c r="H6312" t="s">
        <v>25</v>
      </c>
      <c r="I6312" t="s">
        <v>255</v>
      </c>
      <c r="J6312" t="s">
        <v>581</v>
      </c>
      <c r="K6312" s="138">
        <v>522.20000000000005</v>
      </c>
      <c r="L6312" s="137">
        <v>0</v>
      </c>
    </row>
    <row r="6313" spans="7:12" x14ac:dyDescent="0.25">
      <c r="G6313" s="136">
        <v>43610</v>
      </c>
      <c r="H6313" t="s">
        <v>25</v>
      </c>
      <c r="I6313" t="s">
        <v>255</v>
      </c>
      <c r="J6313" t="s">
        <v>581</v>
      </c>
      <c r="K6313" s="138">
        <v>486.39</v>
      </c>
      <c r="L6313" s="137">
        <v>0</v>
      </c>
    </row>
    <row r="6314" spans="7:12" x14ac:dyDescent="0.25">
      <c r="G6314" s="136">
        <v>43610</v>
      </c>
      <c r="H6314" t="s">
        <v>25</v>
      </c>
      <c r="I6314" t="s">
        <v>255</v>
      </c>
      <c r="J6314" t="s">
        <v>581</v>
      </c>
      <c r="K6314" s="138">
        <v>473.77</v>
      </c>
      <c r="L6314" s="137">
        <v>0</v>
      </c>
    </row>
    <row r="6315" spans="7:12" x14ac:dyDescent="0.25">
      <c r="G6315" s="136">
        <v>43610</v>
      </c>
      <c r="H6315" t="s">
        <v>25</v>
      </c>
      <c r="I6315" t="s">
        <v>255</v>
      </c>
      <c r="J6315" t="s">
        <v>581</v>
      </c>
      <c r="K6315" s="138">
        <v>365.4</v>
      </c>
      <c r="L6315" s="137">
        <v>0</v>
      </c>
    </row>
    <row r="6316" spans="7:12" x14ac:dyDescent="0.25">
      <c r="G6316" s="136">
        <v>43610</v>
      </c>
      <c r="H6316" t="s">
        <v>25</v>
      </c>
      <c r="I6316" t="s">
        <v>255</v>
      </c>
      <c r="J6316" t="s">
        <v>581</v>
      </c>
      <c r="K6316" s="138">
        <v>305.62</v>
      </c>
      <c r="L6316" s="137">
        <v>0</v>
      </c>
    </row>
    <row r="6317" spans="7:12" x14ac:dyDescent="0.25">
      <c r="G6317" s="136">
        <v>43610</v>
      </c>
      <c r="H6317" t="s">
        <v>25</v>
      </c>
      <c r="I6317" t="s">
        <v>255</v>
      </c>
      <c r="J6317" t="s">
        <v>581</v>
      </c>
      <c r="K6317" s="138">
        <v>277.51</v>
      </c>
      <c r="L6317" s="137">
        <v>0</v>
      </c>
    </row>
    <row r="6318" spans="7:12" x14ac:dyDescent="0.25">
      <c r="G6318" s="136">
        <v>43610</v>
      </c>
      <c r="H6318" t="s">
        <v>25</v>
      </c>
      <c r="I6318" t="s">
        <v>255</v>
      </c>
      <c r="J6318" t="s">
        <v>581</v>
      </c>
      <c r="K6318" s="138">
        <v>250.17</v>
      </c>
      <c r="L6318" s="137">
        <v>0</v>
      </c>
    </row>
    <row r="6319" spans="7:12" x14ac:dyDescent="0.25">
      <c r="G6319" s="136">
        <v>43610</v>
      </c>
      <c r="H6319" t="s">
        <v>25</v>
      </c>
      <c r="I6319" t="s">
        <v>255</v>
      </c>
      <c r="J6319" t="s">
        <v>581</v>
      </c>
      <c r="K6319" s="138">
        <v>250.08</v>
      </c>
      <c r="L6319" s="137">
        <v>0</v>
      </c>
    </row>
    <row r="6320" spans="7:12" x14ac:dyDescent="0.25">
      <c r="G6320" s="136">
        <v>43610</v>
      </c>
      <c r="H6320" t="s">
        <v>25</v>
      </c>
      <c r="I6320" t="s">
        <v>255</v>
      </c>
      <c r="J6320" t="s">
        <v>581</v>
      </c>
      <c r="K6320" s="138">
        <v>226.28</v>
      </c>
      <c r="L6320" s="137">
        <v>0</v>
      </c>
    </row>
    <row r="6321" spans="7:12" x14ac:dyDescent="0.25">
      <c r="G6321" s="136">
        <v>43610</v>
      </c>
      <c r="H6321" t="s">
        <v>25</v>
      </c>
      <c r="I6321" t="s">
        <v>255</v>
      </c>
      <c r="J6321" t="s">
        <v>581</v>
      </c>
      <c r="K6321" s="138">
        <v>213.47</v>
      </c>
      <c r="L6321" s="137">
        <v>0</v>
      </c>
    </row>
    <row r="6322" spans="7:12" x14ac:dyDescent="0.25">
      <c r="G6322" s="136">
        <v>43610</v>
      </c>
      <c r="H6322" t="s">
        <v>25</v>
      </c>
      <c r="I6322" t="s">
        <v>255</v>
      </c>
      <c r="J6322" t="s">
        <v>581</v>
      </c>
      <c r="K6322" s="138">
        <v>210.56</v>
      </c>
      <c r="L6322" s="137">
        <v>0</v>
      </c>
    </row>
    <row r="6323" spans="7:12" x14ac:dyDescent="0.25">
      <c r="G6323" s="136">
        <v>43610</v>
      </c>
      <c r="H6323" t="s">
        <v>25</v>
      </c>
      <c r="I6323" t="s">
        <v>255</v>
      </c>
      <c r="J6323" t="s">
        <v>581</v>
      </c>
      <c r="K6323" s="138">
        <v>159.69999999999999</v>
      </c>
      <c r="L6323" s="137">
        <v>0</v>
      </c>
    </row>
    <row r="6324" spans="7:12" x14ac:dyDescent="0.25">
      <c r="G6324" s="136">
        <v>43610</v>
      </c>
      <c r="H6324" t="s">
        <v>25</v>
      </c>
      <c r="I6324" t="s">
        <v>255</v>
      </c>
      <c r="J6324" t="s">
        <v>581</v>
      </c>
      <c r="K6324" s="138">
        <v>122.35</v>
      </c>
      <c r="L6324" s="137">
        <v>0</v>
      </c>
    </row>
    <row r="6325" spans="7:12" x14ac:dyDescent="0.25">
      <c r="G6325" s="136">
        <v>43610</v>
      </c>
      <c r="H6325" t="s">
        <v>25</v>
      </c>
      <c r="I6325" t="s">
        <v>255</v>
      </c>
      <c r="J6325" t="s">
        <v>581</v>
      </c>
      <c r="K6325" s="138">
        <v>60.62</v>
      </c>
      <c r="L6325" s="137">
        <v>0</v>
      </c>
    </row>
    <row r="6326" spans="7:12" x14ac:dyDescent="0.25">
      <c r="G6326" s="136">
        <v>43610</v>
      </c>
      <c r="H6326" t="s">
        <v>25</v>
      </c>
      <c r="I6326" t="s">
        <v>255</v>
      </c>
      <c r="J6326" t="s">
        <v>581</v>
      </c>
      <c r="K6326" s="138">
        <v>59.16</v>
      </c>
      <c r="L6326" s="137">
        <v>0</v>
      </c>
    </row>
    <row r="6327" spans="7:12" x14ac:dyDescent="0.25">
      <c r="G6327" s="136">
        <v>43610</v>
      </c>
      <c r="H6327" t="s">
        <v>25</v>
      </c>
      <c r="I6327" t="s">
        <v>255</v>
      </c>
      <c r="J6327" t="s">
        <v>581</v>
      </c>
      <c r="K6327" s="138">
        <v>31.65</v>
      </c>
      <c r="L6327" s="137">
        <v>0</v>
      </c>
    </row>
    <row r="6328" spans="7:12" x14ac:dyDescent="0.25">
      <c r="G6328" s="136">
        <v>43610</v>
      </c>
      <c r="H6328" t="s">
        <v>25</v>
      </c>
      <c r="I6328" t="s">
        <v>255</v>
      </c>
      <c r="J6328" t="s">
        <v>581</v>
      </c>
      <c r="K6328" s="138">
        <v>28.72</v>
      </c>
      <c r="L6328" s="137">
        <v>0</v>
      </c>
    </row>
    <row r="6329" spans="7:12" x14ac:dyDescent="0.25">
      <c r="G6329" s="136">
        <v>43610</v>
      </c>
      <c r="H6329" t="s">
        <v>25</v>
      </c>
      <c r="I6329" t="s">
        <v>255</v>
      </c>
      <c r="J6329" t="s">
        <v>581</v>
      </c>
      <c r="K6329" s="138">
        <v>25.31</v>
      </c>
      <c r="L6329" s="137">
        <v>0</v>
      </c>
    </row>
    <row r="6330" spans="7:12" x14ac:dyDescent="0.25">
      <c r="G6330" s="136">
        <v>43610</v>
      </c>
      <c r="H6330" t="s">
        <v>25</v>
      </c>
      <c r="I6330" t="s">
        <v>255</v>
      </c>
      <c r="J6330" t="s">
        <v>581</v>
      </c>
      <c r="K6330" s="138">
        <v>19.39</v>
      </c>
      <c r="L6330" s="137">
        <v>0</v>
      </c>
    </row>
    <row r="6331" spans="7:12" x14ac:dyDescent="0.25">
      <c r="G6331" s="136">
        <v>43610</v>
      </c>
      <c r="H6331" t="s">
        <v>25</v>
      </c>
      <c r="I6331" t="s">
        <v>171</v>
      </c>
      <c r="J6331" t="s">
        <v>582</v>
      </c>
      <c r="K6331" s="138">
        <v>24</v>
      </c>
      <c r="L6331" s="137">
        <v>0</v>
      </c>
    </row>
    <row r="6332" spans="7:12" x14ac:dyDescent="0.25">
      <c r="G6332" s="136">
        <v>43610</v>
      </c>
      <c r="H6332" t="s">
        <v>211</v>
      </c>
      <c r="I6332" t="s">
        <v>63</v>
      </c>
      <c r="J6332" t="s">
        <v>582</v>
      </c>
      <c r="K6332" s="138">
        <v>294.75</v>
      </c>
      <c r="L6332" s="137">
        <v>0</v>
      </c>
    </row>
    <row r="6333" spans="7:12" x14ac:dyDescent="0.25">
      <c r="G6333" s="136">
        <v>43610</v>
      </c>
      <c r="H6333" t="s">
        <v>180</v>
      </c>
      <c r="I6333" t="s">
        <v>255</v>
      </c>
      <c r="J6333" t="s">
        <v>581</v>
      </c>
      <c r="K6333" s="138">
        <v>13.97</v>
      </c>
      <c r="L6333" s="137">
        <v>0</v>
      </c>
    </row>
    <row r="6334" spans="7:12" x14ac:dyDescent="0.25">
      <c r="G6334" s="136">
        <v>43610</v>
      </c>
      <c r="H6334" t="s">
        <v>180</v>
      </c>
      <c r="I6334" t="s">
        <v>171</v>
      </c>
      <c r="J6334" t="s">
        <v>582</v>
      </c>
      <c r="K6334" s="138">
        <v>15.35</v>
      </c>
      <c r="L6334" s="137">
        <v>0</v>
      </c>
    </row>
    <row r="6335" spans="7:12" x14ac:dyDescent="0.25">
      <c r="G6335" s="136">
        <v>43610</v>
      </c>
      <c r="H6335" t="s">
        <v>179</v>
      </c>
      <c r="I6335" t="s">
        <v>255</v>
      </c>
      <c r="J6335" t="s">
        <v>581</v>
      </c>
      <c r="K6335" s="138">
        <v>653.96</v>
      </c>
      <c r="L6335" s="137">
        <v>0</v>
      </c>
    </row>
    <row r="6336" spans="7:12" x14ac:dyDescent="0.25">
      <c r="G6336" s="136">
        <v>43610</v>
      </c>
      <c r="H6336" t="s">
        <v>28</v>
      </c>
      <c r="I6336" t="s">
        <v>66</v>
      </c>
      <c r="J6336" t="s">
        <v>285</v>
      </c>
      <c r="K6336" s="138">
        <v>7.65</v>
      </c>
      <c r="L6336" s="137">
        <v>0</v>
      </c>
    </row>
    <row r="6337" spans="7:12" x14ac:dyDescent="0.25">
      <c r="G6337" s="136">
        <v>43610</v>
      </c>
      <c r="H6337" t="s">
        <v>28</v>
      </c>
      <c r="I6337" t="s">
        <v>255</v>
      </c>
      <c r="J6337" t="s">
        <v>581</v>
      </c>
      <c r="K6337" s="138">
        <v>341.28</v>
      </c>
      <c r="L6337" s="137">
        <v>0</v>
      </c>
    </row>
    <row r="6338" spans="7:12" x14ac:dyDescent="0.25">
      <c r="G6338" s="136">
        <v>43610</v>
      </c>
      <c r="H6338" t="s">
        <v>28</v>
      </c>
      <c r="I6338" t="s">
        <v>255</v>
      </c>
      <c r="J6338" t="s">
        <v>581</v>
      </c>
      <c r="K6338" s="138">
        <v>101.66</v>
      </c>
      <c r="L6338" s="137">
        <v>0</v>
      </c>
    </row>
    <row r="6339" spans="7:12" x14ac:dyDescent="0.25">
      <c r="G6339" s="136">
        <v>43610</v>
      </c>
      <c r="H6339" t="s">
        <v>28</v>
      </c>
      <c r="I6339" t="s">
        <v>255</v>
      </c>
      <c r="J6339" t="s">
        <v>581</v>
      </c>
      <c r="K6339" s="138">
        <v>91.9</v>
      </c>
      <c r="L6339" s="137">
        <v>0</v>
      </c>
    </row>
    <row r="6340" spans="7:12" x14ac:dyDescent="0.25">
      <c r="G6340" s="136">
        <v>43610</v>
      </c>
      <c r="H6340" t="s">
        <v>28</v>
      </c>
      <c r="I6340" t="s">
        <v>255</v>
      </c>
      <c r="J6340" t="s">
        <v>581</v>
      </c>
      <c r="K6340" s="138">
        <v>58.94</v>
      </c>
      <c r="L6340" s="137">
        <v>0</v>
      </c>
    </row>
    <row r="6341" spans="7:12" x14ac:dyDescent="0.25">
      <c r="G6341" s="136">
        <v>43610</v>
      </c>
      <c r="H6341" t="s">
        <v>28</v>
      </c>
      <c r="I6341" t="s">
        <v>255</v>
      </c>
      <c r="J6341" t="s">
        <v>581</v>
      </c>
      <c r="K6341" s="138">
        <v>50.38</v>
      </c>
      <c r="L6341" s="137">
        <v>0</v>
      </c>
    </row>
    <row r="6342" spans="7:12" x14ac:dyDescent="0.25">
      <c r="G6342" s="136">
        <v>43610</v>
      </c>
      <c r="H6342" t="s">
        <v>28</v>
      </c>
      <c r="I6342" t="s">
        <v>255</v>
      </c>
      <c r="J6342" t="s">
        <v>581</v>
      </c>
      <c r="K6342" s="138">
        <v>39.479999999999997</v>
      </c>
      <c r="L6342" s="137">
        <v>0</v>
      </c>
    </row>
    <row r="6343" spans="7:12" x14ac:dyDescent="0.25">
      <c r="G6343" s="136">
        <v>43610</v>
      </c>
      <c r="H6343" t="s">
        <v>28</v>
      </c>
      <c r="I6343" t="s">
        <v>171</v>
      </c>
      <c r="J6343" t="s">
        <v>582</v>
      </c>
      <c r="K6343" s="138">
        <v>12</v>
      </c>
      <c r="L6343" s="137">
        <v>0</v>
      </c>
    </row>
    <row r="6344" spans="7:12" x14ac:dyDescent="0.25">
      <c r="G6344" s="136">
        <v>43612</v>
      </c>
      <c r="H6344" t="s">
        <v>184</v>
      </c>
      <c r="I6344" t="s">
        <v>171</v>
      </c>
      <c r="J6344" t="s">
        <v>583</v>
      </c>
      <c r="K6344" s="138">
        <v>24</v>
      </c>
      <c r="L6344" s="137">
        <v>0</v>
      </c>
    </row>
    <row r="6345" spans="7:12" x14ac:dyDescent="0.25">
      <c r="G6345" s="136">
        <v>43612</v>
      </c>
      <c r="H6345" t="s">
        <v>188</v>
      </c>
      <c r="I6345" t="s">
        <v>112</v>
      </c>
      <c r="J6345" t="s">
        <v>583</v>
      </c>
      <c r="K6345" s="138">
        <v>24</v>
      </c>
      <c r="L6345" s="137">
        <v>0</v>
      </c>
    </row>
    <row r="6346" spans="7:12" x14ac:dyDescent="0.25">
      <c r="G6346" s="136">
        <v>43612</v>
      </c>
      <c r="H6346" t="s">
        <v>188</v>
      </c>
      <c r="I6346" t="s">
        <v>171</v>
      </c>
      <c r="J6346" t="s">
        <v>583</v>
      </c>
      <c r="K6346" s="138">
        <v>59</v>
      </c>
      <c r="L6346" s="137">
        <v>0</v>
      </c>
    </row>
    <row r="6347" spans="7:12" x14ac:dyDescent="0.25">
      <c r="G6347" s="136">
        <v>43612</v>
      </c>
      <c r="H6347" t="s">
        <v>25</v>
      </c>
      <c r="I6347" t="s">
        <v>63</v>
      </c>
      <c r="J6347" t="s">
        <v>583</v>
      </c>
      <c r="K6347" s="138">
        <v>16</v>
      </c>
      <c r="L6347" s="137">
        <v>0</v>
      </c>
    </row>
    <row r="6348" spans="7:12" x14ac:dyDescent="0.25">
      <c r="G6348" s="136">
        <v>43612</v>
      </c>
      <c r="H6348" t="s">
        <v>201</v>
      </c>
      <c r="I6348" t="s">
        <v>155</v>
      </c>
      <c r="J6348" t="s">
        <v>583</v>
      </c>
      <c r="K6348" s="138">
        <v>101.65</v>
      </c>
      <c r="L6348" s="137">
        <v>0</v>
      </c>
    </row>
    <row r="6349" spans="7:12" x14ac:dyDescent="0.25">
      <c r="G6349" s="136">
        <v>43612</v>
      </c>
      <c r="H6349" t="s">
        <v>197</v>
      </c>
      <c r="I6349" t="s">
        <v>176</v>
      </c>
      <c r="J6349" t="s">
        <v>583</v>
      </c>
      <c r="K6349" s="138">
        <v>67</v>
      </c>
      <c r="L6349" s="137">
        <v>0</v>
      </c>
    </row>
    <row r="6350" spans="7:12" x14ac:dyDescent="0.25">
      <c r="G6350" s="136">
        <v>43612</v>
      </c>
      <c r="H6350" t="s">
        <v>28</v>
      </c>
      <c r="I6350" t="s">
        <v>163</v>
      </c>
      <c r="J6350" t="s">
        <v>583</v>
      </c>
      <c r="K6350" s="138">
        <v>187.5</v>
      </c>
      <c r="L6350" s="137">
        <v>0</v>
      </c>
    </row>
    <row r="6351" spans="7:12" x14ac:dyDescent="0.25">
      <c r="G6351" s="136">
        <v>43612</v>
      </c>
      <c r="H6351" t="s">
        <v>28</v>
      </c>
      <c r="I6351" t="s">
        <v>178</v>
      </c>
      <c r="J6351" t="s">
        <v>583</v>
      </c>
      <c r="K6351" s="138">
        <v>30</v>
      </c>
      <c r="L6351" s="137">
        <v>0</v>
      </c>
    </row>
    <row r="6352" spans="7:12" x14ac:dyDescent="0.25">
      <c r="G6352" s="136">
        <v>43612</v>
      </c>
      <c r="H6352" t="s">
        <v>28</v>
      </c>
      <c r="I6352" t="s">
        <v>178</v>
      </c>
      <c r="J6352" t="s">
        <v>583</v>
      </c>
      <c r="K6352" s="138">
        <v>17.989999999999998</v>
      </c>
      <c r="L6352" s="137">
        <v>0</v>
      </c>
    </row>
    <row r="6353" spans="7:12" x14ac:dyDescent="0.25">
      <c r="G6353" s="136">
        <v>43612</v>
      </c>
      <c r="H6353" t="s">
        <v>28</v>
      </c>
      <c r="I6353" t="s">
        <v>112</v>
      </c>
      <c r="J6353" t="s">
        <v>583</v>
      </c>
      <c r="K6353" s="138">
        <v>55.64</v>
      </c>
      <c r="L6353" s="137">
        <v>0</v>
      </c>
    </row>
    <row r="6354" spans="7:12" x14ac:dyDescent="0.25">
      <c r="G6354" s="136">
        <v>43612</v>
      </c>
      <c r="H6354" t="s">
        <v>28</v>
      </c>
      <c r="I6354" t="s">
        <v>112</v>
      </c>
      <c r="J6354" t="s">
        <v>583</v>
      </c>
      <c r="K6354" s="138">
        <v>40.5</v>
      </c>
      <c r="L6354" s="137">
        <v>0</v>
      </c>
    </row>
    <row r="6355" spans="7:12" x14ac:dyDescent="0.25">
      <c r="G6355" s="136">
        <v>43612</v>
      </c>
      <c r="H6355" t="s">
        <v>28</v>
      </c>
      <c r="I6355" t="s">
        <v>112</v>
      </c>
      <c r="J6355" t="s">
        <v>583</v>
      </c>
      <c r="K6355" s="138">
        <v>35.979999999999997</v>
      </c>
      <c r="L6355" s="137">
        <v>0</v>
      </c>
    </row>
    <row r="6356" spans="7:12" x14ac:dyDescent="0.25">
      <c r="G6356" s="136">
        <v>43612</v>
      </c>
      <c r="H6356" t="s">
        <v>28</v>
      </c>
      <c r="I6356" t="s">
        <v>112</v>
      </c>
      <c r="J6356" t="s">
        <v>583</v>
      </c>
      <c r="K6356" s="138">
        <v>10.199999999999999</v>
      </c>
      <c r="L6356" s="137">
        <v>0</v>
      </c>
    </row>
    <row r="6357" spans="7:12" x14ac:dyDescent="0.25">
      <c r="G6357" s="136">
        <v>43612</v>
      </c>
      <c r="H6357" t="s">
        <v>28</v>
      </c>
      <c r="I6357" t="s">
        <v>155</v>
      </c>
      <c r="J6357" t="s">
        <v>583</v>
      </c>
      <c r="K6357" s="138">
        <v>160</v>
      </c>
      <c r="L6357" s="137">
        <v>0</v>
      </c>
    </row>
    <row r="6358" spans="7:12" x14ac:dyDescent="0.25">
      <c r="G6358" s="136">
        <v>43612</v>
      </c>
      <c r="H6358" t="s">
        <v>28</v>
      </c>
      <c r="I6358" t="s">
        <v>155</v>
      </c>
      <c r="J6358" t="s">
        <v>583</v>
      </c>
      <c r="K6358" s="138">
        <v>116.42</v>
      </c>
      <c r="L6358" s="137">
        <v>0</v>
      </c>
    </row>
    <row r="6359" spans="7:12" x14ac:dyDescent="0.25">
      <c r="G6359" s="136">
        <v>43612</v>
      </c>
      <c r="H6359" t="s">
        <v>28</v>
      </c>
      <c r="I6359" t="s">
        <v>155</v>
      </c>
      <c r="J6359" t="s">
        <v>583</v>
      </c>
      <c r="K6359" s="138">
        <v>94.47</v>
      </c>
      <c r="L6359" s="137">
        <v>0</v>
      </c>
    </row>
    <row r="6360" spans="7:12" x14ac:dyDescent="0.25">
      <c r="G6360" s="136">
        <v>43612</v>
      </c>
      <c r="H6360" t="s">
        <v>28</v>
      </c>
      <c r="I6360" t="s">
        <v>155</v>
      </c>
      <c r="J6360" t="s">
        <v>583</v>
      </c>
      <c r="K6360" s="138">
        <v>48.16</v>
      </c>
      <c r="L6360" s="137">
        <v>0</v>
      </c>
    </row>
    <row r="6361" spans="7:12" x14ac:dyDescent="0.25">
      <c r="G6361" s="136">
        <v>43612</v>
      </c>
      <c r="H6361" t="s">
        <v>28</v>
      </c>
      <c r="I6361" t="s">
        <v>155</v>
      </c>
      <c r="J6361" t="s">
        <v>583</v>
      </c>
      <c r="K6361" s="138">
        <v>28.39</v>
      </c>
      <c r="L6361" s="137">
        <v>0</v>
      </c>
    </row>
    <row r="6362" spans="7:12" x14ac:dyDescent="0.25">
      <c r="G6362" s="136">
        <v>43612</v>
      </c>
      <c r="H6362" t="s">
        <v>28</v>
      </c>
      <c r="I6362" t="s">
        <v>155</v>
      </c>
      <c r="J6362" t="s">
        <v>583</v>
      </c>
      <c r="K6362" s="138">
        <v>10.49</v>
      </c>
      <c r="L6362" s="137">
        <v>0</v>
      </c>
    </row>
    <row r="6363" spans="7:12" x14ac:dyDescent="0.25">
      <c r="G6363" s="136">
        <v>43612</v>
      </c>
      <c r="H6363" t="s">
        <v>28</v>
      </c>
      <c r="I6363" t="s">
        <v>66</v>
      </c>
      <c r="J6363" t="s">
        <v>134</v>
      </c>
      <c r="K6363" s="138">
        <v>12</v>
      </c>
      <c r="L6363" s="137">
        <v>0</v>
      </c>
    </row>
    <row r="6364" spans="7:12" x14ac:dyDescent="0.25">
      <c r="G6364" s="136">
        <v>43612</v>
      </c>
      <c r="H6364" t="s">
        <v>28</v>
      </c>
      <c r="I6364" t="s">
        <v>66</v>
      </c>
      <c r="J6364" t="s">
        <v>101</v>
      </c>
      <c r="K6364" s="138">
        <v>2.4</v>
      </c>
      <c r="L6364" s="137">
        <v>0</v>
      </c>
    </row>
    <row r="6365" spans="7:12" x14ac:dyDescent="0.25">
      <c r="G6365" s="136">
        <v>43612</v>
      </c>
      <c r="H6365" t="s">
        <v>28</v>
      </c>
      <c r="I6365" t="s">
        <v>66</v>
      </c>
      <c r="J6365" t="s">
        <v>137</v>
      </c>
      <c r="K6365" s="138">
        <v>2.7</v>
      </c>
      <c r="L6365" s="137">
        <v>0</v>
      </c>
    </row>
    <row r="6366" spans="7:12" x14ac:dyDescent="0.25">
      <c r="G6366" s="136">
        <v>43612</v>
      </c>
      <c r="H6366" t="s">
        <v>28</v>
      </c>
      <c r="I6366" t="s">
        <v>171</v>
      </c>
      <c r="J6366" t="s">
        <v>583</v>
      </c>
      <c r="K6366" s="138">
        <v>30.77</v>
      </c>
      <c r="L6366" s="137">
        <v>0</v>
      </c>
    </row>
    <row r="6367" spans="7:12" x14ac:dyDescent="0.25">
      <c r="G6367" s="136">
        <v>43613</v>
      </c>
      <c r="H6367" t="s">
        <v>183</v>
      </c>
      <c r="I6367" t="s">
        <v>178</v>
      </c>
      <c r="J6367" t="s">
        <v>584</v>
      </c>
      <c r="K6367" s="138">
        <v>175</v>
      </c>
      <c r="L6367" s="137">
        <v>0</v>
      </c>
    </row>
    <row r="6368" spans="7:12" x14ac:dyDescent="0.25">
      <c r="G6368" s="136">
        <v>43613</v>
      </c>
      <c r="H6368" t="s">
        <v>191</v>
      </c>
      <c r="I6368" t="s">
        <v>63</v>
      </c>
      <c r="J6368" t="s">
        <v>584</v>
      </c>
      <c r="K6368" s="138">
        <v>117.45</v>
      </c>
      <c r="L6368" s="137">
        <v>0</v>
      </c>
    </row>
    <row r="6369" spans="7:12" x14ac:dyDescent="0.25">
      <c r="G6369" s="136">
        <v>43613</v>
      </c>
      <c r="H6369" t="s">
        <v>188</v>
      </c>
      <c r="I6369" t="s">
        <v>171</v>
      </c>
      <c r="J6369" t="s">
        <v>584</v>
      </c>
      <c r="K6369" s="138">
        <v>130</v>
      </c>
      <c r="L6369" s="137">
        <v>0</v>
      </c>
    </row>
    <row r="6370" spans="7:12" x14ac:dyDescent="0.25">
      <c r="G6370" s="136">
        <v>43613</v>
      </c>
      <c r="H6370" t="s">
        <v>200</v>
      </c>
      <c r="I6370" t="s">
        <v>63</v>
      </c>
      <c r="J6370" t="s">
        <v>584</v>
      </c>
      <c r="K6370" s="138">
        <v>54.57</v>
      </c>
      <c r="L6370" s="137">
        <v>0</v>
      </c>
    </row>
    <row r="6371" spans="7:12" x14ac:dyDescent="0.25">
      <c r="G6371" s="136">
        <v>43613</v>
      </c>
      <c r="H6371" t="s">
        <v>200</v>
      </c>
      <c r="I6371" t="s">
        <v>171</v>
      </c>
      <c r="J6371" t="s">
        <v>584</v>
      </c>
      <c r="K6371" s="138">
        <v>14.6</v>
      </c>
      <c r="L6371" s="137">
        <v>0</v>
      </c>
    </row>
    <row r="6372" spans="7:12" x14ac:dyDescent="0.25">
      <c r="G6372" s="136">
        <v>43613</v>
      </c>
      <c r="H6372" t="s">
        <v>25</v>
      </c>
      <c r="I6372" t="s">
        <v>63</v>
      </c>
      <c r="J6372" t="s">
        <v>584</v>
      </c>
      <c r="K6372" s="138">
        <v>16</v>
      </c>
      <c r="L6372" s="137">
        <v>0</v>
      </c>
    </row>
    <row r="6373" spans="7:12" x14ac:dyDescent="0.25">
      <c r="G6373" s="136">
        <v>43613</v>
      </c>
      <c r="H6373" t="s">
        <v>25</v>
      </c>
      <c r="I6373" t="s">
        <v>63</v>
      </c>
      <c r="J6373" t="s">
        <v>584</v>
      </c>
      <c r="K6373" s="138">
        <v>8</v>
      </c>
      <c r="L6373" s="137">
        <v>0</v>
      </c>
    </row>
    <row r="6374" spans="7:12" x14ac:dyDescent="0.25">
      <c r="G6374" s="136">
        <v>43613</v>
      </c>
      <c r="H6374" t="s">
        <v>181</v>
      </c>
      <c r="I6374" t="s">
        <v>171</v>
      </c>
      <c r="J6374" t="s">
        <v>584</v>
      </c>
      <c r="K6374" s="138">
        <v>226.93</v>
      </c>
      <c r="L6374" s="137">
        <v>0</v>
      </c>
    </row>
    <row r="6375" spans="7:12" x14ac:dyDescent="0.25">
      <c r="G6375" s="136">
        <v>43613</v>
      </c>
      <c r="H6375" t="s">
        <v>196</v>
      </c>
      <c r="I6375" t="s">
        <v>171</v>
      </c>
      <c r="J6375" t="s">
        <v>584</v>
      </c>
      <c r="K6375" s="138">
        <v>120.41</v>
      </c>
      <c r="L6375" s="137">
        <v>0</v>
      </c>
    </row>
    <row r="6376" spans="7:12" x14ac:dyDescent="0.25">
      <c r="G6376" s="136">
        <v>43613</v>
      </c>
      <c r="H6376" t="s">
        <v>28</v>
      </c>
      <c r="I6376" t="s">
        <v>63</v>
      </c>
      <c r="J6376" t="s">
        <v>584</v>
      </c>
      <c r="K6376" s="138">
        <v>8</v>
      </c>
      <c r="L6376" s="137">
        <v>0</v>
      </c>
    </row>
    <row r="6377" spans="7:12" x14ac:dyDescent="0.25">
      <c r="G6377" s="136">
        <v>43613</v>
      </c>
      <c r="H6377" t="s">
        <v>28</v>
      </c>
      <c r="I6377" t="s">
        <v>112</v>
      </c>
      <c r="J6377" t="s">
        <v>584</v>
      </c>
      <c r="K6377" s="138">
        <v>15.66</v>
      </c>
      <c r="L6377" s="137">
        <v>0</v>
      </c>
    </row>
    <row r="6378" spans="7:12" x14ac:dyDescent="0.25">
      <c r="G6378" s="136">
        <v>43613</v>
      </c>
      <c r="H6378" t="s">
        <v>28</v>
      </c>
      <c r="I6378" t="s">
        <v>176</v>
      </c>
      <c r="J6378" t="s">
        <v>584</v>
      </c>
      <c r="K6378" s="138">
        <v>34</v>
      </c>
      <c r="L6378" s="137">
        <v>0</v>
      </c>
    </row>
    <row r="6379" spans="7:12" x14ac:dyDescent="0.25">
      <c r="G6379" s="136">
        <v>43613</v>
      </c>
      <c r="H6379" t="s">
        <v>28</v>
      </c>
      <c r="I6379" t="s">
        <v>66</v>
      </c>
      <c r="J6379" t="s">
        <v>139</v>
      </c>
      <c r="K6379" s="138">
        <v>24</v>
      </c>
      <c r="L6379" s="137">
        <v>0</v>
      </c>
    </row>
    <row r="6380" spans="7:12" x14ac:dyDescent="0.25">
      <c r="G6380" s="136">
        <v>43613</v>
      </c>
      <c r="H6380" t="s">
        <v>28</v>
      </c>
      <c r="I6380" t="s">
        <v>66</v>
      </c>
      <c r="J6380" t="s">
        <v>318</v>
      </c>
      <c r="K6380" s="138">
        <v>4.5</v>
      </c>
      <c r="L6380" s="137">
        <v>0</v>
      </c>
    </row>
    <row r="6381" spans="7:12" x14ac:dyDescent="0.25">
      <c r="G6381" s="136">
        <v>43614</v>
      </c>
      <c r="H6381" t="s">
        <v>27</v>
      </c>
      <c r="I6381" t="s">
        <v>63</v>
      </c>
      <c r="J6381" t="s">
        <v>585</v>
      </c>
      <c r="K6381" s="138">
        <v>8</v>
      </c>
      <c r="L6381" s="137">
        <v>0</v>
      </c>
    </row>
    <row r="6382" spans="7:12" x14ac:dyDescent="0.25">
      <c r="G6382" s="136">
        <v>43614</v>
      </c>
      <c r="H6382" t="s">
        <v>185</v>
      </c>
      <c r="I6382" t="s">
        <v>176</v>
      </c>
      <c r="J6382" t="s">
        <v>585</v>
      </c>
      <c r="K6382" s="138">
        <v>28</v>
      </c>
      <c r="L6382" s="137">
        <v>0</v>
      </c>
    </row>
    <row r="6383" spans="7:12" x14ac:dyDescent="0.25">
      <c r="G6383" s="136">
        <v>43614</v>
      </c>
      <c r="H6383" t="s">
        <v>195</v>
      </c>
      <c r="I6383" t="s">
        <v>63</v>
      </c>
      <c r="J6383" t="s">
        <v>585</v>
      </c>
      <c r="K6383" s="138">
        <v>9.08</v>
      </c>
      <c r="L6383" s="137">
        <v>0</v>
      </c>
    </row>
    <row r="6384" spans="7:12" x14ac:dyDescent="0.25">
      <c r="G6384" s="136">
        <v>43614</v>
      </c>
      <c r="H6384" t="s">
        <v>188</v>
      </c>
      <c r="I6384" t="s">
        <v>256</v>
      </c>
      <c r="J6384" t="s">
        <v>500</v>
      </c>
      <c r="K6384" s="138">
        <v>0</v>
      </c>
      <c r="L6384" s="137">
        <v>10400</v>
      </c>
    </row>
    <row r="6385" spans="7:12" x14ac:dyDescent="0.25">
      <c r="G6385" s="136">
        <v>43614</v>
      </c>
      <c r="H6385" t="s">
        <v>25</v>
      </c>
      <c r="I6385" t="s">
        <v>63</v>
      </c>
      <c r="J6385" t="s">
        <v>585</v>
      </c>
      <c r="K6385" s="138">
        <v>16</v>
      </c>
      <c r="L6385" s="137">
        <v>0</v>
      </c>
    </row>
    <row r="6386" spans="7:12" x14ac:dyDescent="0.25">
      <c r="G6386" s="136">
        <v>43614</v>
      </c>
      <c r="H6386" t="s">
        <v>25</v>
      </c>
      <c r="I6386" t="s">
        <v>63</v>
      </c>
      <c r="J6386" t="s">
        <v>585</v>
      </c>
      <c r="K6386" s="138">
        <v>8</v>
      </c>
      <c r="L6386" s="137">
        <v>0</v>
      </c>
    </row>
    <row r="6387" spans="7:12" x14ac:dyDescent="0.25">
      <c r="G6387" s="136">
        <v>43614</v>
      </c>
      <c r="H6387" t="s">
        <v>211</v>
      </c>
      <c r="I6387" t="s">
        <v>163</v>
      </c>
      <c r="J6387" t="s">
        <v>585</v>
      </c>
      <c r="K6387" s="138">
        <v>3909</v>
      </c>
      <c r="L6387" s="137">
        <v>0</v>
      </c>
    </row>
    <row r="6388" spans="7:12" x14ac:dyDescent="0.25">
      <c r="G6388" s="136">
        <v>43614</v>
      </c>
      <c r="H6388" t="s">
        <v>197</v>
      </c>
      <c r="I6388" t="s">
        <v>171</v>
      </c>
      <c r="J6388" t="s">
        <v>585</v>
      </c>
      <c r="K6388" s="138">
        <v>42</v>
      </c>
      <c r="L6388" s="137">
        <v>0</v>
      </c>
    </row>
    <row r="6389" spans="7:12" x14ac:dyDescent="0.25">
      <c r="G6389" s="136">
        <v>43614</v>
      </c>
      <c r="H6389" t="s">
        <v>180</v>
      </c>
      <c r="I6389" t="s">
        <v>171</v>
      </c>
      <c r="J6389" t="s">
        <v>585</v>
      </c>
      <c r="K6389" s="138">
        <v>5</v>
      </c>
      <c r="L6389" s="137">
        <v>0</v>
      </c>
    </row>
    <row r="6390" spans="7:12" x14ac:dyDescent="0.25">
      <c r="G6390" s="136">
        <v>43614</v>
      </c>
      <c r="H6390" t="s">
        <v>28</v>
      </c>
      <c r="I6390" t="s">
        <v>63</v>
      </c>
      <c r="J6390" t="s">
        <v>585</v>
      </c>
      <c r="K6390" s="138">
        <v>8</v>
      </c>
      <c r="L6390" s="137">
        <v>0</v>
      </c>
    </row>
    <row r="6391" spans="7:12" x14ac:dyDescent="0.25">
      <c r="G6391" s="136">
        <v>43614</v>
      </c>
      <c r="H6391" t="s">
        <v>28</v>
      </c>
      <c r="I6391" t="s">
        <v>176</v>
      </c>
      <c r="J6391" t="s">
        <v>585</v>
      </c>
      <c r="K6391" s="138">
        <v>0</v>
      </c>
      <c r="L6391" s="137">
        <v>57</v>
      </c>
    </row>
    <row r="6392" spans="7:12" x14ac:dyDescent="0.25">
      <c r="G6392" s="136">
        <v>43614</v>
      </c>
      <c r="H6392" t="s">
        <v>28</v>
      </c>
      <c r="I6392" t="s">
        <v>176</v>
      </c>
      <c r="J6392" t="s">
        <v>585</v>
      </c>
      <c r="L6392" s="137">
        <v>30.77</v>
      </c>
    </row>
    <row r="6393" spans="7:12" x14ac:dyDescent="0.25">
      <c r="G6393" s="136">
        <v>43614</v>
      </c>
      <c r="H6393" t="s">
        <v>28</v>
      </c>
      <c r="I6393" t="s">
        <v>66</v>
      </c>
      <c r="J6393" t="s">
        <v>143</v>
      </c>
      <c r="K6393" s="138">
        <v>9</v>
      </c>
      <c r="L6393" s="137">
        <v>0</v>
      </c>
    </row>
    <row r="6394" spans="7:12" x14ac:dyDescent="0.25">
      <c r="G6394" s="136">
        <v>43614</v>
      </c>
      <c r="H6394" t="s">
        <v>28</v>
      </c>
      <c r="I6394" t="s">
        <v>66</v>
      </c>
      <c r="J6394" t="s">
        <v>318</v>
      </c>
      <c r="K6394" s="138">
        <v>4.5</v>
      </c>
      <c r="L6394" s="137">
        <v>0</v>
      </c>
    </row>
    <row r="6395" spans="7:12" x14ac:dyDescent="0.25">
      <c r="G6395" s="136">
        <v>43614</v>
      </c>
      <c r="H6395" t="s">
        <v>28</v>
      </c>
      <c r="I6395" t="s">
        <v>171</v>
      </c>
      <c r="J6395" t="s">
        <v>585</v>
      </c>
      <c r="K6395" s="138">
        <v>19</v>
      </c>
      <c r="L6395" s="137">
        <v>0</v>
      </c>
    </row>
    <row r="6396" spans="7:12" x14ac:dyDescent="0.25">
      <c r="G6396" s="136">
        <v>43615</v>
      </c>
      <c r="H6396" t="s">
        <v>203</v>
      </c>
      <c r="I6396" t="s">
        <v>171</v>
      </c>
      <c r="J6396" t="s">
        <v>586</v>
      </c>
      <c r="K6396" s="138">
        <v>95.6</v>
      </c>
      <c r="L6396" s="137">
        <v>0</v>
      </c>
    </row>
    <row r="6397" spans="7:12" x14ac:dyDescent="0.25">
      <c r="G6397" s="136">
        <v>43615</v>
      </c>
      <c r="H6397" t="s">
        <v>184</v>
      </c>
      <c r="I6397" t="s">
        <v>42</v>
      </c>
      <c r="J6397" t="s">
        <v>586</v>
      </c>
      <c r="K6397" s="138">
        <v>20</v>
      </c>
      <c r="L6397" s="137">
        <v>0</v>
      </c>
    </row>
    <row r="6398" spans="7:12" x14ac:dyDescent="0.25">
      <c r="G6398" s="136">
        <v>43615</v>
      </c>
      <c r="H6398" t="s">
        <v>25</v>
      </c>
      <c r="I6398" t="s">
        <v>63</v>
      </c>
      <c r="J6398" t="s">
        <v>586</v>
      </c>
      <c r="K6398" s="138">
        <v>32</v>
      </c>
      <c r="L6398" s="137">
        <v>0</v>
      </c>
    </row>
    <row r="6399" spans="7:12" x14ac:dyDescent="0.25">
      <c r="G6399" s="136">
        <v>43615</v>
      </c>
      <c r="H6399" t="s">
        <v>25</v>
      </c>
      <c r="I6399" t="s">
        <v>63</v>
      </c>
      <c r="J6399" t="s">
        <v>586</v>
      </c>
      <c r="K6399" s="138">
        <v>24</v>
      </c>
      <c r="L6399" s="137">
        <v>0</v>
      </c>
    </row>
    <row r="6400" spans="7:12" x14ac:dyDescent="0.25">
      <c r="G6400" s="136">
        <v>43615</v>
      </c>
      <c r="H6400" t="s">
        <v>25</v>
      </c>
      <c r="I6400" t="s">
        <v>63</v>
      </c>
      <c r="J6400" t="s">
        <v>586</v>
      </c>
      <c r="K6400" s="138">
        <v>16</v>
      </c>
      <c r="L6400" s="137">
        <v>0</v>
      </c>
    </row>
    <row r="6401" spans="7:12" x14ac:dyDescent="0.25">
      <c r="G6401" s="136">
        <v>43615</v>
      </c>
      <c r="H6401" t="s">
        <v>25</v>
      </c>
      <c r="I6401" t="s">
        <v>63</v>
      </c>
      <c r="J6401" t="s">
        <v>586</v>
      </c>
      <c r="K6401" s="138">
        <v>8</v>
      </c>
      <c r="L6401" s="137">
        <v>0</v>
      </c>
    </row>
    <row r="6402" spans="7:12" x14ac:dyDescent="0.25">
      <c r="G6402" s="136">
        <v>43615</v>
      </c>
      <c r="H6402" t="s">
        <v>28</v>
      </c>
      <c r="I6402" t="s">
        <v>63</v>
      </c>
      <c r="J6402" t="s">
        <v>586</v>
      </c>
      <c r="K6402" s="138">
        <v>8</v>
      </c>
      <c r="L6402" s="137">
        <v>0</v>
      </c>
    </row>
    <row r="6403" spans="7:12" x14ac:dyDescent="0.25">
      <c r="G6403" s="136">
        <v>43615</v>
      </c>
      <c r="H6403" t="s">
        <v>28</v>
      </c>
      <c r="I6403" t="s">
        <v>66</v>
      </c>
      <c r="J6403" t="s">
        <v>143</v>
      </c>
      <c r="K6403" s="138">
        <v>9</v>
      </c>
      <c r="L6403" s="137">
        <v>0</v>
      </c>
    </row>
    <row r="6404" spans="7:12" x14ac:dyDescent="0.25">
      <c r="G6404" s="136">
        <v>43615</v>
      </c>
      <c r="H6404" t="s">
        <v>28</v>
      </c>
      <c r="I6404" t="s">
        <v>171</v>
      </c>
      <c r="J6404" t="s">
        <v>586</v>
      </c>
      <c r="K6404" s="138">
        <v>19</v>
      </c>
      <c r="L6404" s="137">
        <v>0</v>
      </c>
    </row>
    <row r="6405" spans="7:12" x14ac:dyDescent="0.25">
      <c r="G6405" s="136">
        <v>43616</v>
      </c>
      <c r="H6405" t="s">
        <v>28</v>
      </c>
      <c r="I6405" t="s">
        <v>66</v>
      </c>
      <c r="J6405" t="s">
        <v>587</v>
      </c>
      <c r="K6405" s="138">
        <v>2.65</v>
      </c>
      <c r="L6405" s="137">
        <v>0</v>
      </c>
    </row>
    <row r="6406" spans="7:12" x14ac:dyDescent="0.25">
      <c r="G6406" s="136">
        <v>43616</v>
      </c>
      <c r="H6406" t="s">
        <v>28</v>
      </c>
      <c r="I6406" t="s">
        <v>66</v>
      </c>
      <c r="J6406" t="s">
        <v>402</v>
      </c>
      <c r="K6406" s="138">
        <v>2.25</v>
      </c>
      <c r="L6406" s="137">
        <v>0</v>
      </c>
    </row>
    <row r="6407" spans="7:12" x14ac:dyDescent="0.25">
      <c r="G6407" s="136">
        <v>43616</v>
      </c>
      <c r="H6407" t="s">
        <v>28</v>
      </c>
      <c r="I6407" t="s">
        <v>66</v>
      </c>
      <c r="J6407" t="s">
        <v>111</v>
      </c>
      <c r="K6407" s="138">
        <v>6.75</v>
      </c>
      <c r="L6407" s="137">
        <v>0</v>
      </c>
    </row>
    <row r="6408" spans="7:12" x14ac:dyDescent="0.25">
      <c r="G6408" s="136">
        <v>43617</v>
      </c>
      <c r="H6408" t="s">
        <v>27</v>
      </c>
      <c r="I6408" t="s">
        <v>63</v>
      </c>
      <c r="J6408" t="s">
        <v>588</v>
      </c>
      <c r="K6408" s="138">
        <v>16</v>
      </c>
      <c r="L6408" s="137">
        <v>0</v>
      </c>
    </row>
    <row r="6409" spans="7:12" x14ac:dyDescent="0.25">
      <c r="G6409" s="136">
        <v>43617</v>
      </c>
      <c r="H6409" t="s">
        <v>27</v>
      </c>
      <c r="I6409" t="s">
        <v>63</v>
      </c>
      <c r="J6409" t="s">
        <v>588</v>
      </c>
      <c r="K6409" s="138">
        <v>8</v>
      </c>
      <c r="L6409" s="137">
        <v>0</v>
      </c>
    </row>
    <row r="6410" spans="7:12" x14ac:dyDescent="0.25">
      <c r="G6410" s="136">
        <v>43617</v>
      </c>
      <c r="H6410" t="s">
        <v>27</v>
      </c>
      <c r="I6410" t="s">
        <v>171</v>
      </c>
      <c r="J6410" t="s">
        <v>588</v>
      </c>
      <c r="K6410" s="138">
        <v>266</v>
      </c>
      <c r="L6410" s="137">
        <v>0</v>
      </c>
    </row>
    <row r="6411" spans="7:12" x14ac:dyDescent="0.25">
      <c r="G6411" s="136">
        <v>43617</v>
      </c>
      <c r="H6411" t="s">
        <v>185</v>
      </c>
      <c r="I6411" t="s">
        <v>171</v>
      </c>
      <c r="J6411" t="s">
        <v>588</v>
      </c>
      <c r="K6411" s="138">
        <v>10</v>
      </c>
      <c r="L6411" s="137">
        <v>0</v>
      </c>
    </row>
    <row r="6412" spans="7:12" x14ac:dyDescent="0.25">
      <c r="G6412" s="136">
        <v>43617</v>
      </c>
      <c r="H6412" t="s">
        <v>183</v>
      </c>
      <c r="I6412" t="s">
        <v>163</v>
      </c>
      <c r="J6412" t="s">
        <v>588</v>
      </c>
      <c r="K6412" s="138">
        <v>19.95</v>
      </c>
      <c r="L6412" s="137">
        <v>0</v>
      </c>
    </row>
    <row r="6413" spans="7:12" x14ac:dyDescent="0.25">
      <c r="G6413" s="136">
        <v>43617</v>
      </c>
      <c r="H6413" t="s">
        <v>25</v>
      </c>
      <c r="I6413" t="s">
        <v>63</v>
      </c>
      <c r="J6413" t="s">
        <v>588</v>
      </c>
      <c r="K6413" s="138">
        <v>88</v>
      </c>
      <c r="L6413" s="137">
        <v>0</v>
      </c>
    </row>
    <row r="6414" spans="7:12" x14ac:dyDescent="0.25">
      <c r="G6414" s="136">
        <v>43617</v>
      </c>
      <c r="H6414" t="s">
        <v>25</v>
      </c>
      <c r="I6414" t="s">
        <v>63</v>
      </c>
      <c r="J6414" t="s">
        <v>588</v>
      </c>
      <c r="K6414" s="138">
        <v>72</v>
      </c>
      <c r="L6414" s="137">
        <v>0</v>
      </c>
    </row>
    <row r="6415" spans="7:12" x14ac:dyDescent="0.25">
      <c r="G6415" s="136">
        <v>43617</v>
      </c>
      <c r="H6415" t="s">
        <v>25</v>
      </c>
      <c r="I6415" t="s">
        <v>63</v>
      </c>
      <c r="J6415" t="s">
        <v>588</v>
      </c>
      <c r="K6415" s="138">
        <v>56</v>
      </c>
      <c r="L6415" s="137">
        <v>0</v>
      </c>
    </row>
    <row r="6416" spans="7:12" x14ac:dyDescent="0.25">
      <c r="G6416" s="136">
        <v>43617</v>
      </c>
      <c r="H6416" t="s">
        <v>25</v>
      </c>
      <c r="I6416" t="s">
        <v>63</v>
      </c>
      <c r="J6416" t="s">
        <v>588</v>
      </c>
      <c r="K6416" s="138">
        <v>32</v>
      </c>
      <c r="L6416" s="137">
        <v>0</v>
      </c>
    </row>
    <row r="6417" spans="7:12" x14ac:dyDescent="0.25">
      <c r="G6417" s="136">
        <v>43617</v>
      </c>
      <c r="H6417" t="s">
        <v>25</v>
      </c>
      <c r="I6417" t="s">
        <v>63</v>
      </c>
      <c r="J6417" t="s">
        <v>588</v>
      </c>
      <c r="K6417" s="138">
        <v>16</v>
      </c>
      <c r="L6417" s="137">
        <v>0</v>
      </c>
    </row>
    <row r="6418" spans="7:12" x14ac:dyDescent="0.25">
      <c r="G6418" s="136">
        <v>43617</v>
      </c>
      <c r="H6418" t="s">
        <v>25</v>
      </c>
      <c r="I6418" t="s">
        <v>171</v>
      </c>
      <c r="J6418" t="s">
        <v>588</v>
      </c>
      <c r="K6418" s="138">
        <v>338</v>
      </c>
      <c r="L6418" s="137">
        <v>0</v>
      </c>
    </row>
    <row r="6419" spans="7:12" x14ac:dyDescent="0.25">
      <c r="G6419" s="136">
        <v>43617</v>
      </c>
      <c r="H6419" t="s">
        <v>25</v>
      </c>
      <c r="I6419" t="s">
        <v>171</v>
      </c>
      <c r="J6419" t="s">
        <v>588</v>
      </c>
      <c r="K6419" s="138">
        <v>234</v>
      </c>
      <c r="L6419" s="137">
        <v>0</v>
      </c>
    </row>
    <row r="6420" spans="7:12" x14ac:dyDescent="0.25">
      <c r="G6420" s="136">
        <v>43617</v>
      </c>
      <c r="H6420" t="s">
        <v>181</v>
      </c>
      <c r="I6420" t="s">
        <v>171</v>
      </c>
      <c r="J6420" t="s">
        <v>588</v>
      </c>
      <c r="K6420" s="138">
        <v>163.58000000000001</v>
      </c>
      <c r="L6420" s="137">
        <v>0</v>
      </c>
    </row>
    <row r="6421" spans="7:12" x14ac:dyDescent="0.25">
      <c r="G6421" s="136">
        <v>43617</v>
      </c>
      <c r="H6421" t="s">
        <v>197</v>
      </c>
      <c r="I6421" t="s">
        <v>171</v>
      </c>
      <c r="J6421" t="s">
        <v>588</v>
      </c>
      <c r="K6421" s="138">
        <v>35</v>
      </c>
      <c r="L6421" s="137">
        <v>0</v>
      </c>
    </row>
    <row r="6422" spans="7:12" x14ac:dyDescent="0.25">
      <c r="G6422" s="136">
        <v>43617</v>
      </c>
      <c r="H6422" t="s">
        <v>196</v>
      </c>
      <c r="I6422" t="s">
        <v>171</v>
      </c>
      <c r="J6422" t="s">
        <v>588</v>
      </c>
      <c r="K6422" s="138">
        <v>20</v>
      </c>
      <c r="L6422" s="137">
        <v>0</v>
      </c>
    </row>
    <row r="6423" spans="7:12" x14ac:dyDescent="0.25">
      <c r="G6423" s="136">
        <v>43617</v>
      </c>
      <c r="H6423" t="s">
        <v>180</v>
      </c>
      <c r="I6423" t="s">
        <v>171</v>
      </c>
      <c r="J6423" t="s">
        <v>588</v>
      </c>
      <c r="K6423" s="138">
        <v>10</v>
      </c>
      <c r="L6423" s="137">
        <v>0</v>
      </c>
    </row>
    <row r="6424" spans="7:12" x14ac:dyDescent="0.25">
      <c r="G6424" s="136">
        <v>43617</v>
      </c>
      <c r="H6424" t="s">
        <v>179</v>
      </c>
      <c r="I6424" t="s">
        <v>63</v>
      </c>
      <c r="J6424" t="s">
        <v>588</v>
      </c>
      <c r="K6424" s="138">
        <v>80.489999999999995</v>
      </c>
      <c r="L6424" s="137">
        <v>0</v>
      </c>
    </row>
    <row r="6425" spans="7:12" x14ac:dyDescent="0.25">
      <c r="G6425" s="136">
        <v>43617</v>
      </c>
      <c r="H6425" t="s">
        <v>179</v>
      </c>
      <c r="I6425" t="s">
        <v>176</v>
      </c>
      <c r="J6425" t="s">
        <v>588</v>
      </c>
      <c r="K6425" s="138">
        <v>1227.23</v>
      </c>
      <c r="L6425" s="137">
        <v>0</v>
      </c>
    </row>
    <row r="6426" spans="7:12" x14ac:dyDescent="0.25">
      <c r="G6426" s="136">
        <v>43617</v>
      </c>
      <c r="H6426" t="s">
        <v>28</v>
      </c>
      <c r="I6426" t="s">
        <v>63</v>
      </c>
      <c r="J6426" t="s">
        <v>588</v>
      </c>
      <c r="K6426" s="138">
        <v>8</v>
      </c>
      <c r="L6426" s="137">
        <v>0</v>
      </c>
    </row>
    <row r="6427" spans="7:12" x14ac:dyDescent="0.25">
      <c r="G6427" s="136">
        <v>43617</v>
      </c>
      <c r="H6427" t="s">
        <v>28</v>
      </c>
      <c r="I6427" t="s">
        <v>163</v>
      </c>
      <c r="J6427" t="s">
        <v>588</v>
      </c>
      <c r="K6427" s="138">
        <v>30</v>
      </c>
      <c r="L6427" s="137">
        <v>0</v>
      </c>
    </row>
    <row r="6428" spans="7:12" x14ac:dyDescent="0.25">
      <c r="G6428" s="136">
        <v>43617</v>
      </c>
      <c r="H6428" t="s">
        <v>28</v>
      </c>
      <c r="I6428" t="s">
        <v>171</v>
      </c>
      <c r="J6428" t="s">
        <v>588</v>
      </c>
      <c r="K6428" s="138">
        <v>144</v>
      </c>
      <c r="L6428" s="137">
        <v>0</v>
      </c>
    </row>
    <row r="6429" spans="7:12" x14ac:dyDescent="0.25">
      <c r="G6429" s="136">
        <v>43619</v>
      </c>
      <c r="H6429" t="s">
        <v>192</v>
      </c>
      <c r="I6429" t="s">
        <v>155</v>
      </c>
      <c r="J6429" t="s">
        <v>589</v>
      </c>
      <c r="K6429" s="138">
        <v>59.68</v>
      </c>
      <c r="L6429" s="137">
        <v>0</v>
      </c>
    </row>
    <row r="6430" spans="7:12" x14ac:dyDescent="0.25">
      <c r="G6430" s="136">
        <v>43619</v>
      </c>
      <c r="H6430" t="s">
        <v>27</v>
      </c>
      <c r="I6430" t="s">
        <v>63</v>
      </c>
      <c r="J6430" t="s">
        <v>589</v>
      </c>
      <c r="K6430" s="138">
        <v>8</v>
      </c>
      <c r="L6430" s="137">
        <v>0</v>
      </c>
    </row>
    <row r="6431" spans="7:12" x14ac:dyDescent="0.25">
      <c r="G6431" s="136">
        <v>43619</v>
      </c>
      <c r="H6431" t="s">
        <v>209</v>
      </c>
      <c r="I6431" t="s">
        <v>155</v>
      </c>
      <c r="J6431" t="s">
        <v>589</v>
      </c>
      <c r="K6431" s="138">
        <v>96.25</v>
      </c>
      <c r="L6431" s="137">
        <v>0</v>
      </c>
    </row>
    <row r="6432" spans="7:12" x14ac:dyDescent="0.25">
      <c r="G6432" s="136">
        <v>43619</v>
      </c>
      <c r="H6432" t="s">
        <v>183</v>
      </c>
      <c r="I6432" t="s">
        <v>178</v>
      </c>
      <c r="J6432" t="s">
        <v>589</v>
      </c>
      <c r="K6432" s="138">
        <v>100</v>
      </c>
      <c r="L6432" s="137">
        <v>0</v>
      </c>
    </row>
    <row r="6433" spans="7:12" x14ac:dyDescent="0.25">
      <c r="G6433" s="136">
        <v>43619</v>
      </c>
      <c r="H6433" t="s">
        <v>183</v>
      </c>
      <c r="I6433" t="s">
        <v>155</v>
      </c>
      <c r="J6433" t="s">
        <v>589</v>
      </c>
      <c r="K6433" s="138">
        <v>183.19</v>
      </c>
      <c r="L6433" s="137">
        <v>0</v>
      </c>
    </row>
    <row r="6434" spans="7:12" x14ac:dyDescent="0.25">
      <c r="G6434" s="136">
        <v>43619</v>
      </c>
      <c r="H6434" t="s">
        <v>191</v>
      </c>
      <c r="I6434" t="s">
        <v>176</v>
      </c>
      <c r="J6434" t="s">
        <v>589</v>
      </c>
      <c r="K6434" s="138">
        <v>0</v>
      </c>
      <c r="L6434" s="137">
        <v>26.78</v>
      </c>
    </row>
    <row r="6435" spans="7:12" x14ac:dyDescent="0.25">
      <c r="G6435" s="136">
        <v>43619</v>
      </c>
      <c r="H6435" t="s">
        <v>193</v>
      </c>
      <c r="I6435" t="s">
        <v>163</v>
      </c>
      <c r="J6435" t="s">
        <v>589</v>
      </c>
      <c r="K6435" s="138">
        <v>983.06</v>
      </c>
      <c r="L6435" s="137">
        <v>0</v>
      </c>
    </row>
    <row r="6436" spans="7:12" x14ac:dyDescent="0.25">
      <c r="G6436" s="136">
        <v>43619</v>
      </c>
      <c r="H6436" t="s">
        <v>193</v>
      </c>
      <c r="I6436" t="s">
        <v>155</v>
      </c>
      <c r="J6436" t="s">
        <v>589</v>
      </c>
      <c r="K6436" s="138">
        <v>29.86</v>
      </c>
      <c r="L6436" s="137">
        <v>0</v>
      </c>
    </row>
    <row r="6437" spans="7:12" x14ac:dyDescent="0.25">
      <c r="G6437" s="136">
        <v>43619</v>
      </c>
      <c r="H6437" t="s">
        <v>188</v>
      </c>
      <c r="I6437" t="s">
        <v>112</v>
      </c>
      <c r="J6437" t="s">
        <v>589</v>
      </c>
      <c r="K6437" s="138">
        <v>94.5</v>
      </c>
      <c r="L6437" s="137">
        <v>0</v>
      </c>
    </row>
    <row r="6438" spans="7:12" x14ac:dyDescent="0.25">
      <c r="G6438" s="136">
        <v>43619</v>
      </c>
      <c r="H6438" t="s">
        <v>188</v>
      </c>
      <c r="I6438" t="s">
        <v>155</v>
      </c>
      <c r="J6438" t="s">
        <v>589</v>
      </c>
      <c r="K6438" s="138">
        <v>18</v>
      </c>
      <c r="L6438" s="137">
        <v>0</v>
      </c>
    </row>
    <row r="6439" spans="7:12" x14ac:dyDescent="0.25">
      <c r="G6439" s="136">
        <v>43619</v>
      </c>
      <c r="H6439" t="s">
        <v>188</v>
      </c>
      <c r="I6439" t="s">
        <v>171</v>
      </c>
      <c r="J6439" t="s">
        <v>589</v>
      </c>
      <c r="K6439" s="138">
        <v>90</v>
      </c>
      <c r="L6439" s="137">
        <v>0</v>
      </c>
    </row>
    <row r="6440" spans="7:12" x14ac:dyDescent="0.25">
      <c r="G6440" s="136">
        <v>43619</v>
      </c>
      <c r="H6440" t="s">
        <v>25</v>
      </c>
      <c r="I6440" t="s">
        <v>63</v>
      </c>
      <c r="J6440" t="s">
        <v>589</v>
      </c>
      <c r="K6440" s="138">
        <v>48</v>
      </c>
      <c r="L6440" s="137">
        <v>0</v>
      </c>
    </row>
    <row r="6441" spans="7:12" x14ac:dyDescent="0.25">
      <c r="G6441" s="136">
        <v>43619</v>
      </c>
      <c r="H6441" t="s">
        <v>25</v>
      </c>
      <c r="I6441" t="s">
        <v>63</v>
      </c>
      <c r="J6441" t="s">
        <v>589</v>
      </c>
      <c r="K6441" s="138">
        <v>24</v>
      </c>
      <c r="L6441" s="137">
        <v>0</v>
      </c>
    </row>
    <row r="6442" spans="7:12" x14ac:dyDescent="0.25">
      <c r="G6442" s="136">
        <v>43619</v>
      </c>
      <c r="H6442" t="s">
        <v>25</v>
      </c>
      <c r="I6442" t="s">
        <v>63</v>
      </c>
      <c r="J6442" t="s">
        <v>589</v>
      </c>
      <c r="K6442" s="138">
        <v>8</v>
      </c>
      <c r="L6442" s="137">
        <v>0</v>
      </c>
    </row>
    <row r="6443" spans="7:12" x14ac:dyDescent="0.25">
      <c r="G6443" s="136">
        <v>43619</v>
      </c>
      <c r="H6443" t="s">
        <v>201</v>
      </c>
      <c r="I6443" t="s">
        <v>112</v>
      </c>
      <c r="J6443" t="s">
        <v>589</v>
      </c>
      <c r="K6443" s="138">
        <v>65.12</v>
      </c>
      <c r="L6443" s="137">
        <v>0</v>
      </c>
    </row>
    <row r="6444" spans="7:12" x14ac:dyDescent="0.25">
      <c r="G6444" s="136">
        <v>43619</v>
      </c>
      <c r="H6444" t="s">
        <v>196</v>
      </c>
      <c r="I6444" t="s">
        <v>171</v>
      </c>
      <c r="J6444" t="s">
        <v>589</v>
      </c>
      <c r="K6444" s="138">
        <v>57.25</v>
      </c>
      <c r="L6444" s="137">
        <v>0</v>
      </c>
    </row>
    <row r="6445" spans="7:12" x14ac:dyDescent="0.25">
      <c r="G6445" s="136">
        <v>43619</v>
      </c>
      <c r="H6445" t="s">
        <v>179</v>
      </c>
      <c r="I6445" t="s">
        <v>112</v>
      </c>
      <c r="J6445" t="s">
        <v>589</v>
      </c>
      <c r="K6445" s="138">
        <v>38.159999999999997</v>
      </c>
      <c r="L6445" s="137">
        <v>0</v>
      </c>
    </row>
    <row r="6446" spans="7:12" x14ac:dyDescent="0.25">
      <c r="G6446" s="136">
        <v>43619</v>
      </c>
      <c r="H6446" t="s">
        <v>28</v>
      </c>
      <c r="I6446" t="s">
        <v>112</v>
      </c>
      <c r="J6446" t="s">
        <v>589</v>
      </c>
      <c r="K6446" s="138">
        <v>104</v>
      </c>
      <c r="L6446" s="137">
        <v>0</v>
      </c>
    </row>
    <row r="6447" spans="7:12" x14ac:dyDescent="0.25">
      <c r="G6447" s="136">
        <v>43619</v>
      </c>
      <c r="H6447" t="s">
        <v>28</v>
      </c>
      <c r="I6447" t="s">
        <v>112</v>
      </c>
      <c r="J6447" t="s">
        <v>589</v>
      </c>
      <c r="K6447" s="138">
        <v>24.07</v>
      </c>
      <c r="L6447" s="137">
        <v>0</v>
      </c>
    </row>
    <row r="6448" spans="7:12" x14ac:dyDescent="0.25">
      <c r="G6448" s="136">
        <v>43619</v>
      </c>
      <c r="H6448" t="s">
        <v>28</v>
      </c>
      <c r="I6448" t="s">
        <v>112</v>
      </c>
      <c r="J6448" t="s">
        <v>589</v>
      </c>
      <c r="K6448" s="138">
        <v>23.99</v>
      </c>
      <c r="L6448" s="137">
        <v>0</v>
      </c>
    </row>
    <row r="6449" spans="7:12" x14ac:dyDescent="0.25">
      <c r="G6449" s="136">
        <v>43619</v>
      </c>
      <c r="H6449" t="s">
        <v>28</v>
      </c>
      <c r="I6449" t="s">
        <v>112</v>
      </c>
      <c r="J6449" t="s">
        <v>589</v>
      </c>
      <c r="K6449" s="138">
        <v>13.08</v>
      </c>
      <c r="L6449" s="137">
        <v>0</v>
      </c>
    </row>
    <row r="6450" spans="7:12" x14ac:dyDescent="0.25">
      <c r="G6450" s="136">
        <v>43619</v>
      </c>
      <c r="H6450" t="s">
        <v>28</v>
      </c>
      <c r="I6450" t="s">
        <v>112</v>
      </c>
      <c r="J6450" t="s">
        <v>589</v>
      </c>
      <c r="K6450" s="138">
        <v>9.65</v>
      </c>
      <c r="L6450" s="137">
        <v>0</v>
      </c>
    </row>
    <row r="6451" spans="7:12" x14ac:dyDescent="0.25">
      <c r="G6451" s="136">
        <v>43619</v>
      </c>
      <c r="H6451" t="s">
        <v>28</v>
      </c>
      <c r="I6451" t="s">
        <v>155</v>
      </c>
      <c r="J6451" t="s">
        <v>589</v>
      </c>
      <c r="K6451" s="138">
        <v>170.2</v>
      </c>
      <c r="L6451" s="137">
        <v>0</v>
      </c>
    </row>
    <row r="6452" spans="7:12" x14ac:dyDescent="0.25">
      <c r="G6452" s="136">
        <v>43619</v>
      </c>
      <c r="H6452" t="s">
        <v>28</v>
      </c>
      <c r="I6452" t="s">
        <v>155</v>
      </c>
      <c r="J6452" t="s">
        <v>589</v>
      </c>
      <c r="K6452" s="138">
        <v>93.56</v>
      </c>
      <c r="L6452" s="137">
        <v>0</v>
      </c>
    </row>
    <row r="6453" spans="7:12" x14ac:dyDescent="0.25">
      <c r="G6453" s="136">
        <v>43619</v>
      </c>
      <c r="H6453" t="s">
        <v>28</v>
      </c>
      <c r="I6453" t="s">
        <v>155</v>
      </c>
      <c r="J6453" t="s">
        <v>589</v>
      </c>
      <c r="K6453" s="138">
        <v>80.03</v>
      </c>
      <c r="L6453" s="137">
        <v>0</v>
      </c>
    </row>
    <row r="6454" spans="7:12" x14ac:dyDescent="0.25">
      <c r="G6454" s="136">
        <v>43619</v>
      </c>
      <c r="H6454" t="s">
        <v>28</v>
      </c>
      <c r="I6454" t="s">
        <v>155</v>
      </c>
      <c r="J6454" t="s">
        <v>589</v>
      </c>
      <c r="K6454" s="138">
        <v>77.98</v>
      </c>
      <c r="L6454" s="137">
        <v>0</v>
      </c>
    </row>
    <row r="6455" spans="7:12" x14ac:dyDescent="0.25">
      <c r="G6455" s="136">
        <v>43619</v>
      </c>
      <c r="H6455" t="s">
        <v>28</v>
      </c>
      <c r="I6455" t="s">
        <v>155</v>
      </c>
      <c r="J6455" t="s">
        <v>589</v>
      </c>
      <c r="K6455" s="138">
        <v>73.05</v>
      </c>
      <c r="L6455" s="137">
        <v>0</v>
      </c>
    </row>
    <row r="6456" spans="7:12" x14ac:dyDescent="0.25">
      <c r="G6456" s="136">
        <v>43619</v>
      </c>
      <c r="H6456" t="s">
        <v>28</v>
      </c>
      <c r="I6456" t="s">
        <v>155</v>
      </c>
      <c r="J6456" t="s">
        <v>589</v>
      </c>
      <c r="K6456" s="138">
        <v>67.3</v>
      </c>
      <c r="L6456" s="137">
        <v>0</v>
      </c>
    </row>
    <row r="6457" spans="7:12" x14ac:dyDescent="0.25">
      <c r="G6457" s="136">
        <v>43619</v>
      </c>
      <c r="H6457" t="s">
        <v>28</v>
      </c>
      <c r="I6457" t="s">
        <v>155</v>
      </c>
      <c r="J6457" t="s">
        <v>589</v>
      </c>
      <c r="K6457" s="138">
        <v>63.06</v>
      </c>
      <c r="L6457" s="137">
        <v>0</v>
      </c>
    </row>
    <row r="6458" spans="7:12" x14ac:dyDescent="0.25">
      <c r="G6458" s="136">
        <v>43619</v>
      </c>
      <c r="H6458" t="s">
        <v>28</v>
      </c>
      <c r="I6458" t="s">
        <v>155</v>
      </c>
      <c r="J6458" t="s">
        <v>589</v>
      </c>
      <c r="K6458" s="138">
        <v>39</v>
      </c>
      <c r="L6458" s="137">
        <v>0</v>
      </c>
    </row>
    <row r="6459" spans="7:12" x14ac:dyDescent="0.25">
      <c r="G6459" s="136">
        <v>43619</v>
      </c>
      <c r="H6459" t="s">
        <v>28</v>
      </c>
      <c r="I6459" t="s">
        <v>155</v>
      </c>
      <c r="J6459" t="s">
        <v>589</v>
      </c>
      <c r="K6459" s="138">
        <v>31.38</v>
      </c>
      <c r="L6459" s="137">
        <v>0</v>
      </c>
    </row>
    <row r="6460" spans="7:12" x14ac:dyDescent="0.25">
      <c r="G6460" s="136">
        <v>43619</v>
      </c>
      <c r="H6460" t="s">
        <v>28</v>
      </c>
      <c r="I6460" t="s">
        <v>155</v>
      </c>
      <c r="J6460" t="s">
        <v>589</v>
      </c>
      <c r="K6460" s="138">
        <v>28.75</v>
      </c>
      <c r="L6460" s="137">
        <v>0</v>
      </c>
    </row>
    <row r="6461" spans="7:12" x14ac:dyDescent="0.25">
      <c r="G6461" s="136">
        <v>43619</v>
      </c>
      <c r="H6461" t="s">
        <v>28</v>
      </c>
      <c r="I6461" t="s">
        <v>155</v>
      </c>
      <c r="J6461" t="s">
        <v>589</v>
      </c>
      <c r="K6461" s="138">
        <v>27.45</v>
      </c>
      <c r="L6461" s="137">
        <v>0</v>
      </c>
    </row>
    <row r="6462" spans="7:12" x14ac:dyDescent="0.25">
      <c r="G6462" s="136">
        <v>43619</v>
      </c>
      <c r="H6462" t="s">
        <v>28</v>
      </c>
      <c r="I6462" t="s">
        <v>155</v>
      </c>
      <c r="J6462" t="s">
        <v>589</v>
      </c>
      <c r="K6462" s="138">
        <v>25.47</v>
      </c>
      <c r="L6462" s="137">
        <v>0</v>
      </c>
    </row>
    <row r="6463" spans="7:12" x14ac:dyDescent="0.25">
      <c r="G6463" s="136">
        <v>43619</v>
      </c>
      <c r="H6463" t="s">
        <v>28</v>
      </c>
      <c r="I6463" t="s">
        <v>155</v>
      </c>
      <c r="J6463" t="s">
        <v>589</v>
      </c>
      <c r="K6463" s="138">
        <v>20.45</v>
      </c>
      <c r="L6463" s="137">
        <v>0</v>
      </c>
    </row>
    <row r="6464" spans="7:12" x14ac:dyDescent="0.25">
      <c r="G6464" s="136">
        <v>43619</v>
      </c>
      <c r="H6464" t="s">
        <v>28</v>
      </c>
      <c r="I6464" t="s">
        <v>66</v>
      </c>
      <c r="J6464" t="s">
        <v>389</v>
      </c>
      <c r="K6464" s="138">
        <v>2.25</v>
      </c>
      <c r="L6464" s="137">
        <v>0</v>
      </c>
    </row>
    <row r="6465" spans="7:12" x14ac:dyDescent="0.25">
      <c r="G6465" s="136">
        <v>43620</v>
      </c>
      <c r="H6465" t="s">
        <v>214</v>
      </c>
      <c r="I6465" t="s">
        <v>163</v>
      </c>
      <c r="J6465" t="s">
        <v>590</v>
      </c>
      <c r="K6465" s="138">
        <v>5100</v>
      </c>
      <c r="L6465" s="137">
        <v>0</v>
      </c>
    </row>
    <row r="6466" spans="7:12" x14ac:dyDescent="0.25">
      <c r="G6466" s="136">
        <v>43620</v>
      </c>
      <c r="H6466" t="s">
        <v>183</v>
      </c>
      <c r="I6466" t="s">
        <v>171</v>
      </c>
      <c r="J6466" t="s">
        <v>590</v>
      </c>
      <c r="K6466" s="138">
        <v>4.93</v>
      </c>
      <c r="L6466" s="137">
        <v>0</v>
      </c>
    </row>
    <row r="6467" spans="7:12" x14ac:dyDescent="0.25">
      <c r="G6467" s="136">
        <v>43620</v>
      </c>
      <c r="H6467" t="s">
        <v>191</v>
      </c>
      <c r="I6467" t="s">
        <v>163</v>
      </c>
      <c r="J6467" t="s">
        <v>590</v>
      </c>
      <c r="K6467" s="138">
        <v>156.19999999999999</v>
      </c>
      <c r="L6467" s="137">
        <v>0</v>
      </c>
    </row>
    <row r="6468" spans="7:12" x14ac:dyDescent="0.25">
      <c r="G6468" s="136">
        <v>43620</v>
      </c>
      <c r="H6468" t="s">
        <v>210</v>
      </c>
      <c r="I6468" t="s">
        <v>171</v>
      </c>
      <c r="J6468" t="s">
        <v>590</v>
      </c>
      <c r="K6468" s="138">
        <v>180</v>
      </c>
      <c r="L6468" s="137">
        <v>0</v>
      </c>
    </row>
    <row r="6469" spans="7:12" x14ac:dyDescent="0.25">
      <c r="G6469" s="136">
        <v>43620</v>
      </c>
      <c r="H6469" t="s">
        <v>193</v>
      </c>
      <c r="I6469" t="s">
        <v>163</v>
      </c>
      <c r="J6469" t="s">
        <v>590</v>
      </c>
      <c r="K6469" s="138">
        <v>462.62</v>
      </c>
      <c r="L6469" s="137">
        <v>0</v>
      </c>
    </row>
    <row r="6470" spans="7:12" x14ac:dyDescent="0.25">
      <c r="G6470" s="136">
        <v>43620</v>
      </c>
      <c r="H6470" t="s">
        <v>25</v>
      </c>
      <c r="I6470" t="s">
        <v>63</v>
      </c>
      <c r="J6470" t="s">
        <v>590</v>
      </c>
      <c r="K6470" s="138">
        <v>104</v>
      </c>
      <c r="L6470" s="137">
        <v>0</v>
      </c>
    </row>
    <row r="6471" spans="7:12" x14ac:dyDescent="0.25">
      <c r="G6471" s="136">
        <v>43620</v>
      </c>
      <c r="H6471" t="s">
        <v>25</v>
      </c>
      <c r="I6471" t="s">
        <v>63</v>
      </c>
      <c r="J6471" t="s">
        <v>590</v>
      </c>
      <c r="K6471" s="138">
        <v>72</v>
      </c>
      <c r="L6471" s="137">
        <v>0</v>
      </c>
    </row>
    <row r="6472" spans="7:12" x14ac:dyDescent="0.25">
      <c r="G6472" s="136">
        <v>43620</v>
      </c>
      <c r="H6472" t="s">
        <v>25</v>
      </c>
      <c r="I6472" t="s">
        <v>63</v>
      </c>
      <c r="J6472" t="s">
        <v>590</v>
      </c>
      <c r="K6472" s="138">
        <v>48</v>
      </c>
      <c r="L6472" s="137">
        <v>0</v>
      </c>
    </row>
    <row r="6473" spans="7:12" x14ac:dyDescent="0.25">
      <c r="G6473" s="136">
        <v>43620</v>
      </c>
      <c r="H6473" t="s">
        <v>25</v>
      </c>
      <c r="I6473" t="s">
        <v>63</v>
      </c>
      <c r="J6473" t="s">
        <v>590</v>
      </c>
      <c r="K6473" s="138">
        <v>16</v>
      </c>
      <c r="L6473" s="137">
        <v>0</v>
      </c>
    </row>
    <row r="6474" spans="7:12" x14ac:dyDescent="0.25">
      <c r="G6474" s="136">
        <v>43620</v>
      </c>
      <c r="H6474" t="s">
        <v>25</v>
      </c>
      <c r="I6474" t="s">
        <v>63</v>
      </c>
      <c r="J6474" t="s">
        <v>590</v>
      </c>
      <c r="K6474" s="138">
        <v>8</v>
      </c>
      <c r="L6474" s="137">
        <v>0</v>
      </c>
    </row>
    <row r="6475" spans="7:12" x14ac:dyDescent="0.25">
      <c r="G6475" s="136">
        <v>43620</v>
      </c>
      <c r="H6475" t="s">
        <v>181</v>
      </c>
      <c r="I6475" t="s">
        <v>171</v>
      </c>
      <c r="J6475" t="s">
        <v>590</v>
      </c>
      <c r="K6475" s="138">
        <v>112.6</v>
      </c>
      <c r="L6475" s="137">
        <v>0</v>
      </c>
    </row>
    <row r="6476" spans="7:12" x14ac:dyDescent="0.25">
      <c r="G6476" s="136">
        <v>43620</v>
      </c>
      <c r="H6476" t="s">
        <v>197</v>
      </c>
      <c r="I6476" t="s">
        <v>163</v>
      </c>
      <c r="J6476" t="s">
        <v>590</v>
      </c>
      <c r="K6476" s="138">
        <v>50</v>
      </c>
      <c r="L6476" s="137">
        <v>0</v>
      </c>
    </row>
    <row r="6477" spans="7:12" x14ac:dyDescent="0.25">
      <c r="G6477" s="136">
        <v>43620</v>
      </c>
      <c r="H6477" t="s">
        <v>28</v>
      </c>
      <c r="I6477" t="s">
        <v>176</v>
      </c>
      <c r="J6477" t="s">
        <v>590</v>
      </c>
      <c r="K6477" s="138">
        <v>0</v>
      </c>
      <c r="L6477" s="137">
        <v>25.5</v>
      </c>
    </row>
    <row r="6478" spans="7:12" x14ac:dyDescent="0.25">
      <c r="G6478" s="136">
        <v>43620</v>
      </c>
      <c r="H6478" t="s">
        <v>28</v>
      </c>
      <c r="I6478" t="s">
        <v>66</v>
      </c>
      <c r="J6478" t="s">
        <v>125</v>
      </c>
      <c r="K6478" s="138">
        <v>7.35</v>
      </c>
      <c r="L6478" s="137">
        <v>0</v>
      </c>
    </row>
    <row r="6479" spans="7:12" x14ac:dyDescent="0.25">
      <c r="G6479" s="136">
        <v>43620</v>
      </c>
      <c r="H6479" t="s">
        <v>28</v>
      </c>
      <c r="I6479" t="s">
        <v>66</v>
      </c>
      <c r="J6479" t="s">
        <v>137</v>
      </c>
      <c r="K6479" s="138">
        <v>2.4</v>
      </c>
      <c r="L6479" s="137">
        <v>0</v>
      </c>
    </row>
    <row r="6480" spans="7:12" x14ac:dyDescent="0.25">
      <c r="G6480" s="136">
        <v>43621</v>
      </c>
      <c r="H6480" t="s">
        <v>203</v>
      </c>
      <c r="I6480" t="s">
        <v>176</v>
      </c>
      <c r="J6480" t="s">
        <v>591</v>
      </c>
      <c r="K6480" s="138">
        <v>170</v>
      </c>
      <c r="L6480" s="137">
        <v>0</v>
      </c>
    </row>
    <row r="6481" spans="7:12" x14ac:dyDescent="0.25">
      <c r="G6481" s="136">
        <v>43621</v>
      </c>
      <c r="H6481" t="s">
        <v>27</v>
      </c>
      <c r="I6481" t="s">
        <v>63</v>
      </c>
      <c r="J6481" t="s">
        <v>591</v>
      </c>
      <c r="K6481" s="138">
        <v>8</v>
      </c>
      <c r="L6481" s="137">
        <v>0</v>
      </c>
    </row>
    <row r="6482" spans="7:12" x14ac:dyDescent="0.25">
      <c r="G6482" s="136">
        <v>43621</v>
      </c>
      <c r="H6482" t="s">
        <v>212</v>
      </c>
      <c r="I6482" t="s">
        <v>176</v>
      </c>
      <c r="J6482" t="s">
        <v>591</v>
      </c>
      <c r="K6482" s="138">
        <v>1436.31</v>
      </c>
      <c r="L6482" s="137">
        <v>0</v>
      </c>
    </row>
    <row r="6483" spans="7:12" x14ac:dyDescent="0.25">
      <c r="G6483" s="136">
        <v>43621</v>
      </c>
      <c r="H6483" t="s">
        <v>185</v>
      </c>
      <c r="I6483" t="s">
        <v>163</v>
      </c>
      <c r="J6483" t="s">
        <v>591</v>
      </c>
      <c r="K6483" s="138">
        <v>342.22</v>
      </c>
      <c r="L6483" s="137">
        <v>0</v>
      </c>
    </row>
    <row r="6484" spans="7:12" x14ac:dyDescent="0.25">
      <c r="G6484" s="136">
        <v>43621</v>
      </c>
      <c r="H6484" t="s">
        <v>188</v>
      </c>
      <c r="I6484" t="s">
        <v>176</v>
      </c>
      <c r="J6484" t="s">
        <v>591</v>
      </c>
      <c r="K6484" s="138">
        <v>4.28</v>
      </c>
      <c r="L6484" s="137">
        <v>0</v>
      </c>
    </row>
    <row r="6485" spans="7:12" x14ac:dyDescent="0.25">
      <c r="G6485" s="136">
        <v>43621</v>
      </c>
      <c r="H6485" t="s">
        <v>200</v>
      </c>
      <c r="I6485" t="s">
        <v>63</v>
      </c>
      <c r="J6485" t="s">
        <v>591</v>
      </c>
      <c r="K6485" s="138">
        <v>39.950000000000003</v>
      </c>
      <c r="L6485" s="137">
        <v>0</v>
      </c>
    </row>
    <row r="6486" spans="7:12" x14ac:dyDescent="0.25">
      <c r="G6486" s="136">
        <v>43621</v>
      </c>
      <c r="H6486" t="s">
        <v>200</v>
      </c>
      <c r="I6486" t="s">
        <v>155</v>
      </c>
      <c r="J6486" t="s">
        <v>591</v>
      </c>
      <c r="K6486" s="138">
        <v>0</v>
      </c>
      <c r="L6486" s="137">
        <v>2550</v>
      </c>
    </row>
    <row r="6487" spans="7:12" x14ac:dyDescent="0.25">
      <c r="G6487" s="136">
        <v>43621</v>
      </c>
      <c r="H6487" t="s">
        <v>25</v>
      </c>
      <c r="I6487" t="s">
        <v>63</v>
      </c>
      <c r="J6487" t="s">
        <v>591</v>
      </c>
      <c r="K6487" s="138">
        <v>24</v>
      </c>
      <c r="L6487" s="137">
        <v>0</v>
      </c>
    </row>
    <row r="6488" spans="7:12" x14ac:dyDescent="0.25">
      <c r="G6488" s="136">
        <v>43621</v>
      </c>
      <c r="H6488" t="s">
        <v>25</v>
      </c>
      <c r="I6488" t="s">
        <v>63</v>
      </c>
      <c r="J6488" t="s">
        <v>591</v>
      </c>
      <c r="K6488" s="138">
        <v>8</v>
      </c>
      <c r="L6488" s="137">
        <v>0</v>
      </c>
    </row>
    <row r="6489" spans="7:12" x14ac:dyDescent="0.25">
      <c r="G6489" s="136">
        <v>43621</v>
      </c>
      <c r="H6489" t="s">
        <v>187</v>
      </c>
      <c r="I6489" t="s">
        <v>171</v>
      </c>
      <c r="J6489" t="s">
        <v>591</v>
      </c>
      <c r="K6489" s="138">
        <v>82</v>
      </c>
      <c r="L6489" s="137">
        <v>0</v>
      </c>
    </row>
    <row r="6490" spans="7:12" x14ac:dyDescent="0.25">
      <c r="G6490" s="136">
        <v>43621</v>
      </c>
      <c r="H6490" t="s">
        <v>196</v>
      </c>
      <c r="I6490" t="s">
        <v>42</v>
      </c>
      <c r="J6490" t="s">
        <v>591</v>
      </c>
      <c r="K6490" s="138">
        <v>1304.44</v>
      </c>
      <c r="L6490" s="137">
        <v>0</v>
      </c>
    </row>
    <row r="6491" spans="7:12" x14ac:dyDescent="0.25">
      <c r="G6491" s="136">
        <v>43622</v>
      </c>
      <c r="H6491" t="s">
        <v>192</v>
      </c>
      <c r="I6491" t="s">
        <v>171</v>
      </c>
      <c r="J6491" t="s">
        <v>592</v>
      </c>
      <c r="K6491" s="138">
        <v>12.75</v>
      </c>
      <c r="L6491" s="137">
        <v>0</v>
      </c>
    </row>
    <row r="6492" spans="7:12" x14ac:dyDescent="0.25">
      <c r="G6492" s="136">
        <v>43622</v>
      </c>
      <c r="H6492" t="s">
        <v>27</v>
      </c>
      <c r="I6492" t="s">
        <v>63</v>
      </c>
      <c r="J6492" t="s">
        <v>592</v>
      </c>
      <c r="K6492" s="138">
        <v>8</v>
      </c>
      <c r="L6492" s="137">
        <v>0</v>
      </c>
    </row>
    <row r="6493" spans="7:12" x14ac:dyDescent="0.25">
      <c r="G6493" s="136">
        <v>43622</v>
      </c>
      <c r="H6493" t="s">
        <v>183</v>
      </c>
      <c r="I6493" t="s">
        <v>171</v>
      </c>
      <c r="J6493" t="s">
        <v>592</v>
      </c>
      <c r="K6493" s="138">
        <v>1957.19</v>
      </c>
      <c r="L6493" s="137">
        <v>0</v>
      </c>
    </row>
    <row r="6494" spans="7:12" x14ac:dyDescent="0.25">
      <c r="G6494" s="136">
        <v>43622</v>
      </c>
      <c r="H6494" t="s">
        <v>189</v>
      </c>
      <c r="I6494" t="s">
        <v>171</v>
      </c>
      <c r="J6494" t="s">
        <v>592</v>
      </c>
      <c r="K6494" s="138">
        <v>150</v>
      </c>
      <c r="L6494" s="137">
        <v>0</v>
      </c>
    </row>
    <row r="6495" spans="7:12" x14ac:dyDescent="0.25">
      <c r="G6495" s="136">
        <v>43622</v>
      </c>
      <c r="H6495" t="s">
        <v>25</v>
      </c>
      <c r="I6495" t="s">
        <v>63</v>
      </c>
      <c r="J6495" t="s">
        <v>592</v>
      </c>
      <c r="K6495" s="138">
        <v>32</v>
      </c>
      <c r="L6495" s="137">
        <v>0</v>
      </c>
    </row>
    <row r="6496" spans="7:12" x14ac:dyDescent="0.25">
      <c r="G6496" s="136">
        <v>43622</v>
      </c>
      <c r="H6496" t="s">
        <v>25</v>
      </c>
      <c r="I6496" t="s">
        <v>63</v>
      </c>
      <c r="J6496" t="s">
        <v>592</v>
      </c>
      <c r="K6496" s="138">
        <v>16</v>
      </c>
      <c r="L6496" s="137">
        <v>0</v>
      </c>
    </row>
    <row r="6497" spans="7:12" x14ac:dyDescent="0.25">
      <c r="G6497" s="136">
        <v>43622</v>
      </c>
      <c r="H6497" t="s">
        <v>25</v>
      </c>
      <c r="I6497" t="s">
        <v>63</v>
      </c>
      <c r="J6497" t="s">
        <v>592</v>
      </c>
      <c r="K6497" s="138">
        <v>8</v>
      </c>
      <c r="L6497" s="137">
        <v>0</v>
      </c>
    </row>
    <row r="6498" spans="7:12" x14ac:dyDescent="0.25">
      <c r="G6498" s="136">
        <v>43622</v>
      </c>
      <c r="H6498" t="s">
        <v>25</v>
      </c>
      <c r="I6498" t="s">
        <v>257</v>
      </c>
      <c r="J6498" t="s">
        <v>593</v>
      </c>
      <c r="K6498" s="138">
        <v>8</v>
      </c>
      <c r="L6498" s="137">
        <v>0</v>
      </c>
    </row>
    <row r="6499" spans="7:12" x14ac:dyDescent="0.25">
      <c r="G6499" s="136">
        <v>43622</v>
      </c>
      <c r="H6499" t="s">
        <v>25</v>
      </c>
      <c r="I6499" t="s">
        <v>258</v>
      </c>
      <c r="J6499" t="s">
        <v>593</v>
      </c>
      <c r="K6499" s="138">
        <v>80</v>
      </c>
      <c r="L6499" s="137">
        <v>0</v>
      </c>
    </row>
    <row r="6500" spans="7:12" x14ac:dyDescent="0.25">
      <c r="G6500" s="136">
        <v>43622</v>
      </c>
      <c r="H6500" t="s">
        <v>25</v>
      </c>
      <c r="I6500" t="s">
        <v>258</v>
      </c>
      <c r="J6500" t="s">
        <v>593</v>
      </c>
      <c r="K6500" s="138">
        <v>32</v>
      </c>
      <c r="L6500" s="137">
        <v>0</v>
      </c>
    </row>
    <row r="6501" spans="7:12" x14ac:dyDescent="0.25">
      <c r="G6501" s="136">
        <v>43622</v>
      </c>
      <c r="H6501" t="s">
        <v>25</v>
      </c>
      <c r="I6501" t="s">
        <v>258</v>
      </c>
      <c r="J6501" t="s">
        <v>593</v>
      </c>
      <c r="K6501" s="138">
        <v>24</v>
      </c>
      <c r="L6501" s="137">
        <v>0</v>
      </c>
    </row>
    <row r="6502" spans="7:12" x14ac:dyDescent="0.25">
      <c r="G6502" s="136">
        <v>43622</v>
      </c>
      <c r="H6502" t="s">
        <v>187</v>
      </c>
      <c r="I6502" t="s">
        <v>171</v>
      </c>
      <c r="J6502" t="s">
        <v>592</v>
      </c>
      <c r="K6502" s="138">
        <v>37</v>
      </c>
      <c r="L6502" s="137">
        <v>0</v>
      </c>
    </row>
    <row r="6503" spans="7:12" x14ac:dyDescent="0.25">
      <c r="G6503" s="136">
        <v>43622</v>
      </c>
      <c r="H6503" t="s">
        <v>179</v>
      </c>
      <c r="I6503" t="s">
        <v>163</v>
      </c>
      <c r="J6503" t="s">
        <v>592</v>
      </c>
      <c r="K6503" s="138">
        <v>181.06</v>
      </c>
      <c r="L6503" s="137">
        <v>0</v>
      </c>
    </row>
    <row r="6504" spans="7:12" x14ac:dyDescent="0.25">
      <c r="G6504" s="136">
        <v>43622</v>
      </c>
      <c r="H6504" t="s">
        <v>28</v>
      </c>
      <c r="I6504" t="s">
        <v>66</v>
      </c>
      <c r="J6504" t="s">
        <v>110</v>
      </c>
      <c r="K6504" s="138">
        <v>6.5</v>
      </c>
      <c r="L6504" s="137">
        <v>0</v>
      </c>
    </row>
    <row r="6505" spans="7:12" x14ac:dyDescent="0.25">
      <c r="G6505" s="136">
        <v>43622</v>
      </c>
      <c r="H6505" t="s">
        <v>28</v>
      </c>
      <c r="I6505" t="s">
        <v>66</v>
      </c>
      <c r="J6505" t="s">
        <v>100</v>
      </c>
      <c r="K6505" s="138">
        <v>2.4</v>
      </c>
      <c r="L6505" s="137">
        <v>0</v>
      </c>
    </row>
    <row r="6506" spans="7:12" x14ac:dyDescent="0.25">
      <c r="G6506" s="136">
        <v>43622</v>
      </c>
      <c r="H6506" t="s">
        <v>28</v>
      </c>
      <c r="I6506" t="s">
        <v>171</v>
      </c>
      <c r="J6506" t="s">
        <v>592</v>
      </c>
      <c r="K6506" s="138">
        <v>12</v>
      </c>
      <c r="L6506" s="137">
        <v>0</v>
      </c>
    </row>
    <row r="6507" spans="7:12" x14ac:dyDescent="0.25">
      <c r="G6507" s="136">
        <v>43623</v>
      </c>
      <c r="H6507" t="s">
        <v>27</v>
      </c>
      <c r="I6507" t="s">
        <v>63</v>
      </c>
      <c r="J6507" t="s">
        <v>594</v>
      </c>
      <c r="K6507" s="138">
        <v>8</v>
      </c>
      <c r="L6507" s="137">
        <v>0</v>
      </c>
    </row>
    <row r="6508" spans="7:12" x14ac:dyDescent="0.25">
      <c r="G6508" s="136">
        <v>43623</v>
      </c>
      <c r="H6508" t="s">
        <v>212</v>
      </c>
      <c r="I6508" t="s">
        <v>176</v>
      </c>
      <c r="J6508" t="s">
        <v>594</v>
      </c>
      <c r="K6508" s="138">
        <v>421.36</v>
      </c>
      <c r="L6508" s="137">
        <v>0</v>
      </c>
    </row>
    <row r="6509" spans="7:12" x14ac:dyDescent="0.25">
      <c r="G6509" s="136">
        <v>43623</v>
      </c>
      <c r="H6509" t="s">
        <v>184</v>
      </c>
      <c r="I6509" t="s">
        <v>171</v>
      </c>
      <c r="J6509" t="s">
        <v>594</v>
      </c>
      <c r="K6509" s="138">
        <v>24</v>
      </c>
      <c r="L6509" s="137">
        <v>0</v>
      </c>
    </row>
    <row r="6510" spans="7:12" x14ac:dyDescent="0.25">
      <c r="G6510" s="136">
        <v>43623</v>
      </c>
      <c r="H6510" t="s">
        <v>195</v>
      </c>
      <c r="I6510" t="s">
        <v>171</v>
      </c>
      <c r="J6510" t="s">
        <v>594</v>
      </c>
      <c r="K6510" s="138">
        <v>9.43</v>
      </c>
      <c r="L6510" s="137">
        <v>0</v>
      </c>
    </row>
    <row r="6511" spans="7:12" x14ac:dyDescent="0.25">
      <c r="G6511" s="136">
        <v>43623</v>
      </c>
      <c r="H6511" t="s">
        <v>183</v>
      </c>
      <c r="I6511" t="s">
        <v>171</v>
      </c>
      <c r="J6511" t="s">
        <v>594</v>
      </c>
      <c r="K6511" s="138">
        <v>8.82</v>
      </c>
      <c r="L6511" s="137">
        <v>0</v>
      </c>
    </row>
    <row r="6512" spans="7:12" x14ac:dyDescent="0.25">
      <c r="G6512" s="136">
        <v>43623</v>
      </c>
      <c r="H6512" t="s">
        <v>189</v>
      </c>
      <c r="I6512" t="s">
        <v>171</v>
      </c>
      <c r="J6512" t="s">
        <v>594</v>
      </c>
      <c r="K6512" s="138">
        <v>53</v>
      </c>
      <c r="L6512" s="137">
        <v>0</v>
      </c>
    </row>
    <row r="6513" spans="7:12" x14ac:dyDescent="0.25">
      <c r="G6513" s="136">
        <v>43623</v>
      </c>
      <c r="H6513" t="s">
        <v>200</v>
      </c>
      <c r="I6513" t="s">
        <v>171</v>
      </c>
      <c r="J6513" t="s">
        <v>594</v>
      </c>
      <c r="K6513" s="138">
        <v>247</v>
      </c>
      <c r="L6513" s="137">
        <v>0</v>
      </c>
    </row>
    <row r="6514" spans="7:12" x14ac:dyDescent="0.25">
      <c r="G6514" s="136">
        <v>43623</v>
      </c>
      <c r="H6514" t="s">
        <v>25</v>
      </c>
      <c r="I6514" t="s">
        <v>63</v>
      </c>
      <c r="J6514" t="s">
        <v>594</v>
      </c>
      <c r="K6514" s="138">
        <v>48</v>
      </c>
      <c r="L6514" s="137">
        <v>0</v>
      </c>
    </row>
    <row r="6515" spans="7:12" x14ac:dyDescent="0.25">
      <c r="G6515" s="136">
        <v>43623</v>
      </c>
      <c r="H6515" t="s">
        <v>25</v>
      </c>
      <c r="I6515" t="s">
        <v>63</v>
      </c>
      <c r="J6515" t="s">
        <v>594</v>
      </c>
      <c r="K6515" s="138">
        <v>32</v>
      </c>
      <c r="L6515" s="137">
        <v>0</v>
      </c>
    </row>
    <row r="6516" spans="7:12" x14ac:dyDescent="0.25">
      <c r="G6516" s="136">
        <v>43623</v>
      </c>
      <c r="H6516" t="s">
        <v>25</v>
      </c>
      <c r="I6516" t="s">
        <v>63</v>
      </c>
      <c r="J6516" t="s">
        <v>594</v>
      </c>
      <c r="K6516" s="138">
        <v>16</v>
      </c>
      <c r="L6516" s="137">
        <v>0</v>
      </c>
    </row>
    <row r="6517" spans="7:12" x14ac:dyDescent="0.25">
      <c r="G6517" s="136">
        <v>43623</v>
      </c>
      <c r="H6517" t="s">
        <v>25</v>
      </c>
      <c r="I6517" t="s">
        <v>63</v>
      </c>
      <c r="J6517" t="s">
        <v>594</v>
      </c>
      <c r="K6517" s="138">
        <v>8</v>
      </c>
      <c r="L6517" s="137">
        <v>0</v>
      </c>
    </row>
    <row r="6518" spans="7:12" x14ac:dyDescent="0.25">
      <c r="G6518" s="136">
        <v>43623</v>
      </c>
      <c r="H6518" t="s">
        <v>196</v>
      </c>
      <c r="I6518" t="s">
        <v>176</v>
      </c>
      <c r="J6518" t="s">
        <v>594</v>
      </c>
      <c r="K6518" s="138">
        <v>174.78</v>
      </c>
      <c r="L6518" s="137">
        <v>0</v>
      </c>
    </row>
    <row r="6519" spans="7:12" x14ac:dyDescent="0.25">
      <c r="G6519" s="136">
        <v>43623</v>
      </c>
      <c r="H6519" t="s">
        <v>28</v>
      </c>
      <c r="I6519" t="s">
        <v>66</v>
      </c>
      <c r="J6519" t="s">
        <v>106</v>
      </c>
      <c r="K6519" s="138">
        <v>1.8</v>
      </c>
      <c r="L6519" s="137">
        <v>0</v>
      </c>
    </row>
    <row r="6520" spans="7:12" x14ac:dyDescent="0.25">
      <c r="G6520" s="136">
        <v>43623</v>
      </c>
      <c r="H6520" t="s">
        <v>28</v>
      </c>
      <c r="I6520" t="s">
        <v>66</v>
      </c>
      <c r="J6520" t="s">
        <v>124</v>
      </c>
      <c r="K6520" s="138">
        <v>3.7</v>
      </c>
      <c r="L6520" s="137">
        <v>0</v>
      </c>
    </row>
    <row r="6521" spans="7:12" x14ac:dyDescent="0.25">
      <c r="G6521" s="136">
        <v>43624</v>
      </c>
      <c r="H6521" t="s">
        <v>27</v>
      </c>
      <c r="I6521" t="s">
        <v>63</v>
      </c>
      <c r="J6521" t="s">
        <v>595</v>
      </c>
      <c r="K6521" s="138">
        <v>8</v>
      </c>
      <c r="L6521" s="137">
        <v>0</v>
      </c>
    </row>
    <row r="6522" spans="7:12" x14ac:dyDescent="0.25">
      <c r="G6522" s="136">
        <v>43624</v>
      </c>
      <c r="H6522" t="s">
        <v>27</v>
      </c>
      <c r="I6522" t="s">
        <v>112</v>
      </c>
      <c r="J6522" t="s">
        <v>595</v>
      </c>
      <c r="K6522" s="138">
        <v>8</v>
      </c>
      <c r="L6522" s="137">
        <v>0</v>
      </c>
    </row>
    <row r="6523" spans="7:12" x14ac:dyDescent="0.25">
      <c r="G6523" s="136">
        <v>43624</v>
      </c>
      <c r="H6523" t="s">
        <v>212</v>
      </c>
      <c r="I6523" t="s">
        <v>171</v>
      </c>
      <c r="J6523" t="s">
        <v>595</v>
      </c>
      <c r="K6523" s="138">
        <v>120</v>
      </c>
      <c r="L6523" s="137">
        <v>0</v>
      </c>
    </row>
    <row r="6524" spans="7:12" x14ac:dyDescent="0.25">
      <c r="G6524" s="136">
        <v>43624</v>
      </c>
      <c r="H6524" t="s">
        <v>184</v>
      </c>
      <c r="I6524" t="s">
        <v>171</v>
      </c>
      <c r="J6524" t="s">
        <v>595</v>
      </c>
      <c r="K6524" s="138">
        <v>20</v>
      </c>
      <c r="L6524" s="137">
        <v>0</v>
      </c>
    </row>
    <row r="6525" spans="7:12" x14ac:dyDescent="0.25">
      <c r="G6525" s="136">
        <v>43624</v>
      </c>
      <c r="H6525" t="s">
        <v>188</v>
      </c>
      <c r="I6525" t="s">
        <v>171</v>
      </c>
      <c r="J6525" t="s">
        <v>595</v>
      </c>
      <c r="K6525" s="138">
        <v>60</v>
      </c>
      <c r="L6525" s="137">
        <v>0</v>
      </c>
    </row>
    <row r="6526" spans="7:12" x14ac:dyDescent="0.25">
      <c r="G6526" s="136">
        <v>43624</v>
      </c>
      <c r="H6526" t="s">
        <v>25</v>
      </c>
      <c r="I6526" t="s">
        <v>63</v>
      </c>
      <c r="J6526" t="s">
        <v>595</v>
      </c>
      <c r="K6526" s="138">
        <v>40</v>
      </c>
      <c r="L6526" s="137">
        <v>0</v>
      </c>
    </row>
    <row r="6527" spans="7:12" x14ac:dyDescent="0.25">
      <c r="G6527" s="136">
        <v>43624</v>
      </c>
      <c r="H6527" t="s">
        <v>25</v>
      </c>
      <c r="I6527" t="s">
        <v>63</v>
      </c>
      <c r="J6527" t="s">
        <v>595</v>
      </c>
      <c r="K6527" s="138">
        <v>16</v>
      </c>
      <c r="L6527" s="137">
        <v>0</v>
      </c>
    </row>
    <row r="6528" spans="7:12" x14ac:dyDescent="0.25">
      <c r="G6528" s="136">
        <v>43624</v>
      </c>
      <c r="H6528" t="s">
        <v>25</v>
      </c>
      <c r="I6528" t="s">
        <v>63</v>
      </c>
      <c r="J6528" t="s">
        <v>595</v>
      </c>
      <c r="K6528" s="138">
        <v>8</v>
      </c>
      <c r="L6528" s="137">
        <v>0</v>
      </c>
    </row>
    <row r="6529" spans="7:12" x14ac:dyDescent="0.25">
      <c r="G6529" s="136">
        <v>43624</v>
      </c>
      <c r="H6529" t="s">
        <v>25</v>
      </c>
      <c r="I6529" t="s">
        <v>112</v>
      </c>
      <c r="J6529" t="s">
        <v>595</v>
      </c>
      <c r="K6529" s="138">
        <v>80</v>
      </c>
      <c r="L6529" s="137">
        <v>0</v>
      </c>
    </row>
    <row r="6530" spans="7:12" x14ac:dyDescent="0.25">
      <c r="G6530" s="136">
        <v>43624</v>
      </c>
      <c r="H6530" t="s">
        <v>25</v>
      </c>
      <c r="I6530" t="s">
        <v>112</v>
      </c>
      <c r="J6530" t="s">
        <v>595</v>
      </c>
      <c r="K6530" s="138">
        <v>32</v>
      </c>
      <c r="L6530" s="137">
        <v>0</v>
      </c>
    </row>
    <row r="6531" spans="7:12" x14ac:dyDescent="0.25">
      <c r="G6531" s="136">
        <v>43624</v>
      </c>
      <c r="H6531" t="s">
        <v>25</v>
      </c>
      <c r="I6531" t="s">
        <v>112</v>
      </c>
      <c r="J6531" t="s">
        <v>595</v>
      </c>
      <c r="K6531" s="138">
        <v>24</v>
      </c>
      <c r="L6531" s="137">
        <v>0</v>
      </c>
    </row>
    <row r="6532" spans="7:12" x14ac:dyDescent="0.25">
      <c r="G6532" s="136">
        <v>43624</v>
      </c>
      <c r="H6532" t="s">
        <v>25</v>
      </c>
      <c r="I6532" t="s">
        <v>112</v>
      </c>
      <c r="J6532" t="s">
        <v>595</v>
      </c>
      <c r="K6532" s="138">
        <v>8</v>
      </c>
      <c r="L6532" s="137">
        <v>0</v>
      </c>
    </row>
    <row r="6533" spans="7:12" x14ac:dyDescent="0.25">
      <c r="G6533" s="136">
        <v>43624</v>
      </c>
      <c r="H6533" t="s">
        <v>28</v>
      </c>
      <c r="I6533" t="s">
        <v>66</v>
      </c>
      <c r="J6533" t="s">
        <v>100</v>
      </c>
      <c r="K6533" s="138">
        <v>3</v>
      </c>
      <c r="L6533" s="137">
        <v>0</v>
      </c>
    </row>
    <row r="6534" spans="7:12" x14ac:dyDescent="0.25">
      <c r="G6534" s="136">
        <v>43626</v>
      </c>
      <c r="H6534" t="s">
        <v>27</v>
      </c>
      <c r="I6534" t="s">
        <v>63</v>
      </c>
      <c r="J6534" t="s">
        <v>596</v>
      </c>
      <c r="K6534" s="138">
        <v>8</v>
      </c>
      <c r="L6534" s="137">
        <v>0</v>
      </c>
    </row>
    <row r="6535" spans="7:12" x14ac:dyDescent="0.25">
      <c r="G6535" s="136">
        <v>43626</v>
      </c>
      <c r="H6535" t="s">
        <v>27</v>
      </c>
      <c r="I6535" t="s">
        <v>259</v>
      </c>
      <c r="J6535" t="s">
        <v>597</v>
      </c>
      <c r="K6535" s="138">
        <v>137.13</v>
      </c>
      <c r="L6535" s="137">
        <v>0</v>
      </c>
    </row>
    <row r="6536" spans="7:12" x14ac:dyDescent="0.25">
      <c r="G6536" s="136">
        <v>43626</v>
      </c>
      <c r="H6536" t="s">
        <v>27</v>
      </c>
      <c r="I6536" t="s">
        <v>259</v>
      </c>
      <c r="J6536" t="s">
        <v>597</v>
      </c>
      <c r="K6536" s="138">
        <v>72.849999999999994</v>
      </c>
      <c r="L6536" s="137">
        <v>0</v>
      </c>
    </row>
    <row r="6537" spans="7:12" x14ac:dyDescent="0.25">
      <c r="G6537" s="136">
        <v>43626</v>
      </c>
      <c r="H6537" t="s">
        <v>27</v>
      </c>
      <c r="I6537" t="s">
        <v>259</v>
      </c>
      <c r="J6537" t="s">
        <v>597</v>
      </c>
      <c r="K6537" s="138">
        <v>55.92</v>
      </c>
      <c r="L6537" s="137">
        <v>0</v>
      </c>
    </row>
    <row r="6538" spans="7:12" x14ac:dyDescent="0.25">
      <c r="G6538" s="136">
        <v>43626</v>
      </c>
      <c r="H6538" t="s">
        <v>27</v>
      </c>
      <c r="I6538" t="s">
        <v>259</v>
      </c>
      <c r="J6538" t="s">
        <v>597</v>
      </c>
      <c r="K6538" s="138">
        <v>48.99</v>
      </c>
      <c r="L6538" s="137">
        <v>0</v>
      </c>
    </row>
    <row r="6539" spans="7:12" x14ac:dyDescent="0.25">
      <c r="G6539" s="136">
        <v>43626</v>
      </c>
      <c r="H6539" t="s">
        <v>27</v>
      </c>
      <c r="I6539" t="s">
        <v>259</v>
      </c>
      <c r="J6539" t="s">
        <v>597</v>
      </c>
      <c r="K6539" s="138">
        <v>48.98</v>
      </c>
      <c r="L6539" s="137">
        <v>0</v>
      </c>
    </row>
    <row r="6540" spans="7:12" x14ac:dyDescent="0.25">
      <c r="G6540" s="136">
        <v>43626</v>
      </c>
      <c r="H6540" t="s">
        <v>27</v>
      </c>
      <c r="I6540" t="s">
        <v>259</v>
      </c>
      <c r="J6540" t="s">
        <v>597</v>
      </c>
      <c r="K6540" s="138">
        <v>31.75</v>
      </c>
      <c r="L6540" s="137">
        <v>0</v>
      </c>
    </row>
    <row r="6541" spans="7:12" x14ac:dyDescent="0.25">
      <c r="G6541" s="136">
        <v>43626</v>
      </c>
      <c r="H6541" t="s">
        <v>27</v>
      </c>
      <c r="I6541" t="s">
        <v>259</v>
      </c>
      <c r="J6541" t="s">
        <v>597</v>
      </c>
      <c r="K6541" s="138">
        <v>28.31</v>
      </c>
      <c r="L6541" s="137">
        <v>0</v>
      </c>
    </row>
    <row r="6542" spans="7:12" x14ac:dyDescent="0.25">
      <c r="G6542" s="136">
        <v>43626</v>
      </c>
      <c r="H6542" t="s">
        <v>27</v>
      </c>
      <c r="I6542" t="s">
        <v>259</v>
      </c>
      <c r="J6542" t="s">
        <v>597</v>
      </c>
      <c r="K6542" s="138">
        <v>22.88</v>
      </c>
      <c r="L6542" s="137">
        <v>0</v>
      </c>
    </row>
    <row r="6543" spans="7:12" x14ac:dyDescent="0.25">
      <c r="G6543" s="136">
        <v>43626</v>
      </c>
      <c r="H6543" t="s">
        <v>27</v>
      </c>
      <c r="I6543" t="s">
        <v>259</v>
      </c>
      <c r="J6543" t="s">
        <v>597</v>
      </c>
      <c r="K6543" s="138">
        <v>12.91</v>
      </c>
      <c r="L6543" s="137">
        <v>0</v>
      </c>
    </row>
    <row r="6544" spans="7:12" x14ac:dyDescent="0.25">
      <c r="G6544" s="136">
        <v>43626</v>
      </c>
      <c r="H6544" t="s">
        <v>199</v>
      </c>
      <c r="I6544" t="s">
        <v>171</v>
      </c>
      <c r="J6544" t="s">
        <v>596</v>
      </c>
      <c r="K6544" s="138">
        <v>26.56</v>
      </c>
      <c r="L6544" s="137">
        <v>0</v>
      </c>
    </row>
    <row r="6545" spans="7:12" x14ac:dyDescent="0.25">
      <c r="G6545" s="136">
        <v>43626</v>
      </c>
      <c r="H6545" t="s">
        <v>185</v>
      </c>
      <c r="I6545" t="s">
        <v>259</v>
      </c>
      <c r="J6545" t="s">
        <v>597</v>
      </c>
      <c r="K6545" s="138">
        <v>29.16</v>
      </c>
      <c r="L6545" s="137">
        <v>0</v>
      </c>
    </row>
    <row r="6546" spans="7:12" x14ac:dyDescent="0.25">
      <c r="G6546" s="136">
        <v>43626</v>
      </c>
      <c r="H6546" t="s">
        <v>195</v>
      </c>
      <c r="I6546" t="s">
        <v>259</v>
      </c>
      <c r="J6546" t="s">
        <v>597</v>
      </c>
      <c r="K6546" s="138">
        <v>312.97000000000003</v>
      </c>
      <c r="L6546" s="137">
        <v>0</v>
      </c>
    </row>
    <row r="6547" spans="7:12" x14ac:dyDescent="0.25">
      <c r="G6547" s="136">
        <v>43626</v>
      </c>
      <c r="H6547" t="s">
        <v>183</v>
      </c>
      <c r="I6547" t="s">
        <v>259</v>
      </c>
      <c r="J6547" t="s">
        <v>597</v>
      </c>
      <c r="K6547" s="138">
        <v>537.59</v>
      </c>
      <c r="L6547" s="137">
        <v>0</v>
      </c>
    </row>
    <row r="6548" spans="7:12" x14ac:dyDescent="0.25">
      <c r="G6548" s="136">
        <v>43626</v>
      </c>
      <c r="H6548" t="s">
        <v>189</v>
      </c>
      <c r="I6548" t="s">
        <v>259</v>
      </c>
      <c r="J6548" t="s">
        <v>597</v>
      </c>
      <c r="K6548" s="138">
        <v>329.69</v>
      </c>
      <c r="L6548" s="137">
        <v>0</v>
      </c>
    </row>
    <row r="6549" spans="7:12" x14ac:dyDescent="0.25">
      <c r="G6549" s="136">
        <v>43626</v>
      </c>
      <c r="H6549" t="s">
        <v>191</v>
      </c>
      <c r="I6549" t="s">
        <v>155</v>
      </c>
      <c r="J6549" t="s">
        <v>596</v>
      </c>
      <c r="K6549" s="138">
        <v>40</v>
      </c>
      <c r="L6549" s="137">
        <v>0</v>
      </c>
    </row>
    <row r="6550" spans="7:12" x14ac:dyDescent="0.25">
      <c r="G6550" s="136">
        <v>43626</v>
      </c>
      <c r="H6550" t="s">
        <v>193</v>
      </c>
      <c r="I6550" t="s">
        <v>259</v>
      </c>
      <c r="J6550" t="s">
        <v>597</v>
      </c>
      <c r="K6550" s="138">
        <v>24.26</v>
      </c>
      <c r="L6550" s="137">
        <v>0</v>
      </c>
    </row>
    <row r="6551" spans="7:12" x14ac:dyDescent="0.25">
      <c r="G6551" s="136">
        <v>43626</v>
      </c>
      <c r="H6551" t="s">
        <v>188</v>
      </c>
      <c r="I6551" t="s">
        <v>171</v>
      </c>
      <c r="J6551" t="s">
        <v>596</v>
      </c>
      <c r="K6551" s="138">
        <v>263.01</v>
      </c>
      <c r="L6551" s="137">
        <v>0</v>
      </c>
    </row>
    <row r="6552" spans="7:12" x14ac:dyDescent="0.25">
      <c r="G6552" s="136">
        <v>43626</v>
      </c>
      <c r="H6552" t="s">
        <v>200</v>
      </c>
      <c r="I6552" t="s">
        <v>259</v>
      </c>
      <c r="J6552" t="s">
        <v>597</v>
      </c>
      <c r="K6552" s="138">
        <v>132.47</v>
      </c>
      <c r="L6552" s="137">
        <v>0</v>
      </c>
    </row>
    <row r="6553" spans="7:12" x14ac:dyDescent="0.25">
      <c r="G6553" s="136">
        <v>43626</v>
      </c>
      <c r="H6553" t="s">
        <v>25</v>
      </c>
      <c r="I6553" t="s">
        <v>63</v>
      </c>
      <c r="J6553" t="s">
        <v>596</v>
      </c>
      <c r="K6553" s="138">
        <v>16</v>
      </c>
      <c r="L6553" s="137">
        <v>0</v>
      </c>
    </row>
    <row r="6554" spans="7:12" x14ac:dyDescent="0.25">
      <c r="G6554" s="136">
        <v>43626</v>
      </c>
      <c r="H6554" t="s">
        <v>25</v>
      </c>
      <c r="I6554" t="s">
        <v>63</v>
      </c>
      <c r="J6554" t="s">
        <v>596</v>
      </c>
      <c r="K6554" s="138">
        <v>8</v>
      </c>
      <c r="L6554" s="137">
        <v>0</v>
      </c>
    </row>
    <row r="6555" spans="7:12" x14ac:dyDescent="0.25">
      <c r="G6555" s="136">
        <v>43626</v>
      </c>
      <c r="H6555" t="s">
        <v>25</v>
      </c>
      <c r="I6555" t="s">
        <v>260</v>
      </c>
      <c r="J6555" t="s">
        <v>149</v>
      </c>
      <c r="K6555" s="138">
        <v>0</v>
      </c>
      <c r="L6555" s="137">
        <v>80</v>
      </c>
    </row>
    <row r="6556" spans="7:12" x14ac:dyDescent="0.25">
      <c r="G6556" s="136">
        <v>43626</v>
      </c>
      <c r="H6556" t="s">
        <v>25</v>
      </c>
      <c r="I6556" t="s">
        <v>260</v>
      </c>
      <c r="J6556" t="s">
        <v>149</v>
      </c>
      <c r="L6556" s="137">
        <v>32</v>
      </c>
    </row>
    <row r="6557" spans="7:12" x14ac:dyDescent="0.25">
      <c r="G6557" s="136">
        <v>43626</v>
      </c>
      <c r="H6557" t="s">
        <v>25</v>
      </c>
      <c r="I6557" t="s">
        <v>260</v>
      </c>
      <c r="J6557" t="s">
        <v>149</v>
      </c>
      <c r="L6557" s="137">
        <v>24</v>
      </c>
    </row>
    <row r="6558" spans="7:12" x14ac:dyDescent="0.25">
      <c r="G6558" s="136">
        <v>43626</v>
      </c>
      <c r="H6558" t="s">
        <v>25</v>
      </c>
      <c r="I6558" t="s">
        <v>260</v>
      </c>
      <c r="J6558" t="s">
        <v>149</v>
      </c>
      <c r="L6558" s="137">
        <v>8</v>
      </c>
    </row>
    <row r="6559" spans="7:12" x14ac:dyDescent="0.25">
      <c r="G6559" s="136">
        <v>43626</v>
      </c>
      <c r="H6559" t="s">
        <v>25</v>
      </c>
      <c r="I6559" t="s">
        <v>259</v>
      </c>
      <c r="J6559" t="s">
        <v>597</v>
      </c>
      <c r="K6559" s="138">
        <v>1708.41</v>
      </c>
      <c r="L6559" s="137">
        <v>0</v>
      </c>
    </row>
    <row r="6560" spans="7:12" x14ac:dyDescent="0.25">
      <c r="G6560" s="136">
        <v>43626</v>
      </c>
      <c r="H6560" t="s">
        <v>25</v>
      </c>
      <c r="I6560" t="s">
        <v>259</v>
      </c>
      <c r="J6560" t="s">
        <v>597</v>
      </c>
      <c r="K6560" s="138">
        <v>1177.53</v>
      </c>
      <c r="L6560" s="137">
        <v>0</v>
      </c>
    </row>
    <row r="6561" spans="7:12" x14ac:dyDescent="0.25">
      <c r="G6561" s="136">
        <v>43626</v>
      </c>
      <c r="H6561" t="s">
        <v>25</v>
      </c>
      <c r="I6561" t="s">
        <v>259</v>
      </c>
      <c r="J6561" t="s">
        <v>597</v>
      </c>
      <c r="K6561" s="138">
        <v>1072.24</v>
      </c>
      <c r="L6561" s="137">
        <v>0</v>
      </c>
    </row>
    <row r="6562" spans="7:12" x14ac:dyDescent="0.25">
      <c r="G6562" s="136">
        <v>43626</v>
      </c>
      <c r="H6562" t="s">
        <v>25</v>
      </c>
      <c r="I6562" t="s">
        <v>259</v>
      </c>
      <c r="J6562" t="s">
        <v>597</v>
      </c>
      <c r="K6562" s="138">
        <v>985.64</v>
      </c>
      <c r="L6562" s="137">
        <v>0</v>
      </c>
    </row>
    <row r="6563" spans="7:12" x14ac:dyDescent="0.25">
      <c r="G6563" s="136">
        <v>43626</v>
      </c>
      <c r="H6563" t="s">
        <v>25</v>
      </c>
      <c r="I6563" t="s">
        <v>259</v>
      </c>
      <c r="J6563" t="s">
        <v>597</v>
      </c>
      <c r="K6563" s="138">
        <v>860.35</v>
      </c>
      <c r="L6563" s="137">
        <v>0</v>
      </c>
    </row>
    <row r="6564" spans="7:12" x14ac:dyDescent="0.25">
      <c r="G6564" s="136">
        <v>43626</v>
      </c>
      <c r="H6564" t="s">
        <v>25</v>
      </c>
      <c r="I6564" t="s">
        <v>259</v>
      </c>
      <c r="J6564" t="s">
        <v>597</v>
      </c>
      <c r="K6564" s="138">
        <v>695.86</v>
      </c>
      <c r="L6564" s="137">
        <v>0</v>
      </c>
    </row>
    <row r="6565" spans="7:12" x14ac:dyDescent="0.25">
      <c r="G6565" s="136">
        <v>43626</v>
      </c>
      <c r="H6565" t="s">
        <v>25</v>
      </c>
      <c r="I6565" t="s">
        <v>259</v>
      </c>
      <c r="J6565" t="s">
        <v>597</v>
      </c>
      <c r="K6565" s="138">
        <v>683.32</v>
      </c>
      <c r="L6565" s="137">
        <v>0</v>
      </c>
    </row>
    <row r="6566" spans="7:12" x14ac:dyDescent="0.25">
      <c r="G6566" s="136">
        <v>43626</v>
      </c>
      <c r="H6566" t="s">
        <v>25</v>
      </c>
      <c r="I6566" t="s">
        <v>259</v>
      </c>
      <c r="J6566" t="s">
        <v>597</v>
      </c>
      <c r="K6566" s="138">
        <v>518.83000000000004</v>
      </c>
      <c r="L6566" s="137">
        <v>0</v>
      </c>
    </row>
    <row r="6567" spans="7:12" x14ac:dyDescent="0.25">
      <c r="G6567" s="136">
        <v>43626</v>
      </c>
      <c r="H6567" t="s">
        <v>25</v>
      </c>
      <c r="I6567" t="s">
        <v>259</v>
      </c>
      <c r="J6567" t="s">
        <v>597</v>
      </c>
      <c r="K6567" s="138">
        <v>513.57000000000005</v>
      </c>
      <c r="L6567" s="137">
        <v>0</v>
      </c>
    </row>
    <row r="6568" spans="7:12" x14ac:dyDescent="0.25">
      <c r="G6568" s="136">
        <v>43626</v>
      </c>
      <c r="H6568" t="s">
        <v>25</v>
      </c>
      <c r="I6568" t="s">
        <v>259</v>
      </c>
      <c r="J6568" t="s">
        <v>597</v>
      </c>
      <c r="K6568" s="138">
        <v>401.95</v>
      </c>
      <c r="L6568" s="137">
        <v>0</v>
      </c>
    </row>
    <row r="6569" spans="7:12" x14ac:dyDescent="0.25">
      <c r="G6569" s="136">
        <v>43626</v>
      </c>
      <c r="H6569" t="s">
        <v>25</v>
      </c>
      <c r="I6569" t="s">
        <v>259</v>
      </c>
      <c r="J6569" t="s">
        <v>597</v>
      </c>
      <c r="K6569" s="138">
        <v>391.96</v>
      </c>
      <c r="L6569" s="137">
        <v>0</v>
      </c>
    </row>
    <row r="6570" spans="7:12" x14ac:dyDescent="0.25">
      <c r="G6570" s="136">
        <v>43626</v>
      </c>
      <c r="H6570" t="s">
        <v>25</v>
      </c>
      <c r="I6570" t="s">
        <v>259</v>
      </c>
      <c r="J6570" t="s">
        <v>597</v>
      </c>
      <c r="K6570" s="138">
        <v>336.32</v>
      </c>
      <c r="L6570" s="137">
        <v>0</v>
      </c>
    </row>
    <row r="6571" spans="7:12" x14ac:dyDescent="0.25">
      <c r="G6571" s="136">
        <v>43626</v>
      </c>
      <c r="H6571" t="s">
        <v>25</v>
      </c>
      <c r="I6571" t="s">
        <v>259</v>
      </c>
      <c r="J6571" t="s">
        <v>597</v>
      </c>
      <c r="K6571" s="138">
        <v>329.75</v>
      </c>
      <c r="L6571" s="137">
        <v>0</v>
      </c>
    </row>
    <row r="6572" spans="7:12" x14ac:dyDescent="0.25">
      <c r="G6572" s="136">
        <v>43626</v>
      </c>
      <c r="H6572" t="s">
        <v>25</v>
      </c>
      <c r="I6572" t="s">
        <v>259</v>
      </c>
      <c r="J6572" t="s">
        <v>597</v>
      </c>
      <c r="K6572" s="138">
        <v>307.27999999999997</v>
      </c>
      <c r="L6572" s="137">
        <v>0</v>
      </c>
    </row>
    <row r="6573" spans="7:12" x14ac:dyDescent="0.25">
      <c r="G6573" s="136">
        <v>43626</v>
      </c>
      <c r="H6573" t="s">
        <v>25</v>
      </c>
      <c r="I6573" t="s">
        <v>259</v>
      </c>
      <c r="J6573" t="s">
        <v>597</v>
      </c>
      <c r="K6573" s="138">
        <v>306.8</v>
      </c>
      <c r="L6573" s="137">
        <v>0</v>
      </c>
    </row>
    <row r="6574" spans="7:12" x14ac:dyDescent="0.25">
      <c r="G6574" s="136">
        <v>43626</v>
      </c>
      <c r="H6574" t="s">
        <v>25</v>
      </c>
      <c r="I6574" t="s">
        <v>259</v>
      </c>
      <c r="J6574" t="s">
        <v>597</v>
      </c>
      <c r="K6574" s="138">
        <v>292.72000000000003</v>
      </c>
      <c r="L6574" s="137">
        <v>0</v>
      </c>
    </row>
    <row r="6575" spans="7:12" x14ac:dyDescent="0.25">
      <c r="G6575" s="136">
        <v>43626</v>
      </c>
      <c r="H6575" t="s">
        <v>25</v>
      </c>
      <c r="I6575" t="s">
        <v>259</v>
      </c>
      <c r="J6575" t="s">
        <v>597</v>
      </c>
      <c r="K6575" s="138">
        <v>216.64</v>
      </c>
      <c r="L6575" s="137">
        <v>0</v>
      </c>
    </row>
    <row r="6576" spans="7:12" x14ac:dyDescent="0.25">
      <c r="G6576" s="136">
        <v>43626</v>
      </c>
      <c r="H6576" t="s">
        <v>25</v>
      </c>
      <c r="I6576" t="s">
        <v>259</v>
      </c>
      <c r="J6576" t="s">
        <v>597</v>
      </c>
      <c r="K6576" s="138">
        <v>208.07</v>
      </c>
      <c r="L6576" s="137">
        <v>0</v>
      </c>
    </row>
    <row r="6577" spans="7:12" x14ac:dyDescent="0.25">
      <c r="G6577" s="136">
        <v>43626</v>
      </c>
      <c r="H6577" t="s">
        <v>25</v>
      </c>
      <c r="I6577" t="s">
        <v>259</v>
      </c>
      <c r="J6577" t="s">
        <v>597</v>
      </c>
      <c r="K6577" s="138">
        <v>203.87</v>
      </c>
      <c r="L6577" s="137">
        <v>0</v>
      </c>
    </row>
    <row r="6578" spans="7:12" x14ac:dyDescent="0.25">
      <c r="G6578" s="136">
        <v>43626</v>
      </c>
      <c r="H6578" t="s">
        <v>25</v>
      </c>
      <c r="I6578" t="s">
        <v>259</v>
      </c>
      <c r="J6578" t="s">
        <v>597</v>
      </c>
      <c r="K6578" s="138">
        <v>140</v>
      </c>
      <c r="L6578" s="137">
        <v>0</v>
      </c>
    </row>
    <row r="6579" spans="7:12" x14ac:dyDescent="0.25">
      <c r="G6579" s="136">
        <v>43626</v>
      </c>
      <c r="H6579" t="s">
        <v>25</v>
      </c>
      <c r="I6579" t="s">
        <v>259</v>
      </c>
      <c r="J6579" t="s">
        <v>597</v>
      </c>
      <c r="K6579" s="138">
        <v>106.5</v>
      </c>
      <c r="L6579" s="137">
        <v>0</v>
      </c>
    </row>
    <row r="6580" spans="7:12" x14ac:dyDescent="0.25">
      <c r="G6580" s="136">
        <v>43626</v>
      </c>
      <c r="H6580" t="s">
        <v>25</v>
      </c>
      <c r="I6580" t="s">
        <v>259</v>
      </c>
      <c r="J6580" t="s">
        <v>597</v>
      </c>
      <c r="K6580" s="138">
        <v>75.709999999999994</v>
      </c>
      <c r="L6580" s="137">
        <v>0</v>
      </c>
    </row>
    <row r="6581" spans="7:12" x14ac:dyDescent="0.25">
      <c r="G6581" s="136">
        <v>43626</v>
      </c>
      <c r="H6581" t="s">
        <v>25</v>
      </c>
      <c r="I6581" t="s">
        <v>259</v>
      </c>
      <c r="J6581" t="s">
        <v>597</v>
      </c>
      <c r="K6581" s="138">
        <v>31.9</v>
      </c>
      <c r="L6581" s="137">
        <v>0</v>
      </c>
    </row>
    <row r="6582" spans="7:12" x14ac:dyDescent="0.25">
      <c r="G6582" s="136">
        <v>43626</v>
      </c>
      <c r="H6582" t="s">
        <v>25</v>
      </c>
      <c r="I6582" t="s">
        <v>259</v>
      </c>
      <c r="J6582" t="s">
        <v>597</v>
      </c>
      <c r="K6582" s="138">
        <v>12.27</v>
      </c>
      <c r="L6582" s="137">
        <v>0</v>
      </c>
    </row>
    <row r="6583" spans="7:12" x14ac:dyDescent="0.25">
      <c r="G6583" s="136">
        <v>43626</v>
      </c>
      <c r="H6583" t="s">
        <v>25</v>
      </c>
      <c r="I6583" t="s">
        <v>259</v>
      </c>
      <c r="J6583" t="s">
        <v>597</v>
      </c>
      <c r="K6583" s="138">
        <v>9.8000000000000007</v>
      </c>
      <c r="L6583" s="137">
        <v>0</v>
      </c>
    </row>
    <row r="6584" spans="7:12" x14ac:dyDescent="0.25">
      <c r="G6584" s="136">
        <v>43626</v>
      </c>
      <c r="H6584" t="s">
        <v>25</v>
      </c>
      <c r="I6584" t="s">
        <v>259</v>
      </c>
      <c r="J6584" t="s">
        <v>597</v>
      </c>
      <c r="K6584" s="138">
        <v>9.5500000000000007</v>
      </c>
      <c r="L6584" s="137">
        <v>0</v>
      </c>
    </row>
    <row r="6585" spans="7:12" x14ac:dyDescent="0.25">
      <c r="G6585" s="136">
        <v>43626</v>
      </c>
      <c r="H6585" t="s">
        <v>211</v>
      </c>
      <c r="I6585" t="s">
        <v>176</v>
      </c>
      <c r="J6585" t="s">
        <v>596</v>
      </c>
      <c r="K6585" s="138">
        <v>2549.17</v>
      </c>
      <c r="L6585" s="137">
        <v>0</v>
      </c>
    </row>
    <row r="6586" spans="7:12" x14ac:dyDescent="0.25">
      <c r="G6586" s="136">
        <v>43626</v>
      </c>
      <c r="H6586" t="s">
        <v>181</v>
      </c>
      <c r="I6586" t="s">
        <v>176</v>
      </c>
      <c r="J6586" t="s">
        <v>596</v>
      </c>
      <c r="K6586" s="138">
        <v>295.16000000000003</v>
      </c>
      <c r="L6586" s="137">
        <v>0</v>
      </c>
    </row>
    <row r="6587" spans="7:12" x14ac:dyDescent="0.25">
      <c r="G6587" s="136">
        <v>43626</v>
      </c>
      <c r="H6587" t="s">
        <v>197</v>
      </c>
      <c r="I6587" t="s">
        <v>176</v>
      </c>
      <c r="J6587" t="s">
        <v>596</v>
      </c>
      <c r="K6587" s="138">
        <v>270.98</v>
      </c>
      <c r="L6587" s="137">
        <v>0</v>
      </c>
    </row>
    <row r="6588" spans="7:12" x14ac:dyDescent="0.25">
      <c r="G6588" s="136">
        <v>43626</v>
      </c>
      <c r="H6588" t="s">
        <v>197</v>
      </c>
      <c r="I6588" t="s">
        <v>171</v>
      </c>
      <c r="J6588" t="s">
        <v>596</v>
      </c>
      <c r="K6588" s="138">
        <v>12.39</v>
      </c>
      <c r="L6588" s="137">
        <v>0</v>
      </c>
    </row>
    <row r="6589" spans="7:12" x14ac:dyDescent="0.25">
      <c r="G6589" s="136">
        <v>43626</v>
      </c>
      <c r="H6589" t="s">
        <v>196</v>
      </c>
      <c r="I6589" t="s">
        <v>112</v>
      </c>
      <c r="J6589" t="s">
        <v>596</v>
      </c>
      <c r="K6589" s="138">
        <v>103</v>
      </c>
      <c r="L6589" s="137">
        <v>0</v>
      </c>
    </row>
    <row r="6590" spans="7:12" x14ac:dyDescent="0.25">
      <c r="G6590" s="136">
        <v>43626</v>
      </c>
      <c r="H6590" t="s">
        <v>179</v>
      </c>
      <c r="I6590" t="s">
        <v>259</v>
      </c>
      <c r="J6590" t="s">
        <v>597</v>
      </c>
      <c r="K6590" s="138">
        <v>3294.23</v>
      </c>
      <c r="L6590" s="137">
        <v>0</v>
      </c>
    </row>
    <row r="6591" spans="7:12" x14ac:dyDescent="0.25">
      <c r="G6591" s="136">
        <v>43626</v>
      </c>
      <c r="H6591" t="s">
        <v>28</v>
      </c>
      <c r="I6591" t="s">
        <v>63</v>
      </c>
      <c r="J6591" t="s">
        <v>596</v>
      </c>
      <c r="K6591" s="138">
        <v>8</v>
      </c>
      <c r="L6591" s="137">
        <v>0</v>
      </c>
    </row>
    <row r="6592" spans="7:12" x14ac:dyDescent="0.25">
      <c r="G6592" s="136">
        <v>43626</v>
      </c>
      <c r="H6592" t="s">
        <v>28</v>
      </c>
      <c r="I6592" t="s">
        <v>112</v>
      </c>
      <c r="J6592" t="s">
        <v>596</v>
      </c>
      <c r="K6592" s="138">
        <v>83.03</v>
      </c>
      <c r="L6592" s="137">
        <v>0</v>
      </c>
    </row>
    <row r="6593" spans="7:12" x14ac:dyDescent="0.25">
      <c r="G6593" s="136">
        <v>43626</v>
      </c>
      <c r="H6593" t="s">
        <v>28</v>
      </c>
      <c r="I6593" t="s">
        <v>112</v>
      </c>
      <c r="J6593" t="s">
        <v>596</v>
      </c>
      <c r="K6593" s="138">
        <v>67.5</v>
      </c>
      <c r="L6593" s="137">
        <v>0</v>
      </c>
    </row>
    <row r="6594" spans="7:12" x14ac:dyDescent="0.25">
      <c r="G6594" s="136">
        <v>43626</v>
      </c>
      <c r="H6594" t="s">
        <v>28</v>
      </c>
      <c r="I6594" t="s">
        <v>112</v>
      </c>
      <c r="J6594" t="s">
        <v>596</v>
      </c>
      <c r="K6594" s="138">
        <v>30.25</v>
      </c>
      <c r="L6594" s="137">
        <v>0</v>
      </c>
    </row>
    <row r="6595" spans="7:12" x14ac:dyDescent="0.25">
      <c r="G6595" s="136">
        <v>43626</v>
      </c>
      <c r="H6595" t="s">
        <v>28</v>
      </c>
      <c r="I6595" t="s">
        <v>155</v>
      </c>
      <c r="J6595" t="s">
        <v>596</v>
      </c>
      <c r="K6595" s="138">
        <v>245.96</v>
      </c>
      <c r="L6595" s="137">
        <v>0</v>
      </c>
    </row>
    <row r="6596" spans="7:12" x14ac:dyDescent="0.25">
      <c r="G6596" s="136">
        <v>43626</v>
      </c>
      <c r="H6596" t="s">
        <v>28</v>
      </c>
      <c r="I6596" t="s">
        <v>155</v>
      </c>
      <c r="J6596" t="s">
        <v>596</v>
      </c>
      <c r="K6596" s="138">
        <v>99.22</v>
      </c>
      <c r="L6596" s="137">
        <v>0</v>
      </c>
    </row>
    <row r="6597" spans="7:12" x14ac:dyDescent="0.25">
      <c r="G6597" s="136">
        <v>43626</v>
      </c>
      <c r="H6597" t="s">
        <v>28</v>
      </c>
      <c r="I6597" t="s">
        <v>155</v>
      </c>
      <c r="J6597" t="s">
        <v>596</v>
      </c>
      <c r="K6597" s="138">
        <v>50.97</v>
      </c>
      <c r="L6597" s="137">
        <v>0</v>
      </c>
    </row>
    <row r="6598" spans="7:12" x14ac:dyDescent="0.25">
      <c r="G6598" s="136">
        <v>43626</v>
      </c>
      <c r="H6598" t="s">
        <v>28</v>
      </c>
      <c r="I6598" t="s">
        <v>155</v>
      </c>
      <c r="J6598" t="s">
        <v>596</v>
      </c>
      <c r="K6598" s="138">
        <v>42.14</v>
      </c>
      <c r="L6598" s="137">
        <v>0</v>
      </c>
    </row>
    <row r="6599" spans="7:12" x14ac:dyDescent="0.25">
      <c r="G6599" s="136">
        <v>43626</v>
      </c>
      <c r="H6599" t="s">
        <v>28</v>
      </c>
      <c r="I6599" t="s">
        <v>155</v>
      </c>
      <c r="J6599" t="s">
        <v>596</v>
      </c>
      <c r="K6599" s="138">
        <v>34.880000000000003</v>
      </c>
      <c r="L6599" s="137">
        <v>0</v>
      </c>
    </row>
    <row r="6600" spans="7:12" x14ac:dyDescent="0.25">
      <c r="G6600" s="136">
        <v>43626</v>
      </c>
      <c r="H6600" t="s">
        <v>28</v>
      </c>
      <c r="I6600" t="s">
        <v>155</v>
      </c>
      <c r="J6600" t="s">
        <v>596</v>
      </c>
      <c r="K6600" s="138">
        <v>29.69</v>
      </c>
      <c r="L6600" s="137">
        <v>0</v>
      </c>
    </row>
    <row r="6601" spans="7:12" x14ac:dyDescent="0.25">
      <c r="G6601" s="136">
        <v>43626</v>
      </c>
      <c r="H6601" t="s">
        <v>28</v>
      </c>
      <c r="I6601" t="s">
        <v>155</v>
      </c>
      <c r="J6601" t="s">
        <v>596</v>
      </c>
      <c r="K6601" s="138">
        <v>19.02</v>
      </c>
      <c r="L6601" s="137">
        <v>0</v>
      </c>
    </row>
    <row r="6602" spans="7:12" x14ac:dyDescent="0.25">
      <c r="G6602" s="136">
        <v>43626</v>
      </c>
      <c r="H6602" t="s">
        <v>28</v>
      </c>
      <c r="I6602" t="s">
        <v>155</v>
      </c>
      <c r="J6602" t="s">
        <v>596</v>
      </c>
      <c r="K6602" s="138">
        <v>17.190000000000001</v>
      </c>
      <c r="L6602" s="137">
        <v>0</v>
      </c>
    </row>
    <row r="6603" spans="7:12" x14ac:dyDescent="0.25">
      <c r="G6603" s="136">
        <v>43626</v>
      </c>
      <c r="H6603" t="s">
        <v>28</v>
      </c>
      <c r="I6603" t="s">
        <v>155</v>
      </c>
      <c r="J6603" t="s">
        <v>596</v>
      </c>
      <c r="K6603" s="138">
        <v>0.27</v>
      </c>
      <c r="L6603" s="137">
        <v>0</v>
      </c>
    </row>
    <row r="6604" spans="7:12" x14ac:dyDescent="0.25">
      <c r="G6604" s="136">
        <v>43626</v>
      </c>
      <c r="H6604" t="s">
        <v>28</v>
      </c>
      <c r="I6604" t="s">
        <v>66</v>
      </c>
      <c r="J6604" t="s">
        <v>408</v>
      </c>
      <c r="K6604" s="138">
        <v>3</v>
      </c>
      <c r="L6604" s="137">
        <v>0</v>
      </c>
    </row>
    <row r="6605" spans="7:12" x14ac:dyDescent="0.25">
      <c r="G6605" s="136">
        <v>43626</v>
      </c>
      <c r="H6605" t="s">
        <v>28</v>
      </c>
      <c r="I6605" t="s">
        <v>66</v>
      </c>
      <c r="J6605" t="s">
        <v>116</v>
      </c>
      <c r="K6605" s="138">
        <v>2.4</v>
      </c>
      <c r="L6605" s="137">
        <v>0</v>
      </c>
    </row>
    <row r="6606" spans="7:12" x14ac:dyDescent="0.25">
      <c r="G6606" s="136">
        <v>43626</v>
      </c>
      <c r="H6606" t="s">
        <v>28</v>
      </c>
      <c r="I6606" t="s">
        <v>259</v>
      </c>
      <c r="J6606" t="s">
        <v>597</v>
      </c>
      <c r="K6606" s="138">
        <v>642.38</v>
      </c>
      <c r="L6606" s="137">
        <v>0</v>
      </c>
    </row>
    <row r="6607" spans="7:12" x14ac:dyDescent="0.25">
      <c r="G6607" s="136">
        <v>43626</v>
      </c>
      <c r="H6607" t="s">
        <v>28</v>
      </c>
      <c r="I6607" t="s">
        <v>259</v>
      </c>
      <c r="J6607" t="s">
        <v>597</v>
      </c>
      <c r="K6607" s="138">
        <v>95.62</v>
      </c>
      <c r="L6607" s="137">
        <v>0</v>
      </c>
    </row>
    <row r="6608" spans="7:12" x14ac:dyDescent="0.25">
      <c r="G6608" s="136">
        <v>43626</v>
      </c>
      <c r="H6608" t="s">
        <v>28</v>
      </c>
      <c r="I6608" t="s">
        <v>259</v>
      </c>
      <c r="J6608" t="s">
        <v>597</v>
      </c>
      <c r="K6608" s="138">
        <v>64.22</v>
      </c>
      <c r="L6608" s="137">
        <v>0</v>
      </c>
    </row>
    <row r="6609" spans="7:12" x14ac:dyDescent="0.25">
      <c r="G6609" s="136">
        <v>43626</v>
      </c>
      <c r="H6609" t="s">
        <v>28</v>
      </c>
      <c r="I6609" t="s">
        <v>259</v>
      </c>
      <c r="J6609" t="s">
        <v>597</v>
      </c>
      <c r="K6609" s="138">
        <v>42.39</v>
      </c>
      <c r="L6609" s="137">
        <v>0</v>
      </c>
    </row>
    <row r="6610" spans="7:12" x14ac:dyDescent="0.25">
      <c r="G6610" s="136">
        <v>43626</v>
      </c>
      <c r="H6610" t="s">
        <v>28</v>
      </c>
      <c r="I6610" t="s">
        <v>259</v>
      </c>
      <c r="J6610" t="s">
        <v>597</v>
      </c>
      <c r="K6610" s="138">
        <v>27.65</v>
      </c>
      <c r="L6610" s="137">
        <v>0</v>
      </c>
    </row>
    <row r="6611" spans="7:12" x14ac:dyDescent="0.25">
      <c r="G6611" s="136">
        <v>43626</v>
      </c>
      <c r="H6611" t="s">
        <v>28</v>
      </c>
      <c r="I6611" t="s">
        <v>259</v>
      </c>
      <c r="J6611" t="s">
        <v>597</v>
      </c>
      <c r="K6611" s="138">
        <v>27.14</v>
      </c>
      <c r="L6611" s="137">
        <v>0</v>
      </c>
    </row>
    <row r="6612" spans="7:12" x14ac:dyDescent="0.25">
      <c r="G6612" s="136">
        <v>43626</v>
      </c>
      <c r="H6612" t="s">
        <v>28</v>
      </c>
      <c r="I6612" t="s">
        <v>259</v>
      </c>
      <c r="J6612" t="s">
        <v>597</v>
      </c>
      <c r="K6612" s="138">
        <v>25.32</v>
      </c>
      <c r="L6612" s="137">
        <v>0</v>
      </c>
    </row>
    <row r="6613" spans="7:12" x14ac:dyDescent="0.25">
      <c r="G6613" s="136">
        <v>43627</v>
      </c>
      <c r="H6613" t="s">
        <v>27</v>
      </c>
      <c r="I6613" t="s">
        <v>63</v>
      </c>
      <c r="J6613" t="s">
        <v>598</v>
      </c>
      <c r="K6613" s="138">
        <v>8</v>
      </c>
      <c r="L6613" s="137">
        <v>0</v>
      </c>
    </row>
    <row r="6614" spans="7:12" x14ac:dyDescent="0.25">
      <c r="G6614" s="136">
        <v>43627</v>
      </c>
      <c r="H6614" t="s">
        <v>25</v>
      </c>
      <c r="I6614" t="s">
        <v>63</v>
      </c>
      <c r="J6614" t="s">
        <v>598</v>
      </c>
      <c r="K6614" s="138">
        <v>16</v>
      </c>
      <c r="L6614" s="137">
        <v>0</v>
      </c>
    </row>
    <row r="6615" spans="7:12" x14ac:dyDescent="0.25">
      <c r="G6615" s="136">
        <v>43627</v>
      </c>
      <c r="H6615" t="s">
        <v>211</v>
      </c>
      <c r="I6615" t="s">
        <v>171</v>
      </c>
      <c r="J6615" t="s">
        <v>598</v>
      </c>
      <c r="K6615" s="138">
        <v>382.02</v>
      </c>
      <c r="L6615" s="137">
        <v>0</v>
      </c>
    </row>
    <row r="6616" spans="7:12" x14ac:dyDescent="0.25">
      <c r="G6616" s="136">
        <v>43627</v>
      </c>
      <c r="H6616" t="s">
        <v>181</v>
      </c>
      <c r="I6616" t="s">
        <v>171</v>
      </c>
      <c r="J6616" t="s">
        <v>598</v>
      </c>
      <c r="K6616" s="138">
        <v>59.6</v>
      </c>
      <c r="L6616" s="137">
        <v>0</v>
      </c>
    </row>
    <row r="6617" spans="7:12" x14ac:dyDescent="0.25">
      <c r="G6617" s="136">
        <v>43627</v>
      </c>
      <c r="H6617" t="s">
        <v>28</v>
      </c>
      <c r="I6617" t="s">
        <v>171</v>
      </c>
      <c r="J6617" t="s">
        <v>598</v>
      </c>
      <c r="K6617" s="138">
        <v>26</v>
      </c>
      <c r="L6617" s="137">
        <v>0</v>
      </c>
    </row>
    <row r="6618" spans="7:12" x14ac:dyDescent="0.25">
      <c r="G6618" s="136">
        <v>43628</v>
      </c>
      <c r="H6618" t="s">
        <v>192</v>
      </c>
      <c r="I6618" t="s">
        <v>163</v>
      </c>
      <c r="J6618" t="s">
        <v>599</v>
      </c>
      <c r="K6618" s="138">
        <v>25.95</v>
      </c>
      <c r="L6618" s="137">
        <v>0</v>
      </c>
    </row>
    <row r="6619" spans="7:12" x14ac:dyDescent="0.25">
      <c r="G6619" s="136">
        <v>43628</v>
      </c>
      <c r="H6619" t="s">
        <v>198</v>
      </c>
      <c r="I6619" t="s">
        <v>171</v>
      </c>
      <c r="J6619" t="s">
        <v>599</v>
      </c>
      <c r="K6619" s="138">
        <v>17</v>
      </c>
      <c r="L6619" s="137">
        <v>0</v>
      </c>
    </row>
    <row r="6620" spans="7:12" x14ac:dyDescent="0.25">
      <c r="G6620" s="136">
        <v>43628</v>
      </c>
      <c r="H6620" t="s">
        <v>185</v>
      </c>
      <c r="I6620" t="s">
        <v>171</v>
      </c>
      <c r="J6620" t="s">
        <v>599</v>
      </c>
      <c r="K6620" s="138">
        <v>42</v>
      </c>
      <c r="L6620" s="137">
        <v>0</v>
      </c>
    </row>
    <row r="6621" spans="7:12" x14ac:dyDescent="0.25">
      <c r="G6621" s="136">
        <v>43628</v>
      </c>
      <c r="H6621" t="s">
        <v>191</v>
      </c>
      <c r="I6621" t="s">
        <v>163</v>
      </c>
      <c r="J6621" t="s">
        <v>599</v>
      </c>
      <c r="K6621" s="138">
        <v>101.25</v>
      </c>
      <c r="L6621" s="137">
        <v>0</v>
      </c>
    </row>
    <row r="6622" spans="7:12" x14ac:dyDescent="0.25">
      <c r="G6622" s="136">
        <v>43628</v>
      </c>
      <c r="H6622" t="s">
        <v>188</v>
      </c>
      <c r="I6622" t="s">
        <v>163</v>
      </c>
      <c r="J6622" t="s">
        <v>599</v>
      </c>
      <c r="K6622" s="138">
        <v>39</v>
      </c>
      <c r="L6622" s="137">
        <v>0</v>
      </c>
    </row>
    <row r="6623" spans="7:12" x14ac:dyDescent="0.25">
      <c r="G6623" s="136">
        <v>43628</v>
      </c>
      <c r="H6623" t="s">
        <v>200</v>
      </c>
      <c r="I6623" t="s">
        <v>63</v>
      </c>
      <c r="J6623" t="s">
        <v>599</v>
      </c>
      <c r="K6623" s="138">
        <v>145.74</v>
      </c>
      <c r="L6623" s="137">
        <v>0</v>
      </c>
    </row>
    <row r="6624" spans="7:12" x14ac:dyDescent="0.25">
      <c r="G6624" s="136">
        <v>43628</v>
      </c>
      <c r="H6624" t="s">
        <v>25</v>
      </c>
      <c r="I6624" t="s">
        <v>63</v>
      </c>
      <c r="J6624" t="s">
        <v>599</v>
      </c>
      <c r="K6624" s="138">
        <v>16</v>
      </c>
      <c r="L6624" s="137">
        <v>0</v>
      </c>
    </row>
    <row r="6625" spans="7:12" x14ac:dyDescent="0.25">
      <c r="G6625" s="136">
        <v>43628</v>
      </c>
      <c r="H6625" t="s">
        <v>25</v>
      </c>
      <c r="I6625" t="s">
        <v>63</v>
      </c>
      <c r="J6625" t="s">
        <v>599</v>
      </c>
      <c r="K6625" s="138">
        <v>8</v>
      </c>
      <c r="L6625" s="137">
        <v>0</v>
      </c>
    </row>
    <row r="6626" spans="7:12" x14ac:dyDescent="0.25">
      <c r="G6626" s="136">
        <v>43628</v>
      </c>
      <c r="H6626" t="s">
        <v>181</v>
      </c>
      <c r="I6626" t="s">
        <v>171</v>
      </c>
      <c r="J6626" t="s">
        <v>599</v>
      </c>
      <c r="K6626" s="138">
        <v>13.4</v>
      </c>
      <c r="L6626" s="137">
        <v>0</v>
      </c>
    </row>
    <row r="6627" spans="7:12" x14ac:dyDescent="0.25">
      <c r="G6627" s="136">
        <v>43628</v>
      </c>
      <c r="H6627" t="s">
        <v>28</v>
      </c>
      <c r="I6627" t="s">
        <v>66</v>
      </c>
      <c r="J6627" t="s">
        <v>109</v>
      </c>
      <c r="K6627" s="138">
        <v>14</v>
      </c>
      <c r="L6627" s="137">
        <v>0</v>
      </c>
    </row>
    <row r="6628" spans="7:12" x14ac:dyDescent="0.25">
      <c r="G6628" s="136">
        <v>43628</v>
      </c>
      <c r="H6628" t="s">
        <v>28</v>
      </c>
      <c r="I6628" t="s">
        <v>66</v>
      </c>
      <c r="J6628" t="s">
        <v>145</v>
      </c>
      <c r="K6628" s="138">
        <v>3</v>
      </c>
      <c r="L6628" s="137">
        <v>0</v>
      </c>
    </row>
    <row r="6629" spans="7:12" x14ac:dyDescent="0.25">
      <c r="G6629" s="136">
        <v>43629</v>
      </c>
      <c r="H6629" t="s">
        <v>27</v>
      </c>
      <c r="I6629" t="s">
        <v>63</v>
      </c>
      <c r="J6629" t="s">
        <v>600</v>
      </c>
      <c r="K6629" s="138">
        <v>24</v>
      </c>
      <c r="L6629" s="137">
        <v>0</v>
      </c>
    </row>
    <row r="6630" spans="7:12" x14ac:dyDescent="0.25">
      <c r="G6630" s="136">
        <v>43629</v>
      </c>
      <c r="H6630" t="s">
        <v>199</v>
      </c>
      <c r="I6630" t="s">
        <v>171</v>
      </c>
      <c r="J6630" t="s">
        <v>600</v>
      </c>
      <c r="K6630" s="138">
        <v>8.92</v>
      </c>
      <c r="L6630" s="137">
        <v>0</v>
      </c>
    </row>
    <row r="6631" spans="7:12" x14ac:dyDescent="0.25">
      <c r="G6631" s="136">
        <v>43629</v>
      </c>
      <c r="H6631" t="s">
        <v>212</v>
      </c>
      <c r="I6631" t="s">
        <v>176</v>
      </c>
      <c r="J6631" t="s">
        <v>600</v>
      </c>
      <c r="K6631" s="138">
        <v>72.48</v>
      </c>
      <c r="L6631" s="137">
        <v>0</v>
      </c>
    </row>
    <row r="6632" spans="7:12" x14ac:dyDescent="0.25">
      <c r="G6632" s="136">
        <v>43629</v>
      </c>
      <c r="H6632" t="s">
        <v>184</v>
      </c>
      <c r="I6632" t="s">
        <v>171</v>
      </c>
      <c r="J6632" t="s">
        <v>600</v>
      </c>
      <c r="K6632" s="138">
        <v>22.17</v>
      </c>
      <c r="L6632" s="137">
        <v>0</v>
      </c>
    </row>
    <row r="6633" spans="7:12" x14ac:dyDescent="0.25">
      <c r="G6633" s="136">
        <v>43629</v>
      </c>
      <c r="H6633" t="s">
        <v>183</v>
      </c>
      <c r="I6633" t="s">
        <v>171</v>
      </c>
      <c r="J6633" t="s">
        <v>600</v>
      </c>
      <c r="K6633" s="138">
        <v>71.489999999999995</v>
      </c>
      <c r="L6633" s="137">
        <v>0</v>
      </c>
    </row>
    <row r="6634" spans="7:12" x14ac:dyDescent="0.25">
      <c r="G6634" s="136">
        <v>43629</v>
      </c>
      <c r="H6634" t="s">
        <v>188</v>
      </c>
      <c r="I6634" t="s">
        <v>171</v>
      </c>
      <c r="J6634" t="s">
        <v>600</v>
      </c>
      <c r="K6634" s="138">
        <v>38</v>
      </c>
      <c r="L6634" s="137">
        <v>0</v>
      </c>
    </row>
    <row r="6635" spans="7:12" x14ac:dyDescent="0.25">
      <c r="G6635" s="136">
        <v>43629</v>
      </c>
      <c r="H6635" t="s">
        <v>25</v>
      </c>
      <c r="I6635" t="s">
        <v>63</v>
      </c>
      <c r="J6635" t="s">
        <v>600</v>
      </c>
      <c r="K6635" s="138">
        <v>16</v>
      </c>
      <c r="L6635" s="137">
        <v>0</v>
      </c>
    </row>
    <row r="6636" spans="7:12" x14ac:dyDescent="0.25">
      <c r="G6636" s="136">
        <v>43629</v>
      </c>
      <c r="H6636" t="s">
        <v>25</v>
      </c>
      <c r="I6636" t="s">
        <v>63</v>
      </c>
      <c r="J6636" t="s">
        <v>600</v>
      </c>
      <c r="K6636" s="138">
        <v>8</v>
      </c>
      <c r="L6636" s="137">
        <v>0</v>
      </c>
    </row>
    <row r="6637" spans="7:12" x14ac:dyDescent="0.25">
      <c r="G6637" s="136">
        <v>43629</v>
      </c>
      <c r="H6637" t="s">
        <v>196</v>
      </c>
      <c r="I6637" t="s">
        <v>176</v>
      </c>
      <c r="J6637" t="s">
        <v>600</v>
      </c>
      <c r="K6637" s="138">
        <v>349.6</v>
      </c>
      <c r="L6637" s="137">
        <v>0</v>
      </c>
    </row>
    <row r="6638" spans="7:12" x14ac:dyDescent="0.25">
      <c r="G6638" s="136">
        <v>43629</v>
      </c>
      <c r="H6638" t="s">
        <v>28</v>
      </c>
      <c r="I6638" t="s">
        <v>66</v>
      </c>
      <c r="J6638" t="s">
        <v>110</v>
      </c>
      <c r="K6638" s="138">
        <v>6</v>
      </c>
      <c r="L6638" s="137">
        <v>0</v>
      </c>
    </row>
    <row r="6639" spans="7:12" x14ac:dyDescent="0.25">
      <c r="G6639" s="136">
        <v>43629</v>
      </c>
      <c r="H6639" t="s">
        <v>28</v>
      </c>
      <c r="I6639" t="s">
        <v>66</v>
      </c>
      <c r="J6639" t="s">
        <v>129</v>
      </c>
      <c r="K6639" s="138">
        <v>2.75</v>
      </c>
      <c r="L6639" s="137">
        <v>0</v>
      </c>
    </row>
    <row r="6640" spans="7:12" x14ac:dyDescent="0.25">
      <c r="G6640" s="136">
        <v>43629</v>
      </c>
      <c r="H6640" t="s">
        <v>28</v>
      </c>
      <c r="I6640" t="s">
        <v>66</v>
      </c>
      <c r="J6640" t="s">
        <v>124</v>
      </c>
      <c r="K6640" s="138">
        <v>3.15</v>
      </c>
      <c r="L6640" s="137">
        <v>0</v>
      </c>
    </row>
    <row r="6641" spans="7:12" x14ac:dyDescent="0.25">
      <c r="G6641" s="136">
        <v>43629</v>
      </c>
      <c r="H6641" t="s">
        <v>28</v>
      </c>
      <c r="I6641" t="s">
        <v>66</v>
      </c>
      <c r="J6641" t="s">
        <v>104</v>
      </c>
      <c r="K6641" s="138">
        <v>10.25</v>
      </c>
      <c r="L6641" s="137">
        <v>0</v>
      </c>
    </row>
    <row r="6642" spans="7:12" x14ac:dyDescent="0.25">
      <c r="G6642" s="136">
        <v>43629</v>
      </c>
      <c r="H6642" t="s">
        <v>28</v>
      </c>
      <c r="I6642" t="s">
        <v>171</v>
      </c>
      <c r="J6642" t="s">
        <v>600</v>
      </c>
      <c r="K6642" s="138">
        <v>12</v>
      </c>
      <c r="L6642" s="137">
        <v>0</v>
      </c>
    </row>
    <row r="6643" spans="7:12" x14ac:dyDescent="0.25">
      <c r="G6643" s="136">
        <v>43630</v>
      </c>
      <c r="H6643" t="s">
        <v>192</v>
      </c>
      <c r="I6643" t="s">
        <v>171</v>
      </c>
      <c r="J6643" t="s">
        <v>601</v>
      </c>
      <c r="K6643" s="138">
        <v>16.05</v>
      </c>
      <c r="L6643" s="137">
        <v>0</v>
      </c>
    </row>
    <row r="6644" spans="7:12" x14ac:dyDescent="0.25">
      <c r="G6644" s="136">
        <v>43630</v>
      </c>
      <c r="H6644" t="s">
        <v>27</v>
      </c>
      <c r="I6644" t="s">
        <v>63</v>
      </c>
      <c r="J6644" t="s">
        <v>601</v>
      </c>
      <c r="K6644" s="138">
        <v>32</v>
      </c>
      <c r="L6644" s="137">
        <v>0</v>
      </c>
    </row>
    <row r="6645" spans="7:12" x14ac:dyDescent="0.25">
      <c r="G6645" s="136">
        <v>43630</v>
      </c>
      <c r="H6645" t="s">
        <v>27</v>
      </c>
      <c r="I6645" t="s">
        <v>63</v>
      </c>
      <c r="J6645" t="s">
        <v>601</v>
      </c>
      <c r="K6645" s="138">
        <v>8</v>
      </c>
      <c r="L6645" s="137">
        <v>0</v>
      </c>
    </row>
    <row r="6646" spans="7:12" x14ac:dyDescent="0.25">
      <c r="G6646" s="136">
        <v>43630</v>
      </c>
      <c r="H6646" t="s">
        <v>183</v>
      </c>
      <c r="I6646" t="s">
        <v>171</v>
      </c>
      <c r="J6646" t="s">
        <v>601</v>
      </c>
      <c r="K6646" s="138">
        <v>25</v>
      </c>
      <c r="L6646" s="137">
        <v>0</v>
      </c>
    </row>
    <row r="6647" spans="7:12" x14ac:dyDescent="0.25">
      <c r="G6647" s="136">
        <v>43630</v>
      </c>
      <c r="H6647" t="s">
        <v>25</v>
      </c>
      <c r="I6647" t="s">
        <v>63</v>
      </c>
      <c r="J6647" t="s">
        <v>601</v>
      </c>
      <c r="K6647" s="138">
        <v>48</v>
      </c>
      <c r="L6647" s="137">
        <v>0</v>
      </c>
    </row>
    <row r="6648" spans="7:12" x14ac:dyDescent="0.25">
      <c r="G6648" s="136">
        <v>43630</v>
      </c>
      <c r="H6648" t="s">
        <v>25</v>
      </c>
      <c r="I6648" t="s">
        <v>63</v>
      </c>
      <c r="J6648" t="s">
        <v>601</v>
      </c>
      <c r="K6648" s="138">
        <v>24</v>
      </c>
      <c r="L6648" s="137">
        <v>0</v>
      </c>
    </row>
    <row r="6649" spans="7:12" x14ac:dyDescent="0.25">
      <c r="G6649" s="136">
        <v>43630</v>
      </c>
      <c r="H6649" t="s">
        <v>25</v>
      </c>
      <c r="I6649" t="s">
        <v>63</v>
      </c>
      <c r="J6649" t="s">
        <v>601</v>
      </c>
      <c r="K6649" s="138">
        <v>16</v>
      </c>
      <c r="L6649" s="137">
        <v>0</v>
      </c>
    </row>
    <row r="6650" spans="7:12" x14ac:dyDescent="0.25">
      <c r="G6650" s="136">
        <v>43630</v>
      </c>
      <c r="H6650" t="s">
        <v>25</v>
      </c>
      <c r="I6650" t="s">
        <v>63</v>
      </c>
      <c r="J6650" t="s">
        <v>601</v>
      </c>
      <c r="K6650" s="138">
        <v>8</v>
      </c>
      <c r="L6650" s="137">
        <v>0</v>
      </c>
    </row>
    <row r="6651" spans="7:12" x14ac:dyDescent="0.25">
      <c r="G6651" s="136">
        <v>43630</v>
      </c>
      <c r="H6651" t="s">
        <v>187</v>
      </c>
      <c r="I6651" t="s">
        <v>63</v>
      </c>
      <c r="J6651" t="s">
        <v>601</v>
      </c>
      <c r="K6651" s="138">
        <v>22.3</v>
      </c>
      <c r="L6651" s="137">
        <v>0</v>
      </c>
    </row>
    <row r="6652" spans="7:12" x14ac:dyDescent="0.25">
      <c r="G6652" s="136">
        <v>43630</v>
      </c>
      <c r="H6652" t="s">
        <v>196</v>
      </c>
      <c r="I6652" t="s">
        <v>171</v>
      </c>
      <c r="J6652" t="s">
        <v>601</v>
      </c>
      <c r="K6652" s="138">
        <v>97.37</v>
      </c>
      <c r="L6652" s="137">
        <v>0</v>
      </c>
    </row>
    <row r="6653" spans="7:12" x14ac:dyDescent="0.25">
      <c r="G6653" s="136">
        <v>43630</v>
      </c>
      <c r="H6653" t="s">
        <v>28</v>
      </c>
      <c r="I6653" t="s">
        <v>66</v>
      </c>
      <c r="J6653" t="s">
        <v>137</v>
      </c>
      <c r="K6653" s="138">
        <v>8.35</v>
      </c>
      <c r="L6653" s="137">
        <v>0</v>
      </c>
    </row>
    <row r="6654" spans="7:12" x14ac:dyDescent="0.25">
      <c r="G6654" s="136">
        <v>43630</v>
      </c>
      <c r="H6654" t="s">
        <v>28</v>
      </c>
      <c r="I6654" t="s">
        <v>66</v>
      </c>
      <c r="J6654" t="s">
        <v>104</v>
      </c>
      <c r="K6654" s="138">
        <v>2.4</v>
      </c>
      <c r="L6654" s="137">
        <v>0</v>
      </c>
    </row>
    <row r="6655" spans="7:12" x14ac:dyDescent="0.25">
      <c r="G6655" s="136">
        <v>43630</v>
      </c>
      <c r="H6655" t="s">
        <v>28</v>
      </c>
      <c r="I6655" t="s">
        <v>171</v>
      </c>
      <c r="J6655" t="s">
        <v>601</v>
      </c>
      <c r="K6655" s="138">
        <v>131</v>
      </c>
      <c r="L6655" s="137">
        <v>0</v>
      </c>
    </row>
    <row r="6656" spans="7:12" x14ac:dyDescent="0.25">
      <c r="G6656" s="136">
        <v>43630</v>
      </c>
      <c r="H6656" t="s">
        <v>28</v>
      </c>
      <c r="I6656" t="s">
        <v>171</v>
      </c>
      <c r="J6656" t="s">
        <v>601</v>
      </c>
      <c r="K6656" s="138">
        <v>28</v>
      </c>
      <c r="L6656" s="137">
        <v>0</v>
      </c>
    </row>
    <row r="6657" spans="7:12" x14ac:dyDescent="0.25">
      <c r="G6657" s="136">
        <v>43630</v>
      </c>
      <c r="H6657" t="s">
        <v>28</v>
      </c>
      <c r="I6657" t="s">
        <v>171</v>
      </c>
      <c r="J6657" t="s">
        <v>601</v>
      </c>
      <c r="K6657" s="138">
        <v>12</v>
      </c>
      <c r="L6657" s="137">
        <v>0</v>
      </c>
    </row>
    <row r="6658" spans="7:12" x14ac:dyDescent="0.25">
      <c r="G6658" s="136">
        <v>43631</v>
      </c>
      <c r="H6658" t="s">
        <v>27</v>
      </c>
      <c r="I6658" t="s">
        <v>63</v>
      </c>
      <c r="J6658" t="s">
        <v>602</v>
      </c>
      <c r="K6658" s="138">
        <v>8</v>
      </c>
      <c r="L6658" s="137">
        <v>0</v>
      </c>
    </row>
    <row r="6659" spans="7:12" x14ac:dyDescent="0.25">
      <c r="G6659" s="136">
        <v>43631</v>
      </c>
      <c r="H6659" t="s">
        <v>199</v>
      </c>
      <c r="I6659" t="s">
        <v>171</v>
      </c>
      <c r="J6659" t="s">
        <v>602</v>
      </c>
      <c r="K6659" s="138">
        <v>46.1</v>
      </c>
      <c r="L6659" s="137">
        <v>0</v>
      </c>
    </row>
    <row r="6660" spans="7:12" x14ac:dyDescent="0.25">
      <c r="G6660" s="136">
        <v>43631</v>
      </c>
      <c r="H6660" t="s">
        <v>193</v>
      </c>
      <c r="I6660" t="s">
        <v>163</v>
      </c>
      <c r="J6660" t="s">
        <v>602</v>
      </c>
      <c r="K6660" s="138">
        <v>19.38</v>
      </c>
      <c r="L6660" s="137">
        <v>0</v>
      </c>
    </row>
    <row r="6661" spans="7:12" x14ac:dyDescent="0.25">
      <c r="G6661" s="136">
        <v>43631</v>
      </c>
      <c r="H6661" t="s">
        <v>25</v>
      </c>
      <c r="I6661" t="s">
        <v>63</v>
      </c>
      <c r="J6661" t="s">
        <v>602</v>
      </c>
      <c r="K6661" s="138">
        <v>48</v>
      </c>
      <c r="L6661" s="137">
        <v>0</v>
      </c>
    </row>
    <row r="6662" spans="7:12" x14ac:dyDescent="0.25">
      <c r="G6662" s="136">
        <v>43631</v>
      </c>
      <c r="H6662" t="s">
        <v>25</v>
      </c>
      <c r="I6662" t="s">
        <v>63</v>
      </c>
      <c r="J6662" t="s">
        <v>602</v>
      </c>
      <c r="K6662" s="138">
        <v>40</v>
      </c>
      <c r="L6662" s="137">
        <v>0</v>
      </c>
    </row>
    <row r="6663" spans="7:12" x14ac:dyDescent="0.25">
      <c r="G6663" s="136">
        <v>43631</v>
      </c>
      <c r="H6663" t="s">
        <v>25</v>
      </c>
      <c r="I6663" t="s">
        <v>63</v>
      </c>
      <c r="J6663" t="s">
        <v>602</v>
      </c>
      <c r="K6663" s="138">
        <v>8</v>
      </c>
      <c r="L6663" s="137">
        <v>0</v>
      </c>
    </row>
    <row r="6664" spans="7:12" x14ac:dyDescent="0.25">
      <c r="G6664" s="136">
        <v>43631</v>
      </c>
      <c r="H6664" t="s">
        <v>25</v>
      </c>
      <c r="I6664" t="s">
        <v>171</v>
      </c>
      <c r="J6664" t="s">
        <v>602</v>
      </c>
      <c r="K6664" s="138">
        <v>432</v>
      </c>
      <c r="L6664" s="137">
        <v>0</v>
      </c>
    </row>
    <row r="6665" spans="7:12" x14ac:dyDescent="0.25">
      <c r="G6665" s="136">
        <v>43631</v>
      </c>
      <c r="H6665" t="s">
        <v>25</v>
      </c>
      <c r="I6665" t="s">
        <v>171</v>
      </c>
      <c r="J6665" t="s">
        <v>602</v>
      </c>
      <c r="K6665" s="138">
        <v>216</v>
      </c>
      <c r="L6665" s="137">
        <v>0</v>
      </c>
    </row>
    <row r="6666" spans="7:12" x14ac:dyDescent="0.25">
      <c r="G6666" s="136">
        <v>43631</v>
      </c>
      <c r="H6666" t="s">
        <v>187</v>
      </c>
      <c r="I6666" t="s">
        <v>171</v>
      </c>
      <c r="J6666" t="s">
        <v>602</v>
      </c>
      <c r="K6666" s="138">
        <v>212.87</v>
      </c>
      <c r="L6666" s="137">
        <v>0</v>
      </c>
    </row>
    <row r="6667" spans="7:12" x14ac:dyDescent="0.25">
      <c r="G6667" s="136">
        <v>43631</v>
      </c>
      <c r="H6667" t="s">
        <v>180</v>
      </c>
      <c r="I6667" t="s">
        <v>171</v>
      </c>
      <c r="J6667" t="s">
        <v>602</v>
      </c>
      <c r="K6667" s="138">
        <v>73.53</v>
      </c>
      <c r="L6667" s="137">
        <v>0</v>
      </c>
    </row>
    <row r="6668" spans="7:12" x14ac:dyDescent="0.25">
      <c r="G6668" s="136">
        <v>43631</v>
      </c>
      <c r="H6668" t="s">
        <v>28</v>
      </c>
      <c r="I6668" t="s">
        <v>171</v>
      </c>
      <c r="J6668" t="s">
        <v>602</v>
      </c>
      <c r="K6668" s="138">
        <v>359</v>
      </c>
      <c r="L6668" s="137">
        <v>0</v>
      </c>
    </row>
    <row r="6669" spans="7:12" x14ac:dyDescent="0.25">
      <c r="G6669" s="136">
        <v>43631</v>
      </c>
      <c r="H6669" t="s">
        <v>28</v>
      </c>
      <c r="I6669" t="s">
        <v>171</v>
      </c>
      <c r="J6669" t="s">
        <v>602</v>
      </c>
      <c r="K6669" s="138">
        <v>312</v>
      </c>
      <c r="L6669" s="137">
        <v>0</v>
      </c>
    </row>
    <row r="6670" spans="7:12" x14ac:dyDescent="0.25">
      <c r="G6670" s="136">
        <v>43631</v>
      </c>
      <c r="H6670" t="s">
        <v>28</v>
      </c>
      <c r="I6670" t="s">
        <v>171</v>
      </c>
      <c r="J6670" t="s">
        <v>602</v>
      </c>
      <c r="K6670" s="138">
        <v>12</v>
      </c>
      <c r="L6670" s="137">
        <v>0</v>
      </c>
    </row>
    <row r="6671" spans="7:12" x14ac:dyDescent="0.25">
      <c r="G6671" s="136">
        <v>43633</v>
      </c>
      <c r="H6671" t="s">
        <v>203</v>
      </c>
      <c r="I6671" t="s">
        <v>112</v>
      </c>
      <c r="J6671" t="s">
        <v>603</v>
      </c>
      <c r="K6671" s="138">
        <v>173.06</v>
      </c>
      <c r="L6671" s="137">
        <v>0</v>
      </c>
    </row>
    <row r="6672" spans="7:12" x14ac:dyDescent="0.25">
      <c r="G6672" s="136">
        <v>43633</v>
      </c>
      <c r="H6672" t="s">
        <v>203</v>
      </c>
      <c r="I6672" t="s">
        <v>155</v>
      </c>
      <c r="J6672" t="s">
        <v>603</v>
      </c>
      <c r="K6672" s="138">
        <v>157.21</v>
      </c>
      <c r="L6672" s="137">
        <v>0</v>
      </c>
    </row>
    <row r="6673" spans="7:12" x14ac:dyDescent="0.25">
      <c r="G6673" s="136">
        <v>43633</v>
      </c>
      <c r="H6673" t="s">
        <v>212</v>
      </c>
      <c r="I6673" t="s">
        <v>176</v>
      </c>
      <c r="J6673" t="s">
        <v>603</v>
      </c>
      <c r="K6673" s="138">
        <v>261.10000000000002</v>
      </c>
      <c r="L6673" s="137">
        <v>0</v>
      </c>
    </row>
    <row r="6674" spans="7:12" x14ac:dyDescent="0.25">
      <c r="G6674" s="136">
        <v>43633</v>
      </c>
      <c r="H6674" t="s">
        <v>188</v>
      </c>
      <c r="I6674" t="s">
        <v>112</v>
      </c>
      <c r="J6674" t="s">
        <v>603</v>
      </c>
      <c r="K6674" s="138">
        <v>57.86</v>
      </c>
      <c r="L6674" s="137">
        <v>0</v>
      </c>
    </row>
    <row r="6675" spans="7:12" x14ac:dyDescent="0.25">
      <c r="G6675" s="136">
        <v>43633</v>
      </c>
      <c r="H6675" t="s">
        <v>25</v>
      </c>
      <c r="I6675" t="s">
        <v>63</v>
      </c>
      <c r="J6675" t="s">
        <v>603</v>
      </c>
      <c r="K6675" s="138">
        <v>64</v>
      </c>
      <c r="L6675" s="137">
        <v>0</v>
      </c>
    </row>
    <row r="6676" spans="7:12" x14ac:dyDescent="0.25">
      <c r="G6676" s="136">
        <v>43633</v>
      </c>
      <c r="H6676" t="s">
        <v>25</v>
      </c>
      <c r="I6676" t="s">
        <v>63</v>
      </c>
      <c r="J6676" t="s">
        <v>603</v>
      </c>
      <c r="K6676" s="138">
        <v>24</v>
      </c>
      <c r="L6676" s="137">
        <v>0</v>
      </c>
    </row>
    <row r="6677" spans="7:12" x14ac:dyDescent="0.25">
      <c r="G6677" s="136">
        <v>43633</v>
      </c>
      <c r="H6677" t="s">
        <v>201</v>
      </c>
      <c r="I6677" t="s">
        <v>155</v>
      </c>
      <c r="J6677" t="s">
        <v>603</v>
      </c>
      <c r="K6677" s="138">
        <v>27</v>
      </c>
      <c r="L6677" s="137">
        <v>0</v>
      </c>
    </row>
    <row r="6678" spans="7:12" x14ac:dyDescent="0.25">
      <c r="G6678" s="136">
        <v>43633</v>
      </c>
      <c r="H6678" t="s">
        <v>181</v>
      </c>
      <c r="I6678" t="s">
        <v>176</v>
      </c>
      <c r="J6678" t="s">
        <v>603</v>
      </c>
      <c r="K6678" s="138">
        <v>56.16</v>
      </c>
      <c r="L6678" s="137">
        <v>0</v>
      </c>
    </row>
    <row r="6679" spans="7:12" x14ac:dyDescent="0.25">
      <c r="G6679" s="136">
        <v>43633</v>
      </c>
      <c r="H6679" t="s">
        <v>196</v>
      </c>
      <c r="I6679" t="s">
        <v>112</v>
      </c>
      <c r="J6679" t="s">
        <v>603</v>
      </c>
      <c r="K6679" s="138">
        <v>153.63999999999999</v>
      </c>
      <c r="L6679" s="137">
        <v>0</v>
      </c>
    </row>
    <row r="6680" spans="7:12" x14ac:dyDescent="0.25">
      <c r="G6680" s="136">
        <v>43633</v>
      </c>
      <c r="H6680" t="s">
        <v>28</v>
      </c>
      <c r="I6680" t="s">
        <v>112</v>
      </c>
      <c r="J6680" t="s">
        <v>603</v>
      </c>
      <c r="K6680" s="138">
        <v>138.56</v>
      </c>
      <c r="L6680" s="137">
        <v>0</v>
      </c>
    </row>
    <row r="6681" spans="7:12" x14ac:dyDescent="0.25">
      <c r="G6681" s="136">
        <v>43633</v>
      </c>
      <c r="H6681" t="s">
        <v>28</v>
      </c>
      <c r="I6681" t="s">
        <v>112</v>
      </c>
      <c r="J6681" t="s">
        <v>603</v>
      </c>
      <c r="K6681" s="138">
        <v>100.96</v>
      </c>
      <c r="L6681" s="137">
        <v>0</v>
      </c>
    </row>
    <row r="6682" spans="7:12" x14ac:dyDescent="0.25">
      <c r="G6682" s="136">
        <v>43633</v>
      </c>
      <c r="H6682" t="s">
        <v>28</v>
      </c>
      <c r="I6682" t="s">
        <v>112</v>
      </c>
      <c r="J6682" t="s">
        <v>603</v>
      </c>
      <c r="K6682" s="138">
        <v>47.98</v>
      </c>
      <c r="L6682" s="137">
        <v>0</v>
      </c>
    </row>
    <row r="6683" spans="7:12" x14ac:dyDescent="0.25">
      <c r="G6683" s="136">
        <v>43633</v>
      </c>
      <c r="H6683" t="s">
        <v>28</v>
      </c>
      <c r="I6683" t="s">
        <v>112</v>
      </c>
      <c r="J6683" t="s">
        <v>603</v>
      </c>
      <c r="K6683" s="138">
        <v>22.07</v>
      </c>
      <c r="L6683" s="137">
        <v>0</v>
      </c>
    </row>
    <row r="6684" spans="7:12" x14ac:dyDescent="0.25">
      <c r="G6684" s="136">
        <v>43633</v>
      </c>
      <c r="H6684" t="s">
        <v>28</v>
      </c>
      <c r="I6684" t="s">
        <v>112</v>
      </c>
      <c r="J6684" t="s">
        <v>603</v>
      </c>
      <c r="K6684" s="138">
        <v>10.91</v>
      </c>
      <c r="L6684" s="137">
        <v>0</v>
      </c>
    </row>
    <row r="6685" spans="7:12" x14ac:dyDescent="0.25">
      <c r="G6685" s="136">
        <v>43633</v>
      </c>
      <c r="H6685" t="s">
        <v>28</v>
      </c>
      <c r="I6685" t="s">
        <v>155</v>
      </c>
      <c r="J6685" t="s">
        <v>603</v>
      </c>
      <c r="K6685" s="138">
        <v>140.03</v>
      </c>
      <c r="L6685" s="137">
        <v>0</v>
      </c>
    </row>
    <row r="6686" spans="7:12" x14ac:dyDescent="0.25">
      <c r="G6686" s="136">
        <v>43633</v>
      </c>
      <c r="H6686" t="s">
        <v>28</v>
      </c>
      <c r="I6686" t="s">
        <v>155</v>
      </c>
      <c r="J6686" t="s">
        <v>603</v>
      </c>
      <c r="K6686" s="138">
        <v>112</v>
      </c>
      <c r="L6686" s="137">
        <v>0</v>
      </c>
    </row>
    <row r="6687" spans="7:12" x14ac:dyDescent="0.25">
      <c r="G6687" s="136">
        <v>43633</v>
      </c>
      <c r="H6687" t="s">
        <v>28</v>
      </c>
      <c r="I6687" t="s">
        <v>155</v>
      </c>
      <c r="J6687" t="s">
        <v>603</v>
      </c>
      <c r="K6687" s="138">
        <v>82.43</v>
      </c>
      <c r="L6687" s="137">
        <v>0</v>
      </c>
    </row>
    <row r="6688" spans="7:12" x14ac:dyDescent="0.25">
      <c r="G6688" s="136">
        <v>43633</v>
      </c>
      <c r="H6688" t="s">
        <v>28</v>
      </c>
      <c r="I6688" t="s">
        <v>155</v>
      </c>
      <c r="J6688" t="s">
        <v>603</v>
      </c>
      <c r="K6688" s="138">
        <v>79.55</v>
      </c>
      <c r="L6688" s="137">
        <v>0</v>
      </c>
    </row>
    <row r="6689" spans="7:12" x14ac:dyDescent="0.25">
      <c r="G6689" s="136">
        <v>43633</v>
      </c>
      <c r="H6689" t="s">
        <v>28</v>
      </c>
      <c r="I6689" t="s">
        <v>155</v>
      </c>
      <c r="J6689" t="s">
        <v>603</v>
      </c>
      <c r="K6689" s="138">
        <v>78</v>
      </c>
      <c r="L6689" s="137">
        <v>0</v>
      </c>
    </row>
    <row r="6690" spans="7:12" x14ac:dyDescent="0.25">
      <c r="G6690" s="136">
        <v>43633</v>
      </c>
      <c r="H6690" t="s">
        <v>28</v>
      </c>
      <c r="I6690" t="s">
        <v>155</v>
      </c>
      <c r="J6690" t="s">
        <v>603</v>
      </c>
      <c r="K6690" s="138">
        <v>73.510000000000005</v>
      </c>
      <c r="L6690" s="137">
        <v>0</v>
      </c>
    </row>
    <row r="6691" spans="7:12" x14ac:dyDescent="0.25">
      <c r="G6691" s="136">
        <v>43633</v>
      </c>
      <c r="H6691" t="s">
        <v>28</v>
      </c>
      <c r="I6691" t="s">
        <v>155</v>
      </c>
      <c r="J6691" t="s">
        <v>603</v>
      </c>
      <c r="K6691" s="138">
        <v>46.97</v>
      </c>
      <c r="L6691" s="137">
        <v>0</v>
      </c>
    </row>
    <row r="6692" spans="7:12" x14ac:dyDescent="0.25">
      <c r="G6692" s="136">
        <v>43633</v>
      </c>
      <c r="H6692" t="s">
        <v>28</v>
      </c>
      <c r="I6692" t="s">
        <v>155</v>
      </c>
      <c r="J6692" t="s">
        <v>603</v>
      </c>
      <c r="K6692" s="138">
        <v>41.83</v>
      </c>
      <c r="L6692" s="137">
        <v>0</v>
      </c>
    </row>
    <row r="6693" spans="7:12" x14ac:dyDescent="0.25">
      <c r="G6693" s="136">
        <v>43633</v>
      </c>
      <c r="H6693" t="s">
        <v>28</v>
      </c>
      <c r="I6693" t="s">
        <v>155</v>
      </c>
      <c r="J6693" t="s">
        <v>603</v>
      </c>
      <c r="K6693" s="138">
        <v>35.06</v>
      </c>
      <c r="L6693" s="137">
        <v>0</v>
      </c>
    </row>
    <row r="6694" spans="7:12" x14ac:dyDescent="0.25">
      <c r="G6694" s="136">
        <v>43633</v>
      </c>
      <c r="H6694" t="s">
        <v>28</v>
      </c>
      <c r="I6694" t="s">
        <v>155</v>
      </c>
      <c r="J6694" t="s">
        <v>603</v>
      </c>
      <c r="K6694" s="138">
        <v>33.25</v>
      </c>
      <c r="L6694" s="137">
        <v>0</v>
      </c>
    </row>
    <row r="6695" spans="7:12" x14ac:dyDescent="0.25">
      <c r="G6695" s="136">
        <v>43633</v>
      </c>
      <c r="H6695" t="s">
        <v>28</v>
      </c>
      <c r="I6695" t="s">
        <v>155</v>
      </c>
      <c r="J6695" t="s">
        <v>603</v>
      </c>
      <c r="K6695" s="138">
        <v>20.85</v>
      </c>
      <c r="L6695" s="137">
        <v>0</v>
      </c>
    </row>
    <row r="6696" spans="7:12" x14ac:dyDescent="0.25">
      <c r="G6696" s="136">
        <v>43633</v>
      </c>
      <c r="H6696" t="s">
        <v>28</v>
      </c>
      <c r="I6696" t="s">
        <v>155</v>
      </c>
      <c r="J6696" t="s">
        <v>603</v>
      </c>
      <c r="K6696" s="138">
        <v>7.1</v>
      </c>
      <c r="L6696" s="137">
        <v>0</v>
      </c>
    </row>
    <row r="6697" spans="7:12" x14ac:dyDescent="0.25">
      <c r="G6697" s="136">
        <v>43633</v>
      </c>
      <c r="H6697" t="s">
        <v>28</v>
      </c>
      <c r="I6697" t="s">
        <v>66</v>
      </c>
      <c r="J6697" t="s">
        <v>120</v>
      </c>
      <c r="K6697" s="138">
        <v>4.2</v>
      </c>
      <c r="L6697" s="137">
        <v>0</v>
      </c>
    </row>
    <row r="6698" spans="7:12" x14ac:dyDescent="0.25">
      <c r="G6698" s="136">
        <v>43633</v>
      </c>
      <c r="H6698" t="s">
        <v>28</v>
      </c>
      <c r="I6698" t="s">
        <v>66</v>
      </c>
      <c r="J6698" t="s">
        <v>139</v>
      </c>
      <c r="K6698" s="138">
        <v>18</v>
      </c>
      <c r="L6698" s="137">
        <v>0</v>
      </c>
    </row>
    <row r="6699" spans="7:12" x14ac:dyDescent="0.25">
      <c r="G6699" s="136">
        <v>43634</v>
      </c>
      <c r="H6699" t="s">
        <v>192</v>
      </c>
      <c r="I6699" t="s">
        <v>163</v>
      </c>
      <c r="J6699" t="s">
        <v>604</v>
      </c>
      <c r="K6699" s="138">
        <v>37.68</v>
      </c>
      <c r="L6699" s="137">
        <v>0</v>
      </c>
    </row>
    <row r="6700" spans="7:12" x14ac:dyDescent="0.25">
      <c r="G6700" s="136">
        <v>43634</v>
      </c>
      <c r="H6700" t="s">
        <v>212</v>
      </c>
      <c r="I6700" t="s">
        <v>176</v>
      </c>
      <c r="J6700" t="s">
        <v>604</v>
      </c>
      <c r="K6700" s="138">
        <v>417.29</v>
      </c>
      <c r="L6700" s="137">
        <v>0</v>
      </c>
    </row>
    <row r="6701" spans="7:12" x14ac:dyDescent="0.25">
      <c r="G6701" s="136">
        <v>43634</v>
      </c>
      <c r="H6701" t="s">
        <v>183</v>
      </c>
      <c r="I6701" t="s">
        <v>171</v>
      </c>
      <c r="J6701" t="s">
        <v>604</v>
      </c>
      <c r="K6701" s="138">
        <v>3.13</v>
      </c>
      <c r="L6701" s="137">
        <v>0</v>
      </c>
    </row>
    <row r="6702" spans="7:12" x14ac:dyDescent="0.25">
      <c r="G6702" s="136">
        <v>43634</v>
      </c>
      <c r="H6702" t="s">
        <v>213</v>
      </c>
      <c r="I6702" t="s">
        <v>176</v>
      </c>
      <c r="J6702" t="s">
        <v>604</v>
      </c>
      <c r="K6702" s="138">
        <v>2723.68</v>
      </c>
      <c r="L6702" s="137">
        <v>0</v>
      </c>
    </row>
    <row r="6703" spans="7:12" x14ac:dyDescent="0.25">
      <c r="G6703" s="136">
        <v>43634</v>
      </c>
      <c r="H6703" t="s">
        <v>200</v>
      </c>
      <c r="I6703" t="s">
        <v>163</v>
      </c>
      <c r="J6703" t="s">
        <v>604</v>
      </c>
      <c r="K6703" s="138">
        <v>111.79</v>
      </c>
      <c r="L6703" s="137">
        <v>0</v>
      </c>
    </row>
    <row r="6704" spans="7:12" x14ac:dyDescent="0.25">
      <c r="G6704" s="136">
        <v>43634</v>
      </c>
      <c r="H6704" t="s">
        <v>25</v>
      </c>
      <c r="I6704" t="s">
        <v>63</v>
      </c>
      <c r="J6704" t="s">
        <v>604</v>
      </c>
      <c r="K6704" s="138">
        <v>40</v>
      </c>
      <c r="L6704" s="137">
        <v>0</v>
      </c>
    </row>
    <row r="6705" spans="7:12" x14ac:dyDescent="0.25">
      <c r="G6705" s="136">
        <v>43634</v>
      </c>
      <c r="H6705" t="s">
        <v>25</v>
      </c>
      <c r="I6705" t="s">
        <v>63</v>
      </c>
      <c r="J6705" t="s">
        <v>604</v>
      </c>
      <c r="K6705" s="138">
        <v>32</v>
      </c>
      <c r="L6705" s="137">
        <v>0</v>
      </c>
    </row>
    <row r="6706" spans="7:12" x14ac:dyDescent="0.25">
      <c r="G6706" s="136">
        <v>43634</v>
      </c>
      <c r="H6706" t="s">
        <v>25</v>
      </c>
      <c r="I6706" t="s">
        <v>63</v>
      </c>
      <c r="J6706" t="s">
        <v>604</v>
      </c>
      <c r="K6706" s="138">
        <v>24</v>
      </c>
      <c r="L6706" s="137">
        <v>0</v>
      </c>
    </row>
    <row r="6707" spans="7:12" x14ac:dyDescent="0.25">
      <c r="G6707" s="136">
        <v>43634</v>
      </c>
      <c r="H6707" t="s">
        <v>25</v>
      </c>
      <c r="I6707" t="s">
        <v>63</v>
      </c>
      <c r="J6707" t="s">
        <v>604</v>
      </c>
      <c r="K6707" s="138">
        <v>16</v>
      </c>
      <c r="L6707" s="137">
        <v>0</v>
      </c>
    </row>
    <row r="6708" spans="7:12" x14ac:dyDescent="0.25">
      <c r="G6708" s="136">
        <v>43634</v>
      </c>
      <c r="H6708" t="s">
        <v>25</v>
      </c>
      <c r="I6708" t="s">
        <v>63</v>
      </c>
      <c r="J6708" t="s">
        <v>604</v>
      </c>
      <c r="K6708" s="138">
        <v>8</v>
      </c>
      <c r="L6708" s="137">
        <v>0</v>
      </c>
    </row>
    <row r="6709" spans="7:12" x14ac:dyDescent="0.25">
      <c r="G6709" s="136">
        <v>43634</v>
      </c>
      <c r="H6709" t="s">
        <v>187</v>
      </c>
      <c r="I6709" t="s">
        <v>171</v>
      </c>
      <c r="J6709" t="s">
        <v>604</v>
      </c>
      <c r="K6709" s="138">
        <v>39</v>
      </c>
      <c r="L6709" s="137">
        <v>0</v>
      </c>
    </row>
    <row r="6710" spans="7:12" x14ac:dyDescent="0.25">
      <c r="G6710" s="136">
        <v>43634</v>
      </c>
      <c r="H6710" t="s">
        <v>28</v>
      </c>
      <c r="I6710" t="s">
        <v>63</v>
      </c>
      <c r="J6710" t="s">
        <v>604</v>
      </c>
      <c r="K6710" s="138">
        <v>8</v>
      </c>
      <c r="L6710" s="137">
        <v>0</v>
      </c>
    </row>
    <row r="6711" spans="7:12" x14ac:dyDescent="0.25">
      <c r="G6711" s="136">
        <v>43634</v>
      </c>
      <c r="H6711" t="s">
        <v>28</v>
      </c>
      <c r="I6711" t="s">
        <v>163</v>
      </c>
      <c r="J6711" t="s">
        <v>604</v>
      </c>
      <c r="K6711" s="138">
        <v>25</v>
      </c>
      <c r="L6711" s="137">
        <v>0</v>
      </c>
    </row>
    <row r="6712" spans="7:12" x14ac:dyDescent="0.25">
      <c r="G6712" s="136">
        <v>43634</v>
      </c>
      <c r="H6712" t="s">
        <v>28</v>
      </c>
      <c r="I6712" t="s">
        <v>66</v>
      </c>
      <c r="J6712" t="s">
        <v>124</v>
      </c>
      <c r="K6712" s="138">
        <v>3.15</v>
      </c>
      <c r="L6712" s="137">
        <v>0</v>
      </c>
    </row>
    <row r="6713" spans="7:12" x14ac:dyDescent="0.25">
      <c r="G6713" s="136">
        <v>43634</v>
      </c>
      <c r="H6713" t="s">
        <v>28</v>
      </c>
      <c r="I6713" t="s">
        <v>66</v>
      </c>
      <c r="J6713" t="s">
        <v>378</v>
      </c>
      <c r="K6713" s="138">
        <v>9.5500000000000007</v>
      </c>
      <c r="L6713" s="137">
        <v>0</v>
      </c>
    </row>
    <row r="6714" spans="7:12" x14ac:dyDescent="0.25">
      <c r="G6714" s="136">
        <v>43634</v>
      </c>
      <c r="H6714" t="s">
        <v>28</v>
      </c>
      <c r="I6714" t="s">
        <v>66</v>
      </c>
      <c r="J6714" t="s">
        <v>140</v>
      </c>
      <c r="K6714" s="138">
        <v>23.25</v>
      </c>
      <c r="L6714" s="137">
        <v>0</v>
      </c>
    </row>
    <row r="6715" spans="7:12" x14ac:dyDescent="0.25">
      <c r="G6715" s="136">
        <v>43634</v>
      </c>
      <c r="H6715" t="s">
        <v>28</v>
      </c>
      <c r="I6715" t="s">
        <v>66</v>
      </c>
      <c r="J6715" t="s">
        <v>115</v>
      </c>
      <c r="K6715" s="138">
        <v>12</v>
      </c>
      <c r="L6715" s="137">
        <v>0</v>
      </c>
    </row>
    <row r="6716" spans="7:12" x14ac:dyDescent="0.25">
      <c r="G6716" s="136">
        <v>43634</v>
      </c>
      <c r="H6716" t="s">
        <v>28</v>
      </c>
      <c r="I6716" t="s">
        <v>171</v>
      </c>
      <c r="J6716" t="s">
        <v>604</v>
      </c>
      <c r="K6716" s="138">
        <v>12</v>
      </c>
      <c r="L6716" s="137">
        <v>0</v>
      </c>
    </row>
    <row r="6717" spans="7:12" x14ac:dyDescent="0.25">
      <c r="G6717" s="136">
        <v>43635</v>
      </c>
      <c r="H6717" t="s">
        <v>199</v>
      </c>
      <c r="I6717" t="s">
        <v>171</v>
      </c>
      <c r="J6717" t="s">
        <v>605</v>
      </c>
      <c r="K6717" s="138">
        <v>18.149999999999999</v>
      </c>
      <c r="L6717" s="137">
        <v>0</v>
      </c>
    </row>
    <row r="6718" spans="7:12" x14ac:dyDescent="0.25">
      <c r="G6718" s="136">
        <v>43635</v>
      </c>
      <c r="H6718" t="s">
        <v>193</v>
      </c>
      <c r="I6718" t="s">
        <v>163</v>
      </c>
      <c r="J6718" t="s">
        <v>605</v>
      </c>
      <c r="K6718" s="138">
        <v>505.25</v>
      </c>
      <c r="L6718" s="137">
        <v>0</v>
      </c>
    </row>
    <row r="6719" spans="7:12" x14ac:dyDescent="0.25">
      <c r="G6719" s="136">
        <v>43635</v>
      </c>
      <c r="H6719" t="s">
        <v>25</v>
      </c>
      <c r="I6719" t="s">
        <v>63</v>
      </c>
      <c r="J6719" t="s">
        <v>605</v>
      </c>
      <c r="K6719" s="138">
        <v>80</v>
      </c>
      <c r="L6719" s="137">
        <v>0</v>
      </c>
    </row>
    <row r="6720" spans="7:12" x14ac:dyDescent="0.25">
      <c r="G6720" s="136">
        <v>43635</v>
      </c>
      <c r="H6720" t="s">
        <v>25</v>
      </c>
      <c r="I6720" t="s">
        <v>63</v>
      </c>
      <c r="J6720" t="s">
        <v>605</v>
      </c>
      <c r="K6720" s="138">
        <v>56</v>
      </c>
      <c r="L6720" s="137">
        <v>0</v>
      </c>
    </row>
    <row r="6721" spans="7:12" x14ac:dyDescent="0.25">
      <c r="G6721" s="136">
        <v>43635</v>
      </c>
      <c r="H6721" t="s">
        <v>25</v>
      </c>
      <c r="I6721" t="s">
        <v>63</v>
      </c>
      <c r="J6721" t="s">
        <v>605</v>
      </c>
      <c r="K6721" s="138">
        <v>24</v>
      </c>
      <c r="L6721" s="137">
        <v>0</v>
      </c>
    </row>
    <row r="6722" spans="7:12" x14ac:dyDescent="0.25">
      <c r="G6722" s="136">
        <v>43635</v>
      </c>
      <c r="H6722" t="s">
        <v>25</v>
      </c>
      <c r="I6722" t="s">
        <v>63</v>
      </c>
      <c r="J6722" t="s">
        <v>605</v>
      </c>
      <c r="K6722" s="138">
        <v>16</v>
      </c>
      <c r="L6722" s="137">
        <v>0</v>
      </c>
    </row>
    <row r="6723" spans="7:12" x14ac:dyDescent="0.25">
      <c r="G6723" s="136">
        <v>43635</v>
      </c>
      <c r="H6723" t="s">
        <v>25</v>
      </c>
      <c r="I6723" t="s">
        <v>63</v>
      </c>
      <c r="J6723" t="s">
        <v>605</v>
      </c>
      <c r="K6723" s="138">
        <v>8</v>
      </c>
      <c r="L6723" s="137">
        <v>0</v>
      </c>
    </row>
    <row r="6724" spans="7:12" x14ac:dyDescent="0.25">
      <c r="G6724" s="136">
        <v>43635</v>
      </c>
      <c r="H6724" t="s">
        <v>187</v>
      </c>
      <c r="I6724" t="s">
        <v>171</v>
      </c>
      <c r="J6724" t="s">
        <v>605</v>
      </c>
      <c r="K6724" s="138">
        <v>41</v>
      </c>
      <c r="L6724" s="137">
        <v>0</v>
      </c>
    </row>
    <row r="6725" spans="7:12" x14ac:dyDescent="0.25">
      <c r="G6725" s="136">
        <v>43635</v>
      </c>
      <c r="H6725" t="s">
        <v>196</v>
      </c>
      <c r="I6725" t="s">
        <v>42</v>
      </c>
      <c r="J6725" t="s">
        <v>605</v>
      </c>
      <c r="K6725" s="138">
        <v>130.16999999999999</v>
      </c>
      <c r="L6725" s="137">
        <v>0</v>
      </c>
    </row>
    <row r="6726" spans="7:12" x14ac:dyDescent="0.25">
      <c r="G6726" s="136">
        <v>43635</v>
      </c>
      <c r="H6726" t="s">
        <v>28</v>
      </c>
      <c r="I6726" t="s">
        <v>66</v>
      </c>
      <c r="J6726" t="s">
        <v>111</v>
      </c>
      <c r="K6726" s="138">
        <v>7.6</v>
      </c>
      <c r="L6726" s="137">
        <v>0</v>
      </c>
    </row>
    <row r="6727" spans="7:12" x14ac:dyDescent="0.25">
      <c r="G6727" s="136">
        <v>43635</v>
      </c>
      <c r="H6727" t="s">
        <v>28</v>
      </c>
      <c r="I6727" t="s">
        <v>66</v>
      </c>
      <c r="J6727" t="s">
        <v>139</v>
      </c>
      <c r="K6727" s="138">
        <v>24</v>
      </c>
      <c r="L6727" s="137">
        <v>0</v>
      </c>
    </row>
    <row r="6728" spans="7:12" x14ac:dyDescent="0.25">
      <c r="G6728" s="136">
        <v>43635</v>
      </c>
      <c r="H6728" t="s">
        <v>28</v>
      </c>
      <c r="I6728" t="s">
        <v>66</v>
      </c>
      <c r="J6728" t="s">
        <v>100</v>
      </c>
      <c r="K6728" s="138">
        <v>2.4</v>
      </c>
      <c r="L6728" s="137">
        <v>0</v>
      </c>
    </row>
    <row r="6729" spans="7:12" x14ac:dyDescent="0.25">
      <c r="G6729" s="136">
        <v>43635</v>
      </c>
      <c r="H6729" t="s">
        <v>28</v>
      </c>
      <c r="I6729" t="s">
        <v>66</v>
      </c>
      <c r="J6729" t="s">
        <v>105</v>
      </c>
      <c r="K6729" s="138">
        <v>22.5</v>
      </c>
      <c r="L6729" s="137">
        <v>0</v>
      </c>
    </row>
    <row r="6730" spans="7:12" x14ac:dyDescent="0.25">
      <c r="G6730" s="136">
        <v>43635</v>
      </c>
      <c r="H6730" t="s">
        <v>28</v>
      </c>
      <c r="I6730" t="s">
        <v>66</v>
      </c>
      <c r="J6730" t="s">
        <v>276</v>
      </c>
      <c r="K6730" s="138">
        <v>3</v>
      </c>
      <c r="L6730" s="137">
        <v>0</v>
      </c>
    </row>
    <row r="6731" spans="7:12" x14ac:dyDescent="0.25">
      <c r="G6731" s="136">
        <v>43636</v>
      </c>
      <c r="H6731" t="s">
        <v>204</v>
      </c>
      <c r="I6731" t="s">
        <v>176</v>
      </c>
      <c r="J6731" t="s">
        <v>606</v>
      </c>
      <c r="K6731" s="138">
        <v>150.44999999999999</v>
      </c>
      <c r="L6731" s="137">
        <v>0</v>
      </c>
    </row>
    <row r="6732" spans="7:12" x14ac:dyDescent="0.25">
      <c r="G6732" s="136">
        <v>43636</v>
      </c>
      <c r="H6732" t="s">
        <v>192</v>
      </c>
      <c r="I6732" t="s">
        <v>176</v>
      </c>
      <c r="J6732" t="s">
        <v>606</v>
      </c>
      <c r="K6732" s="138">
        <v>395.2</v>
      </c>
      <c r="L6732" s="137">
        <v>0</v>
      </c>
    </row>
    <row r="6733" spans="7:12" x14ac:dyDescent="0.25">
      <c r="G6733" s="136">
        <v>43636</v>
      </c>
      <c r="H6733" t="s">
        <v>27</v>
      </c>
      <c r="I6733" t="s">
        <v>63</v>
      </c>
      <c r="J6733" t="s">
        <v>606</v>
      </c>
      <c r="K6733" s="138">
        <v>8</v>
      </c>
      <c r="L6733" s="137">
        <v>0</v>
      </c>
    </row>
    <row r="6734" spans="7:12" x14ac:dyDescent="0.25">
      <c r="G6734" s="136">
        <v>43636</v>
      </c>
      <c r="H6734" t="s">
        <v>183</v>
      </c>
      <c r="I6734" t="s">
        <v>171</v>
      </c>
      <c r="J6734" t="s">
        <v>606</v>
      </c>
      <c r="K6734" s="138">
        <v>4.25</v>
      </c>
      <c r="L6734" s="137">
        <v>0</v>
      </c>
    </row>
    <row r="6735" spans="7:12" x14ac:dyDescent="0.25">
      <c r="G6735" s="136">
        <v>43636</v>
      </c>
      <c r="H6735" t="s">
        <v>208</v>
      </c>
      <c r="I6735" t="s">
        <v>171</v>
      </c>
      <c r="J6735" t="s">
        <v>606</v>
      </c>
      <c r="K6735" s="138">
        <v>260</v>
      </c>
      <c r="L6735" s="137">
        <v>0</v>
      </c>
    </row>
    <row r="6736" spans="7:12" x14ac:dyDescent="0.25">
      <c r="G6736" s="136">
        <v>43636</v>
      </c>
      <c r="H6736" t="s">
        <v>191</v>
      </c>
      <c r="I6736" t="s">
        <v>163</v>
      </c>
      <c r="J6736" t="s">
        <v>606</v>
      </c>
      <c r="K6736" s="138">
        <v>28</v>
      </c>
      <c r="L6736" s="137">
        <v>0</v>
      </c>
    </row>
    <row r="6737" spans="7:12" x14ac:dyDescent="0.25">
      <c r="G6737" s="136">
        <v>43636</v>
      </c>
      <c r="H6737" t="s">
        <v>210</v>
      </c>
      <c r="I6737" t="s">
        <v>176</v>
      </c>
      <c r="J6737" t="s">
        <v>606</v>
      </c>
      <c r="K6737" s="138">
        <v>4902.58</v>
      </c>
      <c r="L6737" s="137">
        <v>0</v>
      </c>
    </row>
    <row r="6738" spans="7:12" x14ac:dyDescent="0.25">
      <c r="G6738" s="136">
        <v>43636</v>
      </c>
      <c r="H6738" t="s">
        <v>188</v>
      </c>
      <c r="I6738" t="s">
        <v>112</v>
      </c>
      <c r="J6738" t="s">
        <v>606</v>
      </c>
      <c r="K6738" s="138">
        <v>105.34</v>
      </c>
      <c r="L6738" s="137">
        <v>0</v>
      </c>
    </row>
    <row r="6739" spans="7:12" x14ac:dyDescent="0.25">
      <c r="G6739" s="136">
        <v>43636</v>
      </c>
      <c r="H6739" t="s">
        <v>25</v>
      </c>
      <c r="I6739" t="s">
        <v>63</v>
      </c>
      <c r="J6739" t="s">
        <v>606</v>
      </c>
      <c r="K6739" s="138">
        <v>16</v>
      </c>
      <c r="L6739" s="137">
        <v>0</v>
      </c>
    </row>
    <row r="6740" spans="7:12" x14ac:dyDescent="0.25">
      <c r="G6740" s="136">
        <v>43636</v>
      </c>
      <c r="H6740" t="s">
        <v>25</v>
      </c>
      <c r="I6740" t="s">
        <v>63</v>
      </c>
      <c r="J6740" t="s">
        <v>606</v>
      </c>
      <c r="K6740" s="138">
        <v>8</v>
      </c>
      <c r="L6740" s="137">
        <v>0</v>
      </c>
    </row>
    <row r="6741" spans="7:12" x14ac:dyDescent="0.25">
      <c r="G6741" s="136">
        <v>43636</v>
      </c>
      <c r="H6741" t="s">
        <v>207</v>
      </c>
      <c r="I6741" t="s">
        <v>176</v>
      </c>
      <c r="J6741" t="s">
        <v>606</v>
      </c>
      <c r="K6741" s="138">
        <v>4.5999999999999996</v>
      </c>
      <c r="L6741" s="137">
        <v>0</v>
      </c>
    </row>
    <row r="6742" spans="7:12" x14ac:dyDescent="0.25">
      <c r="G6742" s="136">
        <v>43636</v>
      </c>
      <c r="H6742" t="s">
        <v>181</v>
      </c>
      <c r="I6742" t="s">
        <v>176</v>
      </c>
      <c r="J6742" t="s">
        <v>606</v>
      </c>
      <c r="K6742" s="138">
        <v>368.12</v>
      </c>
      <c r="L6742" s="137">
        <v>0</v>
      </c>
    </row>
    <row r="6743" spans="7:12" x14ac:dyDescent="0.25">
      <c r="G6743" s="136">
        <v>43636</v>
      </c>
      <c r="H6743" t="s">
        <v>180</v>
      </c>
      <c r="I6743" t="s">
        <v>176</v>
      </c>
      <c r="J6743" t="s">
        <v>606</v>
      </c>
      <c r="K6743" s="138">
        <v>187.45</v>
      </c>
      <c r="L6743" s="137">
        <v>0</v>
      </c>
    </row>
    <row r="6744" spans="7:12" x14ac:dyDescent="0.25">
      <c r="G6744" s="136">
        <v>43636</v>
      </c>
      <c r="H6744" t="s">
        <v>179</v>
      </c>
      <c r="I6744" t="s">
        <v>176</v>
      </c>
      <c r="J6744" t="s">
        <v>606</v>
      </c>
      <c r="K6744" s="138">
        <v>743.3</v>
      </c>
      <c r="L6744" s="137">
        <v>0</v>
      </c>
    </row>
    <row r="6745" spans="7:12" x14ac:dyDescent="0.25">
      <c r="G6745" s="136">
        <v>43636</v>
      </c>
      <c r="H6745" t="s">
        <v>28</v>
      </c>
      <c r="I6745" t="s">
        <v>178</v>
      </c>
      <c r="J6745" t="s">
        <v>606</v>
      </c>
      <c r="K6745" s="138">
        <v>23</v>
      </c>
      <c r="L6745" s="137">
        <v>0</v>
      </c>
    </row>
    <row r="6746" spans="7:12" x14ac:dyDescent="0.25">
      <c r="G6746" s="136">
        <v>43636</v>
      </c>
      <c r="H6746" t="s">
        <v>28</v>
      </c>
      <c r="I6746" t="s">
        <v>112</v>
      </c>
      <c r="J6746" t="s">
        <v>606</v>
      </c>
      <c r="K6746" s="138">
        <v>17.989999999999998</v>
      </c>
      <c r="L6746" s="137">
        <v>0</v>
      </c>
    </row>
    <row r="6747" spans="7:12" x14ac:dyDescent="0.25">
      <c r="G6747" s="136">
        <v>43636</v>
      </c>
      <c r="H6747" t="s">
        <v>28</v>
      </c>
      <c r="I6747" t="s">
        <v>155</v>
      </c>
      <c r="J6747" t="s">
        <v>606</v>
      </c>
      <c r="K6747" s="138">
        <v>84.51</v>
      </c>
      <c r="L6747" s="137">
        <v>0</v>
      </c>
    </row>
    <row r="6748" spans="7:12" x14ac:dyDescent="0.25">
      <c r="G6748" s="136">
        <v>43636</v>
      </c>
      <c r="H6748" t="s">
        <v>28</v>
      </c>
      <c r="I6748" t="s">
        <v>155</v>
      </c>
      <c r="J6748" t="s">
        <v>606</v>
      </c>
      <c r="K6748" s="138">
        <v>40.130000000000003</v>
      </c>
      <c r="L6748" s="137">
        <v>0</v>
      </c>
    </row>
    <row r="6749" spans="7:12" x14ac:dyDescent="0.25">
      <c r="G6749" s="136">
        <v>43636</v>
      </c>
      <c r="H6749" t="s">
        <v>28</v>
      </c>
      <c r="I6749" t="s">
        <v>155</v>
      </c>
      <c r="J6749" t="s">
        <v>606</v>
      </c>
      <c r="K6749" s="138">
        <v>35.5</v>
      </c>
      <c r="L6749" s="137">
        <v>0</v>
      </c>
    </row>
    <row r="6750" spans="7:12" x14ac:dyDescent="0.25">
      <c r="G6750" s="136">
        <v>43636</v>
      </c>
      <c r="H6750" t="s">
        <v>28</v>
      </c>
      <c r="I6750" t="s">
        <v>155</v>
      </c>
      <c r="J6750" t="s">
        <v>606</v>
      </c>
      <c r="K6750" s="138">
        <v>30.04</v>
      </c>
      <c r="L6750" s="137">
        <v>0</v>
      </c>
    </row>
    <row r="6751" spans="7:12" x14ac:dyDescent="0.25">
      <c r="G6751" s="136">
        <v>43636</v>
      </c>
      <c r="H6751" t="s">
        <v>28</v>
      </c>
      <c r="I6751" t="s">
        <v>155</v>
      </c>
      <c r="J6751" t="s">
        <v>606</v>
      </c>
      <c r="K6751" s="138">
        <v>29.24</v>
      </c>
      <c r="L6751" s="137">
        <v>0</v>
      </c>
    </row>
    <row r="6752" spans="7:12" x14ac:dyDescent="0.25">
      <c r="G6752" s="136">
        <v>43636</v>
      </c>
      <c r="H6752" t="s">
        <v>28</v>
      </c>
      <c r="I6752" t="s">
        <v>155</v>
      </c>
      <c r="J6752" t="s">
        <v>606</v>
      </c>
      <c r="K6752" s="138">
        <v>21.88</v>
      </c>
      <c r="L6752" s="137">
        <v>0</v>
      </c>
    </row>
    <row r="6753" spans="7:12" x14ac:dyDescent="0.25">
      <c r="G6753" s="136">
        <v>43636</v>
      </c>
      <c r="H6753" t="s">
        <v>28</v>
      </c>
      <c r="I6753" t="s">
        <v>66</v>
      </c>
      <c r="J6753" t="s">
        <v>293</v>
      </c>
      <c r="K6753" s="138">
        <v>1.8</v>
      </c>
      <c r="L6753" s="137">
        <v>0</v>
      </c>
    </row>
    <row r="6754" spans="7:12" x14ac:dyDescent="0.25">
      <c r="G6754" s="136">
        <v>43636</v>
      </c>
      <c r="H6754" t="s">
        <v>28</v>
      </c>
      <c r="I6754" t="s">
        <v>171</v>
      </c>
      <c r="J6754" t="s">
        <v>606</v>
      </c>
      <c r="K6754" s="138">
        <v>12</v>
      </c>
      <c r="L6754" s="137">
        <v>0</v>
      </c>
    </row>
    <row r="6755" spans="7:12" x14ac:dyDescent="0.25">
      <c r="G6755" s="136">
        <v>43637</v>
      </c>
      <c r="H6755" t="s">
        <v>27</v>
      </c>
      <c r="I6755" t="s">
        <v>63</v>
      </c>
      <c r="J6755" t="s">
        <v>607</v>
      </c>
      <c r="K6755" s="138">
        <v>16</v>
      </c>
      <c r="L6755" s="137">
        <v>0</v>
      </c>
    </row>
    <row r="6756" spans="7:12" x14ac:dyDescent="0.25">
      <c r="G6756" s="136">
        <v>43637</v>
      </c>
      <c r="H6756" t="s">
        <v>199</v>
      </c>
      <c r="I6756" t="s">
        <v>171</v>
      </c>
      <c r="J6756" t="s">
        <v>607</v>
      </c>
      <c r="K6756" s="138">
        <v>152.36000000000001</v>
      </c>
      <c r="L6756" s="137">
        <v>0</v>
      </c>
    </row>
    <row r="6757" spans="7:12" x14ac:dyDescent="0.25">
      <c r="G6757" s="136">
        <v>43637</v>
      </c>
      <c r="H6757" t="s">
        <v>184</v>
      </c>
      <c r="I6757" t="s">
        <v>171</v>
      </c>
      <c r="J6757" t="s">
        <v>607</v>
      </c>
      <c r="K6757" s="138">
        <v>25</v>
      </c>
      <c r="L6757" s="137">
        <v>0</v>
      </c>
    </row>
    <row r="6758" spans="7:12" x14ac:dyDescent="0.25">
      <c r="G6758" s="136">
        <v>43637</v>
      </c>
      <c r="H6758" t="s">
        <v>195</v>
      </c>
      <c r="I6758" t="s">
        <v>171</v>
      </c>
      <c r="J6758" t="s">
        <v>607</v>
      </c>
      <c r="K6758" s="138">
        <v>412.62</v>
      </c>
      <c r="L6758" s="137">
        <v>0</v>
      </c>
    </row>
    <row r="6759" spans="7:12" x14ac:dyDescent="0.25">
      <c r="G6759" s="136">
        <v>43637</v>
      </c>
      <c r="H6759" t="s">
        <v>193</v>
      </c>
      <c r="I6759" t="s">
        <v>171</v>
      </c>
      <c r="J6759" t="s">
        <v>607</v>
      </c>
      <c r="K6759" s="138">
        <v>260</v>
      </c>
      <c r="L6759" s="137">
        <v>0</v>
      </c>
    </row>
    <row r="6760" spans="7:12" x14ac:dyDescent="0.25">
      <c r="G6760" s="136">
        <v>43637</v>
      </c>
      <c r="H6760" t="s">
        <v>188</v>
      </c>
      <c r="I6760" t="s">
        <v>42</v>
      </c>
      <c r="J6760" t="s">
        <v>607</v>
      </c>
      <c r="K6760" s="138">
        <v>70.23</v>
      </c>
      <c r="L6760" s="137">
        <v>0</v>
      </c>
    </row>
    <row r="6761" spans="7:12" x14ac:dyDescent="0.25">
      <c r="G6761" s="136">
        <v>43637</v>
      </c>
      <c r="H6761" t="s">
        <v>188</v>
      </c>
      <c r="I6761" t="s">
        <v>171</v>
      </c>
      <c r="J6761" t="s">
        <v>607</v>
      </c>
      <c r="K6761" s="138">
        <v>40</v>
      </c>
      <c r="L6761" s="137">
        <v>0</v>
      </c>
    </row>
    <row r="6762" spans="7:12" x14ac:dyDescent="0.25">
      <c r="G6762" s="136">
        <v>43637</v>
      </c>
      <c r="H6762" t="s">
        <v>200</v>
      </c>
      <c r="I6762" t="s">
        <v>63</v>
      </c>
      <c r="J6762" t="s">
        <v>607</v>
      </c>
      <c r="K6762" s="138">
        <v>119.9</v>
      </c>
      <c r="L6762" s="137">
        <v>0</v>
      </c>
    </row>
    <row r="6763" spans="7:12" x14ac:dyDescent="0.25">
      <c r="G6763" s="136">
        <v>43637</v>
      </c>
      <c r="H6763" t="s">
        <v>25</v>
      </c>
      <c r="I6763" t="s">
        <v>63</v>
      </c>
      <c r="J6763" t="s">
        <v>607</v>
      </c>
      <c r="K6763" s="138">
        <v>64</v>
      </c>
      <c r="L6763" s="137">
        <v>0</v>
      </c>
    </row>
    <row r="6764" spans="7:12" x14ac:dyDescent="0.25">
      <c r="G6764" s="136">
        <v>43637</v>
      </c>
      <c r="H6764" t="s">
        <v>25</v>
      </c>
      <c r="I6764" t="s">
        <v>63</v>
      </c>
      <c r="J6764" t="s">
        <v>607</v>
      </c>
      <c r="K6764" s="138">
        <v>32</v>
      </c>
      <c r="L6764" s="137">
        <v>0</v>
      </c>
    </row>
    <row r="6765" spans="7:12" x14ac:dyDescent="0.25">
      <c r="G6765" s="136">
        <v>43637</v>
      </c>
      <c r="H6765" t="s">
        <v>25</v>
      </c>
      <c r="I6765" t="s">
        <v>63</v>
      </c>
      <c r="J6765" t="s">
        <v>607</v>
      </c>
      <c r="K6765" s="138">
        <v>16</v>
      </c>
      <c r="L6765" s="137">
        <v>0</v>
      </c>
    </row>
    <row r="6766" spans="7:12" x14ac:dyDescent="0.25">
      <c r="G6766" s="136">
        <v>43637</v>
      </c>
      <c r="H6766" t="s">
        <v>25</v>
      </c>
      <c r="I6766" t="s">
        <v>63</v>
      </c>
      <c r="J6766" t="s">
        <v>607</v>
      </c>
      <c r="K6766" s="138">
        <v>8</v>
      </c>
      <c r="L6766" s="137">
        <v>0</v>
      </c>
    </row>
    <row r="6767" spans="7:12" x14ac:dyDescent="0.25">
      <c r="G6767" s="136">
        <v>43637</v>
      </c>
      <c r="H6767" t="s">
        <v>181</v>
      </c>
      <c r="I6767" t="s">
        <v>171</v>
      </c>
      <c r="J6767" t="s">
        <v>607</v>
      </c>
      <c r="K6767" s="138">
        <v>34.65</v>
      </c>
      <c r="L6767" s="137">
        <v>0</v>
      </c>
    </row>
    <row r="6768" spans="7:12" x14ac:dyDescent="0.25">
      <c r="G6768" s="136">
        <v>43637</v>
      </c>
      <c r="H6768" t="s">
        <v>187</v>
      </c>
      <c r="I6768" t="s">
        <v>171</v>
      </c>
      <c r="J6768" t="s">
        <v>607</v>
      </c>
      <c r="K6768" s="138">
        <v>77</v>
      </c>
      <c r="L6768" s="137">
        <v>0</v>
      </c>
    </row>
    <row r="6769" spans="7:12" x14ac:dyDescent="0.25">
      <c r="G6769" s="136">
        <v>43637</v>
      </c>
      <c r="H6769" t="s">
        <v>196</v>
      </c>
      <c r="I6769" t="s">
        <v>42</v>
      </c>
      <c r="J6769" t="s">
        <v>607</v>
      </c>
      <c r="K6769" s="138">
        <v>1363.47</v>
      </c>
      <c r="L6769" s="137">
        <v>0</v>
      </c>
    </row>
    <row r="6770" spans="7:12" x14ac:dyDescent="0.25">
      <c r="G6770" s="136">
        <v>43637</v>
      </c>
      <c r="H6770" t="s">
        <v>196</v>
      </c>
      <c r="I6770" t="s">
        <v>171</v>
      </c>
      <c r="J6770" t="s">
        <v>607</v>
      </c>
      <c r="K6770" s="138">
        <v>606.51</v>
      </c>
      <c r="L6770" s="137">
        <v>0</v>
      </c>
    </row>
    <row r="6771" spans="7:12" x14ac:dyDescent="0.25">
      <c r="G6771" s="136">
        <v>43637</v>
      </c>
      <c r="H6771" t="s">
        <v>180</v>
      </c>
      <c r="I6771" t="s">
        <v>171</v>
      </c>
      <c r="J6771" t="s">
        <v>607</v>
      </c>
      <c r="K6771" s="138">
        <v>37</v>
      </c>
      <c r="L6771" s="137">
        <v>0</v>
      </c>
    </row>
    <row r="6772" spans="7:12" x14ac:dyDescent="0.25">
      <c r="G6772" s="136">
        <v>43637</v>
      </c>
      <c r="H6772" t="s">
        <v>28</v>
      </c>
      <c r="I6772" t="s">
        <v>66</v>
      </c>
      <c r="J6772" t="s">
        <v>320</v>
      </c>
      <c r="K6772" s="138">
        <v>12.07</v>
      </c>
      <c r="L6772" s="137">
        <v>0</v>
      </c>
    </row>
    <row r="6773" spans="7:12" x14ac:dyDescent="0.25">
      <c r="G6773" s="136">
        <v>43637</v>
      </c>
      <c r="H6773" t="s">
        <v>28</v>
      </c>
      <c r="I6773" t="s">
        <v>66</v>
      </c>
      <c r="J6773" t="s">
        <v>143</v>
      </c>
      <c r="K6773" s="138">
        <v>52</v>
      </c>
      <c r="L6773" s="137">
        <v>0</v>
      </c>
    </row>
    <row r="6774" spans="7:12" x14ac:dyDescent="0.25">
      <c r="G6774" s="136">
        <v>43637</v>
      </c>
      <c r="H6774" t="s">
        <v>28</v>
      </c>
      <c r="I6774" t="s">
        <v>66</v>
      </c>
      <c r="J6774" t="s">
        <v>318</v>
      </c>
      <c r="K6774" s="138">
        <v>3.5</v>
      </c>
      <c r="L6774" s="137">
        <v>0</v>
      </c>
    </row>
    <row r="6775" spans="7:12" x14ac:dyDescent="0.25">
      <c r="G6775" s="136">
        <v>43637</v>
      </c>
      <c r="H6775" t="s">
        <v>28</v>
      </c>
      <c r="I6775" t="s">
        <v>66</v>
      </c>
      <c r="J6775" t="s">
        <v>116</v>
      </c>
      <c r="K6775" s="138">
        <v>14.7</v>
      </c>
      <c r="L6775" s="137">
        <v>0</v>
      </c>
    </row>
    <row r="6776" spans="7:12" x14ac:dyDescent="0.25">
      <c r="G6776" s="136">
        <v>43638</v>
      </c>
      <c r="H6776" t="s">
        <v>192</v>
      </c>
      <c r="I6776" t="s">
        <v>163</v>
      </c>
      <c r="J6776" t="s">
        <v>608</v>
      </c>
      <c r="K6776" s="138">
        <v>26.75</v>
      </c>
      <c r="L6776" s="137">
        <v>0</v>
      </c>
    </row>
    <row r="6777" spans="7:12" x14ac:dyDescent="0.25">
      <c r="G6777" s="136">
        <v>43638</v>
      </c>
      <c r="H6777" t="s">
        <v>192</v>
      </c>
      <c r="I6777" t="s">
        <v>171</v>
      </c>
      <c r="J6777" t="s">
        <v>608</v>
      </c>
      <c r="K6777" s="138">
        <v>37.450000000000003</v>
      </c>
      <c r="L6777" s="137">
        <v>0</v>
      </c>
    </row>
    <row r="6778" spans="7:12" x14ac:dyDescent="0.25">
      <c r="G6778" s="136">
        <v>43638</v>
      </c>
      <c r="H6778" t="s">
        <v>27</v>
      </c>
      <c r="I6778" t="s">
        <v>63</v>
      </c>
      <c r="J6778" t="s">
        <v>608</v>
      </c>
      <c r="K6778" s="138">
        <v>8</v>
      </c>
      <c r="L6778" s="137">
        <v>0</v>
      </c>
    </row>
    <row r="6779" spans="7:12" x14ac:dyDescent="0.25">
      <c r="G6779" s="136">
        <v>43638</v>
      </c>
      <c r="H6779" t="s">
        <v>199</v>
      </c>
      <c r="I6779" t="s">
        <v>163</v>
      </c>
      <c r="J6779" t="s">
        <v>608</v>
      </c>
      <c r="K6779" s="138">
        <v>30</v>
      </c>
      <c r="L6779" s="137">
        <v>0</v>
      </c>
    </row>
    <row r="6780" spans="7:12" x14ac:dyDescent="0.25">
      <c r="G6780" s="136">
        <v>43638</v>
      </c>
      <c r="H6780" t="s">
        <v>183</v>
      </c>
      <c r="I6780" t="s">
        <v>171</v>
      </c>
      <c r="J6780" t="s">
        <v>608</v>
      </c>
      <c r="K6780" s="138">
        <v>125</v>
      </c>
      <c r="L6780" s="137">
        <v>0</v>
      </c>
    </row>
    <row r="6781" spans="7:12" x14ac:dyDescent="0.25">
      <c r="G6781" s="136">
        <v>43638</v>
      </c>
      <c r="H6781" t="s">
        <v>188</v>
      </c>
      <c r="I6781" t="s">
        <v>171</v>
      </c>
      <c r="J6781" t="s">
        <v>608</v>
      </c>
      <c r="K6781" s="138">
        <v>30</v>
      </c>
      <c r="L6781" s="137">
        <v>0</v>
      </c>
    </row>
    <row r="6782" spans="7:12" x14ac:dyDescent="0.25">
      <c r="G6782" s="136">
        <v>43638</v>
      </c>
      <c r="H6782" t="s">
        <v>25</v>
      </c>
      <c r="I6782" t="s">
        <v>63</v>
      </c>
      <c r="J6782" t="s">
        <v>608</v>
      </c>
      <c r="K6782" s="138">
        <v>16</v>
      </c>
      <c r="L6782" s="137">
        <v>0</v>
      </c>
    </row>
    <row r="6783" spans="7:12" x14ac:dyDescent="0.25">
      <c r="G6783" s="136">
        <v>43638</v>
      </c>
      <c r="H6783" t="s">
        <v>25</v>
      </c>
      <c r="I6783" t="s">
        <v>63</v>
      </c>
      <c r="J6783" t="s">
        <v>608</v>
      </c>
      <c r="K6783" s="138">
        <v>8</v>
      </c>
      <c r="L6783" s="137">
        <v>0</v>
      </c>
    </row>
    <row r="6784" spans="7:12" x14ac:dyDescent="0.25">
      <c r="G6784" s="136">
        <v>43638</v>
      </c>
      <c r="H6784" t="s">
        <v>25</v>
      </c>
      <c r="I6784" t="s">
        <v>171</v>
      </c>
      <c r="J6784" t="s">
        <v>608</v>
      </c>
      <c r="K6784" s="138">
        <v>95.7</v>
      </c>
      <c r="L6784" s="137">
        <v>0</v>
      </c>
    </row>
    <row r="6785" spans="7:12" x14ac:dyDescent="0.25">
      <c r="G6785" s="136">
        <v>43640</v>
      </c>
      <c r="H6785" t="s">
        <v>192</v>
      </c>
      <c r="I6785" t="s">
        <v>171</v>
      </c>
      <c r="J6785" t="s">
        <v>609</v>
      </c>
      <c r="K6785" s="138">
        <v>10.7</v>
      </c>
      <c r="L6785" s="137">
        <v>0</v>
      </c>
    </row>
    <row r="6786" spans="7:12" x14ac:dyDescent="0.25">
      <c r="G6786" s="136">
        <v>43640</v>
      </c>
      <c r="H6786" t="s">
        <v>27</v>
      </c>
      <c r="I6786" t="s">
        <v>63</v>
      </c>
      <c r="J6786" t="s">
        <v>609</v>
      </c>
      <c r="K6786" s="138">
        <v>24</v>
      </c>
      <c r="L6786" s="137">
        <v>0</v>
      </c>
    </row>
    <row r="6787" spans="7:12" x14ac:dyDescent="0.25">
      <c r="G6787" s="136">
        <v>43640</v>
      </c>
      <c r="H6787" t="s">
        <v>27</v>
      </c>
      <c r="I6787" t="s">
        <v>63</v>
      </c>
      <c r="J6787" t="s">
        <v>609</v>
      </c>
      <c r="K6787" s="138">
        <v>16</v>
      </c>
      <c r="L6787" s="137">
        <v>0</v>
      </c>
    </row>
    <row r="6788" spans="7:12" x14ac:dyDescent="0.25">
      <c r="G6788" s="136">
        <v>43640</v>
      </c>
      <c r="H6788" t="s">
        <v>25</v>
      </c>
      <c r="I6788" t="s">
        <v>63</v>
      </c>
      <c r="J6788" t="s">
        <v>609</v>
      </c>
      <c r="K6788" s="138">
        <v>24</v>
      </c>
      <c r="L6788" s="137">
        <v>0</v>
      </c>
    </row>
    <row r="6789" spans="7:12" x14ac:dyDescent="0.25">
      <c r="G6789" s="136">
        <v>43640</v>
      </c>
      <c r="H6789" t="s">
        <v>28</v>
      </c>
      <c r="I6789" t="s">
        <v>66</v>
      </c>
      <c r="J6789" t="s">
        <v>120</v>
      </c>
      <c r="K6789" s="138">
        <v>1.8</v>
      </c>
      <c r="L6789" s="137">
        <v>0</v>
      </c>
    </row>
    <row r="6790" spans="7:12" x14ac:dyDescent="0.25">
      <c r="G6790" s="136">
        <v>43640</v>
      </c>
      <c r="H6790" t="s">
        <v>28</v>
      </c>
      <c r="I6790" t="s">
        <v>66</v>
      </c>
      <c r="J6790" t="s">
        <v>100</v>
      </c>
      <c r="K6790" s="138">
        <v>2.25</v>
      </c>
      <c r="L6790" s="137">
        <v>0</v>
      </c>
    </row>
    <row r="6791" spans="7:12" x14ac:dyDescent="0.25">
      <c r="G6791" s="136">
        <v>43641</v>
      </c>
      <c r="H6791" t="s">
        <v>203</v>
      </c>
      <c r="I6791" t="s">
        <v>261</v>
      </c>
      <c r="J6791" t="s">
        <v>611</v>
      </c>
      <c r="K6791" s="138">
        <v>83.12</v>
      </c>
      <c r="L6791" s="137">
        <v>0</v>
      </c>
    </row>
    <row r="6792" spans="7:12" x14ac:dyDescent="0.25">
      <c r="G6792" s="136">
        <v>43641</v>
      </c>
      <c r="H6792" t="s">
        <v>192</v>
      </c>
      <c r="I6792" t="s">
        <v>155</v>
      </c>
      <c r="J6792" t="s">
        <v>610</v>
      </c>
      <c r="K6792" s="138">
        <v>129.75</v>
      </c>
      <c r="L6792" s="137">
        <v>0</v>
      </c>
    </row>
    <row r="6793" spans="7:12" x14ac:dyDescent="0.25">
      <c r="G6793" s="136">
        <v>43641</v>
      </c>
      <c r="H6793" t="s">
        <v>27</v>
      </c>
      <c r="I6793" t="s">
        <v>63</v>
      </c>
      <c r="J6793" t="s">
        <v>610</v>
      </c>
      <c r="K6793" s="138">
        <v>8</v>
      </c>
      <c r="L6793" s="137">
        <v>0</v>
      </c>
    </row>
    <row r="6794" spans="7:12" x14ac:dyDescent="0.25">
      <c r="G6794" s="136">
        <v>43641</v>
      </c>
      <c r="H6794" t="s">
        <v>27</v>
      </c>
      <c r="I6794" t="s">
        <v>261</v>
      </c>
      <c r="J6794" t="s">
        <v>611</v>
      </c>
      <c r="K6794" s="138">
        <v>275.07</v>
      </c>
      <c r="L6794" s="137">
        <v>0</v>
      </c>
    </row>
    <row r="6795" spans="7:12" x14ac:dyDescent="0.25">
      <c r="G6795" s="136">
        <v>43641</v>
      </c>
      <c r="H6795" t="s">
        <v>27</v>
      </c>
      <c r="I6795" t="s">
        <v>261</v>
      </c>
      <c r="J6795" t="s">
        <v>611</v>
      </c>
      <c r="K6795" s="138">
        <v>119.39</v>
      </c>
      <c r="L6795" s="137">
        <v>0</v>
      </c>
    </row>
    <row r="6796" spans="7:12" x14ac:dyDescent="0.25">
      <c r="G6796" s="136">
        <v>43641</v>
      </c>
      <c r="H6796" t="s">
        <v>27</v>
      </c>
      <c r="I6796" t="s">
        <v>261</v>
      </c>
      <c r="J6796" t="s">
        <v>611</v>
      </c>
      <c r="K6796" s="138">
        <v>81.11</v>
      </c>
      <c r="L6796" s="137">
        <v>0</v>
      </c>
    </row>
    <row r="6797" spans="7:12" x14ac:dyDescent="0.25">
      <c r="G6797" s="136">
        <v>43641</v>
      </c>
      <c r="H6797" t="s">
        <v>27</v>
      </c>
      <c r="I6797" t="s">
        <v>261</v>
      </c>
      <c r="J6797" t="s">
        <v>611</v>
      </c>
      <c r="K6797" s="138">
        <v>58.42</v>
      </c>
      <c r="L6797" s="137">
        <v>0</v>
      </c>
    </row>
    <row r="6798" spans="7:12" x14ac:dyDescent="0.25">
      <c r="G6798" s="136">
        <v>43641</v>
      </c>
      <c r="H6798" t="s">
        <v>27</v>
      </c>
      <c r="I6798" t="s">
        <v>261</v>
      </c>
      <c r="J6798" t="s">
        <v>611</v>
      </c>
      <c r="K6798" s="138">
        <v>50.33</v>
      </c>
      <c r="L6798" s="137">
        <v>0</v>
      </c>
    </row>
    <row r="6799" spans="7:12" x14ac:dyDescent="0.25">
      <c r="G6799" s="136">
        <v>43641</v>
      </c>
      <c r="H6799" t="s">
        <v>27</v>
      </c>
      <c r="I6799" t="s">
        <v>261</v>
      </c>
      <c r="J6799" t="s">
        <v>611</v>
      </c>
      <c r="K6799" s="138">
        <v>34.840000000000003</v>
      </c>
      <c r="L6799" s="137">
        <v>0</v>
      </c>
    </row>
    <row r="6800" spans="7:12" x14ac:dyDescent="0.25">
      <c r="G6800" s="136">
        <v>43641</v>
      </c>
      <c r="H6800" t="s">
        <v>27</v>
      </c>
      <c r="I6800" t="s">
        <v>261</v>
      </c>
      <c r="J6800" t="s">
        <v>611</v>
      </c>
      <c r="K6800" s="138">
        <v>30.68</v>
      </c>
      <c r="L6800" s="137">
        <v>0</v>
      </c>
    </row>
    <row r="6801" spans="7:12" x14ac:dyDescent="0.25">
      <c r="G6801" s="136">
        <v>43641</v>
      </c>
      <c r="H6801" t="s">
        <v>27</v>
      </c>
      <c r="I6801" t="s">
        <v>261</v>
      </c>
      <c r="J6801" t="s">
        <v>611</v>
      </c>
      <c r="K6801" s="138">
        <v>29.15</v>
      </c>
      <c r="L6801" s="137">
        <v>0</v>
      </c>
    </row>
    <row r="6802" spans="7:12" x14ac:dyDescent="0.25">
      <c r="G6802" s="136">
        <v>43641</v>
      </c>
      <c r="H6802" t="s">
        <v>27</v>
      </c>
      <c r="I6802" t="s">
        <v>261</v>
      </c>
      <c r="J6802" t="s">
        <v>611</v>
      </c>
      <c r="K6802" s="138">
        <v>29.05</v>
      </c>
      <c r="L6802" s="137">
        <v>0</v>
      </c>
    </row>
    <row r="6803" spans="7:12" x14ac:dyDescent="0.25">
      <c r="G6803" s="136">
        <v>43641</v>
      </c>
      <c r="H6803" t="s">
        <v>27</v>
      </c>
      <c r="I6803" t="s">
        <v>261</v>
      </c>
      <c r="J6803" t="s">
        <v>611</v>
      </c>
      <c r="K6803" s="138">
        <v>24.18</v>
      </c>
      <c r="L6803" s="137">
        <v>0</v>
      </c>
    </row>
    <row r="6804" spans="7:12" x14ac:dyDescent="0.25">
      <c r="G6804" s="136">
        <v>43641</v>
      </c>
      <c r="H6804" t="s">
        <v>27</v>
      </c>
      <c r="I6804" t="s">
        <v>261</v>
      </c>
      <c r="J6804" t="s">
        <v>611</v>
      </c>
      <c r="K6804" s="138">
        <v>22.19</v>
      </c>
      <c r="L6804" s="137">
        <v>0</v>
      </c>
    </row>
    <row r="6805" spans="7:12" x14ac:dyDescent="0.25">
      <c r="G6805" s="136">
        <v>43641</v>
      </c>
      <c r="H6805" t="s">
        <v>27</v>
      </c>
      <c r="I6805" t="s">
        <v>261</v>
      </c>
      <c r="J6805" t="s">
        <v>611</v>
      </c>
      <c r="K6805" s="138">
        <v>15.46</v>
      </c>
      <c r="L6805" s="137">
        <v>0</v>
      </c>
    </row>
    <row r="6806" spans="7:12" x14ac:dyDescent="0.25">
      <c r="G6806" s="136">
        <v>43641</v>
      </c>
      <c r="H6806" t="s">
        <v>27</v>
      </c>
      <c r="I6806" t="s">
        <v>261</v>
      </c>
      <c r="J6806" t="s">
        <v>611</v>
      </c>
      <c r="K6806" s="138">
        <v>12.15</v>
      </c>
      <c r="L6806" s="137">
        <v>0</v>
      </c>
    </row>
    <row r="6807" spans="7:12" x14ac:dyDescent="0.25">
      <c r="G6807" s="136">
        <v>43641</v>
      </c>
      <c r="H6807" t="s">
        <v>212</v>
      </c>
      <c r="I6807" t="s">
        <v>171</v>
      </c>
      <c r="J6807" t="s">
        <v>610</v>
      </c>
      <c r="K6807" s="138">
        <v>831.18</v>
      </c>
      <c r="L6807" s="137">
        <v>0</v>
      </c>
    </row>
    <row r="6808" spans="7:12" x14ac:dyDescent="0.25">
      <c r="G6808" s="136">
        <v>43641</v>
      </c>
      <c r="H6808" t="s">
        <v>184</v>
      </c>
      <c r="I6808" t="s">
        <v>171</v>
      </c>
      <c r="J6808" t="s">
        <v>610</v>
      </c>
      <c r="K6808" s="138">
        <v>205.8</v>
      </c>
      <c r="L6808" s="137">
        <v>0</v>
      </c>
    </row>
    <row r="6809" spans="7:12" x14ac:dyDescent="0.25">
      <c r="G6809" s="136">
        <v>43641</v>
      </c>
      <c r="H6809" t="s">
        <v>195</v>
      </c>
      <c r="I6809" t="s">
        <v>261</v>
      </c>
      <c r="J6809" t="s">
        <v>611</v>
      </c>
      <c r="K6809" s="138">
        <v>683.57</v>
      </c>
      <c r="L6809" s="137">
        <v>0</v>
      </c>
    </row>
    <row r="6810" spans="7:12" x14ac:dyDescent="0.25">
      <c r="G6810" s="136">
        <v>43641</v>
      </c>
      <c r="H6810" t="s">
        <v>183</v>
      </c>
      <c r="I6810" t="s">
        <v>261</v>
      </c>
      <c r="J6810" t="s">
        <v>611</v>
      </c>
      <c r="K6810" s="138">
        <v>910.15</v>
      </c>
      <c r="L6810" s="137">
        <v>0</v>
      </c>
    </row>
    <row r="6811" spans="7:12" x14ac:dyDescent="0.25">
      <c r="G6811" s="136">
        <v>43641</v>
      </c>
      <c r="H6811" t="s">
        <v>189</v>
      </c>
      <c r="I6811" t="s">
        <v>261</v>
      </c>
      <c r="J6811" t="s">
        <v>611</v>
      </c>
      <c r="K6811" s="138">
        <v>1553.8</v>
      </c>
      <c r="L6811" s="137">
        <v>0</v>
      </c>
    </row>
    <row r="6812" spans="7:12" x14ac:dyDescent="0.25">
      <c r="G6812" s="136">
        <v>43641</v>
      </c>
      <c r="H6812" t="s">
        <v>193</v>
      </c>
      <c r="I6812" t="s">
        <v>163</v>
      </c>
      <c r="J6812" t="s">
        <v>610</v>
      </c>
      <c r="K6812" s="138">
        <v>1379.52</v>
      </c>
      <c r="L6812" s="137">
        <v>0</v>
      </c>
    </row>
    <row r="6813" spans="7:12" x14ac:dyDescent="0.25">
      <c r="G6813" s="136">
        <v>43641</v>
      </c>
      <c r="H6813" t="s">
        <v>188</v>
      </c>
      <c r="I6813" t="s">
        <v>112</v>
      </c>
      <c r="J6813" t="s">
        <v>610</v>
      </c>
      <c r="K6813" s="138">
        <v>13.76</v>
      </c>
      <c r="L6813" s="137">
        <v>0</v>
      </c>
    </row>
    <row r="6814" spans="7:12" x14ac:dyDescent="0.25">
      <c r="G6814" s="136">
        <v>43641</v>
      </c>
      <c r="H6814" t="s">
        <v>188</v>
      </c>
      <c r="I6814" t="s">
        <v>261</v>
      </c>
      <c r="J6814" t="s">
        <v>611</v>
      </c>
      <c r="K6814" s="138">
        <v>519.55999999999995</v>
      </c>
      <c r="L6814" s="137">
        <v>0</v>
      </c>
    </row>
    <row r="6815" spans="7:12" x14ac:dyDescent="0.25">
      <c r="G6815" s="136">
        <v>43641</v>
      </c>
      <c r="H6815" t="s">
        <v>188</v>
      </c>
      <c r="I6815" t="s">
        <v>171</v>
      </c>
      <c r="J6815" t="s">
        <v>610</v>
      </c>
      <c r="K6815" s="138">
        <v>1059.9000000000001</v>
      </c>
      <c r="L6815" s="137">
        <v>0</v>
      </c>
    </row>
    <row r="6816" spans="7:12" x14ac:dyDescent="0.25">
      <c r="G6816" s="136">
        <v>43641</v>
      </c>
      <c r="H6816" t="s">
        <v>200</v>
      </c>
      <c r="I6816" t="s">
        <v>171</v>
      </c>
      <c r="J6816" t="s">
        <v>610</v>
      </c>
      <c r="K6816" s="138">
        <v>27.4</v>
      </c>
      <c r="L6816" s="137">
        <v>0</v>
      </c>
    </row>
    <row r="6817" spans="7:12" x14ac:dyDescent="0.25">
      <c r="G6817" s="136">
        <v>43641</v>
      </c>
      <c r="H6817" t="s">
        <v>25</v>
      </c>
      <c r="I6817" t="s">
        <v>63</v>
      </c>
      <c r="J6817" t="s">
        <v>610</v>
      </c>
      <c r="K6817" s="138">
        <v>80</v>
      </c>
      <c r="L6817" s="137">
        <v>0</v>
      </c>
    </row>
    <row r="6818" spans="7:12" x14ac:dyDescent="0.25">
      <c r="G6818" s="136">
        <v>43641</v>
      </c>
      <c r="H6818" t="s">
        <v>25</v>
      </c>
      <c r="I6818" t="s">
        <v>63</v>
      </c>
      <c r="J6818" t="s">
        <v>610</v>
      </c>
      <c r="K6818" s="138">
        <v>48</v>
      </c>
      <c r="L6818" s="137">
        <v>0</v>
      </c>
    </row>
    <row r="6819" spans="7:12" x14ac:dyDescent="0.25">
      <c r="G6819" s="136">
        <v>43641</v>
      </c>
      <c r="H6819" t="s">
        <v>25</v>
      </c>
      <c r="I6819" t="s">
        <v>63</v>
      </c>
      <c r="J6819" t="s">
        <v>610</v>
      </c>
      <c r="K6819" s="138">
        <v>32</v>
      </c>
      <c r="L6819" s="137">
        <v>0</v>
      </c>
    </row>
    <row r="6820" spans="7:12" x14ac:dyDescent="0.25">
      <c r="G6820" s="136">
        <v>43641</v>
      </c>
      <c r="H6820" t="s">
        <v>25</v>
      </c>
      <c r="I6820" t="s">
        <v>63</v>
      </c>
      <c r="J6820" t="s">
        <v>610</v>
      </c>
      <c r="K6820" s="138">
        <v>16</v>
      </c>
      <c r="L6820" s="137">
        <v>0</v>
      </c>
    </row>
    <row r="6821" spans="7:12" x14ac:dyDescent="0.25">
      <c r="G6821" s="136">
        <v>43641</v>
      </c>
      <c r="H6821" t="s">
        <v>25</v>
      </c>
      <c r="I6821" t="s">
        <v>63</v>
      </c>
      <c r="J6821" t="s">
        <v>610</v>
      </c>
      <c r="K6821" s="138">
        <v>8</v>
      </c>
      <c r="L6821" s="137">
        <v>0</v>
      </c>
    </row>
    <row r="6822" spans="7:12" x14ac:dyDescent="0.25">
      <c r="G6822" s="136">
        <v>43641</v>
      </c>
      <c r="H6822" t="s">
        <v>25</v>
      </c>
      <c r="I6822" t="s">
        <v>261</v>
      </c>
      <c r="J6822" t="s">
        <v>611</v>
      </c>
      <c r="K6822" s="138">
        <v>1424.84</v>
      </c>
      <c r="L6822" s="137">
        <v>0</v>
      </c>
    </row>
    <row r="6823" spans="7:12" x14ac:dyDescent="0.25">
      <c r="G6823" s="136">
        <v>43641</v>
      </c>
      <c r="H6823" t="s">
        <v>25</v>
      </c>
      <c r="I6823" t="s">
        <v>261</v>
      </c>
      <c r="J6823" t="s">
        <v>611</v>
      </c>
      <c r="K6823" s="138">
        <v>1352.47</v>
      </c>
      <c r="L6823" s="137">
        <v>0</v>
      </c>
    </row>
    <row r="6824" spans="7:12" x14ac:dyDescent="0.25">
      <c r="G6824" s="136">
        <v>43641</v>
      </c>
      <c r="H6824" t="s">
        <v>25</v>
      </c>
      <c r="I6824" t="s">
        <v>261</v>
      </c>
      <c r="J6824" t="s">
        <v>611</v>
      </c>
      <c r="K6824" s="138">
        <v>1192.95</v>
      </c>
      <c r="L6824" s="137">
        <v>0</v>
      </c>
    </row>
    <row r="6825" spans="7:12" x14ac:dyDescent="0.25">
      <c r="G6825" s="136">
        <v>43641</v>
      </c>
      <c r="H6825" t="s">
        <v>25</v>
      </c>
      <c r="I6825" t="s">
        <v>261</v>
      </c>
      <c r="J6825" t="s">
        <v>611</v>
      </c>
      <c r="K6825" s="138">
        <v>879.61</v>
      </c>
      <c r="L6825" s="137">
        <v>0</v>
      </c>
    </row>
    <row r="6826" spans="7:12" x14ac:dyDescent="0.25">
      <c r="G6826" s="136">
        <v>43641</v>
      </c>
      <c r="H6826" t="s">
        <v>25</v>
      </c>
      <c r="I6826" t="s">
        <v>261</v>
      </c>
      <c r="J6826" t="s">
        <v>611</v>
      </c>
      <c r="K6826" s="138">
        <v>684.15</v>
      </c>
      <c r="L6826" s="137">
        <v>0</v>
      </c>
    </row>
    <row r="6827" spans="7:12" x14ac:dyDescent="0.25">
      <c r="G6827" s="136">
        <v>43641</v>
      </c>
      <c r="H6827" t="s">
        <v>25</v>
      </c>
      <c r="I6827" t="s">
        <v>261</v>
      </c>
      <c r="J6827" t="s">
        <v>611</v>
      </c>
      <c r="K6827" s="138">
        <v>635.95000000000005</v>
      </c>
      <c r="L6827" s="137">
        <v>0</v>
      </c>
    </row>
    <row r="6828" spans="7:12" x14ac:dyDescent="0.25">
      <c r="G6828" s="136">
        <v>43641</v>
      </c>
      <c r="H6828" t="s">
        <v>25</v>
      </c>
      <c r="I6828" t="s">
        <v>261</v>
      </c>
      <c r="J6828" t="s">
        <v>611</v>
      </c>
      <c r="K6828" s="138">
        <v>617.16</v>
      </c>
      <c r="L6828" s="137">
        <v>0</v>
      </c>
    </row>
    <row r="6829" spans="7:12" x14ac:dyDescent="0.25">
      <c r="G6829" s="136">
        <v>43641</v>
      </c>
      <c r="H6829" t="s">
        <v>25</v>
      </c>
      <c r="I6829" t="s">
        <v>261</v>
      </c>
      <c r="J6829" t="s">
        <v>611</v>
      </c>
      <c r="K6829" s="138">
        <v>594.01</v>
      </c>
      <c r="L6829" s="137">
        <v>0</v>
      </c>
    </row>
    <row r="6830" spans="7:12" x14ac:dyDescent="0.25">
      <c r="G6830" s="136">
        <v>43641</v>
      </c>
      <c r="H6830" t="s">
        <v>25</v>
      </c>
      <c r="I6830" t="s">
        <v>261</v>
      </c>
      <c r="J6830" t="s">
        <v>611</v>
      </c>
      <c r="K6830" s="138">
        <v>583.38</v>
      </c>
      <c r="L6830" s="137">
        <v>0</v>
      </c>
    </row>
    <row r="6831" spans="7:12" x14ac:dyDescent="0.25">
      <c r="G6831" s="136">
        <v>43641</v>
      </c>
      <c r="H6831" t="s">
        <v>25</v>
      </c>
      <c r="I6831" t="s">
        <v>261</v>
      </c>
      <c r="J6831" t="s">
        <v>611</v>
      </c>
      <c r="K6831" s="138">
        <v>507.4</v>
      </c>
      <c r="L6831" s="137">
        <v>0</v>
      </c>
    </row>
    <row r="6832" spans="7:12" x14ac:dyDescent="0.25">
      <c r="G6832" s="136">
        <v>43641</v>
      </c>
      <c r="H6832" t="s">
        <v>25</v>
      </c>
      <c r="I6832" t="s">
        <v>261</v>
      </c>
      <c r="J6832" t="s">
        <v>611</v>
      </c>
      <c r="K6832" s="138">
        <v>478.91</v>
      </c>
      <c r="L6832" s="137">
        <v>0</v>
      </c>
    </row>
    <row r="6833" spans="7:12" x14ac:dyDescent="0.25">
      <c r="G6833" s="136">
        <v>43641</v>
      </c>
      <c r="H6833" t="s">
        <v>25</v>
      </c>
      <c r="I6833" t="s">
        <v>261</v>
      </c>
      <c r="J6833" t="s">
        <v>611</v>
      </c>
      <c r="K6833" s="138">
        <v>414.36</v>
      </c>
      <c r="L6833" s="137">
        <v>0</v>
      </c>
    </row>
    <row r="6834" spans="7:12" x14ac:dyDescent="0.25">
      <c r="G6834" s="136">
        <v>43641</v>
      </c>
      <c r="H6834" t="s">
        <v>25</v>
      </c>
      <c r="I6834" t="s">
        <v>261</v>
      </c>
      <c r="J6834" t="s">
        <v>611</v>
      </c>
      <c r="K6834" s="138">
        <v>402.87</v>
      </c>
      <c r="L6834" s="137">
        <v>0</v>
      </c>
    </row>
    <row r="6835" spans="7:12" x14ac:dyDescent="0.25">
      <c r="G6835" s="136">
        <v>43641</v>
      </c>
      <c r="H6835" t="s">
        <v>25</v>
      </c>
      <c r="I6835" t="s">
        <v>261</v>
      </c>
      <c r="J6835" t="s">
        <v>611</v>
      </c>
      <c r="K6835" s="138">
        <v>351.43</v>
      </c>
      <c r="L6835" s="137">
        <v>0</v>
      </c>
    </row>
    <row r="6836" spans="7:12" x14ac:dyDescent="0.25">
      <c r="G6836" s="136">
        <v>43641</v>
      </c>
      <c r="H6836" t="s">
        <v>25</v>
      </c>
      <c r="I6836" t="s">
        <v>261</v>
      </c>
      <c r="J6836" t="s">
        <v>611</v>
      </c>
      <c r="K6836" s="138">
        <v>330.73</v>
      </c>
      <c r="L6836" s="137">
        <v>0</v>
      </c>
    </row>
    <row r="6837" spans="7:12" x14ac:dyDescent="0.25">
      <c r="G6837" s="136">
        <v>43641</v>
      </c>
      <c r="H6837" t="s">
        <v>25</v>
      </c>
      <c r="I6837" t="s">
        <v>261</v>
      </c>
      <c r="J6837" t="s">
        <v>611</v>
      </c>
      <c r="K6837" s="138">
        <v>318.88</v>
      </c>
      <c r="L6837" s="137">
        <v>0</v>
      </c>
    </row>
    <row r="6838" spans="7:12" x14ac:dyDescent="0.25">
      <c r="G6838" s="136">
        <v>43641</v>
      </c>
      <c r="H6838" t="s">
        <v>25</v>
      </c>
      <c r="I6838" t="s">
        <v>261</v>
      </c>
      <c r="J6838" t="s">
        <v>611</v>
      </c>
      <c r="K6838" s="138">
        <v>318.58999999999997</v>
      </c>
      <c r="L6838" s="137">
        <v>0</v>
      </c>
    </row>
    <row r="6839" spans="7:12" x14ac:dyDescent="0.25">
      <c r="G6839" s="136">
        <v>43641</v>
      </c>
      <c r="H6839" t="s">
        <v>25</v>
      </c>
      <c r="I6839" t="s">
        <v>261</v>
      </c>
      <c r="J6839" t="s">
        <v>611</v>
      </c>
      <c r="K6839" s="138">
        <v>241.12</v>
      </c>
      <c r="L6839" s="137">
        <v>0</v>
      </c>
    </row>
    <row r="6840" spans="7:12" x14ac:dyDescent="0.25">
      <c r="G6840" s="136">
        <v>43641</v>
      </c>
      <c r="H6840" t="s">
        <v>25</v>
      </c>
      <c r="I6840" t="s">
        <v>261</v>
      </c>
      <c r="J6840" t="s">
        <v>611</v>
      </c>
      <c r="K6840" s="138">
        <v>182.59</v>
      </c>
      <c r="L6840" s="137">
        <v>0</v>
      </c>
    </row>
    <row r="6841" spans="7:12" x14ac:dyDescent="0.25">
      <c r="G6841" s="136">
        <v>43641</v>
      </c>
      <c r="H6841" t="s">
        <v>25</v>
      </c>
      <c r="I6841" t="s">
        <v>261</v>
      </c>
      <c r="J6841" t="s">
        <v>611</v>
      </c>
      <c r="K6841" s="138">
        <v>149.97999999999999</v>
      </c>
      <c r="L6841" s="137">
        <v>0</v>
      </c>
    </row>
    <row r="6842" spans="7:12" x14ac:dyDescent="0.25">
      <c r="G6842" s="136">
        <v>43641</v>
      </c>
      <c r="H6842" t="s">
        <v>25</v>
      </c>
      <c r="I6842" t="s">
        <v>261</v>
      </c>
      <c r="J6842" t="s">
        <v>611</v>
      </c>
      <c r="K6842" s="138">
        <v>123.55</v>
      </c>
      <c r="L6842" s="137">
        <v>0</v>
      </c>
    </row>
    <row r="6843" spans="7:12" x14ac:dyDescent="0.25">
      <c r="G6843" s="136">
        <v>43641</v>
      </c>
      <c r="H6843" t="s">
        <v>25</v>
      </c>
      <c r="I6843" t="s">
        <v>261</v>
      </c>
      <c r="J6843" t="s">
        <v>611</v>
      </c>
      <c r="K6843" s="138">
        <v>32.5</v>
      </c>
      <c r="L6843" s="137">
        <v>0</v>
      </c>
    </row>
    <row r="6844" spans="7:12" x14ac:dyDescent="0.25">
      <c r="G6844" s="136">
        <v>43641</v>
      </c>
      <c r="H6844" t="s">
        <v>25</v>
      </c>
      <c r="I6844" t="s">
        <v>261</v>
      </c>
      <c r="J6844" t="s">
        <v>611</v>
      </c>
      <c r="K6844" s="138">
        <v>28.91</v>
      </c>
      <c r="L6844" s="137">
        <v>0</v>
      </c>
    </row>
    <row r="6845" spans="7:12" x14ac:dyDescent="0.25">
      <c r="G6845" s="136">
        <v>43641</v>
      </c>
      <c r="H6845" t="s">
        <v>25</v>
      </c>
      <c r="I6845" t="s">
        <v>261</v>
      </c>
      <c r="J6845" t="s">
        <v>611</v>
      </c>
      <c r="K6845" s="138">
        <v>6.79</v>
      </c>
      <c r="L6845" s="137">
        <v>0</v>
      </c>
    </row>
    <row r="6846" spans="7:12" x14ac:dyDescent="0.25">
      <c r="G6846" s="136">
        <v>43641</v>
      </c>
      <c r="H6846" t="s">
        <v>25</v>
      </c>
      <c r="I6846" t="s">
        <v>171</v>
      </c>
      <c r="J6846" t="s">
        <v>610</v>
      </c>
      <c r="K6846" s="138">
        <v>69.599999999999994</v>
      </c>
      <c r="L6846" s="137">
        <v>0</v>
      </c>
    </row>
    <row r="6847" spans="7:12" x14ac:dyDescent="0.25">
      <c r="G6847" s="136">
        <v>43641</v>
      </c>
      <c r="H6847" t="s">
        <v>196</v>
      </c>
      <c r="I6847" t="s">
        <v>171</v>
      </c>
      <c r="J6847" t="s">
        <v>610</v>
      </c>
      <c r="K6847" s="138">
        <v>544.79999999999995</v>
      </c>
      <c r="L6847" s="137">
        <v>0</v>
      </c>
    </row>
    <row r="6848" spans="7:12" x14ac:dyDescent="0.25">
      <c r="G6848" s="136">
        <v>43641</v>
      </c>
      <c r="H6848" t="s">
        <v>180</v>
      </c>
      <c r="I6848" t="s">
        <v>261</v>
      </c>
      <c r="J6848" t="s">
        <v>611</v>
      </c>
      <c r="K6848" s="138">
        <v>23.05</v>
      </c>
      <c r="L6848" s="137">
        <v>0</v>
      </c>
    </row>
    <row r="6849" spans="7:12" x14ac:dyDescent="0.25">
      <c r="G6849" s="136">
        <v>43641</v>
      </c>
      <c r="H6849" t="s">
        <v>179</v>
      </c>
      <c r="I6849" t="s">
        <v>155</v>
      </c>
      <c r="J6849" t="s">
        <v>610</v>
      </c>
      <c r="K6849" s="138">
        <v>44.94</v>
      </c>
      <c r="L6849" s="137">
        <v>0</v>
      </c>
    </row>
    <row r="6850" spans="7:12" x14ac:dyDescent="0.25">
      <c r="G6850" s="136">
        <v>43641</v>
      </c>
      <c r="H6850" t="s">
        <v>179</v>
      </c>
      <c r="I6850" t="s">
        <v>261</v>
      </c>
      <c r="J6850" t="s">
        <v>611</v>
      </c>
      <c r="K6850" s="138">
        <v>944.15</v>
      </c>
      <c r="L6850" s="137">
        <v>0</v>
      </c>
    </row>
    <row r="6851" spans="7:12" x14ac:dyDescent="0.25">
      <c r="G6851" s="136">
        <v>43641</v>
      </c>
      <c r="H6851" t="s">
        <v>28</v>
      </c>
      <c r="I6851" t="s">
        <v>163</v>
      </c>
      <c r="J6851" t="s">
        <v>610</v>
      </c>
      <c r="K6851" s="138">
        <v>75.12</v>
      </c>
      <c r="L6851" s="137">
        <v>0</v>
      </c>
    </row>
    <row r="6852" spans="7:12" x14ac:dyDescent="0.25">
      <c r="G6852" s="136">
        <v>43641</v>
      </c>
      <c r="H6852" t="s">
        <v>28</v>
      </c>
      <c r="I6852" t="s">
        <v>163</v>
      </c>
      <c r="J6852" t="s">
        <v>610</v>
      </c>
      <c r="K6852" s="138">
        <v>72.459999999999994</v>
      </c>
      <c r="L6852" s="137">
        <v>0</v>
      </c>
    </row>
    <row r="6853" spans="7:12" x14ac:dyDescent="0.25">
      <c r="G6853" s="136">
        <v>43641</v>
      </c>
      <c r="H6853" t="s">
        <v>28</v>
      </c>
      <c r="I6853" t="s">
        <v>112</v>
      </c>
      <c r="J6853" t="s">
        <v>610</v>
      </c>
      <c r="K6853" s="138">
        <v>35.979999999999997</v>
      </c>
      <c r="L6853" s="137">
        <v>0</v>
      </c>
    </row>
    <row r="6854" spans="7:12" x14ac:dyDescent="0.25">
      <c r="G6854" s="136">
        <v>43641</v>
      </c>
      <c r="H6854" t="s">
        <v>28</v>
      </c>
      <c r="I6854" t="s">
        <v>112</v>
      </c>
      <c r="J6854" t="s">
        <v>610</v>
      </c>
      <c r="K6854" s="138">
        <v>18</v>
      </c>
      <c r="L6854" s="137">
        <v>0</v>
      </c>
    </row>
    <row r="6855" spans="7:12" x14ac:dyDescent="0.25">
      <c r="G6855" s="136">
        <v>43641</v>
      </c>
      <c r="H6855" t="s">
        <v>28</v>
      </c>
      <c r="I6855" t="s">
        <v>155</v>
      </c>
      <c r="J6855" t="s">
        <v>610</v>
      </c>
      <c r="K6855" s="138">
        <v>96.89</v>
      </c>
      <c r="L6855" s="137">
        <v>0</v>
      </c>
    </row>
    <row r="6856" spans="7:12" x14ac:dyDescent="0.25">
      <c r="G6856" s="136">
        <v>43641</v>
      </c>
      <c r="H6856" t="s">
        <v>28</v>
      </c>
      <c r="I6856" t="s">
        <v>155</v>
      </c>
      <c r="J6856" t="s">
        <v>610</v>
      </c>
      <c r="K6856" s="138">
        <v>95.71</v>
      </c>
      <c r="L6856" s="137">
        <v>0</v>
      </c>
    </row>
    <row r="6857" spans="7:12" x14ac:dyDescent="0.25">
      <c r="G6857" s="136">
        <v>43641</v>
      </c>
      <c r="H6857" t="s">
        <v>28</v>
      </c>
      <c r="I6857" t="s">
        <v>155</v>
      </c>
      <c r="J6857" t="s">
        <v>610</v>
      </c>
      <c r="K6857" s="138">
        <v>52.06</v>
      </c>
      <c r="L6857" s="137">
        <v>0</v>
      </c>
    </row>
    <row r="6858" spans="7:12" x14ac:dyDescent="0.25">
      <c r="G6858" s="136">
        <v>43641</v>
      </c>
      <c r="H6858" t="s">
        <v>28</v>
      </c>
      <c r="I6858" t="s">
        <v>155</v>
      </c>
      <c r="J6858" t="s">
        <v>610</v>
      </c>
      <c r="K6858" s="138">
        <v>46.99</v>
      </c>
      <c r="L6858" s="137">
        <v>0</v>
      </c>
    </row>
    <row r="6859" spans="7:12" x14ac:dyDescent="0.25">
      <c r="G6859" s="136">
        <v>43641</v>
      </c>
      <c r="H6859" t="s">
        <v>28</v>
      </c>
      <c r="I6859" t="s">
        <v>155</v>
      </c>
      <c r="J6859" t="s">
        <v>610</v>
      </c>
      <c r="K6859" s="138">
        <v>40.26</v>
      </c>
      <c r="L6859" s="137">
        <v>0</v>
      </c>
    </row>
    <row r="6860" spans="7:12" x14ac:dyDescent="0.25">
      <c r="G6860" s="136">
        <v>43641</v>
      </c>
      <c r="H6860" t="s">
        <v>28</v>
      </c>
      <c r="I6860" t="s">
        <v>155</v>
      </c>
      <c r="J6860" t="s">
        <v>610</v>
      </c>
      <c r="K6860" s="138">
        <v>22.27</v>
      </c>
      <c r="L6860" s="137">
        <v>0</v>
      </c>
    </row>
    <row r="6861" spans="7:12" x14ac:dyDescent="0.25">
      <c r="G6861" s="136">
        <v>43641</v>
      </c>
      <c r="H6861" t="s">
        <v>28</v>
      </c>
      <c r="I6861" t="s">
        <v>155</v>
      </c>
      <c r="J6861" t="s">
        <v>610</v>
      </c>
      <c r="K6861" s="138">
        <v>18</v>
      </c>
      <c r="L6861" s="137">
        <v>0</v>
      </c>
    </row>
    <row r="6862" spans="7:12" x14ac:dyDescent="0.25">
      <c r="G6862" s="136">
        <v>43641</v>
      </c>
      <c r="H6862" t="s">
        <v>28</v>
      </c>
      <c r="I6862" t="s">
        <v>155</v>
      </c>
      <c r="J6862" t="s">
        <v>610</v>
      </c>
      <c r="K6862" s="138">
        <v>11.49</v>
      </c>
      <c r="L6862" s="137">
        <v>0</v>
      </c>
    </row>
    <row r="6863" spans="7:12" x14ac:dyDescent="0.25">
      <c r="G6863" s="136">
        <v>43641</v>
      </c>
      <c r="H6863" t="s">
        <v>28</v>
      </c>
      <c r="I6863" t="s">
        <v>261</v>
      </c>
      <c r="J6863" t="s">
        <v>611</v>
      </c>
      <c r="K6863" s="138">
        <v>128.72</v>
      </c>
      <c r="L6863" s="137">
        <v>0</v>
      </c>
    </row>
    <row r="6864" spans="7:12" x14ac:dyDescent="0.25">
      <c r="G6864" s="136">
        <v>43641</v>
      </c>
      <c r="H6864" t="s">
        <v>28</v>
      </c>
      <c r="I6864" t="s">
        <v>261</v>
      </c>
      <c r="J6864" t="s">
        <v>611</v>
      </c>
      <c r="K6864" s="138">
        <v>105.95</v>
      </c>
      <c r="L6864" s="137">
        <v>0</v>
      </c>
    </row>
    <row r="6865" spans="7:12" x14ac:dyDescent="0.25">
      <c r="G6865" s="136">
        <v>43641</v>
      </c>
      <c r="H6865" t="s">
        <v>28</v>
      </c>
      <c r="I6865" t="s">
        <v>261</v>
      </c>
      <c r="J6865" t="s">
        <v>611</v>
      </c>
      <c r="K6865" s="138">
        <v>65.63</v>
      </c>
      <c r="L6865" s="137">
        <v>0</v>
      </c>
    </row>
    <row r="6866" spans="7:12" x14ac:dyDescent="0.25">
      <c r="G6866" s="136">
        <v>43641</v>
      </c>
      <c r="H6866" t="s">
        <v>28</v>
      </c>
      <c r="I6866" t="s">
        <v>261</v>
      </c>
      <c r="J6866" t="s">
        <v>611</v>
      </c>
      <c r="K6866" s="138">
        <v>62.72</v>
      </c>
      <c r="L6866" s="137">
        <v>0</v>
      </c>
    </row>
    <row r="6867" spans="7:12" x14ac:dyDescent="0.25">
      <c r="G6867" s="136">
        <v>43641</v>
      </c>
      <c r="H6867" t="s">
        <v>28</v>
      </c>
      <c r="I6867" t="s">
        <v>261</v>
      </c>
      <c r="J6867" t="s">
        <v>611</v>
      </c>
      <c r="K6867" s="138">
        <v>20.86</v>
      </c>
      <c r="L6867" s="137">
        <v>0</v>
      </c>
    </row>
    <row r="6868" spans="7:12" x14ac:dyDescent="0.25">
      <c r="G6868" s="136">
        <v>43642</v>
      </c>
      <c r="H6868" t="s">
        <v>185</v>
      </c>
      <c r="I6868" t="s">
        <v>171</v>
      </c>
      <c r="J6868" t="s">
        <v>612</v>
      </c>
      <c r="K6868" s="138">
        <v>477.97</v>
      </c>
      <c r="L6868" s="137">
        <v>0</v>
      </c>
    </row>
    <row r="6869" spans="7:12" x14ac:dyDescent="0.25">
      <c r="G6869" s="136">
        <v>43642</v>
      </c>
      <c r="H6869" t="s">
        <v>25</v>
      </c>
      <c r="I6869" t="s">
        <v>63</v>
      </c>
      <c r="J6869" t="s">
        <v>612</v>
      </c>
      <c r="K6869" s="138">
        <v>24</v>
      </c>
      <c r="L6869" s="137">
        <v>0</v>
      </c>
    </row>
    <row r="6870" spans="7:12" x14ac:dyDescent="0.25">
      <c r="G6870" s="136">
        <v>43642</v>
      </c>
      <c r="H6870" t="s">
        <v>25</v>
      </c>
      <c r="I6870" t="s">
        <v>63</v>
      </c>
      <c r="J6870" t="s">
        <v>612</v>
      </c>
      <c r="K6870" s="138">
        <v>8</v>
      </c>
      <c r="L6870" s="137">
        <v>0</v>
      </c>
    </row>
    <row r="6871" spans="7:12" x14ac:dyDescent="0.25">
      <c r="G6871" s="136">
        <v>43642</v>
      </c>
      <c r="H6871" t="s">
        <v>201</v>
      </c>
      <c r="I6871" t="s">
        <v>112</v>
      </c>
      <c r="J6871" t="s">
        <v>612</v>
      </c>
      <c r="K6871" s="138">
        <v>137.63</v>
      </c>
      <c r="L6871" s="137">
        <v>0</v>
      </c>
    </row>
    <row r="6872" spans="7:12" x14ac:dyDescent="0.25">
      <c r="G6872" s="136">
        <v>43642</v>
      </c>
      <c r="H6872" t="s">
        <v>211</v>
      </c>
      <c r="I6872" t="s">
        <v>171</v>
      </c>
      <c r="J6872" t="s">
        <v>612</v>
      </c>
      <c r="K6872" s="138">
        <v>2322.9</v>
      </c>
      <c r="L6872" s="137">
        <v>0</v>
      </c>
    </row>
    <row r="6873" spans="7:12" x14ac:dyDescent="0.25">
      <c r="G6873" s="136">
        <v>43642</v>
      </c>
      <c r="H6873" t="s">
        <v>28</v>
      </c>
      <c r="I6873" t="s">
        <v>155</v>
      </c>
      <c r="J6873" t="s">
        <v>612</v>
      </c>
      <c r="K6873" s="138">
        <v>60.45</v>
      </c>
      <c r="L6873" s="137">
        <v>0</v>
      </c>
    </row>
    <row r="6874" spans="7:12" x14ac:dyDescent="0.25">
      <c r="G6874" s="136">
        <v>43642</v>
      </c>
      <c r="H6874" t="s">
        <v>28</v>
      </c>
      <c r="I6874" t="s">
        <v>155</v>
      </c>
      <c r="J6874" t="s">
        <v>612</v>
      </c>
      <c r="K6874" s="138">
        <v>59.88</v>
      </c>
      <c r="L6874" s="137">
        <v>0</v>
      </c>
    </row>
    <row r="6875" spans="7:12" x14ac:dyDescent="0.25">
      <c r="G6875" s="136">
        <v>43642</v>
      </c>
      <c r="H6875" t="s">
        <v>28</v>
      </c>
      <c r="I6875" t="s">
        <v>155</v>
      </c>
      <c r="J6875" t="s">
        <v>612</v>
      </c>
      <c r="K6875" s="138">
        <v>23.99</v>
      </c>
      <c r="L6875" s="137">
        <v>0</v>
      </c>
    </row>
    <row r="6876" spans="7:12" x14ac:dyDescent="0.25">
      <c r="G6876" s="136">
        <v>43642</v>
      </c>
      <c r="H6876" t="s">
        <v>28</v>
      </c>
      <c r="I6876" t="s">
        <v>66</v>
      </c>
      <c r="J6876" t="s">
        <v>111</v>
      </c>
      <c r="K6876" s="138">
        <v>4.75</v>
      </c>
      <c r="L6876" s="137">
        <v>0</v>
      </c>
    </row>
    <row r="6877" spans="7:12" x14ac:dyDescent="0.25">
      <c r="G6877" s="136">
        <v>43642</v>
      </c>
      <c r="H6877" t="s">
        <v>28</v>
      </c>
      <c r="I6877" t="s">
        <v>66</v>
      </c>
      <c r="J6877" t="s">
        <v>98</v>
      </c>
      <c r="K6877" s="138">
        <v>14</v>
      </c>
      <c r="L6877" s="137">
        <v>0</v>
      </c>
    </row>
    <row r="6878" spans="7:12" x14ac:dyDescent="0.25">
      <c r="G6878" s="136">
        <v>43643</v>
      </c>
      <c r="H6878" t="s">
        <v>204</v>
      </c>
      <c r="I6878" t="s">
        <v>171</v>
      </c>
      <c r="J6878" t="s">
        <v>613</v>
      </c>
      <c r="K6878" s="138">
        <v>32</v>
      </c>
      <c r="L6878" s="137">
        <v>0</v>
      </c>
    </row>
    <row r="6879" spans="7:12" x14ac:dyDescent="0.25">
      <c r="G6879" s="136">
        <v>43643</v>
      </c>
      <c r="H6879" t="s">
        <v>27</v>
      </c>
      <c r="I6879" t="s">
        <v>63</v>
      </c>
      <c r="J6879" t="s">
        <v>613</v>
      </c>
      <c r="K6879" s="138">
        <v>16</v>
      </c>
      <c r="L6879" s="137">
        <v>0</v>
      </c>
    </row>
    <row r="6880" spans="7:12" x14ac:dyDescent="0.25">
      <c r="G6880" s="136">
        <v>43643</v>
      </c>
      <c r="H6880" t="s">
        <v>27</v>
      </c>
      <c r="I6880" t="s">
        <v>63</v>
      </c>
      <c r="J6880" t="s">
        <v>613</v>
      </c>
      <c r="K6880" s="138">
        <v>8</v>
      </c>
      <c r="L6880" s="137">
        <v>0</v>
      </c>
    </row>
    <row r="6881" spans="7:12" x14ac:dyDescent="0.25">
      <c r="G6881" s="136">
        <v>43643</v>
      </c>
      <c r="H6881" t="s">
        <v>27</v>
      </c>
      <c r="I6881" t="s">
        <v>171</v>
      </c>
      <c r="J6881" t="s">
        <v>613</v>
      </c>
      <c r="K6881" s="138">
        <v>64</v>
      </c>
      <c r="L6881" s="137">
        <v>0</v>
      </c>
    </row>
    <row r="6882" spans="7:12" x14ac:dyDescent="0.25">
      <c r="G6882" s="136">
        <v>43643</v>
      </c>
      <c r="H6882" t="s">
        <v>198</v>
      </c>
      <c r="I6882" t="s">
        <v>171</v>
      </c>
      <c r="J6882" t="s">
        <v>613</v>
      </c>
      <c r="K6882" s="138">
        <v>5</v>
      </c>
      <c r="L6882" s="137">
        <v>0</v>
      </c>
    </row>
    <row r="6883" spans="7:12" x14ac:dyDescent="0.25">
      <c r="G6883" s="136">
        <v>43643</v>
      </c>
      <c r="H6883" t="s">
        <v>184</v>
      </c>
      <c r="I6883" t="s">
        <v>171</v>
      </c>
      <c r="J6883" t="s">
        <v>613</v>
      </c>
      <c r="K6883" s="138">
        <v>25</v>
      </c>
      <c r="L6883" s="137">
        <v>0</v>
      </c>
    </row>
    <row r="6884" spans="7:12" x14ac:dyDescent="0.25">
      <c r="G6884" s="136">
        <v>43643</v>
      </c>
      <c r="H6884" t="s">
        <v>183</v>
      </c>
      <c r="I6884" t="s">
        <v>171</v>
      </c>
      <c r="J6884" t="s">
        <v>613</v>
      </c>
      <c r="K6884" s="138">
        <v>9.3800000000000008</v>
      </c>
      <c r="L6884" s="137">
        <v>0</v>
      </c>
    </row>
    <row r="6885" spans="7:12" x14ac:dyDescent="0.25">
      <c r="G6885" s="136">
        <v>43643</v>
      </c>
      <c r="H6885" t="s">
        <v>188</v>
      </c>
      <c r="I6885" t="s">
        <v>171</v>
      </c>
      <c r="J6885" t="s">
        <v>613</v>
      </c>
      <c r="K6885" s="138">
        <v>168</v>
      </c>
      <c r="L6885" s="137">
        <v>0</v>
      </c>
    </row>
    <row r="6886" spans="7:12" x14ac:dyDescent="0.25">
      <c r="G6886" s="136">
        <v>43643</v>
      </c>
      <c r="H6886" t="s">
        <v>25</v>
      </c>
      <c r="I6886" t="s">
        <v>63</v>
      </c>
      <c r="J6886" t="s">
        <v>613</v>
      </c>
      <c r="K6886" s="138">
        <v>24</v>
      </c>
      <c r="L6886" s="137">
        <v>0</v>
      </c>
    </row>
    <row r="6887" spans="7:12" x14ac:dyDescent="0.25">
      <c r="G6887" s="136">
        <v>43643</v>
      </c>
      <c r="H6887" t="s">
        <v>25</v>
      </c>
      <c r="I6887" t="s">
        <v>63</v>
      </c>
      <c r="J6887" t="s">
        <v>613</v>
      </c>
      <c r="K6887" s="138">
        <v>16</v>
      </c>
      <c r="L6887" s="137">
        <v>0</v>
      </c>
    </row>
    <row r="6888" spans="7:12" x14ac:dyDescent="0.25">
      <c r="G6888" s="136">
        <v>43643</v>
      </c>
      <c r="H6888" t="s">
        <v>25</v>
      </c>
      <c r="I6888" t="s">
        <v>63</v>
      </c>
      <c r="J6888" t="s">
        <v>613</v>
      </c>
      <c r="K6888" s="138">
        <v>8</v>
      </c>
      <c r="L6888" s="137">
        <v>0</v>
      </c>
    </row>
    <row r="6889" spans="7:12" x14ac:dyDescent="0.25">
      <c r="G6889" s="136">
        <v>43643</v>
      </c>
      <c r="H6889" t="s">
        <v>25</v>
      </c>
      <c r="I6889" t="s">
        <v>171</v>
      </c>
      <c r="J6889" t="s">
        <v>613</v>
      </c>
      <c r="K6889" s="138">
        <v>32</v>
      </c>
      <c r="L6889" s="137">
        <v>0</v>
      </c>
    </row>
    <row r="6890" spans="7:12" x14ac:dyDescent="0.25">
      <c r="G6890" s="136">
        <v>43643</v>
      </c>
      <c r="H6890" t="s">
        <v>25</v>
      </c>
      <c r="I6890" t="s">
        <v>171</v>
      </c>
      <c r="J6890" t="s">
        <v>613</v>
      </c>
      <c r="K6890" s="138">
        <v>20</v>
      </c>
      <c r="L6890" s="137">
        <v>0</v>
      </c>
    </row>
    <row r="6891" spans="7:12" x14ac:dyDescent="0.25">
      <c r="G6891" s="136">
        <v>43643</v>
      </c>
      <c r="H6891" t="s">
        <v>211</v>
      </c>
      <c r="I6891" t="s">
        <v>171</v>
      </c>
      <c r="J6891" t="s">
        <v>613</v>
      </c>
      <c r="K6891" s="138">
        <v>719.83</v>
      </c>
      <c r="L6891" s="137">
        <v>0</v>
      </c>
    </row>
    <row r="6892" spans="7:12" x14ac:dyDescent="0.25">
      <c r="G6892" s="136">
        <v>43643</v>
      </c>
      <c r="H6892" t="s">
        <v>181</v>
      </c>
      <c r="I6892" t="s">
        <v>176</v>
      </c>
      <c r="J6892" t="s">
        <v>613</v>
      </c>
      <c r="K6892" s="138">
        <v>0</v>
      </c>
      <c r="L6892" s="137">
        <v>719.44</v>
      </c>
    </row>
    <row r="6893" spans="7:12" x14ac:dyDescent="0.25">
      <c r="G6893" s="136">
        <v>43643</v>
      </c>
      <c r="H6893" t="s">
        <v>197</v>
      </c>
      <c r="I6893" t="s">
        <v>171</v>
      </c>
      <c r="J6893" t="s">
        <v>613</v>
      </c>
      <c r="K6893" s="138">
        <v>56.55</v>
      </c>
      <c r="L6893" s="137">
        <v>0</v>
      </c>
    </row>
    <row r="6894" spans="7:12" x14ac:dyDescent="0.25">
      <c r="G6894" s="136">
        <v>43643</v>
      </c>
      <c r="H6894" t="s">
        <v>179</v>
      </c>
      <c r="I6894" t="s">
        <v>63</v>
      </c>
      <c r="J6894" t="s">
        <v>613</v>
      </c>
      <c r="K6894" s="138">
        <v>18.690000000000001</v>
      </c>
      <c r="L6894" s="137">
        <v>0</v>
      </c>
    </row>
    <row r="6895" spans="7:12" x14ac:dyDescent="0.25">
      <c r="G6895" s="136">
        <v>43643</v>
      </c>
      <c r="H6895" t="s">
        <v>179</v>
      </c>
      <c r="I6895" t="s">
        <v>163</v>
      </c>
      <c r="J6895" t="s">
        <v>613</v>
      </c>
      <c r="K6895" s="138">
        <v>22.5</v>
      </c>
      <c r="L6895" s="137">
        <v>0</v>
      </c>
    </row>
    <row r="6896" spans="7:12" x14ac:dyDescent="0.25">
      <c r="G6896" s="136">
        <v>43643</v>
      </c>
      <c r="H6896" t="s">
        <v>28</v>
      </c>
      <c r="I6896" t="s">
        <v>163</v>
      </c>
      <c r="J6896" t="s">
        <v>613</v>
      </c>
      <c r="K6896" s="138">
        <v>75</v>
      </c>
      <c r="L6896" s="137">
        <v>0</v>
      </c>
    </row>
    <row r="6897" spans="7:12" x14ac:dyDescent="0.25">
      <c r="G6897" s="136">
        <v>43643</v>
      </c>
      <c r="H6897" t="s">
        <v>28</v>
      </c>
      <c r="I6897" t="s">
        <v>66</v>
      </c>
      <c r="J6897" t="s">
        <v>293</v>
      </c>
      <c r="K6897" s="138">
        <v>1.8</v>
      </c>
      <c r="L6897" s="137">
        <v>0</v>
      </c>
    </row>
    <row r="6898" spans="7:12" x14ac:dyDescent="0.25">
      <c r="G6898" s="136">
        <v>43643</v>
      </c>
      <c r="H6898" t="s">
        <v>28</v>
      </c>
      <c r="I6898" t="s">
        <v>66</v>
      </c>
      <c r="J6898" t="s">
        <v>141</v>
      </c>
      <c r="K6898" s="138">
        <v>6.4</v>
      </c>
      <c r="L6898" s="137">
        <v>0</v>
      </c>
    </row>
    <row r="6899" spans="7:12" x14ac:dyDescent="0.25">
      <c r="G6899" s="136">
        <v>43643</v>
      </c>
      <c r="H6899" t="s">
        <v>28</v>
      </c>
      <c r="I6899" t="s">
        <v>66</v>
      </c>
      <c r="J6899" t="s">
        <v>142</v>
      </c>
      <c r="K6899" s="138">
        <v>22</v>
      </c>
      <c r="L6899" s="137">
        <v>0</v>
      </c>
    </row>
    <row r="6900" spans="7:12" x14ac:dyDescent="0.25">
      <c r="G6900" s="136">
        <v>43643</v>
      </c>
      <c r="H6900" t="s">
        <v>28</v>
      </c>
      <c r="I6900" t="s">
        <v>66</v>
      </c>
      <c r="J6900" t="s">
        <v>104</v>
      </c>
      <c r="K6900" s="138">
        <v>10.25</v>
      </c>
      <c r="L6900" s="137">
        <v>0</v>
      </c>
    </row>
    <row r="6901" spans="7:12" x14ac:dyDescent="0.25">
      <c r="G6901" s="136">
        <v>43643</v>
      </c>
      <c r="H6901" t="s">
        <v>28</v>
      </c>
      <c r="I6901" t="s">
        <v>66</v>
      </c>
      <c r="J6901" t="s">
        <v>614</v>
      </c>
      <c r="K6901" s="138">
        <v>12</v>
      </c>
      <c r="L6901" s="137">
        <v>0</v>
      </c>
    </row>
    <row r="6902" spans="7:12" x14ac:dyDescent="0.25">
      <c r="G6902" s="136">
        <v>43643</v>
      </c>
      <c r="H6902" t="s">
        <v>28</v>
      </c>
      <c r="I6902" t="s">
        <v>171</v>
      </c>
      <c r="J6902" t="s">
        <v>613</v>
      </c>
      <c r="K6902" s="138">
        <v>114</v>
      </c>
      <c r="L6902" s="137">
        <v>0</v>
      </c>
    </row>
    <row r="6903" spans="7:12" x14ac:dyDescent="0.25">
      <c r="G6903" s="136">
        <v>43643</v>
      </c>
      <c r="H6903" t="s">
        <v>28</v>
      </c>
      <c r="I6903" t="s">
        <v>171</v>
      </c>
      <c r="J6903" t="s">
        <v>613</v>
      </c>
      <c r="K6903" s="138">
        <v>100</v>
      </c>
      <c r="L6903" s="137">
        <v>0</v>
      </c>
    </row>
    <row r="6904" spans="7:12" x14ac:dyDescent="0.25">
      <c r="G6904" s="136">
        <v>43643</v>
      </c>
      <c r="H6904" t="s">
        <v>28</v>
      </c>
      <c r="I6904" t="s">
        <v>171</v>
      </c>
      <c r="J6904" t="s">
        <v>613</v>
      </c>
      <c r="K6904" s="138">
        <v>76</v>
      </c>
      <c r="L6904" s="137">
        <v>0</v>
      </c>
    </row>
    <row r="6905" spans="7:12" x14ac:dyDescent="0.25">
      <c r="G6905" s="136">
        <v>43643</v>
      </c>
      <c r="H6905" t="s">
        <v>28</v>
      </c>
      <c r="I6905" t="s">
        <v>171</v>
      </c>
      <c r="J6905" t="s">
        <v>613</v>
      </c>
      <c r="K6905" s="138">
        <v>32</v>
      </c>
      <c r="L6905" s="137">
        <v>0</v>
      </c>
    </row>
    <row r="6906" spans="7:12" x14ac:dyDescent="0.25">
      <c r="G6906" s="136">
        <v>43643</v>
      </c>
      <c r="H6906" t="s">
        <v>28</v>
      </c>
      <c r="I6906" t="s">
        <v>171</v>
      </c>
      <c r="J6906" t="s">
        <v>613</v>
      </c>
      <c r="K6906" s="138">
        <v>10</v>
      </c>
      <c r="L6906" s="137">
        <v>0</v>
      </c>
    </row>
    <row r="6907" spans="7:12" x14ac:dyDescent="0.25">
      <c r="G6907" s="136">
        <v>43644</v>
      </c>
      <c r="H6907" t="s">
        <v>214</v>
      </c>
      <c r="I6907" t="s">
        <v>155</v>
      </c>
      <c r="J6907" t="s">
        <v>616</v>
      </c>
      <c r="K6907" s="138">
        <v>1000</v>
      </c>
      <c r="L6907" s="137">
        <v>0</v>
      </c>
    </row>
    <row r="6908" spans="7:12" x14ac:dyDescent="0.25">
      <c r="G6908" s="136">
        <v>43644</v>
      </c>
      <c r="H6908" t="s">
        <v>200</v>
      </c>
      <c r="I6908" t="s">
        <v>42</v>
      </c>
      <c r="J6908" t="s">
        <v>616</v>
      </c>
      <c r="K6908" s="138">
        <v>123</v>
      </c>
      <c r="L6908" s="137">
        <v>0</v>
      </c>
    </row>
    <row r="6909" spans="7:12" x14ac:dyDescent="0.25">
      <c r="G6909" s="136">
        <v>43644</v>
      </c>
      <c r="H6909" t="s">
        <v>211</v>
      </c>
      <c r="I6909" t="s">
        <v>176</v>
      </c>
      <c r="J6909" t="s">
        <v>616</v>
      </c>
      <c r="K6909" s="138">
        <v>0</v>
      </c>
      <c r="L6909" s="137">
        <v>382.02</v>
      </c>
    </row>
    <row r="6910" spans="7:12" x14ac:dyDescent="0.25">
      <c r="G6910" s="136">
        <v>43644</v>
      </c>
      <c r="H6910" t="s">
        <v>28</v>
      </c>
      <c r="I6910" t="s">
        <v>66</v>
      </c>
      <c r="J6910" t="s">
        <v>139</v>
      </c>
      <c r="K6910" s="138">
        <v>18</v>
      </c>
      <c r="L6910" s="137">
        <v>0</v>
      </c>
    </row>
    <row r="6911" spans="7:12" x14ac:dyDescent="0.25">
      <c r="G6911" s="136">
        <v>43644</v>
      </c>
      <c r="H6911" t="s">
        <v>28</v>
      </c>
      <c r="I6911" t="s">
        <v>66</v>
      </c>
      <c r="J6911" t="s">
        <v>615</v>
      </c>
      <c r="K6911" s="138">
        <v>16</v>
      </c>
      <c r="L6911" s="137">
        <v>0</v>
      </c>
    </row>
    <row r="6912" spans="7:12" x14ac:dyDescent="0.25">
      <c r="G6912" s="136">
        <v>43645</v>
      </c>
      <c r="H6912" t="s">
        <v>28</v>
      </c>
      <c r="I6912" t="s">
        <v>66</v>
      </c>
      <c r="J6912" t="s">
        <v>285</v>
      </c>
      <c r="K6912" s="138">
        <v>8.6999999999999993</v>
      </c>
      <c r="L6912" s="137">
        <v>0</v>
      </c>
    </row>
    <row r="6913" spans="7:12" x14ac:dyDescent="0.25">
      <c r="G6913" s="136">
        <v>43645</v>
      </c>
      <c r="H6913" t="s">
        <v>28</v>
      </c>
      <c r="I6913" t="s">
        <v>66</v>
      </c>
      <c r="J6913" t="s">
        <v>121</v>
      </c>
      <c r="K6913" s="138">
        <v>9</v>
      </c>
      <c r="L6913" s="137">
        <v>0</v>
      </c>
    </row>
    <row r="6914" spans="7:12" x14ac:dyDescent="0.25">
      <c r="G6914" s="136">
        <v>43648</v>
      </c>
      <c r="H6914" t="s">
        <v>27</v>
      </c>
      <c r="I6914" t="s">
        <v>63</v>
      </c>
      <c r="J6914" t="s">
        <v>617</v>
      </c>
      <c r="K6914" s="138">
        <v>64</v>
      </c>
      <c r="L6914" s="137">
        <v>0</v>
      </c>
    </row>
    <row r="6915" spans="7:12" x14ac:dyDescent="0.25">
      <c r="G6915" s="136">
        <v>43648</v>
      </c>
      <c r="H6915" t="s">
        <v>27</v>
      </c>
      <c r="I6915" t="s">
        <v>63</v>
      </c>
      <c r="J6915" t="s">
        <v>617</v>
      </c>
      <c r="K6915" s="138">
        <v>8</v>
      </c>
      <c r="L6915" s="137">
        <v>0</v>
      </c>
    </row>
    <row r="6916" spans="7:12" x14ac:dyDescent="0.25">
      <c r="G6916" s="136">
        <v>43648</v>
      </c>
      <c r="H6916" t="s">
        <v>185</v>
      </c>
      <c r="I6916" t="s">
        <v>171</v>
      </c>
      <c r="J6916" t="s">
        <v>617</v>
      </c>
      <c r="K6916" s="138">
        <v>5</v>
      </c>
      <c r="L6916" s="137">
        <v>0</v>
      </c>
    </row>
    <row r="6917" spans="7:12" x14ac:dyDescent="0.25">
      <c r="G6917" s="136">
        <v>43648</v>
      </c>
      <c r="H6917" t="s">
        <v>188</v>
      </c>
      <c r="I6917" t="s">
        <v>171</v>
      </c>
      <c r="J6917" t="s">
        <v>617</v>
      </c>
      <c r="K6917" s="138">
        <v>52</v>
      </c>
      <c r="L6917" s="137">
        <v>0</v>
      </c>
    </row>
    <row r="6918" spans="7:12" x14ac:dyDescent="0.25">
      <c r="G6918" s="136">
        <v>43648</v>
      </c>
      <c r="H6918" t="s">
        <v>25</v>
      </c>
      <c r="I6918" t="s">
        <v>63</v>
      </c>
      <c r="J6918" t="s">
        <v>617</v>
      </c>
      <c r="K6918" s="138">
        <v>56</v>
      </c>
      <c r="L6918" s="137">
        <v>0</v>
      </c>
    </row>
    <row r="6919" spans="7:12" x14ac:dyDescent="0.25">
      <c r="G6919" s="136">
        <v>43648</v>
      </c>
      <c r="H6919" t="s">
        <v>25</v>
      </c>
      <c r="I6919" t="s">
        <v>63</v>
      </c>
      <c r="J6919" t="s">
        <v>617</v>
      </c>
      <c r="K6919" s="138">
        <v>40</v>
      </c>
      <c r="L6919" s="137">
        <v>0</v>
      </c>
    </row>
    <row r="6920" spans="7:12" x14ac:dyDescent="0.25">
      <c r="G6920" s="136">
        <v>43648</v>
      </c>
      <c r="H6920" t="s">
        <v>25</v>
      </c>
      <c r="I6920" t="s">
        <v>63</v>
      </c>
      <c r="J6920" t="s">
        <v>617</v>
      </c>
      <c r="K6920" s="138">
        <v>32</v>
      </c>
      <c r="L6920" s="137">
        <v>0</v>
      </c>
    </row>
    <row r="6921" spans="7:12" x14ac:dyDescent="0.25">
      <c r="G6921" s="136">
        <v>43648</v>
      </c>
      <c r="H6921" t="s">
        <v>25</v>
      </c>
      <c r="I6921" t="s">
        <v>63</v>
      </c>
      <c r="J6921" t="s">
        <v>617</v>
      </c>
      <c r="K6921" s="138">
        <v>16</v>
      </c>
      <c r="L6921" s="137">
        <v>0</v>
      </c>
    </row>
    <row r="6922" spans="7:12" x14ac:dyDescent="0.25">
      <c r="G6922" s="136">
        <v>43648</v>
      </c>
      <c r="H6922" t="s">
        <v>25</v>
      </c>
      <c r="I6922" t="s">
        <v>171</v>
      </c>
      <c r="J6922" t="s">
        <v>617</v>
      </c>
      <c r="K6922" s="138">
        <v>338</v>
      </c>
      <c r="L6922" s="137">
        <v>0</v>
      </c>
    </row>
    <row r="6923" spans="7:12" x14ac:dyDescent="0.25">
      <c r="G6923" s="136">
        <v>43648</v>
      </c>
      <c r="H6923" t="s">
        <v>25</v>
      </c>
      <c r="I6923" t="s">
        <v>171</v>
      </c>
      <c r="J6923" t="s">
        <v>617</v>
      </c>
      <c r="K6923" s="138">
        <v>182</v>
      </c>
      <c r="L6923" s="137">
        <v>0</v>
      </c>
    </row>
    <row r="6924" spans="7:12" x14ac:dyDescent="0.25">
      <c r="G6924" s="136">
        <v>43648</v>
      </c>
      <c r="H6924" t="s">
        <v>181</v>
      </c>
      <c r="I6924" t="s">
        <v>171</v>
      </c>
      <c r="J6924" t="s">
        <v>617</v>
      </c>
      <c r="K6924" s="138">
        <v>42.6</v>
      </c>
      <c r="L6924" s="137">
        <v>0</v>
      </c>
    </row>
    <row r="6925" spans="7:12" x14ac:dyDescent="0.25">
      <c r="G6925" s="136">
        <v>43648</v>
      </c>
      <c r="H6925" t="s">
        <v>197</v>
      </c>
      <c r="I6925" t="s">
        <v>163</v>
      </c>
      <c r="J6925" t="s">
        <v>617</v>
      </c>
      <c r="K6925" s="138">
        <v>35</v>
      </c>
      <c r="L6925" s="137">
        <v>0</v>
      </c>
    </row>
    <row r="6926" spans="7:12" x14ac:dyDescent="0.25">
      <c r="G6926" s="136">
        <v>43648</v>
      </c>
      <c r="H6926" t="s">
        <v>180</v>
      </c>
      <c r="I6926" t="s">
        <v>171</v>
      </c>
      <c r="J6926" t="s">
        <v>617</v>
      </c>
      <c r="K6926" s="138">
        <v>9.9</v>
      </c>
      <c r="L6926" s="137">
        <v>0</v>
      </c>
    </row>
    <row r="6927" spans="7:12" x14ac:dyDescent="0.25">
      <c r="G6927" s="136">
        <v>43648</v>
      </c>
      <c r="H6927" t="s">
        <v>28</v>
      </c>
      <c r="I6927" t="s">
        <v>63</v>
      </c>
      <c r="J6927" t="s">
        <v>617</v>
      </c>
      <c r="K6927" s="138">
        <v>8</v>
      </c>
      <c r="L6927" s="137">
        <v>0</v>
      </c>
    </row>
    <row r="6928" spans="7:12" x14ac:dyDescent="0.25">
      <c r="G6928" s="136">
        <v>43648</v>
      </c>
      <c r="H6928" t="s">
        <v>28</v>
      </c>
      <c r="I6928" t="s">
        <v>163</v>
      </c>
      <c r="J6928" t="s">
        <v>617</v>
      </c>
      <c r="K6928" s="138">
        <v>30</v>
      </c>
      <c r="L6928" s="137">
        <v>0</v>
      </c>
    </row>
    <row r="6929" spans="7:12" x14ac:dyDescent="0.25">
      <c r="G6929" s="136">
        <v>43648</v>
      </c>
      <c r="H6929" t="s">
        <v>28</v>
      </c>
      <c r="I6929" t="s">
        <v>221</v>
      </c>
      <c r="J6929" t="s">
        <v>618</v>
      </c>
      <c r="K6929" s="138">
        <v>16</v>
      </c>
      <c r="L6929" s="137">
        <v>0</v>
      </c>
    </row>
    <row r="6930" spans="7:12" x14ac:dyDescent="0.25">
      <c r="G6930" s="136">
        <v>43648</v>
      </c>
      <c r="H6930" t="s">
        <v>28</v>
      </c>
      <c r="I6930" t="s">
        <v>66</v>
      </c>
      <c r="J6930" t="s">
        <v>105</v>
      </c>
      <c r="K6930" s="138">
        <v>50</v>
      </c>
      <c r="L6930" s="137">
        <v>0</v>
      </c>
    </row>
    <row r="6931" spans="7:12" x14ac:dyDescent="0.25">
      <c r="G6931" s="136">
        <v>43648</v>
      </c>
      <c r="H6931" t="s">
        <v>28</v>
      </c>
      <c r="I6931" t="s">
        <v>66</v>
      </c>
      <c r="J6931" t="s">
        <v>266</v>
      </c>
      <c r="K6931" s="138">
        <v>4.75</v>
      </c>
      <c r="L6931" s="137">
        <v>0</v>
      </c>
    </row>
    <row r="6932" spans="7:12" x14ac:dyDescent="0.25">
      <c r="G6932" s="136">
        <v>43648</v>
      </c>
      <c r="H6932" t="s">
        <v>28</v>
      </c>
      <c r="I6932" t="s">
        <v>171</v>
      </c>
      <c r="J6932" t="s">
        <v>617</v>
      </c>
      <c r="K6932" s="138">
        <v>120</v>
      </c>
      <c r="L6932" s="137">
        <v>0</v>
      </c>
    </row>
    <row r="6933" spans="7:12" x14ac:dyDescent="0.25">
      <c r="G6933" s="136">
        <v>43649</v>
      </c>
      <c r="H6933" t="s">
        <v>192</v>
      </c>
      <c r="I6933" t="s">
        <v>112</v>
      </c>
      <c r="J6933" t="s">
        <v>619</v>
      </c>
      <c r="K6933" s="138">
        <v>264.39999999999998</v>
      </c>
      <c r="L6933" s="137">
        <v>0</v>
      </c>
    </row>
    <row r="6934" spans="7:12" x14ac:dyDescent="0.25">
      <c r="G6934" s="136">
        <v>43649</v>
      </c>
      <c r="H6934" t="s">
        <v>192</v>
      </c>
      <c r="I6934" t="s">
        <v>155</v>
      </c>
      <c r="J6934" t="s">
        <v>619</v>
      </c>
      <c r="K6934" s="138">
        <v>195.78</v>
      </c>
      <c r="L6934" s="137">
        <v>0</v>
      </c>
    </row>
    <row r="6935" spans="7:12" x14ac:dyDescent="0.25">
      <c r="G6935" s="136">
        <v>43649</v>
      </c>
      <c r="H6935" t="s">
        <v>192</v>
      </c>
      <c r="I6935" t="s">
        <v>171</v>
      </c>
      <c r="J6935" t="s">
        <v>619</v>
      </c>
      <c r="K6935" s="138">
        <v>16.05</v>
      </c>
      <c r="L6935" s="137">
        <v>0</v>
      </c>
    </row>
    <row r="6936" spans="7:12" x14ac:dyDescent="0.25">
      <c r="G6936" s="136">
        <v>43649</v>
      </c>
      <c r="H6936" t="s">
        <v>27</v>
      </c>
      <c r="I6936" t="s">
        <v>63</v>
      </c>
      <c r="J6936" t="s">
        <v>619</v>
      </c>
      <c r="K6936" s="138">
        <v>32</v>
      </c>
      <c r="L6936" s="137">
        <v>0</v>
      </c>
    </row>
    <row r="6937" spans="7:12" x14ac:dyDescent="0.25">
      <c r="G6937" s="136">
        <v>43649</v>
      </c>
      <c r="H6937" t="s">
        <v>27</v>
      </c>
      <c r="I6937" t="s">
        <v>63</v>
      </c>
      <c r="J6937" t="s">
        <v>619</v>
      </c>
      <c r="K6937" s="138">
        <v>8</v>
      </c>
      <c r="L6937" s="137">
        <v>0</v>
      </c>
    </row>
    <row r="6938" spans="7:12" x14ac:dyDescent="0.25">
      <c r="G6938" s="136">
        <v>43649</v>
      </c>
      <c r="H6938" t="s">
        <v>198</v>
      </c>
      <c r="I6938" t="s">
        <v>171</v>
      </c>
      <c r="J6938" t="s">
        <v>619</v>
      </c>
      <c r="K6938" s="138">
        <v>119</v>
      </c>
      <c r="L6938" s="137">
        <v>0</v>
      </c>
    </row>
    <row r="6939" spans="7:12" x14ac:dyDescent="0.25">
      <c r="G6939" s="136">
        <v>43649</v>
      </c>
      <c r="H6939" t="s">
        <v>199</v>
      </c>
      <c r="I6939" t="s">
        <v>171</v>
      </c>
      <c r="J6939" t="s">
        <v>619</v>
      </c>
      <c r="K6939" s="138">
        <v>49</v>
      </c>
      <c r="L6939" s="137">
        <v>0</v>
      </c>
    </row>
    <row r="6940" spans="7:12" x14ac:dyDescent="0.25">
      <c r="G6940" s="136">
        <v>43649</v>
      </c>
      <c r="H6940" t="s">
        <v>183</v>
      </c>
      <c r="I6940" t="s">
        <v>163</v>
      </c>
      <c r="J6940" t="s">
        <v>619</v>
      </c>
      <c r="K6940" s="138">
        <v>22.5</v>
      </c>
      <c r="L6940" s="137">
        <v>0</v>
      </c>
    </row>
    <row r="6941" spans="7:12" x14ac:dyDescent="0.25">
      <c r="G6941" s="136">
        <v>43649</v>
      </c>
      <c r="H6941" t="s">
        <v>191</v>
      </c>
      <c r="I6941" t="s">
        <v>163</v>
      </c>
      <c r="J6941" t="s">
        <v>619</v>
      </c>
      <c r="K6941" s="138">
        <v>35</v>
      </c>
      <c r="L6941" s="137">
        <v>0</v>
      </c>
    </row>
    <row r="6942" spans="7:12" x14ac:dyDescent="0.25">
      <c r="G6942" s="136">
        <v>43649</v>
      </c>
      <c r="H6942" t="s">
        <v>193</v>
      </c>
      <c r="I6942" t="s">
        <v>163</v>
      </c>
      <c r="J6942" t="s">
        <v>619</v>
      </c>
      <c r="K6942" s="138">
        <v>571.85</v>
      </c>
      <c r="L6942" s="137">
        <v>0</v>
      </c>
    </row>
    <row r="6943" spans="7:12" x14ac:dyDescent="0.25">
      <c r="G6943" s="136">
        <v>43649</v>
      </c>
      <c r="H6943" t="s">
        <v>193</v>
      </c>
      <c r="I6943" t="s">
        <v>155</v>
      </c>
      <c r="J6943" t="s">
        <v>619</v>
      </c>
      <c r="K6943" s="138">
        <v>249.75</v>
      </c>
      <c r="L6943" s="137">
        <v>0</v>
      </c>
    </row>
    <row r="6944" spans="7:12" x14ac:dyDescent="0.25">
      <c r="G6944" s="136">
        <v>43649</v>
      </c>
      <c r="H6944" t="s">
        <v>25</v>
      </c>
      <c r="I6944" t="s">
        <v>63</v>
      </c>
      <c r="J6944" t="s">
        <v>619</v>
      </c>
      <c r="K6944" s="138">
        <v>56</v>
      </c>
      <c r="L6944" s="137">
        <v>0</v>
      </c>
    </row>
    <row r="6945" spans="7:12" x14ac:dyDescent="0.25">
      <c r="G6945" s="136">
        <v>43649</v>
      </c>
      <c r="H6945" t="s">
        <v>25</v>
      </c>
      <c r="I6945" t="s">
        <v>63</v>
      </c>
      <c r="J6945" t="s">
        <v>619</v>
      </c>
      <c r="K6945" s="138">
        <v>48</v>
      </c>
      <c r="L6945" s="137">
        <v>0</v>
      </c>
    </row>
    <row r="6946" spans="7:12" x14ac:dyDescent="0.25">
      <c r="G6946" s="136">
        <v>43649</v>
      </c>
      <c r="H6946" t="s">
        <v>25</v>
      </c>
      <c r="I6946" t="s">
        <v>63</v>
      </c>
      <c r="J6946" t="s">
        <v>619</v>
      </c>
      <c r="K6946" s="138">
        <v>40</v>
      </c>
      <c r="L6946" s="137">
        <v>0</v>
      </c>
    </row>
    <row r="6947" spans="7:12" x14ac:dyDescent="0.25">
      <c r="G6947" s="136">
        <v>43649</v>
      </c>
      <c r="H6947" t="s">
        <v>25</v>
      </c>
      <c r="I6947" t="s">
        <v>63</v>
      </c>
      <c r="J6947" t="s">
        <v>619</v>
      </c>
      <c r="K6947" s="138">
        <v>32</v>
      </c>
      <c r="L6947" s="137">
        <v>0</v>
      </c>
    </row>
    <row r="6948" spans="7:12" x14ac:dyDescent="0.25">
      <c r="G6948" s="136">
        <v>43649</v>
      </c>
      <c r="H6948" t="s">
        <v>25</v>
      </c>
      <c r="I6948" t="s">
        <v>63</v>
      </c>
      <c r="J6948" t="s">
        <v>619</v>
      </c>
      <c r="K6948" s="138">
        <v>24</v>
      </c>
      <c r="L6948" s="137">
        <v>0</v>
      </c>
    </row>
    <row r="6949" spans="7:12" x14ac:dyDescent="0.25">
      <c r="G6949" s="136">
        <v>43649</v>
      </c>
      <c r="H6949" t="s">
        <v>25</v>
      </c>
      <c r="I6949" t="s">
        <v>63</v>
      </c>
      <c r="J6949" t="s">
        <v>619</v>
      </c>
      <c r="K6949" s="138">
        <v>8</v>
      </c>
      <c r="L6949" s="137">
        <v>0</v>
      </c>
    </row>
    <row r="6950" spans="7:12" x14ac:dyDescent="0.25">
      <c r="G6950" s="136">
        <v>43649</v>
      </c>
      <c r="H6950" t="s">
        <v>211</v>
      </c>
      <c r="I6950" t="s">
        <v>176</v>
      </c>
      <c r="J6950" t="s">
        <v>619</v>
      </c>
      <c r="K6950" s="138">
        <v>1578.84</v>
      </c>
      <c r="L6950" s="137">
        <v>0</v>
      </c>
    </row>
    <row r="6951" spans="7:12" x14ac:dyDescent="0.25">
      <c r="G6951" s="136">
        <v>43649</v>
      </c>
      <c r="H6951" t="s">
        <v>181</v>
      </c>
      <c r="I6951" t="s">
        <v>171</v>
      </c>
      <c r="J6951" t="s">
        <v>619</v>
      </c>
      <c r="K6951" s="138">
        <v>213.7</v>
      </c>
      <c r="L6951" s="137">
        <v>0</v>
      </c>
    </row>
    <row r="6952" spans="7:12" x14ac:dyDescent="0.25">
      <c r="G6952" s="136">
        <v>43649</v>
      </c>
      <c r="H6952" t="s">
        <v>187</v>
      </c>
      <c r="I6952" t="s">
        <v>171</v>
      </c>
      <c r="J6952" t="s">
        <v>619</v>
      </c>
      <c r="K6952" s="138">
        <v>136.99</v>
      </c>
      <c r="L6952" s="137">
        <v>0</v>
      </c>
    </row>
    <row r="6953" spans="7:12" x14ac:dyDescent="0.25">
      <c r="G6953" s="136">
        <v>43649</v>
      </c>
      <c r="H6953" t="s">
        <v>28</v>
      </c>
      <c r="I6953" t="s">
        <v>112</v>
      </c>
      <c r="J6953" t="s">
        <v>619</v>
      </c>
      <c r="K6953" s="138">
        <v>88</v>
      </c>
      <c r="L6953" s="137">
        <v>0</v>
      </c>
    </row>
    <row r="6954" spans="7:12" x14ac:dyDescent="0.25">
      <c r="G6954" s="136">
        <v>43649</v>
      </c>
      <c r="H6954" t="s">
        <v>28</v>
      </c>
      <c r="I6954" t="s">
        <v>155</v>
      </c>
      <c r="J6954" t="s">
        <v>619</v>
      </c>
      <c r="K6954" s="138">
        <v>129.52000000000001</v>
      </c>
      <c r="L6954" s="137">
        <v>0</v>
      </c>
    </row>
    <row r="6955" spans="7:12" x14ac:dyDescent="0.25">
      <c r="G6955" s="136">
        <v>43649</v>
      </c>
      <c r="H6955" t="s">
        <v>28</v>
      </c>
      <c r="I6955" t="s">
        <v>155</v>
      </c>
      <c r="J6955" t="s">
        <v>619</v>
      </c>
      <c r="K6955" s="138">
        <v>102.76</v>
      </c>
      <c r="L6955" s="137">
        <v>0</v>
      </c>
    </row>
    <row r="6956" spans="7:12" x14ac:dyDescent="0.25">
      <c r="G6956" s="136">
        <v>43649</v>
      </c>
      <c r="H6956" t="s">
        <v>28</v>
      </c>
      <c r="I6956" t="s">
        <v>155</v>
      </c>
      <c r="J6956" t="s">
        <v>619</v>
      </c>
      <c r="K6956" s="138">
        <v>99.5</v>
      </c>
      <c r="L6956" s="137">
        <v>0</v>
      </c>
    </row>
    <row r="6957" spans="7:12" x14ac:dyDescent="0.25">
      <c r="G6957" s="136">
        <v>43649</v>
      </c>
      <c r="H6957" t="s">
        <v>28</v>
      </c>
      <c r="I6957" t="s">
        <v>155</v>
      </c>
      <c r="J6957" t="s">
        <v>619</v>
      </c>
      <c r="K6957" s="138">
        <v>94.23</v>
      </c>
      <c r="L6957" s="137">
        <v>0</v>
      </c>
    </row>
    <row r="6958" spans="7:12" x14ac:dyDescent="0.25">
      <c r="G6958" s="136">
        <v>43649</v>
      </c>
      <c r="H6958" t="s">
        <v>28</v>
      </c>
      <c r="I6958" t="s">
        <v>155</v>
      </c>
      <c r="J6958" t="s">
        <v>619</v>
      </c>
      <c r="K6958" s="138">
        <v>88.8</v>
      </c>
      <c r="L6958" s="137">
        <v>0</v>
      </c>
    </row>
    <row r="6959" spans="7:12" x14ac:dyDescent="0.25">
      <c r="G6959" s="136">
        <v>43649</v>
      </c>
      <c r="H6959" t="s">
        <v>28</v>
      </c>
      <c r="I6959" t="s">
        <v>155</v>
      </c>
      <c r="J6959" t="s">
        <v>619</v>
      </c>
      <c r="K6959" s="138">
        <v>61.5</v>
      </c>
      <c r="L6959" s="137">
        <v>0</v>
      </c>
    </row>
    <row r="6960" spans="7:12" x14ac:dyDescent="0.25">
      <c r="G6960" s="136">
        <v>43649</v>
      </c>
      <c r="H6960" t="s">
        <v>28</v>
      </c>
      <c r="I6960" t="s">
        <v>155</v>
      </c>
      <c r="J6960" t="s">
        <v>619</v>
      </c>
      <c r="K6960" s="138">
        <v>19.350000000000001</v>
      </c>
      <c r="L6960" s="137">
        <v>0</v>
      </c>
    </row>
    <row r="6961" spans="7:12" x14ac:dyDescent="0.25">
      <c r="G6961" s="136">
        <v>43649</v>
      </c>
      <c r="H6961" t="s">
        <v>28</v>
      </c>
      <c r="I6961" t="s">
        <v>155</v>
      </c>
      <c r="J6961" t="s">
        <v>619</v>
      </c>
      <c r="K6961" s="138">
        <v>18.690000000000001</v>
      </c>
      <c r="L6961" s="137">
        <v>0</v>
      </c>
    </row>
    <row r="6962" spans="7:12" x14ac:dyDescent="0.25">
      <c r="G6962" s="136">
        <v>43649</v>
      </c>
      <c r="H6962" t="s">
        <v>28</v>
      </c>
      <c r="I6962" t="s">
        <v>155</v>
      </c>
      <c r="J6962" t="s">
        <v>619</v>
      </c>
      <c r="K6962" s="138">
        <v>10.99</v>
      </c>
      <c r="L6962" s="137">
        <v>0</v>
      </c>
    </row>
    <row r="6963" spans="7:12" x14ac:dyDescent="0.25">
      <c r="G6963" s="136">
        <v>43649</v>
      </c>
      <c r="H6963" t="s">
        <v>28</v>
      </c>
      <c r="I6963" t="s">
        <v>66</v>
      </c>
      <c r="J6963" t="s">
        <v>98</v>
      </c>
      <c r="K6963" s="138">
        <v>6.6</v>
      </c>
      <c r="L6963" s="137">
        <v>0</v>
      </c>
    </row>
    <row r="6964" spans="7:12" x14ac:dyDescent="0.25">
      <c r="G6964" s="136">
        <v>43650</v>
      </c>
      <c r="H6964" t="s">
        <v>192</v>
      </c>
      <c r="I6964" t="s">
        <v>163</v>
      </c>
      <c r="J6964" t="s">
        <v>620</v>
      </c>
      <c r="K6964" s="138">
        <v>63.2</v>
      </c>
      <c r="L6964" s="137">
        <v>0</v>
      </c>
    </row>
    <row r="6965" spans="7:12" x14ac:dyDescent="0.25">
      <c r="G6965" s="136">
        <v>43650</v>
      </c>
      <c r="H6965" t="s">
        <v>27</v>
      </c>
      <c r="I6965" t="s">
        <v>63</v>
      </c>
      <c r="J6965" t="s">
        <v>620</v>
      </c>
      <c r="K6965" s="138">
        <v>8</v>
      </c>
      <c r="L6965" s="137">
        <v>0</v>
      </c>
    </row>
    <row r="6966" spans="7:12" x14ac:dyDescent="0.25">
      <c r="G6966" s="136">
        <v>43650</v>
      </c>
      <c r="H6966" t="s">
        <v>212</v>
      </c>
      <c r="I6966" t="s">
        <v>163</v>
      </c>
      <c r="J6966" t="s">
        <v>620</v>
      </c>
      <c r="K6966" s="138">
        <v>77.95</v>
      </c>
      <c r="L6966" s="137">
        <v>0</v>
      </c>
    </row>
    <row r="6967" spans="7:12" x14ac:dyDescent="0.25">
      <c r="G6967" s="136">
        <v>43650</v>
      </c>
      <c r="H6967" t="s">
        <v>213</v>
      </c>
      <c r="I6967" t="s">
        <v>176</v>
      </c>
      <c r="J6967" t="s">
        <v>620</v>
      </c>
      <c r="K6967" s="138">
        <v>0</v>
      </c>
      <c r="L6967" s="137">
        <v>2723.68</v>
      </c>
    </row>
    <row r="6968" spans="7:12" x14ac:dyDescent="0.25">
      <c r="G6968" s="136">
        <v>43650</v>
      </c>
      <c r="H6968" t="s">
        <v>25</v>
      </c>
      <c r="I6968" t="s">
        <v>63</v>
      </c>
      <c r="J6968" t="s">
        <v>620</v>
      </c>
      <c r="K6968" s="138">
        <v>24</v>
      </c>
      <c r="L6968" s="137">
        <v>0</v>
      </c>
    </row>
    <row r="6969" spans="7:12" x14ac:dyDescent="0.25">
      <c r="G6969" s="136">
        <v>43650</v>
      </c>
      <c r="H6969" t="s">
        <v>25</v>
      </c>
      <c r="I6969" t="s">
        <v>63</v>
      </c>
      <c r="J6969" t="s">
        <v>620</v>
      </c>
      <c r="K6969" s="138">
        <v>16</v>
      </c>
      <c r="L6969" s="137">
        <v>0</v>
      </c>
    </row>
    <row r="6970" spans="7:12" x14ac:dyDescent="0.25">
      <c r="G6970" s="136">
        <v>43650</v>
      </c>
      <c r="H6970" t="s">
        <v>25</v>
      </c>
      <c r="I6970" t="s">
        <v>63</v>
      </c>
      <c r="J6970" t="s">
        <v>620</v>
      </c>
      <c r="K6970" s="138">
        <v>8</v>
      </c>
      <c r="L6970" s="137">
        <v>0</v>
      </c>
    </row>
    <row r="6971" spans="7:12" x14ac:dyDescent="0.25">
      <c r="G6971" s="136">
        <v>43650</v>
      </c>
      <c r="H6971" t="s">
        <v>196</v>
      </c>
      <c r="I6971" t="s">
        <v>42</v>
      </c>
      <c r="J6971" t="s">
        <v>620</v>
      </c>
      <c r="K6971" s="138">
        <v>79</v>
      </c>
      <c r="L6971" s="137">
        <v>0</v>
      </c>
    </row>
    <row r="6972" spans="7:12" x14ac:dyDescent="0.25">
      <c r="G6972" s="136">
        <v>43650</v>
      </c>
      <c r="H6972" t="s">
        <v>215</v>
      </c>
      <c r="I6972" t="s">
        <v>42</v>
      </c>
      <c r="J6972" t="s">
        <v>620</v>
      </c>
      <c r="K6972" s="138">
        <v>1789.9</v>
      </c>
      <c r="L6972" s="137">
        <v>0</v>
      </c>
    </row>
    <row r="6973" spans="7:12" x14ac:dyDescent="0.25">
      <c r="G6973" s="136">
        <v>43650</v>
      </c>
      <c r="H6973" t="s">
        <v>28</v>
      </c>
      <c r="I6973" t="s">
        <v>66</v>
      </c>
      <c r="J6973" t="s">
        <v>367</v>
      </c>
      <c r="K6973" s="138">
        <v>3.7</v>
      </c>
      <c r="L6973" s="137">
        <v>0</v>
      </c>
    </row>
    <row r="6974" spans="7:12" x14ac:dyDescent="0.25">
      <c r="G6974" s="136">
        <v>43650</v>
      </c>
      <c r="H6974" t="s">
        <v>28</v>
      </c>
      <c r="I6974" t="s">
        <v>66</v>
      </c>
      <c r="J6974" t="s">
        <v>124</v>
      </c>
      <c r="K6974" s="138">
        <v>3.7</v>
      </c>
      <c r="L6974" s="137">
        <v>0</v>
      </c>
    </row>
    <row r="6975" spans="7:12" x14ac:dyDescent="0.25">
      <c r="G6975" s="136">
        <v>43650</v>
      </c>
      <c r="H6975" t="s">
        <v>28</v>
      </c>
      <c r="I6975" t="s">
        <v>66</v>
      </c>
      <c r="J6975" t="s">
        <v>132</v>
      </c>
      <c r="K6975" s="138">
        <v>7.45</v>
      </c>
      <c r="L6975" s="137">
        <v>0</v>
      </c>
    </row>
    <row r="6976" spans="7:12" x14ac:dyDescent="0.25">
      <c r="G6976" s="136">
        <v>43651</v>
      </c>
      <c r="H6976" t="s">
        <v>203</v>
      </c>
      <c r="I6976" t="s">
        <v>112</v>
      </c>
      <c r="J6976" t="s">
        <v>621</v>
      </c>
      <c r="K6976" s="138">
        <v>22.86</v>
      </c>
      <c r="L6976" s="137">
        <v>0</v>
      </c>
    </row>
    <row r="6977" spans="7:12" x14ac:dyDescent="0.25">
      <c r="G6977" s="136">
        <v>43651</v>
      </c>
      <c r="H6977" t="s">
        <v>203</v>
      </c>
      <c r="I6977" t="s">
        <v>155</v>
      </c>
      <c r="J6977" t="s">
        <v>621</v>
      </c>
      <c r="K6977" s="138">
        <v>256.23</v>
      </c>
      <c r="L6977" s="137">
        <v>0</v>
      </c>
    </row>
    <row r="6978" spans="7:12" x14ac:dyDescent="0.25">
      <c r="G6978" s="136">
        <v>43651</v>
      </c>
      <c r="H6978" t="s">
        <v>192</v>
      </c>
      <c r="I6978" t="s">
        <v>112</v>
      </c>
      <c r="J6978" t="s">
        <v>621</v>
      </c>
      <c r="K6978" s="138">
        <v>104.05</v>
      </c>
      <c r="L6978" s="137">
        <v>0</v>
      </c>
    </row>
    <row r="6979" spans="7:12" x14ac:dyDescent="0.25">
      <c r="G6979" s="136">
        <v>43651</v>
      </c>
      <c r="H6979" t="s">
        <v>27</v>
      </c>
      <c r="I6979" t="s">
        <v>171</v>
      </c>
      <c r="J6979" t="s">
        <v>621</v>
      </c>
      <c r="K6979" s="138">
        <v>149.5</v>
      </c>
      <c r="L6979" s="137">
        <v>0</v>
      </c>
    </row>
    <row r="6980" spans="7:12" x14ac:dyDescent="0.25">
      <c r="G6980" s="136">
        <v>43651</v>
      </c>
      <c r="H6980" t="s">
        <v>214</v>
      </c>
      <c r="I6980" t="s">
        <v>155</v>
      </c>
      <c r="J6980" t="s">
        <v>621</v>
      </c>
      <c r="K6980" s="138">
        <v>0</v>
      </c>
      <c r="L6980" s="137">
        <v>2550</v>
      </c>
    </row>
    <row r="6981" spans="7:12" x14ac:dyDescent="0.25">
      <c r="G6981" s="136">
        <v>43651</v>
      </c>
      <c r="H6981" t="s">
        <v>216</v>
      </c>
      <c r="I6981" t="s">
        <v>155</v>
      </c>
      <c r="J6981" t="s">
        <v>621</v>
      </c>
      <c r="K6981" s="138">
        <v>2550</v>
      </c>
      <c r="L6981" s="137">
        <v>0</v>
      </c>
    </row>
    <row r="6982" spans="7:12" x14ac:dyDescent="0.25">
      <c r="G6982" s="136">
        <v>43651</v>
      </c>
      <c r="H6982" t="s">
        <v>185</v>
      </c>
      <c r="I6982" t="s">
        <v>163</v>
      </c>
      <c r="J6982" t="s">
        <v>621</v>
      </c>
      <c r="K6982" s="138">
        <v>455.09</v>
      </c>
      <c r="L6982" s="137">
        <v>0</v>
      </c>
    </row>
    <row r="6983" spans="7:12" x14ac:dyDescent="0.25">
      <c r="G6983" s="136">
        <v>43651</v>
      </c>
      <c r="H6983" t="s">
        <v>184</v>
      </c>
      <c r="I6983" t="s">
        <v>171</v>
      </c>
      <c r="J6983" t="s">
        <v>621</v>
      </c>
      <c r="K6983" s="138">
        <v>10</v>
      </c>
      <c r="L6983" s="137">
        <v>0</v>
      </c>
    </row>
    <row r="6984" spans="7:12" x14ac:dyDescent="0.25">
      <c r="G6984" s="136">
        <v>43651</v>
      </c>
      <c r="H6984" t="s">
        <v>183</v>
      </c>
      <c r="I6984" t="s">
        <v>171</v>
      </c>
      <c r="J6984" t="s">
        <v>621</v>
      </c>
      <c r="K6984" s="138">
        <v>8.52</v>
      </c>
      <c r="L6984" s="137">
        <v>0</v>
      </c>
    </row>
    <row r="6985" spans="7:12" x14ac:dyDescent="0.25">
      <c r="G6985" s="136">
        <v>43651</v>
      </c>
      <c r="H6985" t="s">
        <v>193</v>
      </c>
      <c r="I6985" t="s">
        <v>178</v>
      </c>
      <c r="J6985" t="s">
        <v>621</v>
      </c>
      <c r="K6985" s="138">
        <v>132.72</v>
      </c>
      <c r="L6985" s="137">
        <v>0</v>
      </c>
    </row>
    <row r="6986" spans="7:12" x14ac:dyDescent="0.25">
      <c r="G6986" s="136">
        <v>43651</v>
      </c>
      <c r="H6986" t="s">
        <v>193</v>
      </c>
      <c r="I6986" t="s">
        <v>176</v>
      </c>
      <c r="J6986" t="s">
        <v>621</v>
      </c>
      <c r="K6986" s="138">
        <v>1872.76</v>
      </c>
      <c r="L6986" s="137">
        <v>0</v>
      </c>
    </row>
    <row r="6987" spans="7:12" x14ac:dyDescent="0.25">
      <c r="G6987" s="136">
        <v>43651</v>
      </c>
      <c r="H6987" t="s">
        <v>188</v>
      </c>
      <c r="I6987" t="s">
        <v>112</v>
      </c>
      <c r="J6987" t="s">
        <v>621</v>
      </c>
      <c r="K6987" s="138">
        <v>16.75</v>
      </c>
      <c r="L6987" s="137">
        <v>0</v>
      </c>
    </row>
    <row r="6988" spans="7:12" x14ac:dyDescent="0.25">
      <c r="G6988" s="136">
        <v>43651</v>
      </c>
      <c r="H6988" t="s">
        <v>188</v>
      </c>
      <c r="I6988" t="s">
        <v>155</v>
      </c>
      <c r="J6988" t="s">
        <v>621</v>
      </c>
      <c r="K6988" s="138">
        <v>11.26</v>
      </c>
      <c r="L6988" s="137">
        <v>0</v>
      </c>
    </row>
    <row r="6989" spans="7:12" x14ac:dyDescent="0.25">
      <c r="G6989" s="136">
        <v>43651</v>
      </c>
      <c r="H6989" t="s">
        <v>25</v>
      </c>
      <c r="I6989" t="s">
        <v>63</v>
      </c>
      <c r="J6989" t="s">
        <v>621</v>
      </c>
      <c r="K6989" s="138">
        <v>40</v>
      </c>
      <c r="L6989" s="137">
        <v>0</v>
      </c>
    </row>
    <row r="6990" spans="7:12" x14ac:dyDescent="0.25">
      <c r="G6990" s="136">
        <v>43651</v>
      </c>
      <c r="H6990" t="s">
        <v>25</v>
      </c>
      <c r="I6990" t="s">
        <v>63</v>
      </c>
      <c r="J6990" t="s">
        <v>621</v>
      </c>
      <c r="K6990" s="138">
        <v>32</v>
      </c>
      <c r="L6990" s="137">
        <v>0</v>
      </c>
    </row>
    <row r="6991" spans="7:12" x14ac:dyDescent="0.25">
      <c r="G6991" s="136">
        <v>43651</v>
      </c>
      <c r="H6991" t="s">
        <v>25</v>
      </c>
      <c r="I6991" t="s">
        <v>63</v>
      </c>
      <c r="J6991" t="s">
        <v>621</v>
      </c>
      <c r="K6991" s="138">
        <v>24</v>
      </c>
      <c r="L6991" s="137">
        <v>0</v>
      </c>
    </row>
    <row r="6992" spans="7:12" x14ac:dyDescent="0.25">
      <c r="G6992" s="136">
        <v>43651</v>
      </c>
      <c r="H6992" t="s">
        <v>25</v>
      </c>
      <c r="I6992" t="s">
        <v>63</v>
      </c>
      <c r="J6992" t="s">
        <v>621</v>
      </c>
      <c r="K6992" s="138">
        <v>16</v>
      </c>
      <c r="L6992" s="137">
        <v>0</v>
      </c>
    </row>
    <row r="6993" spans="7:12" x14ac:dyDescent="0.25">
      <c r="G6993" s="136">
        <v>43651</v>
      </c>
      <c r="H6993" t="s">
        <v>25</v>
      </c>
      <c r="I6993" t="s">
        <v>63</v>
      </c>
      <c r="J6993" t="s">
        <v>621</v>
      </c>
      <c r="K6993" s="138">
        <v>8</v>
      </c>
      <c r="L6993" s="137">
        <v>0</v>
      </c>
    </row>
    <row r="6994" spans="7:12" x14ac:dyDescent="0.25">
      <c r="G6994" s="136">
        <v>43651</v>
      </c>
      <c r="H6994" t="s">
        <v>207</v>
      </c>
      <c r="I6994" t="s">
        <v>112</v>
      </c>
      <c r="J6994" t="s">
        <v>621</v>
      </c>
      <c r="K6994" s="138">
        <v>46.25</v>
      </c>
      <c r="L6994" s="137">
        <v>0</v>
      </c>
    </row>
    <row r="6995" spans="7:12" x14ac:dyDescent="0.25">
      <c r="G6995" s="136">
        <v>43651</v>
      </c>
      <c r="H6995" t="s">
        <v>181</v>
      </c>
      <c r="I6995" t="s">
        <v>171</v>
      </c>
      <c r="J6995" t="s">
        <v>621</v>
      </c>
      <c r="K6995" s="138">
        <v>70.3</v>
      </c>
      <c r="L6995" s="137">
        <v>0</v>
      </c>
    </row>
    <row r="6996" spans="7:12" x14ac:dyDescent="0.25">
      <c r="G6996" s="136">
        <v>43651</v>
      </c>
      <c r="H6996" t="s">
        <v>196</v>
      </c>
      <c r="I6996" t="s">
        <v>171</v>
      </c>
      <c r="J6996" t="s">
        <v>621</v>
      </c>
      <c r="K6996" s="138">
        <v>522.36</v>
      </c>
      <c r="L6996" s="137">
        <v>0</v>
      </c>
    </row>
    <row r="6997" spans="7:12" x14ac:dyDescent="0.25">
      <c r="G6997" s="136">
        <v>43651</v>
      </c>
      <c r="H6997" t="s">
        <v>28</v>
      </c>
      <c r="I6997" t="s">
        <v>63</v>
      </c>
      <c r="J6997" t="s">
        <v>621</v>
      </c>
      <c r="K6997" s="138">
        <v>8</v>
      </c>
      <c r="L6997" s="137">
        <v>0</v>
      </c>
    </row>
    <row r="6998" spans="7:12" x14ac:dyDescent="0.25">
      <c r="G6998" s="136">
        <v>43651</v>
      </c>
      <c r="H6998" t="s">
        <v>28</v>
      </c>
      <c r="I6998" t="s">
        <v>163</v>
      </c>
      <c r="J6998" t="s">
        <v>621</v>
      </c>
      <c r="K6998" s="138">
        <v>30</v>
      </c>
      <c r="L6998" s="137">
        <v>0</v>
      </c>
    </row>
    <row r="6999" spans="7:12" x14ac:dyDescent="0.25">
      <c r="G6999" s="136">
        <v>43651</v>
      </c>
      <c r="H6999" t="s">
        <v>28</v>
      </c>
      <c r="I6999" t="s">
        <v>112</v>
      </c>
      <c r="J6999" t="s">
        <v>621</v>
      </c>
      <c r="K6999" s="138">
        <v>124.33</v>
      </c>
      <c r="L6999" s="137">
        <v>0</v>
      </c>
    </row>
    <row r="7000" spans="7:12" x14ac:dyDescent="0.25">
      <c r="G7000" s="136">
        <v>43651</v>
      </c>
      <c r="H7000" t="s">
        <v>28</v>
      </c>
      <c r="I7000" t="s">
        <v>112</v>
      </c>
      <c r="J7000" t="s">
        <v>621</v>
      </c>
      <c r="K7000" s="138">
        <v>46.2</v>
      </c>
      <c r="L7000" s="137">
        <v>0</v>
      </c>
    </row>
    <row r="7001" spans="7:12" x14ac:dyDescent="0.25">
      <c r="G7001" s="136">
        <v>43651</v>
      </c>
      <c r="H7001" t="s">
        <v>28</v>
      </c>
      <c r="I7001" t="s">
        <v>155</v>
      </c>
      <c r="J7001" t="s">
        <v>621</v>
      </c>
      <c r="K7001" s="138">
        <v>130.54</v>
      </c>
      <c r="L7001" s="137">
        <v>0</v>
      </c>
    </row>
    <row r="7002" spans="7:12" x14ac:dyDescent="0.25">
      <c r="G7002" s="136">
        <v>43651</v>
      </c>
      <c r="H7002" t="s">
        <v>28</v>
      </c>
      <c r="I7002" t="s">
        <v>155</v>
      </c>
      <c r="J7002" t="s">
        <v>621</v>
      </c>
      <c r="K7002" s="138">
        <v>78.95</v>
      </c>
      <c r="L7002" s="137">
        <v>0</v>
      </c>
    </row>
    <row r="7003" spans="7:12" x14ac:dyDescent="0.25">
      <c r="G7003" s="136">
        <v>43651</v>
      </c>
      <c r="H7003" t="s">
        <v>28</v>
      </c>
      <c r="I7003" t="s">
        <v>155</v>
      </c>
      <c r="J7003" t="s">
        <v>621</v>
      </c>
      <c r="K7003" s="138">
        <v>73.05</v>
      </c>
      <c r="L7003" s="137">
        <v>0</v>
      </c>
    </row>
    <row r="7004" spans="7:12" x14ac:dyDescent="0.25">
      <c r="G7004" s="136">
        <v>43651</v>
      </c>
      <c r="H7004" t="s">
        <v>28</v>
      </c>
      <c r="I7004" t="s">
        <v>155</v>
      </c>
      <c r="J7004" t="s">
        <v>621</v>
      </c>
      <c r="K7004" s="138">
        <v>72.489999999999995</v>
      </c>
      <c r="L7004" s="137">
        <v>0</v>
      </c>
    </row>
    <row r="7005" spans="7:12" x14ac:dyDescent="0.25">
      <c r="G7005" s="136">
        <v>43651</v>
      </c>
      <c r="H7005" t="s">
        <v>28</v>
      </c>
      <c r="I7005" t="s">
        <v>155</v>
      </c>
      <c r="J7005" t="s">
        <v>621</v>
      </c>
      <c r="K7005" s="138">
        <v>31.71</v>
      </c>
      <c r="L7005" s="137">
        <v>0</v>
      </c>
    </row>
    <row r="7006" spans="7:12" x14ac:dyDescent="0.25">
      <c r="G7006" s="136">
        <v>43651</v>
      </c>
      <c r="H7006" t="s">
        <v>28</v>
      </c>
      <c r="I7006" t="s">
        <v>155</v>
      </c>
      <c r="J7006" t="s">
        <v>621</v>
      </c>
      <c r="K7006" s="138">
        <v>27.76</v>
      </c>
      <c r="L7006" s="137">
        <v>0</v>
      </c>
    </row>
    <row r="7007" spans="7:12" x14ac:dyDescent="0.25">
      <c r="G7007" s="136">
        <v>43651</v>
      </c>
      <c r="H7007" t="s">
        <v>28</v>
      </c>
      <c r="I7007" t="s">
        <v>155</v>
      </c>
      <c r="J7007" t="s">
        <v>621</v>
      </c>
      <c r="K7007" s="138">
        <v>23.62</v>
      </c>
      <c r="L7007" s="137">
        <v>0</v>
      </c>
    </row>
    <row r="7008" spans="7:12" x14ac:dyDescent="0.25">
      <c r="G7008" s="136">
        <v>43651</v>
      </c>
      <c r="H7008" t="s">
        <v>28</v>
      </c>
      <c r="I7008" t="s">
        <v>66</v>
      </c>
      <c r="J7008" t="s">
        <v>129</v>
      </c>
      <c r="K7008" s="138">
        <v>4</v>
      </c>
      <c r="L7008" s="137">
        <v>0</v>
      </c>
    </row>
    <row r="7009" spans="7:12" x14ac:dyDescent="0.25">
      <c r="G7009" s="136">
        <v>43651</v>
      </c>
      <c r="H7009" t="s">
        <v>28</v>
      </c>
      <c r="I7009" t="s">
        <v>66</v>
      </c>
      <c r="J7009" t="s">
        <v>137</v>
      </c>
      <c r="K7009" s="138">
        <v>9.1999999999999993</v>
      </c>
      <c r="L7009" s="137">
        <v>0</v>
      </c>
    </row>
    <row r="7010" spans="7:12" x14ac:dyDescent="0.25">
      <c r="G7010" s="136">
        <v>43651</v>
      </c>
      <c r="H7010" t="s">
        <v>28</v>
      </c>
      <c r="I7010" t="s">
        <v>66</v>
      </c>
      <c r="J7010" t="s">
        <v>122</v>
      </c>
      <c r="K7010" s="138">
        <v>11.15</v>
      </c>
      <c r="L7010" s="137">
        <v>0</v>
      </c>
    </row>
    <row r="7011" spans="7:12" x14ac:dyDescent="0.25">
      <c r="G7011" s="136">
        <v>43651</v>
      </c>
      <c r="H7011" t="s">
        <v>28</v>
      </c>
      <c r="I7011" t="s">
        <v>66</v>
      </c>
      <c r="J7011" t="s">
        <v>123</v>
      </c>
      <c r="K7011" s="138">
        <v>14.25</v>
      </c>
      <c r="L7011" s="137">
        <v>0</v>
      </c>
    </row>
    <row r="7012" spans="7:12" x14ac:dyDescent="0.25">
      <c r="G7012" s="136">
        <v>43651</v>
      </c>
      <c r="H7012" t="s">
        <v>28</v>
      </c>
      <c r="I7012" t="s">
        <v>171</v>
      </c>
      <c r="J7012" t="s">
        <v>621</v>
      </c>
      <c r="K7012" s="138">
        <v>306</v>
      </c>
      <c r="L7012" s="137">
        <v>0</v>
      </c>
    </row>
    <row r="7013" spans="7:12" x14ac:dyDescent="0.25">
      <c r="G7013" s="136">
        <v>43654</v>
      </c>
      <c r="H7013" t="s">
        <v>27</v>
      </c>
      <c r="I7013" t="s">
        <v>63</v>
      </c>
      <c r="J7013" t="s">
        <v>622</v>
      </c>
      <c r="K7013" s="138">
        <v>32</v>
      </c>
      <c r="L7013" s="137">
        <v>0</v>
      </c>
    </row>
    <row r="7014" spans="7:12" x14ac:dyDescent="0.25">
      <c r="G7014" s="136">
        <v>43654</v>
      </c>
      <c r="H7014" t="s">
        <v>27</v>
      </c>
      <c r="I7014" t="s">
        <v>63</v>
      </c>
      <c r="J7014" t="s">
        <v>622</v>
      </c>
      <c r="K7014" s="138">
        <v>24</v>
      </c>
      <c r="L7014" s="137">
        <v>0</v>
      </c>
    </row>
    <row r="7015" spans="7:12" x14ac:dyDescent="0.25">
      <c r="G7015" s="136">
        <v>43654</v>
      </c>
      <c r="H7015" t="s">
        <v>27</v>
      </c>
      <c r="I7015" t="s">
        <v>63</v>
      </c>
      <c r="J7015" t="s">
        <v>622</v>
      </c>
      <c r="K7015" s="138">
        <v>8</v>
      </c>
      <c r="L7015" s="137">
        <v>0</v>
      </c>
    </row>
    <row r="7016" spans="7:12" x14ac:dyDescent="0.25">
      <c r="G7016" s="136">
        <v>43654</v>
      </c>
      <c r="H7016" t="s">
        <v>199</v>
      </c>
      <c r="I7016" t="s">
        <v>155</v>
      </c>
      <c r="J7016" t="s">
        <v>622</v>
      </c>
      <c r="K7016" s="138">
        <v>96</v>
      </c>
      <c r="L7016" s="137">
        <v>0</v>
      </c>
    </row>
    <row r="7017" spans="7:12" x14ac:dyDescent="0.25">
      <c r="G7017" s="136">
        <v>43654</v>
      </c>
      <c r="H7017" t="s">
        <v>199</v>
      </c>
      <c r="I7017" t="s">
        <v>171</v>
      </c>
      <c r="J7017" t="s">
        <v>622</v>
      </c>
      <c r="K7017" s="138">
        <v>64.33</v>
      </c>
      <c r="L7017" s="137">
        <v>0</v>
      </c>
    </row>
    <row r="7018" spans="7:12" x14ac:dyDescent="0.25">
      <c r="G7018" s="136">
        <v>43654</v>
      </c>
      <c r="H7018" t="s">
        <v>184</v>
      </c>
      <c r="I7018" t="s">
        <v>171</v>
      </c>
      <c r="J7018" t="s">
        <v>622</v>
      </c>
      <c r="K7018" s="138">
        <v>20</v>
      </c>
      <c r="L7018" s="137">
        <v>0</v>
      </c>
    </row>
    <row r="7019" spans="7:12" x14ac:dyDescent="0.25">
      <c r="G7019" s="136">
        <v>43654</v>
      </c>
      <c r="H7019" t="s">
        <v>183</v>
      </c>
      <c r="I7019" t="s">
        <v>178</v>
      </c>
      <c r="J7019" t="s">
        <v>622</v>
      </c>
      <c r="K7019" s="138">
        <v>25</v>
      </c>
      <c r="L7019" s="137">
        <v>0</v>
      </c>
    </row>
    <row r="7020" spans="7:12" x14ac:dyDescent="0.25">
      <c r="G7020" s="136">
        <v>43654</v>
      </c>
      <c r="H7020" t="s">
        <v>183</v>
      </c>
      <c r="I7020" t="s">
        <v>155</v>
      </c>
      <c r="J7020" t="s">
        <v>622</v>
      </c>
      <c r="K7020" s="138">
        <v>318.62</v>
      </c>
      <c r="L7020" s="137">
        <v>0</v>
      </c>
    </row>
    <row r="7021" spans="7:12" x14ac:dyDescent="0.25">
      <c r="G7021" s="136">
        <v>43654</v>
      </c>
      <c r="H7021" t="s">
        <v>183</v>
      </c>
      <c r="I7021" t="s">
        <v>171</v>
      </c>
      <c r="J7021" t="s">
        <v>622</v>
      </c>
      <c r="K7021" s="138">
        <v>2017</v>
      </c>
      <c r="L7021" s="137">
        <v>0</v>
      </c>
    </row>
    <row r="7022" spans="7:12" x14ac:dyDescent="0.25">
      <c r="G7022" s="136">
        <v>43654</v>
      </c>
      <c r="H7022" t="s">
        <v>189</v>
      </c>
      <c r="I7022" t="s">
        <v>171</v>
      </c>
      <c r="J7022" t="s">
        <v>622</v>
      </c>
      <c r="K7022" s="138">
        <v>150</v>
      </c>
      <c r="L7022" s="137">
        <v>0</v>
      </c>
    </row>
    <row r="7023" spans="7:12" x14ac:dyDescent="0.25">
      <c r="G7023" s="136">
        <v>43654</v>
      </c>
      <c r="H7023" t="s">
        <v>188</v>
      </c>
      <c r="I7023" t="s">
        <v>171</v>
      </c>
      <c r="J7023" t="s">
        <v>622</v>
      </c>
      <c r="K7023" s="138">
        <v>180</v>
      </c>
      <c r="L7023" s="137">
        <v>0</v>
      </c>
    </row>
    <row r="7024" spans="7:12" x14ac:dyDescent="0.25">
      <c r="G7024" s="136">
        <v>43654</v>
      </c>
      <c r="H7024" t="s">
        <v>25</v>
      </c>
      <c r="I7024" t="s">
        <v>63</v>
      </c>
      <c r="J7024" t="s">
        <v>622</v>
      </c>
      <c r="K7024" s="138">
        <v>40</v>
      </c>
      <c r="L7024" s="137">
        <v>0</v>
      </c>
    </row>
    <row r="7025" spans="7:12" x14ac:dyDescent="0.25">
      <c r="G7025" s="136">
        <v>43654</v>
      </c>
      <c r="H7025" t="s">
        <v>25</v>
      </c>
      <c r="I7025" t="s">
        <v>63</v>
      </c>
      <c r="J7025" t="s">
        <v>622</v>
      </c>
      <c r="K7025" s="138">
        <v>32</v>
      </c>
      <c r="L7025" s="137">
        <v>0</v>
      </c>
    </row>
    <row r="7026" spans="7:12" x14ac:dyDescent="0.25">
      <c r="G7026" s="136">
        <v>43654</v>
      </c>
      <c r="H7026" t="s">
        <v>25</v>
      </c>
      <c r="I7026" t="s">
        <v>63</v>
      </c>
      <c r="J7026" t="s">
        <v>622</v>
      </c>
      <c r="K7026" s="138">
        <v>24</v>
      </c>
      <c r="L7026" s="137">
        <v>0</v>
      </c>
    </row>
    <row r="7027" spans="7:12" x14ac:dyDescent="0.25">
      <c r="G7027" s="136">
        <v>43654</v>
      </c>
      <c r="H7027" t="s">
        <v>25</v>
      </c>
      <c r="I7027" t="s">
        <v>63</v>
      </c>
      <c r="J7027" t="s">
        <v>622</v>
      </c>
      <c r="K7027" s="138">
        <v>8</v>
      </c>
      <c r="L7027" s="137">
        <v>0</v>
      </c>
    </row>
    <row r="7028" spans="7:12" x14ac:dyDescent="0.25">
      <c r="G7028" s="136">
        <v>43654</v>
      </c>
      <c r="H7028" t="s">
        <v>187</v>
      </c>
      <c r="I7028" t="s">
        <v>171</v>
      </c>
      <c r="J7028" t="s">
        <v>622</v>
      </c>
      <c r="K7028" s="138">
        <v>72.989999999999995</v>
      </c>
      <c r="L7028" s="137">
        <v>0</v>
      </c>
    </row>
    <row r="7029" spans="7:12" x14ac:dyDescent="0.25">
      <c r="G7029" s="136">
        <v>43654</v>
      </c>
      <c r="H7029" t="s">
        <v>196</v>
      </c>
      <c r="I7029" t="s">
        <v>176</v>
      </c>
      <c r="J7029" t="s">
        <v>622</v>
      </c>
      <c r="K7029" s="138">
        <v>190.52</v>
      </c>
      <c r="L7029" s="137">
        <v>0</v>
      </c>
    </row>
    <row r="7030" spans="7:12" x14ac:dyDescent="0.25">
      <c r="G7030" s="136">
        <v>43654</v>
      </c>
      <c r="H7030" t="s">
        <v>196</v>
      </c>
      <c r="I7030" t="s">
        <v>171</v>
      </c>
      <c r="J7030" t="s">
        <v>622</v>
      </c>
      <c r="K7030" s="138">
        <v>25</v>
      </c>
      <c r="L7030" s="137">
        <v>0</v>
      </c>
    </row>
    <row r="7031" spans="7:12" x14ac:dyDescent="0.25">
      <c r="G7031" s="136">
        <v>43654</v>
      </c>
      <c r="H7031" t="s">
        <v>180</v>
      </c>
      <c r="I7031" t="s">
        <v>171</v>
      </c>
      <c r="J7031" t="s">
        <v>622</v>
      </c>
      <c r="K7031" s="138">
        <v>10</v>
      </c>
      <c r="L7031" s="137">
        <v>0</v>
      </c>
    </row>
    <row r="7032" spans="7:12" x14ac:dyDescent="0.25">
      <c r="G7032" s="136">
        <v>43654</v>
      </c>
      <c r="H7032" t="s">
        <v>28</v>
      </c>
      <c r="I7032" t="s">
        <v>63</v>
      </c>
      <c r="J7032" t="s">
        <v>622</v>
      </c>
      <c r="K7032" s="138">
        <v>8</v>
      </c>
      <c r="L7032" s="137">
        <v>0</v>
      </c>
    </row>
    <row r="7033" spans="7:12" x14ac:dyDescent="0.25">
      <c r="G7033" s="136">
        <v>43654</v>
      </c>
      <c r="H7033" t="s">
        <v>28</v>
      </c>
      <c r="I7033" t="s">
        <v>155</v>
      </c>
      <c r="J7033" t="s">
        <v>622</v>
      </c>
      <c r="K7033" s="138">
        <v>82.21</v>
      </c>
      <c r="L7033" s="137">
        <v>0</v>
      </c>
    </row>
    <row r="7034" spans="7:12" x14ac:dyDescent="0.25">
      <c r="G7034" s="136">
        <v>43654</v>
      </c>
      <c r="H7034" t="s">
        <v>28</v>
      </c>
      <c r="I7034" t="s">
        <v>155</v>
      </c>
      <c r="J7034" t="s">
        <v>622</v>
      </c>
      <c r="K7034" s="138">
        <v>35.75</v>
      </c>
      <c r="L7034" s="137">
        <v>0</v>
      </c>
    </row>
    <row r="7035" spans="7:12" x14ac:dyDescent="0.25">
      <c r="G7035" s="136">
        <v>43654</v>
      </c>
      <c r="H7035" t="s">
        <v>28</v>
      </c>
      <c r="I7035" t="s">
        <v>155</v>
      </c>
      <c r="J7035" t="s">
        <v>622</v>
      </c>
      <c r="K7035" s="138">
        <v>35</v>
      </c>
      <c r="L7035" s="137">
        <v>0</v>
      </c>
    </row>
    <row r="7036" spans="7:12" x14ac:dyDescent="0.25">
      <c r="G7036" s="136">
        <v>43654</v>
      </c>
      <c r="H7036" t="s">
        <v>28</v>
      </c>
      <c r="I7036" t="s">
        <v>66</v>
      </c>
      <c r="J7036" t="s">
        <v>266</v>
      </c>
      <c r="K7036" s="138">
        <v>3.7</v>
      </c>
      <c r="L7036" s="137">
        <v>0</v>
      </c>
    </row>
    <row r="7037" spans="7:12" x14ac:dyDescent="0.25">
      <c r="G7037" s="136">
        <v>43654</v>
      </c>
      <c r="H7037" t="s">
        <v>28</v>
      </c>
      <c r="I7037" t="s">
        <v>66</v>
      </c>
      <c r="J7037" t="s">
        <v>140</v>
      </c>
      <c r="K7037" s="138">
        <v>9</v>
      </c>
      <c r="L7037" s="137">
        <v>0</v>
      </c>
    </row>
    <row r="7038" spans="7:12" x14ac:dyDescent="0.25">
      <c r="G7038" s="136">
        <v>43655</v>
      </c>
      <c r="H7038" t="s">
        <v>188</v>
      </c>
      <c r="I7038" t="s">
        <v>163</v>
      </c>
      <c r="J7038" t="s">
        <v>623</v>
      </c>
      <c r="K7038" s="138">
        <v>29.95</v>
      </c>
      <c r="L7038" s="137">
        <v>0</v>
      </c>
    </row>
    <row r="7039" spans="7:12" x14ac:dyDescent="0.25">
      <c r="G7039" s="136">
        <v>43655</v>
      </c>
      <c r="H7039" t="s">
        <v>188</v>
      </c>
      <c r="I7039" t="s">
        <v>42</v>
      </c>
      <c r="J7039" t="s">
        <v>623</v>
      </c>
      <c r="K7039" s="138">
        <v>1170</v>
      </c>
      <c r="L7039" s="137">
        <v>0</v>
      </c>
    </row>
    <row r="7040" spans="7:12" x14ac:dyDescent="0.25">
      <c r="G7040" s="136">
        <v>43655</v>
      </c>
      <c r="H7040" t="s">
        <v>188</v>
      </c>
      <c r="I7040" t="s">
        <v>171</v>
      </c>
      <c r="J7040" t="s">
        <v>623</v>
      </c>
      <c r="K7040" s="138">
        <v>104</v>
      </c>
      <c r="L7040" s="137">
        <v>0</v>
      </c>
    </row>
    <row r="7041" spans="7:12" x14ac:dyDescent="0.25">
      <c r="G7041" s="136">
        <v>43655</v>
      </c>
      <c r="H7041" t="s">
        <v>200</v>
      </c>
      <c r="I7041" t="s">
        <v>112</v>
      </c>
      <c r="J7041" t="s">
        <v>623</v>
      </c>
      <c r="K7041" s="138">
        <v>0</v>
      </c>
      <c r="L7041" s="137">
        <v>119.9</v>
      </c>
    </row>
    <row r="7042" spans="7:12" x14ac:dyDescent="0.25">
      <c r="G7042" s="136">
        <v>43655</v>
      </c>
      <c r="H7042" t="s">
        <v>200</v>
      </c>
      <c r="I7042" t="s">
        <v>155</v>
      </c>
      <c r="J7042" t="s">
        <v>623</v>
      </c>
      <c r="K7042" s="138">
        <v>119.9</v>
      </c>
      <c r="L7042" s="137">
        <v>0</v>
      </c>
    </row>
    <row r="7043" spans="7:12" x14ac:dyDescent="0.25">
      <c r="G7043" s="136">
        <v>43655</v>
      </c>
      <c r="H7043" t="s">
        <v>25</v>
      </c>
      <c r="I7043" t="s">
        <v>63</v>
      </c>
      <c r="J7043" t="s">
        <v>623</v>
      </c>
      <c r="K7043" s="138">
        <v>16</v>
      </c>
      <c r="L7043" s="137">
        <v>0</v>
      </c>
    </row>
    <row r="7044" spans="7:12" x14ac:dyDescent="0.25">
      <c r="G7044" s="136">
        <v>43655</v>
      </c>
      <c r="H7044" t="s">
        <v>25</v>
      </c>
      <c r="I7044" t="s">
        <v>63</v>
      </c>
      <c r="J7044" t="s">
        <v>623</v>
      </c>
      <c r="K7044" s="138">
        <v>8</v>
      </c>
      <c r="L7044" s="137">
        <v>0</v>
      </c>
    </row>
    <row r="7045" spans="7:12" x14ac:dyDescent="0.25">
      <c r="G7045" s="136">
        <v>43655</v>
      </c>
      <c r="H7045" t="s">
        <v>25</v>
      </c>
      <c r="I7045" t="s">
        <v>171</v>
      </c>
      <c r="J7045" t="s">
        <v>623</v>
      </c>
      <c r="K7045" s="138">
        <v>139.19999999999999</v>
      </c>
      <c r="L7045" s="137">
        <v>0</v>
      </c>
    </row>
    <row r="7046" spans="7:12" x14ac:dyDescent="0.25">
      <c r="G7046" s="136">
        <v>43655</v>
      </c>
      <c r="H7046" t="s">
        <v>201</v>
      </c>
      <c r="I7046" t="s">
        <v>178</v>
      </c>
      <c r="J7046" t="s">
        <v>623</v>
      </c>
      <c r="K7046" s="138">
        <v>21.98</v>
      </c>
      <c r="L7046" s="137">
        <v>0</v>
      </c>
    </row>
    <row r="7047" spans="7:12" x14ac:dyDescent="0.25">
      <c r="G7047" s="136">
        <v>43655</v>
      </c>
      <c r="H7047" t="s">
        <v>201</v>
      </c>
      <c r="I7047" t="s">
        <v>112</v>
      </c>
      <c r="J7047" t="s">
        <v>623</v>
      </c>
      <c r="K7047" s="138">
        <v>0</v>
      </c>
      <c r="L7047" s="137">
        <v>21.98</v>
      </c>
    </row>
    <row r="7048" spans="7:12" x14ac:dyDescent="0.25">
      <c r="G7048" s="136">
        <v>43655</v>
      </c>
      <c r="H7048" t="s">
        <v>207</v>
      </c>
      <c r="I7048" t="s">
        <v>63</v>
      </c>
      <c r="J7048" t="s">
        <v>623</v>
      </c>
      <c r="K7048" s="138">
        <v>7.44</v>
      </c>
      <c r="L7048" s="137">
        <v>0</v>
      </c>
    </row>
    <row r="7049" spans="7:12" x14ac:dyDescent="0.25">
      <c r="G7049" s="136">
        <v>43655</v>
      </c>
      <c r="H7049" t="s">
        <v>181</v>
      </c>
      <c r="I7049" t="s">
        <v>171</v>
      </c>
      <c r="J7049" t="s">
        <v>623</v>
      </c>
      <c r="K7049" s="138">
        <v>66.569999999999993</v>
      </c>
      <c r="L7049" s="137">
        <v>0</v>
      </c>
    </row>
    <row r="7050" spans="7:12" x14ac:dyDescent="0.25">
      <c r="G7050" s="136">
        <v>43655</v>
      </c>
      <c r="H7050" t="s">
        <v>28</v>
      </c>
      <c r="I7050" t="s">
        <v>112</v>
      </c>
      <c r="J7050" t="s">
        <v>623</v>
      </c>
      <c r="K7050" s="138">
        <v>0</v>
      </c>
      <c r="L7050" s="137">
        <v>297.8</v>
      </c>
    </row>
    <row r="7051" spans="7:12" x14ac:dyDescent="0.25">
      <c r="G7051" s="136">
        <v>43655</v>
      </c>
      <c r="H7051" t="s">
        <v>28</v>
      </c>
      <c r="I7051" t="s">
        <v>112</v>
      </c>
      <c r="J7051" t="s">
        <v>623</v>
      </c>
      <c r="L7051" s="137">
        <v>61.6</v>
      </c>
    </row>
    <row r="7052" spans="7:12" x14ac:dyDescent="0.25">
      <c r="G7052" s="136">
        <v>43655</v>
      </c>
      <c r="H7052" t="s">
        <v>28</v>
      </c>
      <c r="I7052" t="s">
        <v>155</v>
      </c>
      <c r="J7052" t="s">
        <v>623</v>
      </c>
      <c r="K7052" s="138">
        <v>297.8</v>
      </c>
      <c r="L7052" s="137">
        <v>0</v>
      </c>
    </row>
    <row r="7053" spans="7:12" x14ac:dyDescent="0.25">
      <c r="G7053" s="136">
        <v>43655</v>
      </c>
      <c r="H7053" t="s">
        <v>28</v>
      </c>
      <c r="I7053" t="s">
        <v>155</v>
      </c>
      <c r="J7053" t="s">
        <v>623</v>
      </c>
      <c r="K7053" s="138">
        <v>61.6</v>
      </c>
      <c r="L7053" s="137">
        <v>0</v>
      </c>
    </row>
    <row r="7054" spans="7:12" x14ac:dyDescent="0.25">
      <c r="G7054" s="136">
        <v>43655</v>
      </c>
      <c r="H7054" t="s">
        <v>28</v>
      </c>
      <c r="I7054" t="s">
        <v>176</v>
      </c>
      <c r="J7054" t="s">
        <v>623</v>
      </c>
      <c r="K7054" s="138">
        <v>0</v>
      </c>
      <c r="L7054" s="137">
        <v>36</v>
      </c>
    </row>
    <row r="7055" spans="7:12" x14ac:dyDescent="0.25">
      <c r="G7055" s="136">
        <v>43655</v>
      </c>
      <c r="H7055" t="s">
        <v>28</v>
      </c>
      <c r="I7055" t="s">
        <v>66</v>
      </c>
      <c r="J7055" t="s">
        <v>106</v>
      </c>
      <c r="K7055" s="138">
        <v>2.4</v>
      </c>
      <c r="L7055" s="137">
        <v>0</v>
      </c>
    </row>
    <row r="7056" spans="7:12" x14ac:dyDescent="0.25">
      <c r="G7056" s="136">
        <v>43656</v>
      </c>
      <c r="H7056" t="s">
        <v>203</v>
      </c>
      <c r="I7056" t="s">
        <v>171</v>
      </c>
      <c r="J7056" t="s">
        <v>625</v>
      </c>
      <c r="K7056" s="138">
        <v>125.68</v>
      </c>
      <c r="L7056" s="137">
        <v>0</v>
      </c>
    </row>
    <row r="7057" spans="7:12" x14ac:dyDescent="0.25">
      <c r="G7057" s="136">
        <v>43656</v>
      </c>
      <c r="H7057" t="s">
        <v>27</v>
      </c>
      <c r="I7057" t="s">
        <v>63</v>
      </c>
      <c r="J7057" t="s">
        <v>625</v>
      </c>
      <c r="K7057" s="138">
        <v>24</v>
      </c>
      <c r="L7057" s="137">
        <v>0</v>
      </c>
    </row>
    <row r="7058" spans="7:12" x14ac:dyDescent="0.25">
      <c r="G7058" s="136">
        <v>43656</v>
      </c>
      <c r="H7058" t="s">
        <v>27</v>
      </c>
      <c r="I7058" t="s">
        <v>63</v>
      </c>
      <c r="J7058" t="s">
        <v>625</v>
      </c>
      <c r="K7058" s="138">
        <v>8</v>
      </c>
      <c r="L7058" s="137">
        <v>0</v>
      </c>
    </row>
    <row r="7059" spans="7:12" x14ac:dyDescent="0.25">
      <c r="G7059" s="136">
        <v>43656</v>
      </c>
      <c r="H7059" t="s">
        <v>27</v>
      </c>
      <c r="I7059" t="s">
        <v>262</v>
      </c>
      <c r="J7059" t="s">
        <v>624</v>
      </c>
      <c r="K7059" s="138">
        <v>136.5</v>
      </c>
      <c r="L7059" s="137">
        <v>0</v>
      </c>
    </row>
    <row r="7060" spans="7:12" x14ac:dyDescent="0.25">
      <c r="G7060" s="136">
        <v>43656</v>
      </c>
      <c r="H7060" t="s">
        <v>27</v>
      </c>
      <c r="I7060" t="s">
        <v>262</v>
      </c>
      <c r="J7060" t="s">
        <v>624</v>
      </c>
      <c r="K7060" s="138">
        <v>122.52</v>
      </c>
      <c r="L7060" s="137">
        <v>0</v>
      </c>
    </row>
    <row r="7061" spans="7:12" x14ac:dyDescent="0.25">
      <c r="G7061" s="136">
        <v>43656</v>
      </c>
      <c r="H7061" t="s">
        <v>27</v>
      </c>
      <c r="I7061" t="s">
        <v>262</v>
      </c>
      <c r="J7061" t="s">
        <v>624</v>
      </c>
      <c r="K7061" s="138">
        <v>117.15</v>
      </c>
      <c r="L7061" s="137">
        <v>0</v>
      </c>
    </row>
    <row r="7062" spans="7:12" x14ac:dyDescent="0.25">
      <c r="G7062" s="136">
        <v>43656</v>
      </c>
      <c r="H7062" t="s">
        <v>27</v>
      </c>
      <c r="I7062" t="s">
        <v>262</v>
      </c>
      <c r="J7062" t="s">
        <v>624</v>
      </c>
      <c r="K7062" s="138">
        <v>57.69</v>
      </c>
      <c r="L7062" s="137">
        <v>0</v>
      </c>
    </row>
    <row r="7063" spans="7:12" x14ac:dyDescent="0.25">
      <c r="G7063" s="136">
        <v>43656</v>
      </c>
      <c r="H7063" t="s">
        <v>27</v>
      </c>
      <c r="I7063" t="s">
        <v>262</v>
      </c>
      <c r="J7063" t="s">
        <v>624</v>
      </c>
      <c r="K7063" s="138">
        <v>54.25</v>
      </c>
      <c r="L7063" s="137">
        <v>0</v>
      </c>
    </row>
    <row r="7064" spans="7:12" x14ac:dyDescent="0.25">
      <c r="G7064" s="136">
        <v>43656</v>
      </c>
      <c r="H7064" t="s">
        <v>27</v>
      </c>
      <c r="I7064" t="s">
        <v>262</v>
      </c>
      <c r="J7064" t="s">
        <v>624</v>
      </c>
      <c r="K7064" s="138">
        <v>33.020000000000003</v>
      </c>
      <c r="L7064" s="137">
        <v>0</v>
      </c>
    </row>
    <row r="7065" spans="7:12" x14ac:dyDescent="0.25">
      <c r="G7065" s="136">
        <v>43656</v>
      </c>
      <c r="H7065" t="s">
        <v>27</v>
      </c>
      <c r="I7065" t="s">
        <v>262</v>
      </c>
      <c r="J7065" t="s">
        <v>624</v>
      </c>
      <c r="K7065" s="138">
        <v>31.77</v>
      </c>
      <c r="L7065" s="137">
        <v>0</v>
      </c>
    </row>
    <row r="7066" spans="7:12" x14ac:dyDescent="0.25">
      <c r="G7066" s="136">
        <v>43656</v>
      </c>
      <c r="H7066" t="s">
        <v>27</v>
      </c>
      <c r="I7066" t="s">
        <v>262</v>
      </c>
      <c r="J7066" t="s">
        <v>624</v>
      </c>
      <c r="K7066" s="138">
        <v>29.77</v>
      </c>
      <c r="L7066" s="137">
        <v>0</v>
      </c>
    </row>
    <row r="7067" spans="7:12" x14ac:dyDescent="0.25">
      <c r="G7067" s="136">
        <v>43656</v>
      </c>
      <c r="H7067" t="s">
        <v>27</v>
      </c>
      <c r="I7067" t="s">
        <v>262</v>
      </c>
      <c r="J7067" t="s">
        <v>624</v>
      </c>
      <c r="K7067" s="138">
        <v>29.29</v>
      </c>
      <c r="L7067" s="137">
        <v>0</v>
      </c>
    </row>
    <row r="7068" spans="7:12" x14ac:dyDescent="0.25">
      <c r="G7068" s="136">
        <v>43656</v>
      </c>
      <c r="H7068" t="s">
        <v>27</v>
      </c>
      <c r="I7068" t="s">
        <v>262</v>
      </c>
      <c r="J7068" t="s">
        <v>624</v>
      </c>
      <c r="K7068" s="138">
        <v>27.99</v>
      </c>
      <c r="L7068" s="137">
        <v>0</v>
      </c>
    </row>
    <row r="7069" spans="7:12" x14ac:dyDescent="0.25">
      <c r="G7069" s="136">
        <v>43656</v>
      </c>
      <c r="H7069" t="s">
        <v>27</v>
      </c>
      <c r="I7069" t="s">
        <v>262</v>
      </c>
      <c r="J7069" t="s">
        <v>624</v>
      </c>
      <c r="K7069" s="138">
        <v>26.03</v>
      </c>
      <c r="L7069" s="137">
        <v>0</v>
      </c>
    </row>
    <row r="7070" spans="7:12" x14ac:dyDescent="0.25">
      <c r="G7070" s="136">
        <v>43656</v>
      </c>
      <c r="H7070" t="s">
        <v>27</v>
      </c>
      <c r="I7070" t="s">
        <v>262</v>
      </c>
      <c r="J7070" t="s">
        <v>624</v>
      </c>
      <c r="K7070" s="138">
        <v>23.72</v>
      </c>
      <c r="L7070" s="137">
        <v>0</v>
      </c>
    </row>
    <row r="7071" spans="7:12" x14ac:dyDescent="0.25">
      <c r="G7071" s="136">
        <v>43656</v>
      </c>
      <c r="H7071" t="s">
        <v>27</v>
      </c>
      <c r="I7071" t="s">
        <v>262</v>
      </c>
      <c r="J7071" t="s">
        <v>624</v>
      </c>
      <c r="K7071" s="138">
        <v>20.170000000000002</v>
      </c>
      <c r="L7071" s="137">
        <v>0</v>
      </c>
    </row>
    <row r="7072" spans="7:12" x14ac:dyDescent="0.25">
      <c r="G7072" s="136">
        <v>43656</v>
      </c>
      <c r="H7072" t="s">
        <v>27</v>
      </c>
      <c r="I7072" t="s">
        <v>262</v>
      </c>
      <c r="J7072" t="s">
        <v>624</v>
      </c>
      <c r="K7072" s="138">
        <v>19.899999999999999</v>
      </c>
      <c r="L7072" s="137">
        <v>0</v>
      </c>
    </row>
    <row r="7073" spans="7:12" x14ac:dyDescent="0.25">
      <c r="G7073" s="136">
        <v>43656</v>
      </c>
      <c r="H7073" t="s">
        <v>27</v>
      </c>
      <c r="I7073" t="s">
        <v>262</v>
      </c>
      <c r="J7073" t="s">
        <v>624</v>
      </c>
      <c r="K7073" s="138">
        <v>17.600000000000001</v>
      </c>
      <c r="L7073" s="137">
        <v>0</v>
      </c>
    </row>
    <row r="7074" spans="7:12" x14ac:dyDescent="0.25">
      <c r="G7074" s="136">
        <v>43656</v>
      </c>
      <c r="H7074" t="s">
        <v>27</v>
      </c>
      <c r="I7074" t="s">
        <v>262</v>
      </c>
      <c r="J7074" t="s">
        <v>624</v>
      </c>
      <c r="K7074" s="138">
        <v>13.43</v>
      </c>
      <c r="L7074" s="137">
        <v>0</v>
      </c>
    </row>
    <row r="7075" spans="7:12" x14ac:dyDescent="0.25">
      <c r="G7075" s="136">
        <v>43656</v>
      </c>
      <c r="H7075" t="s">
        <v>27</v>
      </c>
      <c r="I7075" t="s">
        <v>262</v>
      </c>
      <c r="J7075" t="s">
        <v>624</v>
      </c>
      <c r="K7075" s="138">
        <v>7.26</v>
      </c>
      <c r="L7075" s="137">
        <v>0</v>
      </c>
    </row>
    <row r="7076" spans="7:12" x14ac:dyDescent="0.25">
      <c r="G7076" s="136">
        <v>43656</v>
      </c>
      <c r="H7076" t="s">
        <v>212</v>
      </c>
      <c r="I7076" t="s">
        <v>163</v>
      </c>
      <c r="J7076" t="s">
        <v>625</v>
      </c>
      <c r="K7076" s="138">
        <v>12.5</v>
      </c>
      <c r="L7076" s="137">
        <v>0</v>
      </c>
    </row>
    <row r="7077" spans="7:12" x14ac:dyDescent="0.25">
      <c r="G7077" s="136">
        <v>43656</v>
      </c>
      <c r="H7077" t="s">
        <v>195</v>
      </c>
      <c r="I7077" t="s">
        <v>262</v>
      </c>
      <c r="J7077" t="s">
        <v>624</v>
      </c>
      <c r="K7077" s="138">
        <v>254.94</v>
      </c>
      <c r="L7077" s="137">
        <v>0</v>
      </c>
    </row>
    <row r="7078" spans="7:12" x14ac:dyDescent="0.25">
      <c r="G7078" s="136">
        <v>43656</v>
      </c>
      <c r="H7078" t="s">
        <v>183</v>
      </c>
      <c r="I7078" t="s">
        <v>262</v>
      </c>
      <c r="J7078" t="s">
        <v>624</v>
      </c>
      <c r="K7078" s="138">
        <v>930.71</v>
      </c>
      <c r="L7078" s="137">
        <v>0</v>
      </c>
    </row>
    <row r="7079" spans="7:12" x14ac:dyDescent="0.25">
      <c r="G7079" s="136">
        <v>43656</v>
      </c>
      <c r="H7079" t="s">
        <v>183</v>
      </c>
      <c r="I7079" t="s">
        <v>171</v>
      </c>
      <c r="J7079" t="s">
        <v>625</v>
      </c>
      <c r="K7079" s="138">
        <v>205.5</v>
      </c>
      <c r="L7079" s="137">
        <v>0</v>
      </c>
    </row>
    <row r="7080" spans="7:12" x14ac:dyDescent="0.25">
      <c r="G7080" s="136">
        <v>43656</v>
      </c>
      <c r="H7080" t="s">
        <v>189</v>
      </c>
      <c r="I7080" t="s">
        <v>262</v>
      </c>
      <c r="J7080" t="s">
        <v>624</v>
      </c>
      <c r="K7080" s="138">
        <v>163.72</v>
      </c>
      <c r="L7080" s="137">
        <v>0</v>
      </c>
    </row>
    <row r="7081" spans="7:12" x14ac:dyDescent="0.25">
      <c r="G7081" s="136">
        <v>43656</v>
      </c>
      <c r="H7081" t="s">
        <v>191</v>
      </c>
      <c r="I7081" t="s">
        <v>171</v>
      </c>
      <c r="J7081" t="s">
        <v>625</v>
      </c>
      <c r="K7081" s="138">
        <v>20.85</v>
      </c>
      <c r="L7081" s="137">
        <v>0</v>
      </c>
    </row>
    <row r="7082" spans="7:12" x14ac:dyDescent="0.25">
      <c r="G7082" s="136">
        <v>43656</v>
      </c>
      <c r="H7082" t="s">
        <v>188</v>
      </c>
      <c r="I7082" t="s">
        <v>262</v>
      </c>
      <c r="J7082" t="s">
        <v>624</v>
      </c>
      <c r="K7082" s="138">
        <v>25.14</v>
      </c>
      <c r="L7082" s="137">
        <v>0</v>
      </c>
    </row>
    <row r="7083" spans="7:12" x14ac:dyDescent="0.25">
      <c r="G7083" s="136">
        <v>43656</v>
      </c>
      <c r="H7083" t="s">
        <v>200</v>
      </c>
      <c r="I7083" t="s">
        <v>262</v>
      </c>
      <c r="J7083" t="s">
        <v>624</v>
      </c>
      <c r="K7083" s="138">
        <v>9.9600000000000009</v>
      </c>
      <c r="L7083" s="137">
        <v>0</v>
      </c>
    </row>
    <row r="7084" spans="7:12" x14ac:dyDescent="0.25">
      <c r="G7084" s="136">
        <v>43656</v>
      </c>
      <c r="H7084" t="s">
        <v>200</v>
      </c>
      <c r="I7084" t="s">
        <v>171</v>
      </c>
      <c r="J7084" t="s">
        <v>625</v>
      </c>
      <c r="K7084" s="138">
        <v>130.18</v>
      </c>
      <c r="L7084" s="137">
        <v>0</v>
      </c>
    </row>
    <row r="7085" spans="7:12" x14ac:dyDescent="0.25">
      <c r="G7085" s="136">
        <v>43656</v>
      </c>
      <c r="H7085" t="s">
        <v>25</v>
      </c>
      <c r="I7085" t="s">
        <v>63</v>
      </c>
      <c r="J7085" t="s">
        <v>625</v>
      </c>
      <c r="K7085" s="138">
        <v>24</v>
      </c>
      <c r="L7085" s="137">
        <v>0</v>
      </c>
    </row>
    <row r="7086" spans="7:12" x14ac:dyDescent="0.25">
      <c r="G7086" s="136">
        <v>43656</v>
      </c>
      <c r="H7086" t="s">
        <v>25</v>
      </c>
      <c r="I7086" t="s">
        <v>63</v>
      </c>
      <c r="J7086" t="s">
        <v>625</v>
      </c>
      <c r="K7086" s="138">
        <v>16</v>
      </c>
      <c r="L7086" s="137">
        <v>0</v>
      </c>
    </row>
    <row r="7087" spans="7:12" x14ac:dyDescent="0.25">
      <c r="G7087" s="136">
        <v>43656</v>
      </c>
      <c r="H7087" t="s">
        <v>25</v>
      </c>
      <c r="I7087" t="s">
        <v>63</v>
      </c>
      <c r="J7087" t="s">
        <v>625</v>
      </c>
      <c r="K7087" s="138">
        <v>8</v>
      </c>
      <c r="L7087" s="137">
        <v>0</v>
      </c>
    </row>
    <row r="7088" spans="7:12" x14ac:dyDescent="0.25">
      <c r="G7088" s="136">
        <v>43656</v>
      </c>
      <c r="H7088" t="s">
        <v>25</v>
      </c>
      <c r="I7088" t="s">
        <v>262</v>
      </c>
      <c r="J7088" t="s">
        <v>624</v>
      </c>
      <c r="K7088" s="138">
        <v>1660.09</v>
      </c>
      <c r="L7088" s="137">
        <v>0</v>
      </c>
    </row>
    <row r="7089" spans="7:12" x14ac:dyDescent="0.25">
      <c r="G7089" s="136">
        <v>43656</v>
      </c>
      <c r="H7089" t="s">
        <v>25</v>
      </c>
      <c r="I7089" t="s">
        <v>262</v>
      </c>
      <c r="J7089" t="s">
        <v>624</v>
      </c>
      <c r="K7089" s="138">
        <v>839.9</v>
      </c>
      <c r="L7089" s="137">
        <v>0</v>
      </c>
    </row>
    <row r="7090" spans="7:12" x14ac:dyDescent="0.25">
      <c r="G7090" s="136">
        <v>43656</v>
      </c>
      <c r="H7090" t="s">
        <v>25</v>
      </c>
      <c r="I7090" t="s">
        <v>262</v>
      </c>
      <c r="J7090" t="s">
        <v>624</v>
      </c>
      <c r="K7090" s="138">
        <v>828.89</v>
      </c>
      <c r="L7090" s="137">
        <v>0</v>
      </c>
    </row>
    <row r="7091" spans="7:12" x14ac:dyDescent="0.25">
      <c r="G7091" s="136">
        <v>43656</v>
      </c>
      <c r="H7091" t="s">
        <v>25</v>
      </c>
      <c r="I7091" t="s">
        <v>262</v>
      </c>
      <c r="J7091" t="s">
        <v>624</v>
      </c>
      <c r="K7091" s="138">
        <v>757.32</v>
      </c>
      <c r="L7091" s="137">
        <v>0</v>
      </c>
    </row>
    <row r="7092" spans="7:12" x14ac:dyDescent="0.25">
      <c r="G7092" s="136">
        <v>43656</v>
      </c>
      <c r="H7092" t="s">
        <v>25</v>
      </c>
      <c r="I7092" t="s">
        <v>262</v>
      </c>
      <c r="J7092" t="s">
        <v>624</v>
      </c>
      <c r="K7092" s="138">
        <v>706.08</v>
      </c>
      <c r="L7092" s="137">
        <v>0</v>
      </c>
    </row>
    <row r="7093" spans="7:12" x14ac:dyDescent="0.25">
      <c r="G7093" s="136">
        <v>43656</v>
      </c>
      <c r="H7093" t="s">
        <v>25</v>
      </c>
      <c r="I7093" t="s">
        <v>262</v>
      </c>
      <c r="J7093" t="s">
        <v>624</v>
      </c>
      <c r="K7093" s="138">
        <v>575.63</v>
      </c>
      <c r="L7093" s="137">
        <v>0</v>
      </c>
    </row>
    <row r="7094" spans="7:12" x14ac:dyDescent="0.25">
      <c r="G7094" s="136">
        <v>43656</v>
      </c>
      <c r="H7094" t="s">
        <v>25</v>
      </c>
      <c r="I7094" t="s">
        <v>262</v>
      </c>
      <c r="J7094" t="s">
        <v>624</v>
      </c>
      <c r="K7094" s="138">
        <v>562.02</v>
      </c>
      <c r="L7094" s="137">
        <v>0</v>
      </c>
    </row>
    <row r="7095" spans="7:12" x14ac:dyDescent="0.25">
      <c r="G7095" s="136">
        <v>43656</v>
      </c>
      <c r="H7095" t="s">
        <v>25</v>
      </c>
      <c r="I7095" t="s">
        <v>262</v>
      </c>
      <c r="J7095" t="s">
        <v>624</v>
      </c>
      <c r="K7095" s="138">
        <v>551.41</v>
      </c>
      <c r="L7095" s="137">
        <v>0</v>
      </c>
    </row>
    <row r="7096" spans="7:12" x14ac:dyDescent="0.25">
      <c r="G7096" s="136">
        <v>43656</v>
      </c>
      <c r="H7096" t="s">
        <v>25</v>
      </c>
      <c r="I7096" t="s">
        <v>262</v>
      </c>
      <c r="J7096" t="s">
        <v>624</v>
      </c>
      <c r="K7096" s="138">
        <v>531.46</v>
      </c>
      <c r="L7096" s="137">
        <v>0</v>
      </c>
    </row>
    <row r="7097" spans="7:12" x14ac:dyDescent="0.25">
      <c r="G7097" s="136">
        <v>43656</v>
      </c>
      <c r="H7097" t="s">
        <v>25</v>
      </c>
      <c r="I7097" t="s">
        <v>262</v>
      </c>
      <c r="J7097" t="s">
        <v>624</v>
      </c>
      <c r="K7097" s="138">
        <v>477.64</v>
      </c>
      <c r="L7097" s="137">
        <v>0</v>
      </c>
    </row>
    <row r="7098" spans="7:12" x14ac:dyDescent="0.25">
      <c r="G7098" s="136">
        <v>43656</v>
      </c>
      <c r="H7098" t="s">
        <v>25</v>
      </c>
      <c r="I7098" t="s">
        <v>262</v>
      </c>
      <c r="J7098" t="s">
        <v>624</v>
      </c>
      <c r="K7098" s="138">
        <v>453.9</v>
      </c>
      <c r="L7098" s="137">
        <v>0</v>
      </c>
    </row>
    <row r="7099" spans="7:12" x14ac:dyDescent="0.25">
      <c r="G7099" s="136">
        <v>43656</v>
      </c>
      <c r="H7099" t="s">
        <v>25</v>
      </c>
      <c r="I7099" t="s">
        <v>262</v>
      </c>
      <c r="J7099" t="s">
        <v>624</v>
      </c>
      <c r="K7099" s="138">
        <v>392.27</v>
      </c>
      <c r="L7099" s="137">
        <v>0</v>
      </c>
    </row>
    <row r="7100" spans="7:12" x14ac:dyDescent="0.25">
      <c r="G7100" s="136">
        <v>43656</v>
      </c>
      <c r="H7100" t="s">
        <v>25</v>
      </c>
      <c r="I7100" t="s">
        <v>262</v>
      </c>
      <c r="J7100" t="s">
        <v>624</v>
      </c>
      <c r="K7100" s="138">
        <v>339.11</v>
      </c>
      <c r="L7100" s="137">
        <v>0</v>
      </c>
    </row>
    <row r="7101" spans="7:12" x14ac:dyDescent="0.25">
      <c r="G7101" s="136">
        <v>43656</v>
      </c>
      <c r="H7101" t="s">
        <v>25</v>
      </c>
      <c r="I7101" t="s">
        <v>262</v>
      </c>
      <c r="J7101" t="s">
        <v>624</v>
      </c>
      <c r="K7101" s="138">
        <v>277.51</v>
      </c>
      <c r="L7101" s="137">
        <v>0</v>
      </c>
    </row>
    <row r="7102" spans="7:12" x14ac:dyDescent="0.25">
      <c r="G7102" s="136">
        <v>43656</v>
      </c>
      <c r="H7102" t="s">
        <v>25</v>
      </c>
      <c r="I7102" t="s">
        <v>262</v>
      </c>
      <c r="J7102" t="s">
        <v>624</v>
      </c>
      <c r="K7102" s="138">
        <v>217.88</v>
      </c>
      <c r="L7102" s="137">
        <v>0</v>
      </c>
    </row>
    <row r="7103" spans="7:12" x14ac:dyDescent="0.25">
      <c r="G7103" s="136">
        <v>43656</v>
      </c>
      <c r="H7103" t="s">
        <v>25</v>
      </c>
      <c r="I7103" t="s">
        <v>262</v>
      </c>
      <c r="J7103" t="s">
        <v>624</v>
      </c>
      <c r="K7103" s="138">
        <v>186.05</v>
      </c>
      <c r="L7103" s="137">
        <v>0</v>
      </c>
    </row>
    <row r="7104" spans="7:12" x14ac:dyDescent="0.25">
      <c r="G7104" s="136">
        <v>43656</v>
      </c>
      <c r="H7104" t="s">
        <v>25</v>
      </c>
      <c r="I7104" t="s">
        <v>262</v>
      </c>
      <c r="J7104" t="s">
        <v>624</v>
      </c>
      <c r="K7104" s="138">
        <v>173.93</v>
      </c>
      <c r="L7104" s="137">
        <v>0</v>
      </c>
    </row>
    <row r="7105" spans="7:12" x14ac:dyDescent="0.25">
      <c r="G7105" s="136">
        <v>43656</v>
      </c>
      <c r="H7105" t="s">
        <v>25</v>
      </c>
      <c r="I7105" t="s">
        <v>262</v>
      </c>
      <c r="J7105" t="s">
        <v>624</v>
      </c>
      <c r="K7105" s="138">
        <v>173.81</v>
      </c>
      <c r="L7105" s="137">
        <v>0</v>
      </c>
    </row>
    <row r="7106" spans="7:12" x14ac:dyDescent="0.25">
      <c r="G7106" s="136">
        <v>43656</v>
      </c>
      <c r="H7106" t="s">
        <v>25</v>
      </c>
      <c r="I7106" t="s">
        <v>262</v>
      </c>
      <c r="J7106" t="s">
        <v>624</v>
      </c>
      <c r="K7106" s="138">
        <v>170.64</v>
      </c>
      <c r="L7106" s="137">
        <v>0</v>
      </c>
    </row>
    <row r="7107" spans="7:12" x14ac:dyDescent="0.25">
      <c r="G7107" s="136">
        <v>43656</v>
      </c>
      <c r="H7107" t="s">
        <v>25</v>
      </c>
      <c r="I7107" t="s">
        <v>262</v>
      </c>
      <c r="J7107" t="s">
        <v>624</v>
      </c>
      <c r="K7107" s="138">
        <v>132.77000000000001</v>
      </c>
      <c r="L7107" s="137">
        <v>0</v>
      </c>
    </row>
    <row r="7108" spans="7:12" x14ac:dyDescent="0.25">
      <c r="G7108" s="136">
        <v>43656</v>
      </c>
      <c r="H7108" t="s">
        <v>25</v>
      </c>
      <c r="I7108" t="s">
        <v>262</v>
      </c>
      <c r="J7108" t="s">
        <v>624</v>
      </c>
      <c r="K7108" s="138">
        <v>121.62</v>
      </c>
      <c r="L7108" s="137">
        <v>0</v>
      </c>
    </row>
    <row r="7109" spans="7:12" x14ac:dyDescent="0.25">
      <c r="G7109" s="136">
        <v>43656</v>
      </c>
      <c r="H7109" t="s">
        <v>25</v>
      </c>
      <c r="I7109" t="s">
        <v>262</v>
      </c>
      <c r="J7109" t="s">
        <v>624</v>
      </c>
      <c r="K7109" s="138">
        <v>29.64</v>
      </c>
      <c r="L7109" s="137">
        <v>0</v>
      </c>
    </row>
    <row r="7110" spans="7:12" x14ac:dyDescent="0.25">
      <c r="G7110" s="136">
        <v>43656</v>
      </c>
      <c r="H7110" t="s">
        <v>25</v>
      </c>
      <c r="I7110" t="s">
        <v>262</v>
      </c>
      <c r="J7110" t="s">
        <v>624</v>
      </c>
      <c r="K7110" s="138">
        <v>28.02</v>
      </c>
      <c r="L7110" s="137">
        <v>0</v>
      </c>
    </row>
    <row r="7111" spans="7:12" x14ac:dyDescent="0.25">
      <c r="G7111" s="136">
        <v>43656</v>
      </c>
      <c r="H7111" t="s">
        <v>196</v>
      </c>
      <c r="I7111" t="s">
        <v>171</v>
      </c>
      <c r="J7111" t="s">
        <v>625</v>
      </c>
      <c r="K7111" s="138">
        <v>869.85</v>
      </c>
      <c r="L7111" s="137">
        <v>0</v>
      </c>
    </row>
    <row r="7112" spans="7:12" x14ac:dyDescent="0.25">
      <c r="G7112" s="136">
        <v>43656</v>
      </c>
      <c r="H7112" t="s">
        <v>180</v>
      </c>
      <c r="I7112" t="s">
        <v>262</v>
      </c>
      <c r="J7112" t="s">
        <v>624</v>
      </c>
      <c r="K7112" s="138">
        <v>30.39</v>
      </c>
      <c r="L7112" s="137">
        <v>0</v>
      </c>
    </row>
    <row r="7113" spans="7:12" x14ac:dyDescent="0.25">
      <c r="G7113" s="136">
        <v>43656</v>
      </c>
      <c r="H7113" t="s">
        <v>180</v>
      </c>
      <c r="I7113" t="s">
        <v>171</v>
      </c>
      <c r="J7113" t="s">
        <v>625</v>
      </c>
      <c r="K7113" s="138">
        <v>12</v>
      </c>
      <c r="L7113" s="137">
        <v>0</v>
      </c>
    </row>
    <row r="7114" spans="7:12" x14ac:dyDescent="0.25">
      <c r="G7114" s="136">
        <v>43656</v>
      </c>
      <c r="H7114" t="s">
        <v>179</v>
      </c>
      <c r="I7114" t="s">
        <v>262</v>
      </c>
      <c r="J7114" t="s">
        <v>624</v>
      </c>
      <c r="K7114" s="138">
        <v>804.21</v>
      </c>
      <c r="L7114" s="137">
        <v>0</v>
      </c>
    </row>
    <row r="7115" spans="7:12" x14ac:dyDescent="0.25">
      <c r="G7115" s="136">
        <v>43656</v>
      </c>
      <c r="H7115" t="s">
        <v>28</v>
      </c>
      <c r="I7115" t="s">
        <v>66</v>
      </c>
      <c r="J7115" t="s">
        <v>301</v>
      </c>
      <c r="K7115" s="138">
        <v>2.4</v>
      </c>
      <c r="L7115" s="137">
        <v>0</v>
      </c>
    </row>
    <row r="7116" spans="7:12" x14ac:dyDescent="0.25">
      <c r="G7116" s="136">
        <v>43656</v>
      </c>
      <c r="H7116" t="s">
        <v>28</v>
      </c>
      <c r="I7116" t="s">
        <v>262</v>
      </c>
      <c r="J7116" t="s">
        <v>624</v>
      </c>
      <c r="K7116" s="138">
        <v>138.13</v>
      </c>
      <c r="L7116" s="137">
        <v>0</v>
      </c>
    </row>
    <row r="7117" spans="7:12" x14ac:dyDescent="0.25">
      <c r="G7117" s="136">
        <v>43656</v>
      </c>
      <c r="H7117" t="s">
        <v>28</v>
      </c>
      <c r="I7117" t="s">
        <v>262</v>
      </c>
      <c r="J7117" t="s">
        <v>624</v>
      </c>
      <c r="K7117" s="138">
        <v>60.19</v>
      </c>
      <c r="L7117" s="137">
        <v>0</v>
      </c>
    </row>
    <row r="7118" spans="7:12" x14ac:dyDescent="0.25">
      <c r="G7118" s="136">
        <v>43656</v>
      </c>
      <c r="H7118" t="s">
        <v>28</v>
      </c>
      <c r="I7118" t="s">
        <v>262</v>
      </c>
      <c r="J7118" t="s">
        <v>624</v>
      </c>
      <c r="K7118" s="138">
        <v>57.16</v>
      </c>
      <c r="L7118" s="137">
        <v>0</v>
      </c>
    </row>
    <row r="7119" spans="7:12" x14ac:dyDescent="0.25">
      <c r="G7119" s="136">
        <v>43656</v>
      </c>
      <c r="H7119" t="s">
        <v>28</v>
      </c>
      <c r="I7119" t="s">
        <v>262</v>
      </c>
      <c r="J7119" t="s">
        <v>624</v>
      </c>
      <c r="K7119" s="138">
        <v>42.15</v>
      </c>
      <c r="L7119" s="137">
        <v>0</v>
      </c>
    </row>
    <row r="7120" spans="7:12" x14ac:dyDescent="0.25">
      <c r="G7120" s="136">
        <v>43657</v>
      </c>
      <c r="H7120" t="s">
        <v>203</v>
      </c>
      <c r="I7120" t="s">
        <v>112</v>
      </c>
      <c r="J7120" t="s">
        <v>626</v>
      </c>
      <c r="K7120" s="138">
        <v>0</v>
      </c>
      <c r="L7120" s="137">
        <v>20.25</v>
      </c>
    </row>
    <row r="7121" spans="7:12" x14ac:dyDescent="0.25">
      <c r="G7121" s="136">
        <v>43657</v>
      </c>
      <c r="H7121" t="s">
        <v>203</v>
      </c>
      <c r="I7121" t="s">
        <v>176</v>
      </c>
      <c r="J7121" t="s">
        <v>626</v>
      </c>
      <c r="K7121" s="138">
        <v>20.25</v>
      </c>
      <c r="L7121" s="137">
        <v>0</v>
      </c>
    </row>
    <row r="7122" spans="7:12" x14ac:dyDescent="0.25">
      <c r="G7122" s="136">
        <v>43657</v>
      </c>
      <c r="H7122" t="s">
        <v>27</v>
      </c>
      <c r="I7122" t="s">
        <v>63</v>
      </c>
      <c r="J7122" t="s">
        <v>626</v>
      </c>
      <c r="K7122" s="138">
        <v>32</v>
      </c>
      <c r="L7122" s="137">
        <v>0</v>
      </c>
    </row>
    <row r="7123" spans="7:12" x14ac:dyDescent="0.25">
      <c r="G7123" s="136">
        <v>43657</v>
      </c>
      <c r="H7123" t="s">
        <v>27</v>
      </c>
      <c r="I7123" t="s">
        <v>63</v>
      </c>
      <c r="J7123" t="s">
        <v>626</v>
      </c>
      <c r="K7123" s="138">
        <v>8</v>
      </c>
      <c r="L7123" s="137">
        <v>0</v>
      </c>
    </row>
    <row r="7124" spans="7:12" x14ac:dyDescent="0.25">
      <c r="G7124" s="136">
        <v>43657</v>
      </c>
      <c r="H7124" t="s">
        <v>186</v>
      </c>
      <c r="I7124" t="s">
        <v>112</v>
      </c>
      <c r="J7124" t="s">
        <v>626</v>
      </c>
      <c r="K7124" s="138">
        <v>0</v>
      </c>
      <c r="L7124" s="137">
        <v>93.15</v>
      </c>
    </row>
    <row r="7125" spans="7:12" x14ac:dyDescent="0.25">
      <c r="G7125" s="136">
        <v>43657</v>
      </c>
      <c r="H7125" t="s">
        <v>186</v>
      </c>
      <c r="I7125" t="s">
        <v>176</v>
      </c>
      <c r="J7125" t="s">
        <v>626</v>
      </c>
      <c r="K7125" s="138">
        <v>93.15</v>
      </c>
      <c r="L7125" s="137">
        <v>0</v>
      </c>
    </row>
    <row r="7126" spans="7:12" x14ac:dyDescent="0.25">
      <c r="G7126" s="136">
        <v>43657</v>
      </c>
      <c r="H7126" t="s">
        <v>195</v>
      </c>
      <c r="I7126" t="s">
        <v>163</v>
      </c>
      <c r="J7126" t="s">
        <v>626</v>
      </c>
      <c r="K7126" s="138">
        <v>60.7</v>
      </c>
      <c r="L7126" s="137">
        <v>0</v>
      </c>
    </row>
    <row r="7127" spans="7:12" x14ac:dyDescent="0.25">
      <c r="G7127" s="136">
        <v>43657</v>
      </c>
      <c r="H7127" t="s">
        <v>195</v>
      </c>
      <c r="I7127" t="s">
        <v>112</v>
      </c>
      <c r="J7127" t="s">
        <v>626</v>
      </c>
      <c r="K7127" s="138">
        <v>0</v>
      </c>
      <c r="L7127" s="137">
        <v>10</v>
      </c>
    </row>
    <row r="7128" spans="7:12" x14ac:dyDescent="0.25">
      <c r="G7128" s="136">
        <v>43657</v>
      </c>
      <c r="H7128" t="s">
        <v>195</v>
      </c>
      <c r="I7128" t="s">
        <v>176</v>
      </c>
      <c r="J7128" t="s">
        <v>626</v>
      </c>
      <c r="K7128" s="138">
        <v>10</v>
      </c>
      <c r="L7128" s="137">
        <v>0</v>
      </c>
    </row>
    <row r="7129" spans="7:12" x14ac:dyDescent="0.25">
      <c r="G7129" s="136">
        <v>43657</v>
      </c>
      <c r="H7129" t="s">
        <v>183</v>
      </c>
      <c r="I7129" t="s">
        <v>171</v>
      </c>
      <c r="J7129" t="s">
        <v>626</v>
      </c>
      <c r="K7129" s="138">
        <v>20</v>
      </c>
      <c r="L7129" s="137">
        <v>0</v>
      </c>
    </row>
    <row r="7130" spans="7:12" x14ac:dyDescent="0.25">
      <c r="G7130" s="136">
        <v>43657</v>
      </c>
      <c r="H7130" t="s">
        <v>191</v>
      </c>
      <c r="I7130" t="s">
        <v>171</v>
      </c>
      <c r="J7130" t="s">
        <v>626</v>
      </c>
      <c r="K7130" s="138">
        <v>12.9</v>
      </c>
      <c r="L7130" s="137">
        <v>0</v>
      </c>
    </row>
    <row r="7131" spans="7:12" x14ac:dyDescent="0.25">
      <c r="G7131" s="136">
        <v>43657</v>
      </c>
      <c r="H7131" t="s">
        <v>193</v>
      </c>
      <c r="I7131" t="s">
        <v>171</v>
      </c>
      <c r="J7131" t="s">
        <v>626</v>
      </c>
      <c r="K7131" s="138">
        <v>30</v>
      </c>
      <c r="L7131" s="137">
        <v>0</v>
      </c>
    </row>
    <row r="7132" spans="7:12" x14ac:dyDescent="0.25">
      <c r="G7132" s="136">
        <v>43657</v>
      </c>
      <c r="H7132" t="s">
        <v>200</v>
      </c>
      <c r="I7132" t="s">
        <v>112</v>
      </c>
      <c r="J7132" t="s">
        <v>626</v>
      </c>
      <c r="K7132" s="138">
        <v>0</v>
      </c>
      <c r="L7132" s="137">
        <v>10</v>
      </c>
    </row>
    <row r="7133" spans="7:12" x14ac:dyDescent="0.25">
      <c r="G7133" s="136">
        <v>43657</v>
      </c>
      <c r="H7133" t="s">
        <v>200</v>
      </c>
      <c r="I7133" t="s">
        <v>176</v>
      </c>
      <c r="J7133" t="s">
        <v>626</v>
      </c>
      <c r="K7133" s="138">
        <v>10</v>
      </c>
      <c r="L7133" s="137">
        <v>0</v>
      </c>
    </row>
    <row r="7134" spans="7:12" x14ac:dyDescent="0.25">
      <c r="G7134" s="136">
        <v>43657</v>
      </c>
      <c r="H7134" t="s">
        <v>205</v>
      </c>
      <c r="I7134" t="s">
        <v>175</v>
      </c>
      <c r="J7134" t="s">
        <v>626</v>
      </c>
      <c r="K7134" s="138">
        <v>12.83</v>
      </c>
      <c r="L7134" s="137">
        <v>0</v>
      </c>
    </row>
    <row r="7135" spans="7:12" x14ac:dyDescent="0.25">
      <c r="G7135" s="136">
        <v>43657</v>
      </c>
      <c r="H7135" t="s">
        <v>25</v>
      </c>
      <c r="I7135" t="s">
        <v>63</v>
      </c>
      <c r="J7135" t="s">
        <v>626</v>
      </c>
      <c r="K7135" s="138">
        <v>16</v>
      </c>
      <c r="L7135" s="137">
        <v>0</v>
      </c>
    </row>
    <row r="7136" spans="7:12" x14ac:dyDescent="0.25">
      <c r="G7136" s="136">
        <v>43657</v>
      </c>
      <c r="H7136" t="s">
        <v>25</v>
      </c>
      <c r="I7136" t="s">
        <v>63</v>
      </c>
      <c r="J7136" t="s">
        <v>626</v>
      </c>
      <c r="K7136" s="138">
        <v>8</v>
      </c>
      <c r="L7136" s="137">
        <v>0</v>
      </c>
    </row>
    <row r="7137" spans="7:12" x14ac:dyDescent="0.25">
      <c r="G7137" s="136">
        <v>43657</v>
      </c>
      <c r="H7137" t="s">
        <v>211</v>
      </c>
      <c r="I7137" t="s">
        <v>163</v>
      </c>
      <c r="J7137" t="s">
        <v>626</v>
      </c>
      <c r="K7137" s="138">
        <v>147.5</v>
      </c>
      <c r="L7137" s="137">
        <v>0</v>
      </c>
    </row>
    <row r="7138" spans="7:12" x14ac:dyDescent="0.25">
      <c r="G7138" s="136">
        <v>43657</v>
      </c>
      <c r="H7138" t="s">
        <v>197</v>
      </c>
      <c r="I7138" t="s">
        <v>112</v>
      </c>
      <c r="J7138" t="s">
        <v>626</v>
      </c>
      <c r="K7138" s="138">
        <v>0</v>
      </c>
      <c r="L7138" s="137">
        <v>68.680000000000007</v>
      </c>
    </row>
    <row r="7139" spans="7:12" x14ac:dyDescent="0.25">
      <c r="G7139" s="136">
        <v>43657</v>
      </c>
      <c r="H7139" t="s">
        <v>197</v>
      </c>
      <c r="I7139" t="s">
        <v>176</v>
      </c>
      <c r="J7139" t="s">
        <v>626</v>
      </c>
      <c r="K7139" s="138">
        <v>68.680000000000007</v>
      </c>
      <c r="L7139" s="137">
        <v>0</v>
      </c>
    </row>
    <row r="7140" spans="7:12" x14ac:dyDescent="0.25">
      <c r="G7140" s="136">
        <v>43657</v>
      </c>
      <c r="H7140" t="s">
        <v>197</v>
      </c>
      <c r="I7140" t="s">
        <v>171</v>
      </c>
      <c r="J7140" t="s">
        <v>626</v>
      </c>
      <c r="K7140" s="138">
        <v>58.3</v>
      </c>
      <c r="L7140" s="137">
        <v>0</v>
      </c>
    </row>
    <row r="7141" spans="7:12" x14ac:dyDescent="0.25">
      <c r="G7141" s="136">
        <v>43657</v>
      </c>
      <c r="H7141" t="s">
        <v>180</v>
      </c>
      <c r="I7141" t="s">
        <v>112</v>
      </c>
      <c r="J7141" t="s">
        <v>626</v>
      </c>
      <c r="K7141" s="138">
        <v>0</v>
      </c>
      <c r="L7141" s="137">
        <v>30</v>
      </c>
    </row>
    <row r="7142" spans="7:12" x14ac:dyDescent="0.25">
      <c r="G7142" s="136">
        <v>43657</v>
      </c>
      <c r="H7142" t="s">
        <v>180</v>
      </c>
      <c r="I7142" t="s">
        <v>176</v>
      </c>
      <c r="J7142" t="s">
        <v>626</v>
      </c>
      <c r="K7142" s="138">
        <v>30</v>
      </c>
      <c r="L7142" s="137">
        <v>0</v>
      </c>
    </row>
    <row r="7143" spans="7:12" x14ac:dyDescent="0.25">
      <c r="G7143" s="136">
        <v>43657</v>
      </c>
      <c r="H7143" t="s">
        <v>28</v>
      </c>
      <c r="I7143" t="s">
        <v>66</v>
      </c>
      <c r="J7143" t="s">
        <v>106</v>
      </c>
      <c r="K7143" s="138">
        <v>2.4</v>
      </c>
      <c r="L7143" s="137">
        <v>0</v>
      </c>
    </row>
    <row r="7144" spans="7:12" x14ac:dyDescent="0.25">
      <c r="G7144" s="136">
        <v>43657</v>
      </c>
      <c r="H7144" t="s">
        <v>28</v>
      </c>
      <c r="I7144" t="s">
        <v>66</v>
      </c>
      <c r="J7144" t="s">
        <v>139</v>
      </c>
      <c r="K7144" s="138">
        <v>5</v>
      </c>
      <c r="L7144" s="137">
        <v>0</v>
      </c>
    </row>
    <row r="7145" spans="7:12" x14ac:dyDescent="0.25">
      <c r="G7145" s="136">
        <v>43657</v>
      </c>
      <c r="H7145" t="s">
        <v>28</v>
      </c>
      <c r="I7145" t="s">
        <v>66</v>
      </c>
      <c r="J7145" t="s">
        <v>125</v>
      </c>
      <c r="K7145" s="138">
        <v>1.8</v>
      </c>
      <c r="L7145" s="137">
        <v>0</v>
      </c>
    </row>
    <row r="7146" spans="7:12" x14ac:dyDescent="0.25">
      <c r="G7146" s="136">
        <v>43658</v>
      </c>
      <c r="H7146" t="s">
        <v>204</v>
      </c>
      <c r="I7146" t="s">
        <v>176</v>
      </c>
      <c r="J7146" t="s">
        <v>627</v>
      </c>
      <c r="K7146" s="138">
        <v>86.05</v>
      </c>
      <c r="L7146" s="137">
        <v>0</v>
      </c>
    </row>
    <row r="7147" spans="7:12" x14ac:dyDescent="0.25">
      <c r="G7147" s="136">
        <v>43658</v>
      </c>
      <c r="H7147" t="s">
        <v>192</v>
      </c>
      <c r="I7147" t="s">
        <v>176</v>
      </c>
      <c r="J7147" t="s">
        <v>627</v>
      </c>
      <c r="K7147" s="138">
        <v>344.25</v>
      </c>
      <c r="L7147" s="137">
        <v>0</v>
      </c>
    </row>
    <row r="7148" spans="7:12" x14ac:dyDescent="0.25">
      <c r="G7148" s="136">
        <v>43658</v>
      </c>
      <c r="H7148" t="s">
        <v>27</v>
      </c>
      <c r="I7148" t="s">
        <v>63</v>
      </c>
      <c r="J7148" t="s">
        <v>627</v>
      </c>
      <c r="K7148" s="138">
        <v>16</v>
      </c>
      <c r="L7148" s="137">
        <v>0</v>
      </c>
    </row>
    <row r="7149" spans="7:12" x14ac:dyDescent="0.25">
      <c r="G7149" s="136">
        <v>43658</v>
      </c>
      <c r="H7149" t="s">
        <v>184</v>
      </c>
      <c r="I7149" t="s">
        <v>171</v>
      </c>
      <c r="J7149" t="s">
        <v>627</v>
      </c>
      <c r="K7149" s="138">
        <v>25</v>
      </c>
      <c r="L7149" s="137">
        <v>0</v>
      </c>
    </row>
    <row r="7150" spans="7:12" x14ac:dyDescent="0.25">
      <c r="G7150" s="136">
        <v>43658</v>
      </c>
      <c r="H7150" t="s">
        <v>195</v>
      </c>
      <c r="I7150" t="s">
        <v>155</v>
      </c>
      <c r="J7150" t="s">
        <v>627</v>
      </c>
      <c r="K7150" s="138">
        <v>186.42</v>
      </c>
      <c r="L7150" s="137">
        <v>0</v>
      </c>
    </row>
    <row r="7151" spans="7:12" x14ac:dyDescent="0.25">
      <c r="G7151" s="136">
        <v>43658</v>
      </c>
      <c r="H7151" t="s">
        <v>195</v>
      </c>
      <c r="I7151" t="s">
        <v>176</v>
      </c>
      <c r="J7151" t="s">
        <v>627</v>
      </c>
      <c r="K7151" s="138">
        <v>20.67</v>
      </c>
      <c r="L7151" s="137">
        <v>0</v>
      </c>
    </row>
    <row r="7152" spans="7:12" x14ac:dyDescent="0.25">
      <c r="G7152" s="136">
        <v>43658</v>
      </c>
      <c r="H7152" t="s">
        <v>210</v>
      </c>
      <c r="I7152" t="s">
        <v>112</v>
      </c>
      <c r="J7152" t="s">
        <v>627</v>
      </c>
      <c r="K7152" s="138">
        <v>62.39</v>
      </c>
      <c r="L7152" s="137">
        <v>0</v>
      </c>
    </row>
    <row r="7153" spans="7:12" x14ac:dyDescent="0.25">
      <c r="G7153" s="136">
        <v>43658</v>
      </c>
      <c r="H7153" t="s">
        <v>193</v>
      </c>
      <c r="I7153" t="s">
        <v>176</v>
      </c>
      <c r="J7153" t="s">
        <v>627</v>
      </c>
      <c r="K7153" s="138">
        <v>882.45</v>
      </c>
      <c r="L7153" s="137">
        <v>0</v>
      </c>
    </row>
    <row r="7154" spans="7:12" x14ac:dyDescent="0.25">
      <c r="G7154" s="136">
        <v>43658</v>
      </c>
      <c r="H7154" t="s">
        <v>188</v>
      </c>
      <c r="I7154" t="s">
        <v>112</v>
      </c>
      <c r="J7154" t="s">
        <v>627</v>
      </c>
      <c r="K7154" s="138">
        <v>68</v>
      </c>
      <c r="L7154" s="137">
        <v>0</v>
      </c>
    </row>
    <row r="7155" spans="7:12" x14ac:dyDescent="0.25">
      <c r="G7155" s="136">
        <v>43658</v>
      </c>
      <c r="H7155" t="s">
        <v>207</v>
      </c>
      <c r="I7155" t="s">
        <v>112</v>
      </c>
      <c r="J7155" t="s">
        <v>627</v>
      </c>
      <c r="K7155" s="138">
        <v>27.57</v>
      </c>
      <c r="L7155" s="137">
        <v>0</v>
      </c>
    </row>
    <row r="7156" spans="7:12" x14ac:dyDescent="0.25">
      <c r="G7156" s="136">
        <v>43658</v>
      </c>
      <c r="H7156" t="s">
        <v>207</v>
      </c>
      <c r="I7156" t="s">
        <v>176</v>
      </c>
      <c r="J7156" t="s">
        <v>627</v>
      </c>
      <c r="K7156" s="138">
        <v>6.9</v>
      </c>
      <c r="L7156" s="137">
        <v>0</v>
      </c>
    </row>
    <row r="7157" spans="7:12" x14ac:dyDescent="0.25">
      <c r="G7157" s="136">
        <v>43658</v>
      </c>
      <c r="H7157" t="s">
        <v>197</v>
      </c>
      <c r="I7157" t="s">
        <v>112</v>
      </c>
      <c r="J7157" t="s">
        <v>627</v>
      </c>
      <c r="K7157" s="138">
        <v>49.5</v>
      </c>
      <c r="L7157" s="137">
        <v>0</v>
      </c>
    </row>
    <row r="7158" spans="7:12" x14ac:dyDescent="0.25">
      <c r="G7158" s="136">
        <v>43658</v>
      </c>
      <c r="H7158" t="s">
        <v>197</v>
      </c>
      <c r="I7158" t="s">
        <v>155</v>
      </c>
      <c r="J7158" t="s">
        <v>627</v>
      </c>
      <c r="K7158" s="138">
        <v>5.0599999999999996</v>
      </c>
      <c r="L7158" s="137">
        <v>0</v>
      </c>
    </row>
    <row r="7159" spans="7:12" x14ac:dyDescent="0.25">
      <c r="G7159" s="136">
        <v>43658</v>
      </c>
      <c r="H7159" t="s">
        <v>180</v>
      </c>
      <c r="I7159" t="s">
        <v>176</v>
      </c>
      <c r="J7159" t="s">
        <v>627</v>
      </c>
      <c r="K7159" s="138">
        <v>223.1</v>
      </c>
      <c r="L7159" s="137">
        <v>0</v>
      </c>
    </row>
    <row r="7160" spans="7:12" x14ac:dyDescent="0.25">
      <c r="G7160" s="136">
        <v>43658</v>
      </c>
      <c r="H7160" t="s">
        <v>179</v>
      </c>
      <c r="I7160" t="s">
        <v>176</v>
      </c>
      <c r="J7160" t="s">
        <v>627</v>
      </c>
      <c r="K7160" s="138">
        <v>771.1</v>
      </c>
      <c r="L7160" s="137">
        <v>0</v>
      </c>
    </row>
    <row r="7161" spans="7:12" x14ac:dyDescent="0.25">
      <c r="G7161" s="136">
        <v>43658</v>
      </c>
      <c r="H7161" t="s">
        <v>28</v>
      </c>
      <c r="I7161" t="s">
        <v>112</v>
      </c>
      <c r="J7161" t="s">
        <v>627</v>
      </c>
      <c r="K7161" s="138">
        <v>115.77</v>
      </c>
      <c r="L7161" s="137">
        <v>0</v>
      </c>
    </row>
    <row r="7162" spans="7:12" x14ac:dyDescent="0.25">
      <c r="G7162" s="136">
        <v>43658</v>
      </c>
      <c r="H7162" t="s">
        <v>28</v>
      </c>
      <c r="I7162" t="s">
        <v>155</v>
      </c>
      <c r="J7162" t="s">
        <v>627</v>
      </c>
      <c r="K7162" s="138">
        <v>75.739999999999995</v>
      </c>
      <c r="L7162" s="137">
        <v>0</v>
      </c>
    </row>
    <row r="7163" spans="7:12" x14ac:dyDescent="0.25">
      <c r="G7163" s="136">
        <v>43658</v>
      </c>
      <c r="H7163" t="s">
        <v>28</v>
      </c>
      <c r="I7163" t="s">
        <v>155</v>
      </c>
      <c r="J7163" t="s">
        <v>627</v>
      </c>
      <c r="K7163" s="138">
        <v>57.78</v>
      </c>
      <c r="L7163" s="137">
        <v>0</v>
      </c>
    </row>
    <row r="7164" spans="7:12" x14ac:dyDescent="0.25">
      <c r="G7164" s="136">
        <v>43658</v>
      </c>
      <c r="H7164" t="s">
        <v>28</v>
      </c>
      <c r="I7164" t="s">
        <v>155</v>
      </c>
      <c r="J7164" t="s">
        <v>627</v>
      </c>
      <c r="K7164" s="138">
        <v>39.950000000000003</v>
      </c>
      <c r="L7164" s="137">
        <v>0</v>
      </c>
    </row>
    <row r="7165" spans="7:12" x14ac:dyDescent="0.25">
      <c r="G7165" s="136">
        <v>43658</v>
      </c>
      <c r="H7165" t="s">
        <v>28</v>
      </c>
      <c r="I7165" t="s">
        <v>155</v>
      </c>
      <c r="J7165" t="s">
        <v>627</v>
      </c>
      <c r="K7165" s="138">
        <v>28</v>
      </c>
      <c r="L7165" s="137">
        <v>0</v>
      </c>
    </row>
    <row r="7166" spans="7:12" x14ac:dyDescent="0.25">
      <c r="G7166" s="136">
        <v>43658</v>
      </c>
      <c r="H7166" t="s">
        <v>28</v>
      </c>
      <c r="I7166" t="s">
        <v>155</v>
      </c>
      <c r="J7166" t="s">
        <v>627</v>
      </c>
      <c r="K7166" s="138">
        <v>25</v>
      </c>
      <c r="L7166" s="137">
        <v>0</v>
      </c>
    </row>
    <row r="7167" spans="7:12" x14ac:dyDescent="0.25">
      <c r="G7167" s="136">
        <v>43658</v>
      </c>
      <c r="H7167" t="s">
        <v>28</v>
      </c>
      <c r="I7167" t="s">
        <v>66</v>
      </c>
      <c r="J7167" t="s">
        <v>320</v>
      </c>
      <c r="K7167" s="138">
        <v>4.8</v>
      </c>
      <c r="L7167" s="137">
        <v>0</v>
      </c>
    </row>
    <row r="7168" spans="7:12" x14ac:dyDescent="0.25">
      <c r="G7168" s="136">
        <v>43658</v>
      </c>
      <c r="H7168" t="s">
        <v>28</v>
      </c>
      <c r="I7168" t="s">
        <v>66</v>
      </c>
      <c r="J7168" t="s">
        <v>266</v>
      </c>
      <c r="K7168" s="138">
        <v>5.55</v>
      </c>
      <c r="L7168" s="137">
        <v>0</v>
      </c>
    </row>
    <row r="7169" spans="7:12" x14ac:dyDescent="0.25">
      <c r="G7169" s="136">
        <v>43658</v>
      </c>
      <c r="H7169" t="s">
        <v>28</v>
      </c>
      <c r="I7169" t="s">
        <v>66</v>
      </c>
      <c r="J7169" t="s">
        <v>378</v>
      </c>
      <c r="K7169" s="138">
        <v>9.5500000000000007</v>
      </c>
      <c r="L7169" s="137">
        <v>0</v>
      </c>
    </row>
    <row r="7170" spans="7:12" x14ac:dyDescent="0.25">
      <c r="G7170" s="136">
        <v>43659</v>
      </c>
      <c r="H7170" t="s">
        <v>192</v>
      </c>
      <c r="I7170" t="s">
        <v>171</v>
      </c>
      <c r="J7170" t="s">
        <v>628</v>
      </c>
      <c r="K7170" s="138">
        <v>16.05</v>
      </c>
      <c r="L7170" s="137">
        <v>0</v>
      </c>
    </row>
    <row r="7171" spans="7:12" x14ac:dyDescent="0.25">
      <c r="G7171" s="136">
        <v>43659</v>
      </c>
      <c r="H7171" t="s">
        <v>27</v>
      </c>
      <c r="I7171" t="s">
        <v>63</v>
      </c>
      <c r="J7171" t="s">
        <v>628</v>
      </c>
      <c r="K7171" s="138">
        <v>24</v>
      </c>
      <c r="L7171" s="137">
        <v>0</v>
      </c>
    </row>
    <row r="7172" spans="7:12" x14ac:dyDescent="0.25">
      <c r="G7172" s="136">
        <v>43659</v>
      </c>
      <c r="H7172" t="s">
        <v>27</v>
      </c>
      <c r="I7172" t="s">
        <v>63</v>
      </c>
      <c r="J7172" t="s">
        <v>628</v>
      </c>
      <c r="K7172" s="138">
        <v>16</v>
      </c>
      <c r="L7172" s="137">
        <v>0</v>
      </c>
    </row>
    <row r="7173" spans="7:12" x14ac:dyDescent="0.25">
      <c r="G7173" s="136">
        <v>43659</v>
      </c>
      <c r="H7173" t="s">
        <v>27</v>
      </c>
      <c r="I7173" t="s">
        <v>63</v>
      </c>
      <c r="J7173" t="s">
        <v>628</v>
      </c>
      <c r="K7173" s="138">
        <v>8</v>
      </c>
      <c r="L7173" s="137">
        <v>0</v>
      </c>
    </row>
    <row r="7174" spans="7:12" x14ac:dyDescent="0.25">
      <c r="G7174" s="136">
        <v>43659</v>
      </c>
      <c r="H7174" t="s">
        <v>199</v>
      </c>
      <c r="I7174" t="s">
        <v>42</v>
      </c>
      <c r="J7174" t="s">
        <v>628</v>
      </c>
      <c r="K7174" s="138">
        <v>70.23</v>
      </c>
      <c r="L7174" s="137">
        <v>0</v>
      </c>
    </row>
    <row r="7175" spans="7:12" x14ac:dyDescent="0.25">
      <c r="G7175" s="136">
        <v>43659</v>
      </c>
      <c r="H7175" t="s">
        <v>199</v>
      </c>
      <c r="I7175" t="s">
        <v>171</v>
      </c>
      <c r="J7175" t="s">
        <v>628</v>
      </c>
      <c r="K7175" s="138">
        <v>26.38</v>
      </c>
      <c r="L7175" s="137">
        <v>0</v>
      </c>
    </row>
    <row r="7176" spans="7:12" x14ac:dyDescent="0.25">
      <c r="G7176" s="136">
        <v>43659</v>
      </c>
      <c r="H7176" t="s">
        <v>183</v>
      </c>
      <c r="I7176" t="s">
        <v>171</v>
      </c>
      <c r="J7176" t="s">
        <v>628</v>
      </c>
      <c r="K7176" s="138">
        <v>425</v>
      </c>
      <c r="L7176" s="137">
        <v>0</v>
      </c>
    </row>
    <row r="7177" spans="7:12" x14ac:dyDescent="0.25">
      <c r="G7177" s="136">
        <v>43659</v>
      </c>
      <c r="H7177" t="s">
        <v>193</v>
      </c>
      <c r="I7177" t="s">
        <v>171</v>
      </c>
      <c r="J7177" t="s">
        <v>628</v>
      </c>
      <c r="K7177" s="138">
        <v>24.65</v>
      </c>
      <c r="L7177" s="137">
        <v>0</v>
      </c>
    </row>
    <row r="7178" spans="7:12" x14ac:dyDescent="0.25">
      <c r="G7178" s="136">
        <v>43659</v>
      </c>
      <c r="H7178" t="s">
        <v>25</v>
      </c>
      <c r="I7178" t="s">
        <v>63</v>
      </c>
      <c r="J7178" t="s">
        <v>628</v>
      </c>
      <c r="K7178" s="138">
        <v>24</v>
      </c>
      <c r="L7178" s="137">
        <v>0</v>
      </c>
    </row>
    <row r="7179" spans="7:12" x14ac:dyDescent="0.25">
      <c r="G7179" s="136">
        <v>43659</v>
      </c>
      <c r="H7179" t="s">
        <v>25</v>
      </c>
      <c r="I7179" t="s">
        <v>63</v>
      </c>
      <c r="J7179" t="s">
        <v>628</v>
      </c>
      <c r="K7179" s="138">
        <v>16</v>
      </c>
      <c r="L7179" s="137">
        <v>0</v>
      </c>
    </row>
    <row r="7180" spans="7:12" x14ac:dyDescent="0.25">
      <c r="G7180" s="136">
        <v>43659</v>
      </c>
      <c r="H7180" t="s">
        <v>25</v>
      </c>
      <c r="I7180" t="s">
        <v>63</v>
      </c>
      <c r="J7180" t="s">
        <v>628</v>
      </c>
      <c r="K7180" s="138">
        <v>8</v>
      </c>
      <c r="L7180" s="137">
        <v>0</v>
      </c>
    </row>
    <row r="7181" spans="7:12" x14ac:dyDescent="0.25">
      <c r="G7181" s="136">
        <v>43659</v>
      </c>
      <c r="H7181" t="s">
        <v>28</v>
      </c>
      <c r="I7181" t="s">
        <v>66</v>
      </c>
      <c r="J7181" t="s">
        <v>320</v>
      </c>
      <c r="K7181" s="138">
        <v>2.4</v>
      </c>
      <c r="L7181" s="137">
        <v>0</v>
      </c>
    </row>
    <row r="7182" spans="7:12" x14ac:dyDescent="0.25">
      <c r="G7182" s="136">
        <v>43659</v>
      </c>
      <c r="H7182" t="s">
        <v>28</v>
      </c>
      <c r="I7182" t="s">
        <v>171</v>
      </c>
      <c r="J7182" t="s">
        <v>628</v>
      </c>
      <c r="K7182" s="138">
        <v>26</v>
      </c>
      <c r="L7182" s="137">
        <v>0</v>
      </c>
    </row>
    <row r="7183" spans="7:12" x14ac:dyDescent="0.25">
      <c r="G7183" s="136">
        <v>43659</v>
      </c>
      <c r="H7183" t="s">
        <v>28</v>
      </c>
      <c r="I7183" t="s">
        <v>171</v>
      </c>
      <c r="J7183" t="s">
        <v>628</v>
      </c>
      <c r="K7183" s="138">
        <v>12</v>
      </c>
      <c r="L7183" s="137">
        <v>0</v>
      </c>
    </row>
    <row r="7184" spans="7:12" x14ac:dyDescent="0.25">
      <c r="G7184" s="136">
        <v>43659</v>
      </c>
      <c r="H7184" t="s">
        <v>28</v>
      </c>
      <c r="I7184" t="s">
        <v>171</v>
      </c>
      <c r="J7184" t="s">
        <v>628</v>
      </c>
      <c r="K7184" s="138">
        <v>8.9499999999999993</v>
      </c>
      <c r="L7184" s="137">
        <v>0</v>
      </c>
    </row>
    <row r="7185" spans="7:12" x14ac:dyDescent="0.25">
      <c r="G7185" s="136">
        <v>43661</v>
      </c>
      <c r="H7185" t="s">
        <v>27</v>
      </c>
      <c r="I7185" t="s">
        <v>63</v>
      </c>
      <c r="J7185" t="s">
        <v>629</v>
      </c>
      <c r="K7185" s="138">
        <v>8</v>
      </c>
      <c r="L7185" s="137">
        <v>0</v>
      </c>
    </row>
    <row r="7186" spans="7:12" x14ac:dyDescent="0.25">
      <c r="G7186" s="136">
        <v>43661</v>
      </c>
      <c r="H7186" t="s">
        <v>199</v>
      </c>
      <c r="I7186" t="s">
        <v>171</v>
      </c>
      <c r="J7186" t="s">
        <v>629</v>
      </c>
      <c r="K7186" s="138">
        <v>17.28</v>
      </c>
      <c r="L7186" s="137">
        <v>0</v>
      </c>
    </row>
    <row r="7187" spans="7:12" x14ac:dyDescent="0.25">
      <c r="G7187" s="136">
        <v>43661</v>
      </c>
      <c r="H7187" t="s">
        <v>25</v>
      </c>
      <c r="I7187" t="s">
        <v>63</v>
      </c>
      <c r="J7187" t="s">
        <v>629</v>
      </c>
      <c r="K7187" s="138">
        <v>24</v>
      </c>
      <c r="L7187" s="137">
        <v>0</v>
      </c>
    </row>
    <row r="7188" spans="7:12" x14ac:dyDescent="0.25">
      <c r="G7188" s="136">
        <v>43661</v>
      </c>
      <c r="H7188" t="s">
        <v>25</v>
      </c>
      <c r="I7188" t="s">
        <v>63</v>
      </c>
      <c r="J7188" t="s">
        <v>629</v>
      </c>
      <c r="K7188" s="138">
        <v>16</v>
      </c>
      <c r="L7188" s="137">
        <v>0</v>
      </c>
    </row>
    <row r="7189" spans="7:12" x14ac:dyDescent="0.25">
      <c r="G7189" s="136">
        <v>43661</v>
      </c>
      <c r="H7189" t="s">
        <v>25</v>
      </c>
      <c r="I7189" t="s">
        <v>63</v>
      </c>
      <c r="J7189" t="s">
        <v>629</v>
      </c>
      <c r="K7189" s="138">
        <v>8</v>
      </c>
      <c r="L7189" s="137">
        <v>0</v>
      </c>
    </row>
    <row r="7190" spans="7:12" x14ac:dyDescent="0.25">
      <c r="G7190" s="136">
        <v>43661</v>
      </c>
      <c r="H7190" t="s">
        <v>187</v>
      </c>
      <c r="I7190" t="s">
        <v>171</v>
      </c>
      <c r="J7190" t="s">
        <v>629</v>
      </c>
      <c r="K7190" s="138">
        <v>187.65</v>
      </c>
      <c r="L7190" s="137">
        <v>0</v>
      </c>
    </row>
    <row r="7191" spans="7:12" x14ac:dyDescent="0.25">
      <c r="G7191" s="136">
        <v>43661</v>
      </c>
      <c r="H7191" t="s">
        <v>28</v>
      </c>
      <c r="I7191" t="s">
        <v>66</v>
      </c>
      <c r="J7191" t="s">
        <v>109</v>
      </c>
      <c r="K7191" s="138">
        <v>14</v>
      </c>
      <c r="L7191" s="137">
        <v>0</v>
      </c>
    </row>
    <row r="7192" spans="7:12" x14ac:dyDescent="0.25">
      <c r="G7192" s="136">
        <v>43661</v>
      </c>
      <c r="H7192" t="s">
        <v>28</v>
      </c>
      <c r="I7192" t="s">
        <v>66</v>
      </c>
      <c r="J7192" t="s">
        <v>266</v>
      </c>
      <c r="K7192" s="138">
        <v>4.75</v>
      </c>
      <c r="L7192" s="137">
        <v>0</v>
      </c>
    </row>
    <row r="7193" spans="7:12" x14ac:dyDescent="0.25">
      <c r="G7193" s="136">
        <v>43661</v>
      </c>
      <c r="H7193" t="s">
        <v>28</v>
      </c>
      <c r="I7193" t="s">
        <v>66</v>
      </c>
      <c r="J7193" t="s">
        <v>115</v>
      </c>
      <c r="K7193" s="138">
        <v>10.5</v>
      </c>
      <c r="L7193" s="137">
        <v>0</v>
      </c>
    </row>
    <row r="7194" spans="7:12" x14ac:dyDescent="0.25">
      <c r="G7194" s="136">
        <v>43661</v>
      </c>
      <c r="H7194" t="s">
        <v>28</v>
      </c>
      <c r="I7194" t="s">
        <v>66</v>
      </c>
      <c r="J7194" t="s">
        <v>107</v>
      </c>
      <c r="K7194" s="138">
        <v>2.5</v>
      </c>
      <c r="L7194" s="137">
        <v>0</v>
      </c>
    </row>
    <row r="7195" spans="7:12" x14ac:dyDescent="0.25">
      <c r="G7195" s="136">
        <v>43661</v>
      </c>
      <c r="H7195" t="s">
        <v>28</v>
      </c>
      <c r="I7195" t="s">
        <v>171</v>
      </c>
      <c r="J7195" t="s">
        <v>629</v>
      </c>
      <c r="K7195" s="138">
        <v>122</v>
      </c>
      <c r="L7195" s="137">
        <v>0</v>
      </c>
    </row>
    <row r="7196" spans="7:12" x14ac:dyDescent="0.25">
      <c r="G7196" s="136">
        <v>43662</v>
      </c>
      <c r="H7196" t="s">
        <v>192</v>
      </c>
      <c r="I7196" t="s">
        <v>171</v>
      </c>
      <c r="J7196" t="s">
        <v>630</v>
      </c>
      <c r="K7196" s="138">
        <v>16.05</v>
      </c>
      <c r="L7196" s="137">
        <v>0</v>
      </c>
    </row>
    <row r="7197" spans="7:12" x14ac:dyDescent="0.25">
      <c r="G7197" s="136">
        <v>43662</v>
      </c>
      <c r="H7197" t="s">
        <v>27</v>
      </c>
      <c r="I7197" t="s">
        <v>63</v>
      </c>
      <c r="J7197" t="s">
        <v>630</v>
      </c>
      <c r="K7197" s="138">
        <v>8</v>
      </c>
      <c r="L7197" s="137">
        <v>0</v>
      </c>
    </row>
    <row r="7198" spans="7:12" x14ac:dyDescent="0.25">
      <c r="G7198" s="136">
        <v>43662</v>
      </c>
      <c r="H7198" t="s">
        <v>216</v>
      </c>
      <c r="I7198" t="s">
        <v>163</v>
      </c>
      <c r="J7198" t="s">
        <v>630</v>
      </c>
      <c r="K7198" s="138">
        <v>1000</v>
      </c>
      <c r="L7198" s="137">
        <v>0</v>
      </c>
    </row>
    <row r="7199" spans="7:12" x14ac:dyDescent="0.25">
      <c r="G7199" s="136">
        <v>43662</v>
      </c>
      <c r="H7199" t="s">
        <v>25</v>
      </c>
      <c r="I7199" t="s">
        <v>63</v>
      </c>
      <c r="J7199" t="s">
        <v>630</v>
      </c>
      <c r="K7199" s="138">
        <v>40</v>
      </c>
      <c r="L7199" s="137">
        <v>0</v>
      </c>
    </row>
    <row r="7200" spans="7:12" x14ac:dyDescent="0.25">
      <c r="G7200" s="136">
        <v>43662</v>
      </c>
      <c r="H7200" t="s">
        <v>25</v>
      </c>
      <c r="I7200" t="s">
        <v>63</v>
      </c>
      <c r="J7200" t="s">
        <v>630</v>
      </c>
      <c r="K7200" s="138">
        <v>32</v>
      </c>
      <c r="L7200" s="137">
        <v>0</v>
      </c>
    </row>
    <row r="7201" spans="7:12" x14ac:dyDescent="0.25">
      <c r="G7201" s="136">
        <v>43662</v>
      </c>
      <c r="H7201" t="s">
        <v>25</v>
      </c>
      <c r="I7201" t="s">
        <v>63</v>
      </c>
      <c r="J7201" t="s">
        <v>630</v>
      </c>
      <c r="K7201" s="138">
        <v>16</v>
      </c>
      <c r="L7201" s="137">
        <v>0</v>
      </c>
    </row>
    <row r="7202" spans="7:12" x14ac:dyDescent="0.25">
      <c r="G7202" s="136">
        <v>43662</v>
      </c>
      <c r="H7202" t="s">
        <v>25</v>
      </c>
      <c r="I7202" t="s">
        <v>63</v>
      </c>
      <c r="J7202" t="s">
        <v>630</v>
      </c>
      <c r="K7202" s="138">
        <v>8</v>
      </c>
      <c r="L7202" s="137">
        <v>0</v>
      </c>
    </row>
    <row r="7203" spans="7:12" x14ac:dyDescent="0.25">
      <c r="G7203" s="136">
        <v>43662</v>
      </c>
      <c r="H7203" t="s">
        <v>25</v>
      </c>
      <c r="I7203" t="s">
        <v>171</v>
      </c>
      <c r="J7203" t="s">
        <v>630</v>
      </c>
      <c r="K7203" s="138">
        <v>338</v>
      </c>
      <c r="L7203" s="137">
        <v>0</v>
      </c>
    </row>
    <row r="7204" spans="7:12" x14ac:dyDescent="0.25">
      <c r="G7204" s="136">
        <v>43662</v>
      </c>
      <c r="H7204" t="s">
        <v>25</v>
      </c>
      <c r="I7204" t="s">
        <v>171</v>
      </c>
      <c r="J7204" t="s">
        <v>630</v>
      </c>
      <c r="K7204" s="138">
        <v>182</v>
      </c>
      <c r="L7204" s="137">
        <v>0</v>
      </c>
    </row>
    <row r="7205" spans="7:12" x14ac:dyDescent="0.25">
      <c r="G7205" s="136">
        <v>43662</v>
      </c>
      <c r="H7205" t="s">
        <v>25</v>
      </c>
      <c r="I7205" t="s">
        <v>171</v>
      </c>
      <c r="J7205" t="s">
        <v>630</v>
      </c>
      <c r="K7205" s="138">
        <v>149.5</v>
      </c>
      <c r="L7205" s="137">
        <v>0</v>
      </c>
    </row>
    <row r="7206" spans="7:12" x14ac:dyDescent="0.25">
      <c r="G7206" s="136">
        <v>43662</v>
      </c>
      <c r="H7206" t="s">
        <v>187</v>
      </c>
      <c r="I7206" t="s">
        <v>171</v>
      </c>
      <c r="J7206" t="s">
        <v>630</v>
      </c>
      <c r="K7206" s="138">
        <v>38</v>
      </c>
      <c r="L7206" s="137">
        <v>0</v>
      </c>
    </row>
    <row r="7207" spans="7:12" x14ac:dyDescent="0.25">
      <c r="G7207" s="136">
        <v>43662</v>
      </c>
      <c r="H7207" t="s">
        <v>28</v>
      </c>
      <c r="I7207" t="s">
        <v>66</v>
      </c>
      <c r="J7207" t="s">
        <v>100</v>
      </c>
      <c r="K7207" s="138">
        <v>1.8</v>
      </c>
      <c r="L7207" s="137">
        <v>0</v>
      </c>
    </row>
    <row r="7208" spans="7:12" x14ac:dyDescent="0.25">
      <c r="G7208" s="136">
        <v>43662</v>
      </c>
      <c r="H7208" t="s">
        <v>28</v>
      </c>
      <c r="I7208" t="s">
        <v>66</v>
      </c>
      <c r="J7208" t="s">
        <v>143</v>
      </c>
      <c r="K7208" s="138">
        <v>26</v>
      </c>
      <c r="L7208" s="137">
        <v>0</v>
      </c>
    </row>
    <row r="7209" spans="7:12" x14ac:dyDescent="0.25">
      <c r="G7209" s="136">
        <v>43662</v>
      </c>
      <c r="H7209" t="s">
        <v>28</v>
      </c>
      <c r="I7209" t="s">
        <v>66</v>
      </c>
      <c r="J7209" t="s">
        <v>107</v>
      </c>
      <c r="K7209" s="138">
        <v>5</v>
      </c>
      <c r="L7209" s="137">
        <v>0</v>
      </c>
    </row>
    <row r="7210" spans="7:12" x14ac:dyDescent="0.25">
      <c r="G7210" s="136">
        <v>43662</v>
      </c>
      <c r="H7210" t="s">
        <v>28</v>
      </c>
      <c r="I7210" t="s">
        <v>171</v>
      </c>
      <c r="J7210" t="s">
        <v>630</v>
      </c>
      <c r="K7210" s="138">
        <v>12</v>
      </c>
      <c r="L7210" s="137">
        <v>0</v>
      </c>
    </row>
    <row r="7211" spans="7:12" x14ac:dyDescent="0.25">
      <c r="G7211" s="136">
        <v>43663</v>
      </c>
      <c r="H7211" t="s">
        <v>27</v>
      </c>
      <c r="I7211" t="s">
        <v>63</v>
      </c>
      <c r="J7211" t="s">
        <v>631</v>
      </c>
      <c r="K7211" s="138">
        <v>8</v>
      </c>
      <c r="L7211" s="137">
        <v>0</v>
      </c>
    </row>
    <row r="7212" spans="7:12" x14ac:dyDescent="0.25">
      <c r="G7212" s="136">
        <v>43663</v>
      </c>
      <c r="H7212" t="s">
        <v>193</v>
      </c>
      <c r="I7212" t="s">
        <v>171</v>
      </c>
      <c r="J7212" t="s">
        <v>631</v>
      </c>
      <c r="K7212" s="138">
        <v>609</v>
      </c>
      <c r="L7212" s="137">
        <v>0</v>
      </c>
    </row>
    <row r="7213" spans="7:12" x14ac:dyDescent="0.25">
      <c r="G7213" s="136">
        <v>43663</v>
      </c>
      <c r="H7213" t="s">
        <v>25</v>
      </c>
      <c r="I7213" t="s">
        <v>63</v>
      </c>
      <c r="J7213" t="s">
        <v>631</v>
      </c>
      <c r="K7213" s="138">
        <v>80</v>
      </c>
      <c r="L7213" s="137">
        <v>0</v>
      </c>
    </row>
    <row r="7214" spans="7:12" x14ac:dyDescent="0.25">
      <c r="G7214" s="136">
        <v>43663</v>
      </c>
      <c r="H7214" t="s">
        <v>25</v>
      </c>
      <c r="I7214" t="s">
        <v>63</v>
      </c>
      <c r="J7214" t="s">
        <v>631</v>
      </c>
      <c r="K7214" s="138">
        <v>56</v>
      </c>
      <c r="L7214" s="137">
        <v>0</v>
      </c>
    </row>
    <row r="7215" spans="7:12" x14ac:dyDescent="0.25">
      <c r="G7215" s="136">
        <v>43663</v>
      </c>
      <c r="H7215" t="s">
        <v>25</v>
      </c>
      <c r="I7215" t="s">
        <v>63</v>
      </c>
      <c r="J7215" t="s">
        <v>631</v>
      </c>
      <c r="K7215" s="138">
        <v>24</v>
      </c>
      <c r="L7215" s="137">
        <v>0</v>
      </c>
    </row>
    <row r="7216" spans="7:12" x14ac:dyDescent="0.25">
      <c r="G7216" s="136">
        <v>43663</v>
      </c>
      <c r="H7216" t="s">
        <v>25</v>
      </c>
      <c r="I7216" t="s">
        <v>63</v>
      </c>
      <c r="J7216" t="s">
        <v>631</v>
      </c>
      <c r="K7216" s="138">
        <v>16</v>
      </c>
      <c r="L7216" s="137">
        <v>0</v>
      </c>
    </row>
    <row r="7217" spans="7:12" x14ac:dyDescent="0.25">
      <c r="G7217" s="136">
        <v>43663</v>
      </c>
      <c r="H7217" t="s">
        <v>25</v>
      </c>
      <c r="I7217" t="s">
        <v>63</v>
      </c>
      <c r="J7217" t="s">
        <v>631</v>
      </c>
      <c r="K7217" s="138">
        <v>8</v>
      </c>
      <c r="L7217" s="137">
        <v>0</v>
      </c>
    </row>
    <row r="7218" spans="7:12" x14ac:dyDescent="0.25">
      <c r="G7218" s="136">
        <v>43663</v>
      </c>
      <c r="H7218" t="s">
        <v>197</v>
      </c>
      <c r="I7218" t="s">
        <v>171</v>
      </c>
      <c r="J7218" t="s">
        <v>631</v>
      </c>
      <c r="K7218" s="138">
        <v>855.52</v>
      </c>
      <c r="L7218" s="137">
        <v>0</v>
      </c>
    </row>
    <row r="7219" spans="7:12" x14ac:dyDescent="0.25">
      <c r="G7219" s="136">
        <v>43663</v>
      </c>
      <c r="H7219" t="s">
        <v>180</v>
      </c>
      <c r="I7219" t="s">
        <v>171</v>
      </c>
      <c r="J7219" t="s">
        <v>631</v>
      </c>
      <c r="K7219" s="138">
        <v>96.05</v>
      </c>
      <c r="L7219" s="137">
        <v>0</v>
      </c>
    </row>
    <row r="7220" spans="7:12" x14ac:dyDescent="0.25">
      <c r="G7220" s="136">
        <v>43663</v>
      </c>
      <c r="H7220" t="s">
        <v>179</v>
      </c>
      <c r="I7220" t="s">
        <v>63</v>
      </c>
      <c r="J7220" t="s">
        <v>631</v>
      </c>
      <c r="K7220" s="138">
        <v>153.85</v>
      </c>
      <c r="L7220" s="137">
        <v>0</v>
      </c>
    </row>
    <row r="7221" spans="7:12" x14ac:dyDescent="0.25">
      <c r="G7221" s="136">
        <v>43663</v>
      </c>
      <c r="H7221" t="s">
        <v>179</v>
      </c>
      <c r="I7221" t="s">
        <v>163</v>
      </c>
      <c r="J7221" t="s">
        <v>631</v>
      </c>
      <c r="K7221" s="138">
        <v>71.94</v>
      </c>
      <c r="L7221" s="137">
        <v>0</v>
      </c>
    </row>
    <row r="7222" spans="7:12" x14ac:dyDescent="0.25">
      <c r="G7222" s="136">
        <v>43663</v>
      </c>
      <c r="H7222" t="s">
        <v>28</v>
      </c>
      <c r="I7222" t="s">
        <v>171</v>
      </c>
      <c r="J7222" t="s">
        <v>631</v>
      </c>
      <c r="K7222" s="138">
        <v>34</v>
      </c>
      <c r="L7222" s="137">
        <v>0</v>
      </c>
    </row>
    <row r="7223" spans="7:12" x14ac:dyDescent="0.25">
      <c r="G7223" s="136">
        <v>43663</v>
      </c>
      <c r="H7223" t="s">
        <v>28</v>
      </c>
      <c r="I7223" t="s">
        <v>171</v>
      </c>
      <c r="J7223" t="s">
        <v>631</v>
      </c>
      <c r="K7223" s="138">
        <v>12</v>
      </c>
      <c r="L7223" s="137">
        <v>0</v>
      </c>
    </row>
    <row r="7224" spans="7:12" x14ac:dyDescent="0.25">
      <c r="G7224" s="136">
        <v>43664</v>
      </c>
      <c r="H7224" t="s">
        <v>27</v>
      </c>
      <c r="I7224" t="s">
        <v>63</v>
      </c>
      <c r="J7224" t="s">
        <v>632</v>
      </c>
      <c r="K7224" s="138">
        <v>8</v>
      </c>
      <c r="L7224" s="137">
        <v>0</v>
      </c>
    </row>
    <row r="7225" spans="7:12" x14ac:dyDescent="0.25">
      <c r="G7225" s="136">
        <v>43664</v>
      </c>
      <c r="H7225" t="s">
        <v>195</v>
      </c>
      <c r="I7225" t="s">
        <v>163</v>
      </c>
      <c r="J7225" t="s">
        <v>632</v>
      </c>
      <c r="K7225" s="138">
        <v>148.85</v>
      </c>
      <c r="L7225" s="137">
        <v>0</v>
      </c>
    </row>
    <row r="7226" spans="7:12" x14ac:dyDescent="0.25">
      <c r="G7226" s="136">
        <v>43664</v>
      </c>
      <c r="H7226" t="s">
        <v>183</v>
      </c>
      <c r="I7226" t="s">
        <v>63</v>
      </c>
      <c r="J7226" t="s">
        <v>632</v>
      </c>
      <c r="K7226" s="138">
        <v>49.97</v>
      </c>
      <c r="L7226" s="137">
        <v>0</v>
      </c>
    </row>
    <row r="7227" spans="7:12" x14ac:dyDescent="0.25">
      <c r="G7227" s="136">
        <v>43664</v>
      </c>
      <c r="H7227" t="s">
        <v>191</v>
      </c>
      <c r="I7227" t="s">
        <v>163</v>
      </c>
      <c r="J7227" t="s">
        <v>632</v>
      </c>
      <c r="K7227" s="138">
        <v>70.900000000000006</v>
      </c>
      <c r="L7227" s="137">
        <v>0</v>
      </c>
    </row>
    <row r="7228" spans="7:12" x14ac:dyDescent="0.25">
      <c r="G7228" s="136">
        <v>43664</v>
      </c>
      <c r="H7228" t="s">
        <v>188</v>
      </c>
      <c r="I7228" t="s">
        <v>176</v>
      </c>
      <c r="J7228" t="s">
        <v>632</v>
      </c>
      <c r="K7228" s="138">
        <v>1086.1400000000001</v>
      </c>
      <c r="L7228" s="137">
        <v>0</v>
      </c>
    </row>
    <row r="7229" spans="7:12" x14ac:dyDescent="0.25">
      <c r="G7229" s="136">
        <v>43664</v>
      </c>
      <c r="H7229" t="s">
        <v>188</v>
      </c>
      <c r="I7229" t="s">
        <v>171</v>
      </c>
      <c r="J7229" t="s">
        <v>632</v>
      </c>
      <c r="K7229" s="138">
        <v>40</v>
      </c>
      <c r="L7229" s="137">
        <v>0</v>
      </c>
    </row>
    <row r="7230" spans="7:12" x14ac:dyDescent="0.25">
      <c r="G7230" s="136">
        <v>43664</v>
      </c>
      <c r="H7230" t="s">
        <v>25</v>
      </c>
      <c r="I7230" t="s">
        <v>63</v>
      </c>
      <c r="J7230" t="s">
        <v>632</v>
      </c>
      <c r="K7230" s="138">
        <v>56</v>
      </c>
      <c r="L7230" s="137">
        <v>0</v>
      </c>
    </row>
    <row r="7231" spans="7:12" x14ac:dyDescent="0.25">
      <c r="G7231" s="136">
        <v>43664</v>
      </c>
      <c r="H7231" t="s">
        <v>25</v>
      </c>
      <c r="I7231" t="s">
        <v>63</v>
      </c>
      <c r="J7231" t="s">
        <v>632</v>
      </c>
      <c r="K7231" s="138">
        <v>48</v>
      </c>
      <c r="L7231" s="137">
        <v>0</v>
      </c>
    </row>
    <row r="7232" spans="7:12" x14ac:dyDescent="0.25">
      <c r="G7232" s="136">
        <v>43664</v>
      </c>
      <c r="H7232" t="s">
        <v>25</v>
      </c>
      <c r="I7232" t="s">
        <v>63</v>
      </c>
      <c r="J7232" t="s">
        <v>632</v>
      </c>
      <c r="K7232" s="138">
        <v>40</v>
      </c>
      <c r="L7232" s="137">
        <v>0</v>
      </c>
    </row>
    <row r="7233" spans="7:12" x14ac:dyDescent="0.25">
      <c r="G7233" s="136">
        <v>43664</v>
      </c>
      <c r="H7233" t="s">
        <v>25</v>
      </c>
      <c r="I7233" t="s">
        <v>63</v>
      </c>
      <c r="J7233" t="s">
        <v>632</v>
      </c>
      <c r="K7233" s="138">
        <v>32</v>
      </c>
      <c r="L7233" s="137">
        <v>0</v>
      </c>
    </row>
    <row r="7234" spans="7:12" x14ac:dyDescent="0.25">
      <c r="G7234" s="136">
        <v>43664</v>
      </c>
      <c r="H7234" t="s">
        <v>25</v>
      </c>
      <c r="I7234" t="s">
        <v>63</v>
      </c>
      <c r="J7234" t="s">
        <v>632</v>
      </c>
      <c r="K7234" s="138">
        <v>24</v>
      </c>
      <c r="L7234" s="137">
        <v>0</v>
      </c>
    </row>
    <row r="7235" spans="7:12" x14ac:dyDescent="0.25">
      <c r="G7235" s="136">
        <v>43664</v>
      </c>
      <c r="H7235" t="s">
        <v>25</v>
      </c>
      <c r="I7235" t="s">
        <v>63</v>
      </c>
      <c r="J7235" t="s">
        <v>632</v>
      </c>
      <c r="K7235" s="138">
        <v>16</v>
      </c>
      <c r="L7235" s="137">
        <v>0</v>
      </c>
    </row>
    <row r="7236" spans="7:12" x14ac:dyDescent="0.25">
      <c r="G7236" s="136">
        <v>43664</v>
      </c>
      <c r="H7236" t="s">
        <v>207</v>
      </c>
      <c r="I7236" t="s">
        <v>176</v>
      </c>
      <c r="J7236" t="s">
        <v>632</v>
      </c>
      <c r="K7236" s="138">
        <v>13.8</v>
      </c>
      <c r="L7236" s="137">
        <v>0</v>
      </c>
    </row>
    <row r="7237" spans="7:12" x14ac:dyDescent="0.25">
      <c r="G7237" s="136">
        <v>43664</v>
      </c>
      <c r="H7237" t="s">
        <v>196</v>
      </c>
      <c r="I7237" t="s">
        <v>176</v>
      </c>
      <c r="J7237" t="s">
        <v>632</v>
      </c>
      <c r="K7237" s="138">
        <v>179.24</v>
      </c>
      <c r="L7237" s="137">
        <v>0</v>
      </c>
    </row>
    <row r="7238" spans="7:12" x14ac:dyDescent="0.25">
      <c r="G7238" s="136">
        <v>43664</v>
      </c>
      <c r="H7238" t="s">
        <v>28</v>
      </c>
      <c r="I7238" t="s">
        <v>66</v>
      </c>
      <c r="J7238" t="s">
        <v>106</v>
      </c>
      <c r="K7238" s="138">
        <v>1.8</v>
      </c>
      <c r="L7238" s="137">
        <v>0</v>
      </c>
    </row>
    <row r="7239" spans="7:12" x14ac:dyDescent="0.25">
      <c r="G7239" s="136">
        <v>43664</v>
      </c>
      <c r="H7239" t="s">
        <v>28</v>
      </c>
      <c r="I7239" t="s">
        <v>66</v>
      </c>
      <c r="J7239" t="s">
        <v>111</v>
      </c>
      <c r="K7239" s="138">
        <v>2.25</v>
      </c>
      <c r="L7239" s="137">
        <v>0</v>
      </c>
    </row>
    <row r="7240" spans="7:12" x14ac:dyDescent="0.25">
      <c r="G7240" s="136">
        <v>43665</v>
      </c>
      <c r="H7240" t="s">
        <v>203</v>
      </c>
      <c r="I7240" t="s">
        <v>171</v>
      </c>
      <c r="J7240" t="s">
        <v>633</v>
      </c>
      <c r="K7240" s="138">
        <v>18.68</v>
      </c>
      <c r="L7240" s="137">
        <v>0</v>
      </c>
    </row>
    <row r="7241" spans="7:12" x14ac:dyDescent="0.25">
      <c r="G7241" s="136">
        <v>43665</v>
      </c>
      <c r="H7241" t="s">
        <v>27</v>
      </c>
      <c r="I7241" t="s">
        <v>63</v>
      </c>
      <c r="J7241" t="s">
        <v>633</v>
      </c>
      <c r="K7241" s="138">
        <v>16</v>
      </c>
      <c r="L7241" s="137">
        <v>0</v>
      </c>
    </row>
    <row r="7242" spans="7:12" x14ac:dyDescent="0.25">
      <c r="G7242" s="136">
        <v>43665</v>
      </c>
      <c r="H7242" t="s">
        <v>27</v>
      </c>
      <c r="I7242" t="s">
        <v>63</v>
      </c>
      <c r="J7242" t="s">
        <v>633</v>
      </c>
      <c r="K7242" s="138">
        <v>8</v>
      </c>
      <c r="L7242" s="137">
        <v>0</v>
      </c>
    </row>
    <row r="7243" spans="7:12" x14ac:dyDescent="0.25">
      <c r="G7243" s="136">
        <v>43665</v>
      </c>
      <c r="H7243" t="s">
        <v>199</v>
      </c>
      <c r="I7243" t="s">
        <v>163</v>
      </c>
      <c r="J7243" t="s">
        <v>633</v>
      </c>
      <c r="K7243" s="138">
        <v>30</v>
      </c>
      <c r="L7243" s="137">
        <v>0</v>
      </c>
    </row>
    <row r="7244" spans="7:12" x14ac:dyDescent="0.25">
      <c r="G7244" s="136">
        <v>43665</v>
      </c>
      <c r="H7244" t="s">
        <v>199</v>
      </c>
      <c r="I7244" t="s">
        <v>171</v>
      </c>
      <c r="J7244" t="s">
        <v>633</v>
      </c>
      <c r="K7244" s="138">
        <v>8.4</v>
      </c>
      <c r="L7244" s="137">
        <v>0</v>
      </c>
    </row>
    <row r="7245" spans="7:12" x14ac:dyDescent="0.25">
      <c r="G7245" s="136">
        <v>43665</v>
      </c>
      <c r="H7245" t="s">
        <v>191</v>
      </c>
      <c r="I7245" t="s">
        <v>163</v>
      </c>
      <c r="J7245" t="s">
        <v>633</v>
      </c>
      <c r="K7245" s="138">
        <v>63.46</v>
      </c>
      <c r="L7245" s="137">
        <v>0</v>
      </c>
    </row>
    <row r="7246" spans="7:12" x14ac:dyDescent="0.25">
      <c r="G7246" s="136">
        <v>43665</v>
      </c>
      <c r="H7246" t="s">
        <v>188</v>
      </c>
      <c r="I7246" t="s">
        <v>176</v>
      </c>
      <c r="J7246" t="s">
        <v>633</v>
      </c>
      <c r="K7246" s="138">
        <v>224</v>
      </c>
      <c r="L7246" s="137">
        <v>0</v>
      </c>
    </row>
    <row r="7247" spans="7:12" x14ac:dyDescent="0.25">
      <c r="G7247" s="136">
        <v>43665</v>
      </c>
      <c r="H7247" t="s">
        <v>25</v>
      </c>
      <c r="I7247" t="s">
        <v>63</v>
      </c>
      <c r="J7247" t="s">
        <v>633</v>
      </c>
      <c r="K7247" s="138">
        <v>56</v>
      </c>
      <c r="L7247" s="137">
        <v>0</v>
      </c>
    </row>
    <row r="7248" spans="7:12" x14ac:dyDescent="0.25">
      <c r="G7248" s="136">
        <v>43665</v>
      </c>
      <c r="H7248" t="s">
        <v>25</v>
      </c>
      <c r="I7248" t="s">
        <v>63</v>
      </c>
      <c r="J7248" t="s">
        <v>633</v>
      </c>
      <c r="K7248" s="138">
        <v>32</v>
      </c>
      <c r="L7248" s="137">
        <v>0</v>
      </c>
    </row>
    <row r="7249" spans="7:12" x14ac:dyDescent="0.25">
      <c r="G7249" s="136">
        <v>43665</v>
      </c>
      <c r="H7249" t="s">
        <v>25</v>
      </c>
      <c r="I7249" t="s">
        <v>63</v>
      </c>
      <c r="J7249" t="s">
        <v>633</v>
      </c>
      <c r="K7249" s="138">
        <v>16</v>
      </c>
      <c r="L7249" s="137">
        <v>0</v>
      </c>
    </row>
    <row r="7250" spans="7:12" x14ac:dyDescent="0.25">
      <c r="G7250" s="136">
        <v>43665</v>
      </c>
      <c r="H7250" t="s">
        <v>25</v>
      </c>
      <c r="I7250" t="s">
        <v>63</v>
      </c>
      <c r="J7250" t="s">
        <v>633</v>
      </c>
      <c r="K7250" s="138">
        <v>8</v>
      </c>
      <c r="L7250" s="137">
        <v>0</v>
      </c>
    </row>
    <row r="7251" spans="7:12" x14ac:dyDescent="0.25">
      <c r="G7251" s="136">
        <v>43665</v>
      </c>
      <c r="H7251" t="s">
        <v>25</v>
      </c>
      <c r="I7251" t="s">
        <v>112</v>
      </c>
      <c r="J7251" t="s">
        <v>633</v>
      </c>
      <c r="K7251" s="138">
        <v>0</v>
      </c>
      <c r="L7251" s="137">
        <v>8</v>
      </c>
    </row>
    <row r="7252" spans="7:12" x14ac:dyDescent="0.25">
      <c r="G7252" s="136">
        <v>43665</v>
      </c>
      <c r="H7252" t="s">
        <v>25</v>
      </c>
      <c r="I7252" t="s">
        <v>263</v>
      </c>
      <c r="J7252" t="s">
        <v>634</v>
      </c>
      <c r="K7252" s="138">
        <v>16.68</v>
      </c>
      <c r="L7252" s="137">
        <v>0</v>
      </c>
    </row>
    <row r="7253" spans="7:12" x14ac:dyDescent="0.25">
      <c r="G7253" s="136">
        <v>43665</v>
      </c>
      <c r="H7253" t="s">
        <v>28</v>
      </c>
      <c r="I7253" t="s">
        <v>163</v>
      </c>
      <c r="J7253" t="s">
        <v>633</v>
      </c>
      <c r="K7253" s="138">
        <v>182.25</v>
      </c>
      <c r="L7253" s="137">
        <v>0</v>
      </c>
    </row>
    <row r="7254" spans="7:12" x14ac:dyDescent="0.25">
      <c r="G7254" s="136">
        <v>43665</v>
      </c>
      <c r="H7254" t="s">
        <v>28</v>
      </c>
      <c r="I7254" t="s">
        <v>163</v>
      </c>
      <c r="J7254" t="s">
        <v>633</v>
      </c>
      <c r="K7254" s="138">
        <v>30</v>
      </c>
      <c r="L7254" s="137">
        <v>0</v>
      </c>
    </row>
    <row r="7255" spans="7:12" x14ac:dyDescent="0.25">
      <c r="G7255" s="136">
        <v>43665</v>
      </c>
      <c r="H7255" t="s">
        <v>28</v>
      </c>
      <c r="I7255" t="s">
        <v>155</v>
      </c>
      <c r="J7255" t="s">
        <v>633</v>
      </c>
      <c r="K7255" s="138">
        <v>71.94</v>
      </c>
      <c r="L7255" s="137">
        <v>0</v>
      </c>
    </row>
    <row r="7256" spans="7:12" x14ac:dyDescent="0.25">
      <c r="G7256" s="136">
        <v>43665</v>
      </c>
      <c r="H7256" t="s">
        <v>28</v>
      </c>
      <c r="I7256" t="s">
        <v>155</v>
      </c>
      <c r="J7256" t="s">
        <v>633</v>
      </c>
      <c r="K7256" s="138">
        <v>39.950000000000003</v>
      </c>
      <c r="L7256" s="137">
        <v>0</v>
      </c>
    </row>
    <row r="7257" spans="7:12" x14ac:dyDescent="0.25">
      <c r="G7257" s="136">
        <v>43665</v>
      </c>
      <c r="H7257" t="s">
        <v>28</v>
      </c>
      <c r="I7257" t="s">
        <v>66</v>
      </c>
      <c r="J7257" t="s">
        <v>110</v>
      </c>
      <c r="K7257" s="138">
        <v>7.35</v>
      </c>
      <c r="L7257" s="137">
        <v>0</v>
      </c>
    </row>
    <row r="7258" spans="7:12" x14ac:dyDescent="0.25">
      <c r="G7258" s="136">
        <v>43666</v>
      </c>
      <c r="H7258" t="s">
        <v>27</v>
      </c>
      <c r="I7258" t="s">
        <v>63</v>
      </c>
      <c r="J7258" t="s">
        <v>635</v>
      </c>
      <c r="K7258" s="138">
        <v>8</v>
      </c>
      <c r="L7258" s="137">
        <v>0</v>
      </c>
    </row>
    <row r="7259" spans="7:12" x14ac:dyDescent="0.25">
      <c r="G7259" s="136">
        <v>43666</v>
      </c>
      <c r="H7259" t="s">
        <v>183</v>
      </c>
      <c r="I7259" t="s">
        <v>171</v>
      </c>
      <c r="J7259" t="s">
        <v>635</v>
      </c>
      <c r="K7259" s="138">
        <v>81</v>
      </c>
      <c r="L7259" s="137">
        <v>0</v>
      </c>
    </row>
    <row r="7260" spans="7:12" x14ac:dyDescent="0.25">
      <c r="G7260" s="136">
        <v>43666</v>
      </c>
      <c r="H7260" t="s">
        <v>188</v>
      </c>
      <c r="I7260" t="s">
        <v>171</v>
      </c>
      <c r="J7260" t="s">
        <v>635</v>
      </c>
      <c r="K7260" s="138">
        <v>16</v>
      </c>
      <c r="L7260" s="137">
        <v>0</v>
      </c>
    </row>
    <row r="7261" spans="7:12" x14ac:dyDescent="0.25">
      <c r="G7261" s="136">
        <v>43666</v>
      </c>
      <c r="H7261" t="s">
        <v>25</v>
      </c>
      <c r="I7261" t="s">
        <v>63</v>
      </c>
      <c r="J7261" t="s">
        <v>635</v>
      </c>
      <c r="K7261" s="138">
        <v>32</v>
      </c>
      <c r="L7261" s="137">
        <v>0</v>
      </c>
    </row>
    <row r="7262" spans="7:12" x14ac:dyDescent="0.25">
      <c r="G7262" s="136">
        <v>43666</v>
      </c>
      <c r="H7262" t="s">
        <v>25</v>
      </c>
      <c r="I7262" t="s">
        <v>63</v>
      </c>
      <c r="J7262" t="s">
        <v>635</v>
      </c>
      <c r="K7262" s="138">
        <v>24</v>
      </c>
      <c r="L7262" s="137">
        <v>0</v>
      </c>
    </row>
    <row r="7263" spans="7:12" x14ac:dyDescent="0.25">
      <c r="G7263" s="136">
        <v>43666</v>
      </c>
      <c r="H7263" t="s">
        <v>25</v>
      </c>
      <c r="I7263" t="s">
        <v>63</v>
      </c>
      <c r="J7263" t="s">
        <v>635</v>
      </c>
      <c r="K7263" s="138">
        <v>16</v>
      </c>
      <c r="L7263" s="137">
        <v>0</v>
      </c>
    </row>
    <row r="7264" spans="7:12" x14ac:dyDescent="0.25">
      <c r="G7264" s="136">
        <v>43666</v>
      </c>
      <c r="H7264" t="s">
        <v>25</v>
      </c>
      <c r="I7264" t="s">
        <v>63</v>
      </c>
      <c r="J7264" t="s">
        <v>635</v>
      </c>
      <c r="K7264" s="138">
        <v>8</v>
      </c>
      <c r="L7264" s="137">
        <v>0</v>
      </c>
    </row>
    <row r="7265" spans="7:12" x14ac:dyDescent="0.25">
      <c r="G7265" s="136">
        <v>43666</v>
      </c>
      <c r="H7265" t="s">
        <v>28</v>
      </c>
      <c r="I7265" t="s">
        <v>171</v>
      </c>
      <c r="J7265" t="s">
        <v>635</v>
      </c>
      <c r="K7265" s="138">
        <v>40</v>
      </c>
      <c r="L7265" s="137">
        <v>0</v>
      </c>
    </row>
    <row r="7266" spans="7:12" x14ac:dyDescent="0.25">
      <c r="G7266" s="136">
        <v>43668</v>
      </c>
      <c r="H7266" t="s">
        <v>27</v>
      </c>
      <c r="I7266" t="s">
        <v>63</v>
      </c>
      <c r="J7266" t="s">
        <v>637</v>
      </c>
      <c r="K7266" s="138">
        <v>16</v>
      </c>
      <c r="L7266" s="137">
        <v>0</v>
      </c>
    </row>
    <row r="7267" spans="7:12" x14ac:dyDescent="0.25">
      <c r="G7267" s="136">
        <v>43668</v>
      </c>
      <c r="H7267" t="s">
        <v>200</v>
      </c>
      <c r="I7267" t="s">
        <v>163</v>
      </c>
      <c r="J7267" t="s">
        <v>637</v>
      </c>
      <c r="K7267" s="138">
        <v>4047.41</v>
      </c>
      <c r="L7267" s="137">
        <v>0</v>
      </c>
    </row>
    <row r="7268" spans="7:12" x14ac:dyDescent="0.25">
      <c r="G7268" s="136">
        <v>43668</v>
      </c>
      <c r="H7268" t="s">
        <v>25</v>
      </c>
      <c r="I7268" t="s">
        <v>63</v>
      </c>
      <c r="J7268" t="s">
        <v>637</v>
      </c>
      <c r="K7268" s="138">
        <v>16</v>
      </c>
      <c r="L7268" s="137">
        <v>0</v>
      </c>
    </row>
    <row r="7269" spans="7:12" x14ac:dyDescent="0.25">
      <c r="G7269" s="136">
        <v>43668</v>
      </c>
      <c r="H7269" t="s">
        <v>25</v>
      </c>
      <c r="I7269" t="s">
        <v>63</v>
      </c>
      <c r="J7269" t="s">
        <v>637</v>
      </c>
      <c r="K7269" s="138">
        <v>8</v>
      </c>
      <c r="L7269" s="137">
        <v>0</v>
      </c>
    </row>
    <row r="7270" spans="7:12" x14ac:dyDescent="0.25">
      <c r="G7270" s="136">
        <v>43668</v>
      </c>
      <c r="H7270" t="s">
        <v>28</v>
      </c>
      <c r="I7270" t="s">
        <v>66</v>
      </c>
      <c r="J7270" t="s">
        <v>101</v>
      </c>
      <c r="K7270" s="138">
        <v>1.8</v>
      </c>
      <c r="L7270" s="137">
        <v>0</v>
      </c>
    </row>
    <row r="7271" spans="7:12" x14ac:dyDescent="0.25">
      <c r="G7271" s="136">
        <v>43668</v>
      </c>
      <c r="H7271" t="s">
        <v>28</v>
      </c>
      <c r="I7271" t="s">
        <v>66</v>
      </c>
      <c r="J7271" t="s">
        <v>137</v>
      </c>
      <c r="K7271" s="138">
        <v>1.8</v>
      </c>
      <c r="L7271" s="137">
        <v>0</v>
      </c>
    </row>
    <row r="7272" spans="7:12" x14ac:dyDescent="0.25">
      <c r="G7272" s="136">
        <v>43668</v>
      </c>
      <c r="H7272" t="s">
        <v>28</v>
      </c>
      <c r="I7272" t="s">
        <v>66</v>
      </c>
      <c r="J7272" t="s">
        <v>118</v>
      </c>
      <c r="K7272" s="138">
        <v>51.2</v>
      </c>
      <c r="L7272" s="137">
        <v>0</v>
      </c>
    </row>
    <row r="7273" spans="7:12" x14ac:dyDescent="0.25">
      <c r="G7273" s="136">
        <v>43668</v>
      </c>
      <c r="H7273" t="s">
        <v>28</v>
      </c>
      <c r="I7273" t="s">
        <v>66</v>
      </c>
      <c r="J7273" t="s">
        <v>636</v>
      </c>
      <c r="K7273" s="138">
        <v>15</v>
      </c>
      <c r="L7273" s="137">
        <v>0</v>
      </c>
    </row>
    <row r="7274" spans="7:12" x14ac:dyDescent="0.25">
      <c r="G7274" s="136">
        <v>43669</v>
      </c>
      <c r="H7274" t="s">
        <v>192</v>
      </c>
      <c r="I7274" t="s">
        <v>112</v>
      </c>
      <c r="J7274" t="s">
        <v>638</v>
      </c>
      <c r="K7274" s="138">
        <v>29.56</v>
      </c>
      <c r="L7274" s="137">
        <v>0</v>
      </c>
    </row>
    <row r="7275" spans="7:12" x14ac:dyDescent="0.25">
      <c r="G7275" s="136">
        <v>43669</v>
      </c>
      <c r="H7275" t="s">
        <v>27</v>
      </c>
      <c r="I7275" t="s">
        <v>63</v>
      </c>
      <c r="J7275" t="s">
        <v>638</v>
      </c>
      <c r="K7275" s="138">
        <v>8</v>
      </c>
      <c r="L7275" s="137">
        <v>0</v>
      </c>
    </row>
    <row r="7276" spans="7:12" x14ac:dyDescent="0.25">
      <c r="G7276" s="136">
        <v>43669</v>
      </c>
      <c r="H7276" t="s">
        <v>199</v>
      </c>
      <c r="I7276" t="s">
        <v>112</v>
      </c>
      <c r="J7276" t="s">
        <v>638</v>
      </c>
      <c r="K7276" s="138">
        <v>98.08</v>
      </c>
      <c r="L7276" s="137">
        <v>0</v>
      </c>
    </row>
    <row r="7277" spans="7:12" x14ac:dyDescent="0.25">
      <c r="G7277" s="136">
        <v>43669</v>
      </c>
      <c r="H7277" t="s">
        <v>199</v>
      </c>
      <c r="I7277" t="s">
        <v>155</v>
      </c>
      <c r="J7277" t="s">
        <v>638</v>
      </c>
      <c r="K7277" s="138">
        <v>32</v>
      </c>
      <c r="L7277" s="137">
        <v>0</v>
      </c>
    </row>
    <row r="7278" spans="7:12" x14ac:dyDescent="0.25">
      <c r="G7278" s="136">
        <v>43669</v>
      </c>
      <c r="H7278" t="s">
        <v>212</v>
      </c>
      <c r="I7278" t="s">
        <v>42</v>
      </c>
      <c r="J7278" t="s">
        <v>638</v>
      </c>
      <c r="K7278" s="138">
        <v>50.25</v>
      </c>
      <c r="L7278" s="137">
        <v>0</v>
      </c>
    </row>
    <row r="7279" spans="7:12" x14ac:dyDescent="0.25">
      <c r="G7279" s="136">
        <v>43669</v>
      </c>
      <c r="H7279" t="s">
        <v>183</v>
      </c>
      <c r="I7279" t="s">
        <v>163</v>
      </c>
      <c r="J7279" t="s">
        <v>638</v>
      </c>
      <c r="K7279" s="138">
        <v>20</v>
      </c>
      <c r="L7279" s="137">
        <v>0</v>
      </c>
    </row>
    <row r="7280" spans="7:12" x14ac:dyDescent="0.25">
      <c r="G7280" s="136">
        <v>43669</v>
      </c>
      <c r="H7280" t="s">
        <v>193</v>
      </c>
      <c r="I7280" t="s">
        <v>178</v>
      </c>
      <c r="J7280" t="s">
        <v>638</v>
      </c>
      <c r="K7280" s="138">
        <v>19.75</v>
      </c>
      <c r="L7280" s="137">
        <v>0</v>
      </c>
    </row>
    <row r="7281" spans="7:12" x14ac:dyDescent="0.25">
      <c r="G7281" s="136">
        <v>43669</v>
      </c>
      <c r="H7281" t="s">
        <v>193</v>
      </c>
      <c r="I7281" t="s">
        <v>112</v>
      </c>
      <c r="J7281" t="s">
        <v>638</v>
      </c>
      <c r="K7281" s="138">
        <v>96.2</v>
      </c>
      <c r="L7281" s="137">
        <v>0</v>
      </c>
    </row>
    <row r="7282" spans="7:12" x14ac:dyDescent="0.25">
      <c r="G7282" s="136">
        <v>43669</v>
      </c>
      <c r="H7282" t="s">
        <v>188</v>
      </c>
      <c r="I7282" t="s">
        <v>178</v>
      </c>
      <c r="J7282" t="s">
        <v>638</v>
      </c>
      <c r="K7282" s="138">
        <v>15.5</v>
      </c>
      <c r="L7282" s="137">
        <v>0</v>
      </c>
    </row>
    <row r="7283" spans="7:12" x14ac:dyDescent="0.25">
      <c r="G7283" s="136">
        <v>43669</v>
      </c>
      <c r="H7283" t="s">
        <v>188</v>
      </c>
      <c r="I7283" t="s">
        <v>112</v>
      </c>
      <c r="J7283" t="s">
        <v>638</v>
      </c>
      <c r="K7283" s="138">
        <v>24.16</v>
      </c>
      <c r="L7283" s="137">
        <v>0</v>
      </c>
    </row>
    <row r="7284" spans="7:12" x14ac:dyDescent="0.25">
      <c r="G7284" s="136">
        <v>43669</v>
      </c>
      <c r="H7284" t="s">
        <v>188</v>
      </c>
      <c r="I7284" t="s">
        <v>171</v>
      </c>
      <c r="J7284" t="s">
        <v>638</v>
      </c>
      <c r="K7284" s="138">
        <v>64</v>
      </c>
      <c r="L7284" s="137">
        <v>0</v>
      </c>
    </row>
    <row r="7285" spans="7:12" x14ac:dyDescent="0.25">
      <c r="G7285" s="136">
        <v>43669</v>
      </c>
      <c r="H7285" t="s">
        <v>200</v>
      </c>
      <c r="I7285" t="s">
        <v>171</v>
      </c>
      <c r="J7285" t="s">
        <v>638</v>
      </c>
      <c r="K7285" s="138">
        <v>13.91</v>
      </c>
      <c r="L7285" s="137">
        <v>0</v>
      </c>
    </row>
    <row r="7286" spans="7:12" x14ac:dyDescent="0.25">
      <c r="G7286" s="136">
        <v>43669</v>
      </c>
      <c r="H7286" t="s">
        <v>25</v>
      </c>
      <c r="I7286" t="s">
        <v>63</v>
      </c>
      <c r="J7286" t="s">
        <v>638</v>
      </c>
      <c r="K7286" s="138">
        <v>24</v>
      </c>
      <c r="L7286" s="137">
        <v>0</v>
      </c>
    </row>
    <row r="7287" spans="7:12" x14ac:dyDescent="0.25">
      <c r="G7287" s="136">
        <v>43669</v>
      </c>
      <c r="H7287" t="s">
        <v>25</v>
      </c>
      <c r="I7287" t="s">
        <v>63</v>
      </c>
      <c r="J7287" t="s">
        <v>638</v>
      </c>
      <c r="K7287" s="138">
        <v>16</v>
      </c>
      <c r="L7287" s="137">
        <v>0</v>
      </c>
    </row>
    <row r="7288" spans="7:12" x14ac:dyDescent="0.25">
      <c r="G7288" s="136">
        <v>43669</v>
      </c>
      <c r="H7288" t="s">
        <v>25</v>
      </c>
      <c r="I7288" t="s">
        <v>63</v>
      </c>
      <c r="J7288" t="s">
        <v>638</v>
      </c>
      <c r="K7288" s="138">
        <v>8</v>
      </c>
      <c r="L7288" s="137">
        <v>0</v>
      </c>
    </row>
    <row r="7289" spans="7:12" x14ac:dyDescent="0.25">
      <c r="G7289" s="136">
        <v>43669</v>
      </c>
      <c r="H7289" t="s">
        <v>201</v>
      </c>
      <c r="I7289" t="s">
        <v>155</v>
      </c>
      <c r="J7289" t="s">
        <v>638</v>
      </c>
      <c r="K7289" s="138">
        <v>27</v>
      </c>
      <c r="L7289" s="137">
        <v>0</v>
      </c>
    </row>
    <row r="7290" spans="7:12" x14ac:dyDescent="0.25">
      <c r="G7290" s="136">
        <v>43669</v>
      </c>
      <c r="H7290" t="s">
        <v>207</v>
      </c>
      <c r="I7290" t="s">
        <v>112</v>
      </c>
      <c r="J7290" t="s">
        <v>638</v>
      </c>
      <c r="K7290" s="138">
        <v>15.75</v>
      </c>
      <c r="L7290" s="137">
        <v>0</v>
      </c>
    </row>
    <row r="7291" spans="7:12" x14ac:dyDescent="0.25">
      <c r="G7291" s="136">
        <v>43669</v>
      </c>
      <c r="H7291" t="s">
        <v>197</v>
      </c>
      <c r="I7291" t="s">
        <v>171</v>
      </c>
      <c r="J7291" t="s">
        <v>638</v>
      </c>
      <c r="K7291" s="138">
        <v>21.4</v>
      </c>
      <c r="L7291" s="137">
        <v>0</v>
      </c>
    </row>
    <row r="7292" spans="7:12" x14ac:dyDescent="0.25">
      <c r="G7292" s="136">
        <v>43669</v>
      </c>
      <c r="H7292" t="s">
        <v>196</v>
      </c>
      <c r="I7292" t="s">
        <v>42</v>
      </c>
      <c r="J7292" t="s">
        <v>638</v>
      </c>
      <c r="K7292" s="138">
        <v>96</v>
      </c>
      <c r="L7292" s="137">
        <v>0</v>
      </c>
    </row>
    <row r="7293" spans="7:12" x14ac:dyDescent="0.25">
      <c r="G7293" s="136">
        <v>43669</v>
      </c>
      <c r="H7293" t="s">
        <v>180</v>
      </c>
      <c r="I7293" t="s">
        <v>112</v>
      </c>
      <c r="J7293" t="s">
        <v>638</v>
      </c>
      <c r="K7293" s="138">
        <v>66.099999999999994</v>
      </c>
      <c r="L7293" s="137">
        <v>0</v>
      </c>
    </row>
    <row r="7294" spans="7:12" x14ac:dyDescent="0.25">
      <c r="G7294" s="136">
        <v>43669</v>
      </c>
      <c r="H7294" t="s">
        <v>180</v>
      </c>
      <c r="I7294" t="s">
        <v>42</v>
      </c>
      <c r="J7294" t="s">
        <v>638</v>
      </c>
      <c r="K7294" s="138">
        <v>96</v>
      </c>
      <c r="L7294" s="137">
        <v>0</v>
      </c>
    </row>
    <row r="7295" spans="7:12" x14ac:dyDescent="0.25">
      <c r="G7295" s="136">
        <v>43669</v>
      </c>
      <c r="H7295" t="s">
        <v>180</v>
      </c>
      <c r="I7295" t="s">
        <v>171</v>
      </c>
      <c r="J7295" t="s">
        <v>638</v>
      </c>
      <c r="K7295" s="138">
        <v>10</v>
      </c>
      <c r="L7295" s="137">
        <v>0</v>
      </c>
    </row>
    <row r="7296" spans="7:12" x14ac:dyDescent="0.25">
      <c r="G7296" s="136">
        <v>43669</v>
      </c>
      <c r="H7296" t="s">
        <v>28</v>
      </c>
      <c r="I7296" t="s">
        <v>163</v>
      </c>
      <c r="J7296" t="s">
        <v>638</v>
      </c>
      <c r="K7296" s="138">
        <v>23.29</v>
      </c>
      <c r="L7296" s="137">
        <v>0</v>
      </c>
    </row>
    <row r="7297" spans="7:12" x14ac:dyDescent="0.25">
      <c r="G7297" s="136">
        <v>43669</v>
      </c>
      <c r="H7297" t="s">
        <v>28</v>
      </c>
      <c r="I7297" t="s">
        <v>112</v>
      </c>
      <c r="J7297" t="s">
        <v>638</v>
      </c>
      <c r="K7297" s="138">
        <v>71.97</v>
      </c>
      <c r="L7297" s="137">
        <v>0</v>
      </c>
    </row>
    <row r="7298" spans="7:12" x14ac:dyDescent="0.25">
      <c r="G7298" s="136">
        <v>43669</v>
      </c>
      <c r="H7298" t="s">
        <v>28</v>
      </c>
      <c r="I7298" t="s">
        <v>112</v>
      </c>
      <c r="J7298" t="s">
        <v>638</v>
      </c>
      <c r="K7298" s="138">
        <v>64</v>
      </c>
      <c r="L7298" s="137">
        <v>0</v>
      </c>
    </row>
    <row r="7299" spans="7:12" x14ac:dyDescent="0.25">
      <c r="G7299" s="136">
        <v>43669</v>
      </c>
      <c r="H7299" t="s">
        <v>28</v>
      </c>
      <c r="I7299" t="s">
        <v>112</v>
      </c>
      <c r="J7299" t="s">
        <v>638</v>
      </c>
      <c r="K7299" s="138">
        <v>7.47</v>
      </c>
      <c r="L7299" s="137">
        <v>0</v>
      </c>
    </row>
    <row r="7300" spans="7:12" x14ac:dyDescent="0.25">
      <c r="G7300" s="136">
        <v>43669</v>
      </c>
      <c r="H7300" t="s">
        <v>28</v>
      </c>
      <c r="I7300" t="s">
        <v>155</v>
      </c>
      <c r="J7300" t="s">
        <v>638</v>
      </c>
      <c r="K7300" s="138">
        <v>87.91</v>
      </c>
      <c r="L7300" s="137">
        <v>0</v>
      </c>
    </row>
    <row r="7301" spans="7:12" x14ac:dyDescent="0.25">
      <c r="G7301" s="136">
        <v>43669</v>
      </c>
      <c r="H7301" t="s">
        <v>28</v>
      </c>
      <c r="I7301" t="s">
        <v>155</v>
      </c>
      <c r="J7301" t="s">
        <v>638</v>
      </c>
      <c r="K7301" s="138">
        <v>85</v>
      </c>
      <c r="L7301" s="137">
        <v>0</v>
      </c>
    </row>
    <row r="7302" spans="7:12" x14ac:dyDescent="0.25">
      <c r="G7302" s="136">
        <v>43669</v>
      </c>
      <c r="H7302" t="s">
        <v>28</v>
      </c>
      <c r="I7302" t="s">
        <v>155</v>
      </c>
      <c r="J7302" t="s">
        <v>638</v>
      </c>
      <c r="K7302" s="138">
        <v>36</v>
      </c>
      <c r="L7302" s="137">
        <v>0</v>
      </c>
    </row>
    <row r="7303" spans="7:12" x14ac:dyDescent="0.25">
      <c r="G7303" s="136">
        <v>43669</v>
      </c>
      <c r="H7303" t="s">
        <v>28</v>
      </c>
      <c r="I7303" t="s">
        <v>155</v>
      </c>
      <c r="J7303" t="s">
        <v>638</v>
      </c>
      <c r="K7303" s="138">
        <v>35.409999999999997</v>
      </c>
      <c r="L7303" s="137">
        <v>0</v>
      </c>
    </row>
    <row r="7304" spans="7:12" x14ac:dyDescent="0.25">
      <c r="G7304" s="136">
        <v>43669</v>
      </c>
      <c r="H7304" t="s">
        <v>28</v>
      </c>
      <c r="I7304" t="s">
        <v>155</v>
      </c>
      <c r="J7304" t="s">
        <v>638</v>
      </c>
      <c r="K7304" s="138">
        <v>34</v>
      </c>
      <c r="L7304" s="137">
        <v>0</v>
      </c>
    </row>
    <row r="7305" spans="7:12" x14ac:dyDescent="0.25">
      <c r="G7305" s="136">
        <v>43669</v>
      </c>
      <c r="H7305" t="s">
        <v>28</v>
      </c>
      <c r="I7305" t="s">
        <v>155</v>
      </c>
      <c r="J7305" t="s">
        <v>638</v>
      </c>
      <c r="K7305" s="138">
        <v>32.130000000000003</v>
      </c>
      <c r="L7305" s="137">
        <v>0</v>
      </c>
    </row>
    <row r="7306" spans="7:12" x14ac:dyDescent="0.25">
      <c r="G7306" s="136">
        <v>43669</v>
      </c>
      <c r="H7306" t="s">
        <v>28</v>
      </c>
      <c r="I7306" t="s">
        <v>155</v>
      </c>
      <c r="J7306" t="s">
        <v>638</v>
      </c>
      <c r="K7306" s="138">
        <v>21.3</v>
      </c>
      <c r="L7306" s="137">
        <v>0</v>
      </c>
    </row>
    <row r="7307" spans="7:12" x14ac:dyDescent="0.25">
      <c r="G7307" s="136">
        <v>43669</v>
      </c>
      <c r="H7307" t="s">
        <v>28</v>
      </c>
      <c r="I7307" t="s">
        <v>155</v>
      </c>
      <c r="J7307" t="s">
        <v>638</v>
      </c>
      <c r="K7307" s="138">
        <v>15.36</v>
      </c>
      <c r="L7307" s="137">
        <v>0</v>
      </c>
    </row>
    <row r="7308" spans="7:12" x14ac:dyDescent="0.25">
      <c r="G7308" s="136">
        <v>43669</v>
      </c>
      <c r="H7308" t="s">
        <v>28</v>
      </c>
      <c r="I7308" t="s">
        <v>155</v>
      </c>
      <c r="J7308" t="s">
        <v>638</v>
      </c>
      <c r="K7308" s="138">
        <v>14.51</v>
      </c>
      <c r="L7308" s="137">
        <v>0</v>
      </c>
    </row>
    <row r="7309" spans="7:12" x14ac:dyDescent="0.25">
      <c r="G7309" s="136">
        <v>43669</v>
      </c>
      <c r="H7309" t="s">
        <v>28</v>
      </c>
      <c r="I7309" t="s">
        <v>155</v>
      </c>
      <c r="J7309" t="s">
        <v>638</v>
      </c>
      <c r="K7309" s="138">
        <v>10.7</v>
      </c>
      <c r="L7309" s="137">
        <v>0</v>
      </c>
    </row>
    <row r="7310" spans="7:12" x14ac:dyDescent="0.25">
      <c r="G7310" s="136">
        <v>43670</v>
      </c>
      <c r="H7310" t="s">
        <v>199</v>
      </c>
      <c r="I7310" t="s">
        <v>171</v>
      </c>
      <c r="J7310" t="s">
        <v>639</v>
      </c>
      <c r="K7310" s="138">
        <v>10.25</v>
      </c>
      <c r="L7310" s="137">
        <v>0</v>
      </c>
    </row>
    <row r="7311" spans="7:12" x14ac:dyDescent="0.25">
      <c r="G7311" s="136">
        <v>43670</v>
      </c>
      <c r="H7311" t="s">
        <v>191</v>
      </c>
      <c r="I7311" t="s">
        <v>42</v>
      </c>
      <c r="J7311" t="s">
        <v>639</v>
      </c>
      <c r="K7311" s="138">
        <v>265</v>
      </c>
      <c r="L7311" s="137">
        <v>0</v>
      </c>
    </row>
    <row r="7312" spans="7:12" x14ac:dyDescent="0.25">
      <c r="G7312" s="136">
        <v>43670</v>
      </c>
      <c r="H7312" t="s">
        <v>25</v>
      </c>
      <c r="I7312" t="s">
        <v>63</v>
      </c>
      <c r="J7312" t="s">
        <v>639</v>
      </c>
      <c r="K7312" s="138">
        <v>24</v>
      </c>
      <c r="L7312" s="137">
        <v>0</v>
      </c>
    </row>
    <row r="7313" spans="7:12" x14ac:dyDescent="0.25">
      <c r="G7313" s="136">
        <v>43670</v>
      </c>
      <c r="H7313" t="s">
        <v>25</v>
      </c>
      <c r="I7313" t="s">
        <v>63</v>
      </c>
      <c r="J7313" t="s">
        <v>639</v>
      </c>
      <c r="K7313" s="138">
        <v>8</v>
      </c>
      <c r="L7313" s="137">
        <v>0</v>
      </c>
    </row>
    <row r="7314" spans="7:12" x14ac:dyDescent="0.25">
      <c r="G7314" s="136">
        <v>43670</v>
      </c>
      <c r="H7314" t="s">
        <v>187</v>
      </c>
      <c r="I7314" t="s">
        <v>171</v>
      </c>
      <c r="J7314" t="s">
        <v>639</v>
      </c>
      <c r="K7314" s="138">
        <v>80.849999999999994</v>
      </c>
      <c r="L7314" s="137">
        <v>0</v>
      </c>
    </row>
    <row r="7315" spans="7:12" x14ac:dyDescent="0.25">
      <c r="G7315" s="136">
        <v>43670</v>
      </c>
      <c r="H7315" t="s">
        <v>28</v>
      </c>
      <c r="I7315" t="s">
        <v>112</v>
      </c>
      <c r="J7315" t="s">
        <v>639</v>
      </c>
      <c r="K7315" s="138">
        <v>0</v>
      </c>
      <c r="L7315" s="137">
        <v>64</v>
      </c>
    </row>
    <row r="7316" spans="7:12" x14ac:dyDescent="0.25">
      <c r="G7316" s="136">
        <v>43670</v>
      </c>
      <c r="H7316" t="s">
        <v>28</v>
      </c>
      <c r="I7316" t="s">
        <v>66</v>
      </c>
      <c r="J7316" t="s">
        <v>108</v>
      </c>
      <c r="K7316" s="138">
        <v>7.65</v>
      </c>
      <c r="L7316" s="137">
        <v>0</v>
      </c>
    </row>
    <row r="7317" spans="7:12" x14ac:dyDescent="0.25">
      <c r="G7317" s="136">
        <v>43670</v>
      </c>
      <c r="H7317" t="s">
        <v>28</v>
      </c>
      <c r="I7317" t="s">
        <v>66</v>
      </c>
      <c r="J7317" t="s">
        <v>101</v>
      </c>
      <c r="K7317" s="138">
        <v>1.8</v>
      </c>
      <c r="L7317" s="137">
        <v>0</v>
      </c>
    </row>
    <row r="7318" spans="7:12" x14ac:dyDescent="0.25">
      <c r="G7318" s="136">
        <v>43670</v>
      </c>
      <c r="H7318" t="s">
        <v>28</v>
      </c>
      <c r="I7318" t="s">
        <v>66</v>
      </c>
      <c r="J7318" t="s">
        <v>142</v>
      </c>
      <c r="K7318" s="138">
        <v>44</v>
      </c>
      <c r="L7318" s="137">
        <v>0</v>
      </c>
    </row>
    <row r="7319" spans="7:12" x14ac:dyDescent="0.25">
      <c r="G7319" s="136">
        <v>43670</v>
      </c>
      <c r="H7319" t="s">
        <v>28</v>
      </c>
      <c r="I7319" t="s">
        <v>66</v>
      </c>
      <c r="J7319" t="s">
        <v>104</v>
      </c>
      <c r="K7319" s="138">
        <v>3.6</v>
      </c>
      <c r="L7319" s="137">
        <v>0</v>
      </c>
    </row>
    <row r="7320" spans="7:12" x14ac:dyDescent="0.25">
      <c r="G7320" s="136">
        <v>43671</v>
      </c>
      <c r="H7320" t="s">
        <v>27</v>
      </c>
      <c r="I7320" t="s">
        <v>264</v>
      </c>
      <c r="J7320" t="s">
        <v>640</v>
      </c>
      <c r="K7320" s="138">
        <v>410.35</v>
      </c>
      <c r="L7320" s="137">
        <v>0</v>
      </c>
    </row>
    <row r="7321" spans="7:12" x14ac:dyDescent="0.25">
      <c r="G7321" s="136">
        <v>43671</v>
      </c>
      <c r="H7321" t="s">
        <v>27</v>
      </c>
      <c r="I7321" t="s">
        <v>264</v>
      </c>
      <c r="J7321" t="s">
        <v>640</v>
      </c>
      <c r="K7321" s="138">
        <v>144.43</v>
      </c>
      <c r="L7321" s="137">
        <v>0</v>
      </c>
    </row>
    <row r="7322" spans="7:12" x14ac:dyDescent="0.25">
      <c r="G7322" s="136">
        <v>43671</v>
      </c>
      <c r="H7322" t="s">
        <v>27</v>
      </c>
      <c r="I7322" t="s">
        <v>264</v>
      </c>
      <c r="J7322" t="s">
        <v>640</v>
      </c>
      <c r="K7322" s="138">
        <v>132.22</v>
      </c>
      <c r="L7322" s="137">
        <v>0</v>
      </c>
    </row>
    <row r="7323" spans="7:12" x14ac:dyDescent="0.25">
      <c r="G7323" s="136">
        <v>43671</v>
      </c>
      <c r="H7323" t="s">
        <v>27</v>
      </c>
      <c r="I7323" t="s">
        <v>264</v>
      </c>
      <c r="J7323" t="s">
        <v>640</v>
      </c>
      <c r="K7323" s="138">
        <v>130.29</v>
      </c>
      <c r="L7323" s="137">
        <v>0</v>
      </c>
    </row>
    <row r="7324" spans="7:12" x14ac:dyDescent="0.25">
      <c r="G7324" s="136">
        <v>43671</v>
      </c>
      <c r="H7324" t="s">
        <v>27</v>
      </c>
      <c r="I7324" t="s">
        <v>264</v>
      </c>
      <c r="J7324" t="s">
        <v>640</v>
      </c>
      <c r="K7324" s="138">
        <v>107.83</v>
      </c>
      <c r="L7324" s="137">
        <v>0</v>
      </c>
    </row>
    <row r="7325" spans="7:12" x14ac:dyDescent="0.25">
      <c r="G7325" s="136">
        <v>43671</v>
      </c>
      <c r="H7325" t="s">
        <v>27</v>
      </c>
      <c r="I7325" t="s">
        <v>264</v>
      </c>
      <c r="J7325" t="s">
        <v>640</v>
      </c>
      <c r="K7325" s="138">
        <v>85.88</v>
      </c>
      <c r="L7325" s="137">
        <v>0</v>
      </c>
    </row>
    <row r="7326" spans="7:12" x14ac:dyDescent="0.25">
      <c r="G7326" s="136">
        <v>43671</v>
      </c>
      <c r="H7326" t="s">
        <v>27</v>
      </c>
      <c r="I7326" t="s">
        <v>264</v>
      </c>
      <c r="J7326" t="s">
        <v>640</v>
      </c>
      <c r="K7326" s="138">
        <v>80.47</v>
      </c>
      <c r="L7326" s="137">
        <v>0</v>
      </c>
    </row>
    <row r="7327" spans="7:12" x14ac:dyDescent="0.25">
      <c r="G7327" s="136">
        <v>43671</v>
      </c>
      <c r="H7327" t="s">
        <v>27</v>
      </c>
      <c r="I7327" t="s">
        <v>264</v>
      </c>
      <c r="J7327" t="s">
        <v>640</v>
      </c>
      <c r="K7327" s="138">
        <v>65.59</v>
      </c>
      <c r="L7327" s="137">
        <v>0</v>
      </c>
    </row>
    <row r="7328" spans="7:12" x14ac:dyDescent="0.25">
      <c r="G7328" s="136">
        <v>43671</v>
      </c>
      <c r="H7328" t="s">
        <v>27</v>
      </c>
      <c r="I7328" t="s">
        <v>264</v>
      </c>
      <c r="J7328" t="s">
        <v>640</v>
      </c>
      <c r="K7328" s="138">
        <v>63.64</v>
      </c>
      <c r="L7328" s="137">
        <v>0</v>
      </c>
    </row>
    <row r="7329" spans="7:12" x14ac:dyDescent="0.25">
      <c r="G7329" s="136">
        <v>43671</v>
      </c>
      <c r="H7329" t="s">
        <v>27</v>
      </c>
      <c r="I7329" t="s">
        <v>264</v>
      </c>
      <c r="J7329" t="s">
        <v>640</v>
      </c>
      <c r="K7329" s="138">
        <v>60.7</v>
      </c>
      <c r="L7329" s="137">
        <v>0</v>
      </c>
    </row>
    <row r="7330" spans="7:12" x14ac:dyDescent="0.25">
      <c r="G7330" s="136">
        <v>43671</v>
      </c>
      <c r="H7330" t="s">
        <v>27</v>
      </c>
      <c r="I7330" t="s">
        <v>264</v>
      </c>
      <c r="J7330" t="s">
        <v>640</v>
      </c>
      <c r="K7330" s="138">
        <v>48.99</v>
      </c>
      <c r="L7330" s="137">
        <v>0</v>
      </c>
    </row>
    <row r="7331" spans="7:12" x14ac:dyDescent="0.25">
      <c r="G7331" s="136">
        <v>43671</v>
      </c>
      <c r="H7331" t="s">
        <v>27</v>
      </c>
      <c r="I7331" t="s">
        <v>264</v>
      </c>
      <c r="J7331" t="s">
        <v>640</v>
      </c>
      <c r="K7331" s="138">
        <v>46.01</v>
      </c>
      <c r="L7331" s="137">
        <v>0</v>
      </c>
    </row>
    <row r="7332" spans="7:12" x14ac:dyDescent="0.25">
      <c r="G7332" s="136">
        <v>43671</v>
      </c>
      <c r="H7332" t="s">
        <v>27</v>
      </c>
      <c r="I7332" t="s">
        <v>264</v>
      </c>
      <c r="J7332" t="s">
        <v>640</v>
      </c>
      <c r="K7332" s="138">
        <v>44.13</v>
      </c>
      <c r="L7332" s="137">
        <v>0</v>
      </c>
    </row>
    <row r="7333" spans="7:12" x14ac:dyDescent="0.25">
      <c r="G7333" s="136">
        <v>43671</v>
      </c>
      <c r="H7333" t="s">
        <v>27</v>
      </c>
      <c r="I7333" t="s">
        <v>264</v>
      </c>
      <c r="J7333" t="s">
        <v>640</v>
      </c>
      <c r="K7333" s="138">
        <v>27.42</v>
      </c>
      <c r="L7333" s="137">
        <v>0</v>
      </c>
    </row>
    <row r="7334" spans="7:12" x14ac:dyDescent="0.25">
      <c r="G7334" s="136">
        <v>43671</v>
      </c>
      <c r="H7334" t="s">
        <v>27</v>
      </c>
      <c r="I7334" t="s">
        <v>264</v>
      </c>
      <c r="J7334" t="s">
        <v>640</v>
      </c>
      <c r="K7334" s="138">
        <v>25.63</v>
      </c>
      <c r="L7334" s="137">
        <v>0</v>
      </c>
    </row>
    <row r="7335" spans="7:12" x14ac:dyDescent="0.25">
      <c r="G7335" s="136">
        <v>43671</v>
      </c>
      <c r="H7335" t="s">
        <v>27</v>
      </c>
      <c r="I7335" t="s">
        <v>264</v>
      </c>
      <c r="J7335" t="s">
        <v>640</v>
      </c>
      <c r="K7335" s="138">
        <v>23.73</v>
      </c>
      <c r="L7335" s="137">
        <v>0</v>
      </c>
    </row>
    <row r="7336" spans="7:12" x14ac:dyDescent="0.25">
      <c r="G7336" s="136">
        <v>43671</v>
      </c>
      <c r="H7336" t="s">
        <v>27</v>
      </c>
      <c r="I7336" t="s">
        <v>264</v>
      </c>
      <c r="J7336" t="s">
        <v>640</v>
      </c>
      <c r="K7336" s="138">
        <v>23.39</v>
      </c>
      <c r="L7336" s="137">
        <v>0</v>
      </c>
    </row>
    <row r="7337" spans="7:12" x14ac:dyDescent="0.25">
      <c r="G7337" s="136">
        <v>43671</v>
      </c>
      <c r="H7337" t="s">
        <v>27</v>
      </c>
      <c r="I7337" t="s">
        <v>264</v>
      </c>
      <c r="J7337" t="s">
        <v>640</v>
      </c>
      <c r="K7337" s="138">
        <v>20.25</v>
      </c>
      <c r="L7337" s="137">
        <v>0</v>
      </c>
    </row>
    <row r="7338" spans="7:12" x14ac:dyDescent="0.25">
      <c r="G7338" s="136">
        <v>43671</v>
      </c>
      <c r="H7338" t="s">
        <v>27</v>
      </c>
      <c r="I7338" t="s">
        <v>264</v>
      </c>
      <c r="J7338" t="s">
        <v>640</v>
      </c>
      <c r="K7338" s="138">
        <v>19.38</v>
      </c>
      <c r="L7338" s="137">
        <v>0</v>
      </c>
    </row>
    <row r="7339" spans="7:12" x14ac:dyDescent="0.25">
      <c r="G7339" s="136">
        <v>43671</v>
      </c>
      <c r="H7339" t="s">
        <v>27</v>
      </c>
      <c r="I7339" t="s">
        <v>264</v>
      </c>
      <c r="J7339" t="s">
        <v>640</v>
      </c>
      <c r="K7339" s="138">
        <v>14.12</v>
      </c>
      <c r="L7339" s="137">
        <v>0</v>
      </c>
    </row>
    <row r="7340" spans="7:12" x14ac:dyDescent="0.25">
      <c r="G7340" s="136">
        <v>43671</v>
      </c>
      <c r="H7340" t="s">
        <v>27</v>
      </c>
      <c r="I7340" t="s">
        <v>264</v>
      </c>
      <c r="J7340" t="s">
        <v>640</v>
      </c>
      <c r="K7340" s="138">
        <v>5.6</v>
      </c>
      <c r="L7340" s="137">
        <v>0</v>
      </c>
    </row>
    <row r="7341" spans="7:12" x14ac:dyDescent="0.25">
      <c r="G7341" s="136">
        <v>43671</v>
      </c>
      <c r="H7341" t="s">
        <v>199</v>
      </c>
      <c r="I7341" t="s">
        <v>171</v>
      </c>
      <c r="J7341" t="s">
        <v>641</v>
      </c>
      <c r="K7341" s="138">
        <v>35.1</v>
      </c>
      <c r="L7341" s="137">
        <v>0</v>
      </c>
    </row>
    <row r="7342" spans="7:12" x14ac:dyDescent="0.25">
      <c r="G7342" s="136">
        <v>43671</v>
      </c>
      <c r="H7342" t="s">
        <v>195</v>
      </c>
      <c r="I7342" t="s">
        <v>264</v>
      </c>
      <c r="J7342" t="s">
        <v>640</v>
      </c>
      <c r="K7342" s="138">
        <v>249.64</v>
      </c>
      <c r="L7342" s="137">
        <v>0</v>
      </c>
    </row>
    <row r="7343" spans="7:12" x14ac:dyDescent="0.25">
      <c r="G7343" s="136">
        <v>43671</v>
      </c>
      <c r="H7343" t="s">
        <v>183</v>
      </c>
      <c r="I7343" t="s">
        <v>264</v>
      </c>
      <c r="J7343" t="s">
        <v>640</v>
      </c>
      <c r="K7343" s="138">
        <v>1142.21</v>
      </c>
      <c r="L7343" s="137">
        <v>0</v>
      </c>
    </row>
    <row r="7344" spans="7:12" x14ac:dyDescent="0.25">
      <c r="G7344" s="136">
        <v>43671</v>
      </c>
      <c r="H7344" t="s">
        <v>183</v>
      </c>
      <c r="I7344" t="s">
        <v>171</v>
      </c>
      <c r="J7344" t="s">
        <v>641</v>
      </c>
      <c r="K7344" s="138">
        <v>13.15</v>
      </c>
      <c r="L7344" s="137">
        <v>0</v>
      </c>
    </row>
    <row r="7345" spans="7:12" x14ac:dyDescent="0.25">
      <c r="G7345" s="136">
        <v>43671</v>
      </c>
      <c r="H7345" t="s">
        <v>188</v>
      </c>
      <c r="I7345" t="s">
        <v>264</v>
      </c>
      <c r="J7345" t="s">
        <v>640</v>
      </c>
      <c r="K7345" s="138">
        <v>1499.58</v>
      </c>
      <c r="L7345" s="137">
        <v>0</v>
      </c>
    </row>
    <row r="7346" spans="7:12" x14ac:dyDescent="0.25">
      <c r="G7346" s="136">
        <v>43671</v>
      </c>
      <c r="H7346" t="s">
        <v>188</v>
      </c>
      <c r="I7346" t="s">
        <v>171</v>
      </c>
      <c r="J7346" t="s">
        <v>641</v>
      </c>
      <c r="K7346" s="138">
        <v>450</v>
      </c>
      <c r="L7346" s="137">
        <v>0</v>
      </c>
    </row>
    <row r="7347" spans="7:12" x14ac:dyDescent="0.25">
      <c r="G7347" s="136">
        <v>43671</v>
      </c>
      <c r="H7347" t="s">
        <v>200</v>
      </c>
      <c r="I7347" t="s">
        <v>63</v>
      </c>
      <c r="J7347" t="s">
        <v>641</v>
      </c>
      <c r="K7347" s="138">
        <v>39.619999999999997</v>
      </c>
      <c r="L7347" s="137">
        <v>0</v>
      </c>
    </row>
    <row r="7348" spans="7:12" x14ac:dyDescent="0.25">
      <c r="G7348" s="136">
        <v>43671</v>
      </c>
      <c r="H7348" t="s">
        <v>200</v>
      </c>
      <c r="I7348" t="s">
        <v>264</v>
      </c>
      <c r="J7348" t="s">
        <v>640</v>
      </c>
      <c r="K7348" s="138">
        <v>20.9</v>
      </c>
      <c r="L7348" s="137">
        <v>0</v>
      </c>
    </row>
    <row r="7349" spans="7:12" x14ac:dyDescent="0.25">
      <c r="G7349" s="136">
        <v>43671</v>
      </c>
      <c r="H7349" t="s">
        <v>25</v>
      </c>
      <c r="I7349" t="s">
        <v>63</v>
      </c>
      <c r="J7349" t="s">
        <v>641</v>
      </c>
      <c r="K7349" s="138">
        <v>8</v>
      </c>
      <c r="L7349" s="137">
        <v>0</v>
      </c>
    </row>
    <row r="7350" spans="7:12" x14ac:dyDescent="0.25">
      <c r="G7350" s="136">
        <v>43671</v>
      </c>
      <c r="H7350" t="s">
        <v>25</v>
      </c>
      <c r="I7350" t="s">
        <v>264</v>
      </c>
      <c r="J7350" t="s">
        <v>640</v>
      </c>
      <c r="K7350" s="138">
        <v>1098.96</v>
      </c>
      <c r="L7350" s="137">
        <v>0</v>
      </c>
    </row>
    <row r="7351" spans="7:12" x14ac:dyDescent="0.25">
      <c r="G7351" s="136">
        <v>43671</v>
      </c>
      <c r="H7351" t="s">
        <v>25</v>
      </c>
      <c r="I7351" t="s">
        <v>264</v>
      </c>
      <c r="J7351" t="s">
        <v>640</v>
      </c>
      <c r="K7351" s="138">
        <v>873.5</v>
      </c>
      <c r="L7351" s="137">
        <v>0</v>
      </c>
    </row>
    <row r="7352" spans="7:12" x14ac:dyDescent="0.25">
      <c r="G7352" s="136">
        <v>43671</v>
      </c>
      <c r="H7352" t="s">
        <v>25</v>
      </c>
      <c r="I7352" t="s">
        <v>264</v>
      </c>
      <c r="J7352" t="s">
        <v>640</v>
      </c>
      <c r="K7352" s="138">
        <v>834.96</v>
      </c>
      <c r="L7352" s="137">
        <v>0</v>
      </c>
    </row>
    <row r="7353" spans="7:12" x14ac:dyDescent="0.25">
      <c r="G7353" s="136">
        <v>43671</v>
      </c>
      <c r="H7353" t="s">
        <v>25</v>
      </c>
      <c r="I7353" t="s">
        <v>264</v>
      </c>
      <c r="J7353" t="s">
        <v>640</v>
      </c>
      <c r="K7353" s="138">
        <v>812.13</v>
      </c>
      <c r="L7353" s="137">
        <v>0</v>
      </c>
    </row>
    <row r="7354" spans="7:12" x14ac:dyDescent="0.25">
      <c r="G7354" s="136">
        <v>43671</v>
      </c>
      <c r="H7354" t="s">
        <v>25</v>
      </c>
      <c r="I7354" t="s">
        <v>264</v>
      </c>
      <c r="J7354" t="s">
        <v>640</v>
      </c>
      <c r="K7354" s="138">
        <v>635.51</v>
      </c>
      <c r="L7354" s="137">
        <v>0</v>
      </c>
    </row>
    <row r="7355" spans="7:12" x14ac:dyDescent="0.25">
      <c r="G7355" s="136">
        <v>43671</v>
      </c>
      <c r="H7355" t="s">
        <v>25</v>
      </c>
      <c r="I7355" t="s">
        <v>264</v>
      </c>
      <c r="J7355" t="s">
        <v>640</v>
      </c>
      <c r="K7355" s="138">
        <v>566.5</v>
      </c>
      <c r="L7355" s="137">
        <v>0</v>
      </c>
    </row>
    <row r="7356" spans="7:12" x14ac:dyDescent="0.25">
      <c r="G7356" s="136">
        <v>43671</v>
      </c>
      <c r="H7356" t="s">
        <v>25</v>
      </c>
      <c r="I7356" t="s">
        <v>264</v>
      </c>
      <c r="J7356" t="s">
        <v>640</v>
      </c>
      <c r="K7356" s="138">
        <v>540.30999999999995</v>
      </c>
      <c r="L7356" s="137">
        <v>0</v>
      </c>
    </row>
    <row r="7357" spans="7:12" x14ac:dyDescent="0.25">
      <c r="G7357" s="136">
        <v>43671</v>
      </c>
      <c r="H7357" t="s">
        <v>25</v>
      </c>
      <c r="I7357" t="s">
        <v>264</v>
      </c>
      <c r="J7357" t="s">
        <v>640</v>
      </c>
      <c r="K7357" s="138">
        <v>492.39</v>
      </c>
      <c r="L7357" s="137">
        <v>0</v>
      </c>
    </row>
    <row r="7358" spans="7:12" x14ac:dyDescent="0.25">
      <c r="G7358" s="136">
        <v>43671</v>
      </c>
      <c r="H7358" t="s">
        <v>25</v>
      </c>
      <c r="I7358" t="s">
        <v>264</v>
      </c>
      <c r="J7358" t="s">
        <v>640</v>
      </c>
      <c r="K7358" s="138">
        <v>481.35</v>
      </c>
      <c r="L7358" s="137">
        <v>0</v>
      </c>
    </row>
    <row r="7359" spans="7:12" x14ac:dyDescent="0.25">
      <c r="G7359" s="136">
        <v>43671</v>
      </c>
      <c r="H7359" t="s">
        <v>25</v>
      </c>
      <c r="I7359" t="s">
        <v>264</v>
      </c>
      <c r="J7359" t="s">
        <v>640</v>
      </c>
      <c r="K7359" s="138">
        <v>475.27</v>
      </c>
      <c r="L7359" s="137">
        <v>0</v>
      </c>
    </row>
    <row r="7360" spans="7:12" x14ac:dyDescent="0.25">
      <c r="G7360" s="136">
        <v>43671</v>
      </c>
      <c r="H7360" t="s">
        <v>25</v>
      </c>
      <c r="I7360" t="s">
        <v>264</v>
      </c>
      <c r="J7360" t="s">
        <v>640</v>
      </c>
      <c r="K7360" s="138">
        <v>430.45</v>
      </c>
      <c r="L7360" s="137">
        <v>0</v>
      </c>
    </row>
    <row r="7361" spans="7:12" x14ac:dyDescent="0.25">
      <c r="G7361" s="136">
        <v>43671</v>
      </c>
      <c r="H7361" t="s">
        <v>25</v>
      </c>
      <c r="I7361" t="s">
        <v>264</v>
      </c>
      <c r="J7361" t="s">
        <v>640</v>
      </c>
      <c r="K7361" s="138">
        <v>423.51</v>
      </c>
      <c r="L7361" s="137">
        <v>0</v>
      </c>
    </row>
    <row r="7362" spans="7:12" x14ac:dyDescent="0.25">
      <c r="G7362" s="136">
        <v>43671</v>
      </c>
      <c r="H7362" t="s">
        <v>25</v>
      </c>
      <c r="I7362" t="s">
        <v>264</v>
      </c>
      <c r="J7362" t="s">
        <v>640</v>
      </c>
      <c r="K7362" s="138">
        <v>402.95</v>
      </c>
      <c r="L7362" s="137">
        <v>0</v>
      </c>
    </row>
    <row r="7363" spans="7:12" x14ac:dyDescent="0.25">
      <c r="G7363" s="136">
        <v>43671</v>
      </c>
      <c r="H7363" t="s">
        <v>25</v>
      </c>
      <c r="I7363" t="s">
        <v>264</v>
      </c>
      <c r="J7363" t="s">
        <v>640</v>
      </c>
      <c r="K7363" s="138">
        <v>287.68</v>
      </c>
      <c r="L7363" s="137">
        <v>0</v>
      </c>
    </row>
    <row r="7364" spans="7:12" x14ac:dyDescent="0.25">
      <c r="G7364" s="136">
        <v>43671</v>
      </c>
      <c r="H7364" t="s">
        <v>25</v>
      </c>
      <c r="I7364" t="s">
        <v>264</v>
      </c>
      <c r="J7364" t="s">
        <v>640</v>
      </c>
      <c r="K7364" s="138">
        <v>262.45</v>
      </c>
      <c r="L7364" s="137">
        <v>0</v>
      </c>
    </row>
    <row r="7365" spans="7:12" x14ac:dyDescent="0.25">
      <c r="G7365" s="136">
        <v>43671</v>
      </c>
      <c r="H7365" t="s">
        <v>25</v>
      </c>
      <c r="I7365" t="s">
        <v>264</v>
      </c>
      <c r="J7365" t="s">
        <v>640</v>
      </c>
      <c r="K7365" s="138">
        <v>257.58</v>
      </c>
      <c r="L7365" s="137">
        <v>0</v>
      </c>
    </row>
    <row r="7366" spans="7:12" x14ac:dyDescent="0.25">
      <c r="G7366" s="136">
        <v>43671</v>
      </c>
      <c r="H7366" t="s">
        <v>25</v>
      </c>
      <c r="I7366" t="s">
        <v>264</v>
      </c>
      <c r="J7366" t="s">
        <v>640</v>
      </c>
      <c r="K7366" s="138">
        <v>253.81</v>
      </c>
      <c r="L7366" s="137">
        <v>0</v>
      </c>
    </row>
    <row r="7367" spans="7:12" x14ac:dyDescent="0.25">
      <c r="G7367" s="136">
        <v>43671</v>
      </c>
      <c r="H7367" t="s">
        <v>25</v>
      </c>
      <c r="I7367" t="s">
        <v>264</v>
      </c>
      <c r="J7367" t="s">
        <v>640</v>
      </c>
      <c r="K7367" s="138">
        <v>250.81</v>
      </c>
      <c r="L7367" s="137">
        <v>0</v>
      </c>
    </row>
    <row r="7368" spans="7:12" x14ac:dyDescent="0.25">
      <c r="G7368" s="136">
        <v>43671</v>
      </c>
      <c r="H7368" t="s">
        <v>25</v>
      </c>
      <c r="I7368" t="s">
        <v>264</v>
      </c>
      <c r="J7368" t="s">
        <v>640</v>
      </c>
      <c r="K7368" s="138">
        <v>246.93</v>
      </c>
      <c r="L7368" s="137">
        <v>0</v>
      </c>
    </row>
    <row r="7369" spans="7:12" x14ac:dyDescent="0.25">
      <c r="G7369" s="136">
        <v>43671</v>
      </c>
      <c r="H7369" t="s">
        <v>25</v>
      </c>
      <c r="I7369" t="s">
        <v>264</v>
      </c>
      <c r="J7369" t="s">
        <v>640</v>
      </c>
      <c r="K7369" s="138">
        <v>173.93</v>
      </c>
      <c r="L7369" s="137">
        <v>0</v>
      </c>
    </row>
    <row r="7370" spans="7:12" x14ac:dyDescent="0.25">
      <c r="G7370" s="136">
        <v>43671</v>
      </c>
      <c r="H7370" t="s">
        <v>25</v>
      </c>
      <c r="I7370" t="s">
        <v>264</v>
      </c>
      <c r="J7370" t="s">
        <v>640</v>
      </c>
      <c r="K7370" s="138">
        <v>85.85</v>
      </c>
      <c r="L7370" s="137">
        <v>0</v>
      </c>
    </row>
    <row r="7371" spans="7:12" x14ac:dyDescent="0.25">
      <c r="G7371" s="136">
        <v>43671</v>
      </c>
      <c r="H7371" t="s">
        <v>25</v>
      </c>
      <c r="I7371" t="s">
        <v>264</v>
      </c>
      <c r="J7371" t="s">
        <v>640</v>
      </c>
      <c r="K7371" s="138">
        <v>83.18</v>
      </c>
      <c r="L7371" s="137">
        <v>0</v>
      </c>
    </row>
    <row r="7372" spans="7:12" x14ac:dyDescent="0.25">
      <c r="G7372" s="136">
        <v>43671</v>
      </c>
      <c r="H7372" t="s">
        <v>25</v>
      </c>
      <c r="I7372" t="s">
        <v>264</v>
      </c>
      <c r="J7372" t="s">
        <v>640</v>
      </c>
      <c r="K7372" s="138">
        <v>42.2</v>
      </c>
      <c r="L7372" s="137">
        <v>0</v>
      </c>
    </row>
    <row r="7373" spans="7:12" x14ac:dyDescent="0.25">
      <c r="G7373" s="136">
        <v>43671</v>
      </c>
      <c r="H7373" t="s">
        <v>25</v>
      </c>
      <c r="I7373" t="s">
        <v>264</v>
      </c>
      <c r="J7373" t="s">
        <v>640</v>
      </c>
      <c r="K7373" s="138">
        <v>40</v>
      </c>
      <c r="L7373" s="137">
        <v>0</v>
      </c>
    </row>
    <row r="7374" spans="7:12" x14ac:dyDescent="0.25">
      <c r="G7374" s="136">
        <v>43671</v>
      </c>
      <c r="H7374" t="s">
        <v>25</v>
      </c>
      <c r="I7374" t="s">
        <v>264</v>
      </c>
      <c r="J7374" t="s">
        <v>640</v>
      </c>
      <c r="K7374" s="138">
        <v>26.02</v>
      </c>
      <c r="L7374" s="137">
        <v>0</v>
      </c>
    </row>
    <row r="7375" spans="7:12" x14ac:dyDescent="0.25">
      <c r="G7375" s="136">
        <v>43671</v>
      </c>
      <c r="H7375" t="s">
        <v>25</v>
      </c>
      <c r="I7375" t="s">
        <v>264</v>
      </c>
      <c r="J7375" t="s">
        <v>640</v>
      </c>
      <c r="K7375" s="138">
        <v>23.57</v>
      </c>
      <c r="L7375" s="137">
        <v>0</v>
      </c>
    </row>
    <row r="7376" spans="7:12" x14ac:dyDescent="0.25">
      <c r="G7376" s="136">
        <v>43671</v>
      </c>
      <c r="H7376" t="s">
        <v>25</v>
      </c>
      <c r="I7376" t="s">
        <v>264</v>
      </c>
      <c r="J7376" t="s">
        <v>640</v>
      </c>
      <c r="K7376" s="138">
        <v>16.78</v>
      </c>
      <c r="L7376" s="137">
        <v>0</v>
      </c>
    </row>
    <row r="7377" spans="7:12" x14ac:dyDescent="0.25">
      <c r="G7377" s="136">
        <v>43671</v>
      </c>
      <c r="H7377" t="s">
        <v>25</v>
      </c>
      <c r="I7377" t="s">
        <v>264</v>
      </c>
      <c r="J7377" t="s">
        <v>640</v>
      </c>
      <c r="K7377" s="138">
        <v>14.46</v>
      </c>
      <c r="L7377" s="137">
        <v>0</v>
      </c>
    </row>
    <row r="7378" spans="7:12" x14ac:dyDescent="0.25">
      <c r="G7378" s="136">
        <v>43671</v>
      </c>
      <c r="H7378" t="s">
        <v>25</v>
      </c>
      <c r="I7378" t="s">
        <v>264</v>
      </c>
      <c r="J7378" t="s">
        <v>640</v>
      </c>
      <c r="K7378" s="138">
        <v>14.35</v>
      </c>
      <c r="L7378" s="137">
        <v>0</v>
      </c>
    </row>
    <row r="7379" spans="7:12" x14ac:dyDescent="0.25">
      <c r="G7379" s="136">
        <v>43671</v>
      </c>
      <c r="H7379" t="s">
        <v>25</v>
      </c>
      <c r="I7379" t="s">
        <v>264</v>
      </c>
      <c r="J7379" t="s">
        <v>640</v>
      </c>
      <c r="K7379" s="138">
        <v>13.64</v>
      </c>
      <c r="L7379" s="137">
        <v>0</v>
      </c>
    </row>
    <row r="7380" spans="7:12" x14ac:dyDescent="0.25">
      <c r="G7380" s="136">
        <v>43671</v>
      </c>
      <c r="H7380" t="s">
        <v>25</v>
      </c>
      <c r="I7380" t="s">
        <v>171</v>
      </c>
      <c r="J7380" t="s">
        <v>641</v>
      </c>
      <c r="K7380" s="138">
        <v>1.8</v>
      </c>
      <c r="L7380" s="137">
        <v>0</v>
      </c>
    </row>
    <row r="7381" spans="7:12" x14ac:dyDescent="0.25">
      <c r="G7381" s="136">
        <v>43671</v>
      </c>
      <c r="H7381" t="s">
        <v>180</v>
      </c>
      <c r="I7381" t="s">
        <v>163</v>
      </c>
      <c r="J7381" t="s">
        <v>641</v>
      </c>
      <c r="K7381" s="138">
        <v>25.95</v>
      </c>
      <c r="L7381" s="137">
        <v>0</v>
      </c>
    </row>
    <row r="7382" spans="7:12" x14ac:dyDescent="0.25">
      <c r="G7382" s="136">
        <v>43671</v>
      </c>
      <c r="H7382" t="s">
        <v>180</v>
      </c>
      <c r="I7382" t="s">
        <v>264</v>
      </c>
      <c r="J7382" t="s">
        <v>640</v>
      </c>
      <c r="K7382" s="138">
        <v>50.79</v>
      </c>
      <c r="L7382" s="137">
        <v>0</v>
      </c>
    </row>
    <row r="7383" spans="7:12" x14ac:dyDescent="0.25">
      <c r="G7383" s="136">
        <v>43671</v>
      </c>
      <c r="H7383" t="s">
        <v>180</v>
      </c>
      <c r="I7383" t="s">
        <v>171</v>
      </c>
      <c r="J7383" t="s">
        <v>641</v>
      </c>
      <c r="K7383" s="138">
        <v>13.8</v>
      </c>
      <c r="L7383" s="137">
        <v>0</v>
      </c>
    </row>
    <row r="7384" spans="7:12" x14ac:dyDescent="0.25">
      <c r="G7384" s="136">
        <v>43671</v>
      </c>
      <c r="H7384" t="s">
        <v>179</v>
      </c>
      <c r="I7384" t="s">
        <v>264</v>
      </c>
      <c r="J7384" t="s">
        <v>640</v>
      </c>
      <c r="K7384" s="138">
        <v>1408.96</v>
      </c>
      <c r="L7384" s="137">
        <v>0</v>
      </c>
    </row>
    <row r="7385" spans="7:12" x14ac:dyDescent="0.25">
      <c r="G7385" s="136">
        <v>43671</v>
      </c>
      <c r="H7385" t="s">
        <v>28</v>
      </c>
      <c r="I7385" t="s">
        <v>66</v>
      </c>
      <c r="J7385" t="s">
        <v>320</v>
      </c>
      <c r="K7385" s="138">
        <v>2.4</v>
      </c>
      <c r="L7385" s="137">
        <v>0</v>
      </c>
    </row>
    <row r="7386" spans="7:12" x14ac:dyDescent="0.25">
      <c r="G7386" s="136">
        <v>43671</v>
      </c>
      <c r="H7386" t="s">
        <v>28</v>
      </c>
      <c r="I7386" t="s">
        <v>66</v>
      </c>
      <c r="J7386" t="s">
        <v>282</v>
      </c>
      <c r="K7386" s="138">
        <v>11.3</v>
      </c>
      <c r="L7386" s="137">
        <v>0</v>
      </c>
    </row>
    <row r="7387" spans="7:12" x14ac:dyDescent="0.25">
      <c r="G7387" s="136">
        <v>43671</v>
      </c>
      <c r="H7387" t="s">
        <v>28</v>
      </c>
      <c r="I7387" t="s">
        <v>66</v>
      </c>
      <c r="J7387" t="s">
        <v>367</v>
      </c>
      <c r="K7387" s="138">
        <v>9.1999999999999993</v>
      </c>
      <c r="L7387" s="137">
        <v>0</v>
      </c>
    </row>
    <row r="7388" spans="7:12" x14ac:dyDescent="0.25">
      <c r="G7388" s="136">
        <v>43671</v>
      </c>
      <c r="H7388" t="s">
        <v>28</v>
      </c>
      <c r="I7388" t="s">
        <v>66</v>
      </c>
      <c r="J7388" t="s">
        <v>111</v>
      </c>
      <c r="K7388" s="138">
        <v>2.25</v>
      </c>
      <c r="L7388" s="137">
        <v>0</v>
      </c>
    </row>
    <row r="7389" spans="7:12" x14ac:dyDescent="0.25">
      <c r="G7389" s="136">
        <v>43671</v>
      </c>
      <c r="H7389" t="s">
        <v>28</v>
      </c>
      <c r="I7389" t="s">
        <v>66</v>
      </c>
      <c r="J7389" t="s">
        <v>135</v>
      </c>
      <c r="K7389" s="138">
        <v>16.399999999999999</v>
      </c>
      <c r="L7389" s="137">
        <v>0</v>
      </c>
    </row>
    <row r="7390" spans="7:12" x14ac:dyDescent="0.25">
      <c r="G7390" s="136">
        <v>43671</v>
      </c>
      <c r="H7390" t="s">
        <v>28</v>
      </c>
      <c r="I7390" t="s">
        <v>66</v>
      </c>
      <c r="J7390" t="s">
        <v>116</v>
      </c>
      <c r="K7390" s="138">
        <v>21.9</v>
      </c>
      <c r="L7390" s="137">
        <v>0</v>
      </c>
    </row>
    <row r="7391" spans="7:12" x14ac:dyDescent="0.25">
      <c r="G7391" s="136">
        <v>43671</v>
      </c>
      <c r="H7391" t="s">
        <v>28</v>
      </c>
      <c r="I7391" t="s">
        <v>66</v>
      </c>
      <c r="J7391" t="s">
        <v>276</v>
      </c>
      <c r="K7391" s="138">
        <v>9.1999999999999993</v>
      </c>
      <c r="L7391" s="137">
        <v>0</v>
      </c>
    </row>
    <row r="7392" spans="7:12" x14ac:dyDescent="0.25">
      <c r="G7392" s="136">
        <v>43671</v>
      </c>
      <c r="H7392" t="s">
        <v>28</v>
      </c>
      <c r="I7392" t="s">
        <v>66</v>
      </c>
      <c r="J7392" t="s">
        <v>290</v>
      </c>
      <c r="K7392" s="138">
        <v>12.08</v>
      </c>
      <c r="L7392" s="137">
        <v>0</v>
      </c>
    </row>
    <row r="7393" spans="7:12" x14ac:dyDescent="0.25">
      <c r="G7393" s="136">
        <v>43671</v>
      </c>
      <c r="H7393" t="s">
        <v>28</v>
      </c>
      <c r="I7393" t="s">
        <v>264</v>
      </c>
      <c r="J7393" t="s">
        <v>640</v>
      </c>
      <c r="K7393" s="138">
        <v>73.2</v>
      </c>
      <c r="L7393" s="137">
        <v>0</v>
      </c>
    </row>
    <row r="7394" spans="7:12" x14ac:dyDescent="0.25">
      <c r="G7394" s="136">
        <v>43671</v>
      </c>
      <c r="H7394" t="s">
        <v>28</v>
      </c>
      <c r="I7394" t="s">
        <v>264</v>
      </c>
      <c r="J7394" t="s">
        <v>640</v>
      </c>
      <c r="K7394" s="138">
        <v>68.180000000000007</v>
      </c>
      <c r="L7394" s="137">
        <v>0</v>
      </c>
    </row>
    <row r="7395" spans="7:12" x14ac:dyDescent="0.25">
      <c r="G7395" s="136">
        <v>43671</v>
      </c>
      <c r="H7395" t="s">
        <v>28</v>
      </c>
      <c r="I7395" t="s">
        <v>264</v>
      </c>
      <c r="J7395" t="s">
        <v>640</v>
      </c>
      <c r="K7395" s="138">
        <v>63.58</v>
      </c>
      <c r="L7395" s="137">
        <v>0</v>
      </c>
    </row>
    <row r="7396" spans="7:12" x14ac:dyDescent="0.25">
      <c r="G7396" s="136">
        <v>43671</v>
      </c>
      <c r="H7396" t="s">
        <v>28</v>
      </c>
      <c r="I7396" t="s">
        <v>264</v>
      </c>
      <c r="J7396" t="s">
        <v>640</v>
      </c>
      <c r="K7396" s="138">
        <v>52.96</v>
      </c>
      <c r="L7396" s="137">
        <v>0</v>
      </c>
    </row>
    <row r="7397" spans="7:12" x14ac:dyDescent="0.25">
      <c r="G7397" s="136">
        <v>43671</v>
      </c>
      <c r="H7397" t="s">
        <v>28</v>
      </c>
      <c r="I7397" t="s">
        <v>264</v>
      </c>
      <c r="J7397" t="s">
        <v>640</v>
      </c>
      <c r="K7397" s="138">
        <v>51.37</v>
      </c>
      <c r="L7397" s="137">
        <v>0</v>
      </c>
    </row>
    <row r="7398" spans="7:12" x14ac:dyDescent="0.25">
      <c r="G7398" s="136">
        <v>43671</v>
      </c>
      <c r="H7398" t="s">
        <v>28</v>
      </c>
      <c r="I7398" t="s">
        <v>264</v>
      </c>
      <c r="J7398" t="s">
        <v>640</v>
      </c>
      <c r="K7398" s="138">
        <v>48.33</v>
      </c>
      <c r="L7398" s="137">
        <v>0</v>
      </c>
    </row>
    <row r="7399" spans="7:12" x14ac:dyDescent="0.25">
      <c r="G7399" s="136">
        <v>43671</v>
      </c>
      <c r="H7399" t="s">
        <v>28</v>
      </c>
      <c r="I7399" t="s">
        <v>171</v>
      </c>
      <c r="J7399" t="s">
        <v>641</v>
      </c>
      <c r="K7399" s="138">
        <v>19</v>
      </c>
      <c r="L7399" s="137">
        <v>0</v>
      </c>
    </row>
    <row r="7400" spans="7:12" x14ac:dyDescent="0.25">
      <c r="G7400" s="136">
        <v>43672</v>
      </c>
      <c r="H7400" t="s">
        <v>27</v>
      </c>
      <c r="I7400" t="s">
        <v>63</v>
      </c>
      <c r="J7400" t="s">
        <v>642</v>
      </c>
      <c r="K7400" s="138">
        <v>24</v>
      </c>
      <c r="L7400" s="137">
        <v>0</v>
      </c>
    </row>
    <row r="7401" spans="7:12" x14ac:dyDescent="0.25">
      <c r="G7401" s="136">
        <v>43672</v>
      </c>
      <c r="H7401" t="s">
        <v>27</v>
      </c>
      <c r="I7401" t="s">
        <v>63</v>
      </c>
      <c r="J7401" t="s">
        <v>642</v>
      </c>
      <c r="K7401" s="138">
        <v>16</v>
      </c>
      <c r="L7401" s="137">
        <v>0</v>
      </c>
    </row>
    <row r="7402" spans="7:12" x14ac:dyDescent="0.25">
      <c r="G7402" s="136">
        <v>43672</v>
      </c>
      <c r="H7402" t="s">
        <v>186</v>
      </c>
      <c r="I7402" t="s">
        <v>63</v>
      </c>
      <c r="J7402" t="s">
        <v>642</v>
      </c>
      <c r="K7402" s="138">
        <v>18.190000000000001</v>
      </c>
      <c r="L7402" s="137">
        <v>0</v>
      </c>
    </row>
    <row r="7403" spans="7:12" x14ac:dyDescent="0.25">
      <c r="G7403" s="136">
        <v>43672</v>
      </c>
      <c r="H7403" t="s">
        <v>188</v>
      </c>
      <c r="I7403" t="s">
        <v>163</v>
      </c>
      <c r="J7403" t="s">
        <v>642</v>
      </c>
      <c r="K7403" s="138">
        <v>27</v>
      </c>
      <c r="L7403" s="137">
        <v>0</v>
      </c>
    </row>
    <row r="7404" spans="7:12" x14ac:dyDescent="0.25">
      <c r="G7404" s="136">
        <v>43672</v>
      </c>
      <c r="H7404" t="s">
        <v>188</v>
      </c>
      <c r="I7404" t="s">
        <v>155</v>
      </c>
      <c r="J7404" t="s">
        <v>642</v>
      </c>
      <c r="K7404" s="138">
        <v>91.5</v>
      </c>
      <c r="L7404" s="137">
        <v>0</v>
      </c>
    </row>
    <row r="7405" spans="7:12" x14ac:dyDescent="0.25">
      <c r="G7405" s="136">
        <v>43672</v>
      </c>
      <c r="H7405" t="s">
        <v>188</v>
      </c>
      <c r="I7405" t="s">
        <v>171</v>
      </c>
      <c r="J7405" t="s">
        <v>642</v>
      </c>
      <c r="K7405" s="138">
        <v>106</v>
      </c>
      <c r="L7405" s="137">
        <v>0</v>
      </c>
    </row>
    <row r="7406" spans="7:12" x14ac:dyDescent="0.25">
      <c r="G7406" s="136">
        <v>43672</v>
      </c>
      <c r="H7406" t="s">
        <v>200</v>
      </c>
      <c r="I7406" t="s">
        <v>171</v>
      </c>
      <c r="J7406" t="s">
        <v>642</v>
      </c>
      <c r="K7406" s="138">
        <v>75.599999999999994</v>
      </c>
      <c r="L7406" s="137">
        <v>0</v>
      </c>
    </row>
    <row r="7407" spans="7:12" x14ac:dyDescent="0.25">
      <c r="G7407" s="136">
        <v>43672</v>
      </c>
      <c r="H7407" t="s">
        <v>25</v>
      </c>
      <c r="I7407" t="s">
        <v>63</v>
      </c>
      <c r="J7407" t="s">
        <v>642</v>
      </c>
      <c r="K7407" s="138">
        <v>32</v>
      </c>
      <c r="L7407" s="137">
        <v>0</v>
      </c>
    </row>
    <row r="7408" spans="7:12" x14ac:dyDescent="0.25">
      <c r="G7408" s="136">
        <v>43672</v>
      </c>
      <c r="H7408" t="s">
        <v>25</v>
      </c>
      <c r="I7408" t="s">
        <v>63</v>
      </c>
      <c r="J7408" t="s">
        <v>642</v>
      </c>
      <c r="K7408" s="138">
        <v>16</v>
      </c>
      <c r="L7408" s="137">
        <v>0</v>
      </c>
    </row>
    <row r="7409" spans="7:12" x14ac:dyDescent="0.25">
      <c r="G7409" s="136">
        <v>43672</v>
      </c>
      <c r="H7409" t="s">
        <v>25</v>
      </c>
      <c r="I7409" t="s">
        <v>63</v>
      </c>
      <c r="J7409" t="s">
        <v>642</v>
      </c>
      <c r="K7409" s="138">
        <v>8</v>
      </c>
      <c r="L7409" s="137">
        <v>0</v>
      </c>
    </row>
    <row r="7410" spans="7:12" x14ac:dyDescent="0.25">
      <c r="G7410" s="136">
        <v>43672</v>
      </c>
      <c r="H7410" t="s">
        <v>25</v>
      </c>
      <c r="I7410" t="s">
        <v>171</v>
      </c>
      <c r="J7410" t="s">
        <v>642</v>
      </c>
      <c r="K7410" s="138">
        <v>6</v>
      </c>
      <c r="L7410" s="137">
        <v>0</v>
      </c>
    </row>
    <row r="7411" spans="7:12" x14ac:dyDescent="0.25">
      <c r="G7411" s="136">
        <v>43672</v>
      </c>
      <c r="H7411" t="s">
        <v>25</v>
      </c>
      <c r="I7411" t="s">
        <v>171</v>
      </c>
      <c r="J7411" t="s">
        <v>642</v>
      </c>
      <c r="K7411" s="138">
        <v>1.8</v>
      </c>
      <c r="L7411" s="137">
        <v>0</v>
      </c>
    </row>
    <row r="7412" spans="7:12" x14ac:dyDescent="0.25">
      <c r="G7412" s="136">
        <v>43672</v>
      </c>
      <c r="H7412" t="s">
        <v>187</v>
      </c>
      <c r="I7412" t="s">
        <v>171</v>
      </c>
      <c r="J7412" t="s">
        <v>642</v>
      </c>
      <c r="K7412" s="138">
        <v>54.29</v>
      </c>
      <c r="L7412" s="137">
        <v>0</v>
      </c>
    </row>
    <row r="7413" spans="7:12" x14ac:dyDescent="0.25">
      <c r="G7413" s="136">
        <v>43672</v>
      </c>
      <c r="H7413" t="s">
        <v>179</v>
      </c>
      <c r="I7413" t="s">
        <v>163</v>
      </c>
      <c r="J7413" t="s">
        <v>642</v>
      </c>
      <c r="K7413" s="138">
        <v>44.84</v>
      </c>
      <c r="L7413" s="137">
        <v>0</v>
      </c>
    </row>
    <row r="7414" spans="7:12" x14ac:dyDescent="0.25">
      <c r="G7414" s="136">
        <v>43672</v>
      </c>
      <c r="H7414" t="s">
        <v>28</v>
      </c>
      <c r="I7414" t="s">
        <v>63</v>
      </c>
      <c r="J7414" t="s">
        <v>642</v>
      </c>
      <c r="K7414" s="138">
        <v>16</v>
      </c>
      <c r="L7414" s="137">
        <v>0</v>
      </c>
    </row>
    <row r="7415" spans="7:12" x14ac:dyDescent="0.25">
      <c r="G7415" s="136">
        <v>43672</v>
      </c>
      <c r="H7415" t="s">
        <v>28</v>
      </c>
      <c r="I7415" t="s">
        <v>112</v>
      </c>
      <c r="J7415" t="s">
        <v>642</v>
      </c>
      <c r="K7415" s="138">
        <v>116</v>
      </c>
      <c r="L7415" s="137">
        <v>0</v>
      </c>
    </row>
    <row r="7416" spans="7:12" x14ac:dyDescent="0.25">
      <c r="G7416" s="136">
        <v>43672</v>
      </c>
      <c r="H7416" t="s">
        <v>28</v>
      </c>
      <c r="I7416" t="s">
        <v>112</v>
      </c>
      <c r="J7416" t="s">
        <v>642</v>
      </c>
      <c r="K7416" s="138">
        <v>39.950000000000003</v>
      </c>
      <c r="L7416" s="137">
        <v>0</v>
      </c>
    </row>
    <row r="7417" spans="7:12" x14ac:dyDescent="0.25">
      <c r="G7417" s="136">
        <v>43672</v>
      </c>
      <c r="H7417" t="s">
        <v>28</v>
      </c>
      <c r="I7417" t="s">
        <v>112</v>
      </c>
      <c r="J7417" t="s">
        <v>642</v>
      </c>
      <c r="K7417" s="138">
        <v>35.979999999999997</v>
      </c>
      <c r="L7417" s="137">
        <v>0</v>
      </c>
    </row>
    <row r="7418" spans="7:12" x14ac:dyDescent="0.25">
      <c r="G7418" s="136">
        <v>43672</v>
      </c>
      <c r="H7418" t="s">
        <v>28</v>
      </c>
      <c r="I7418" t="s">
        <v>112</v>
      </c>
      <c r="J7418" t="s">
        <v>642</v>
      </c>
      <c r="K7418" s="138">
        <v>26.91</v>
      </c>
      <c r="L7418" s="137">
        <v>0</v>
      </c>
    </row>
    <row r="7419" spans="7:12" x14ac:dyDescent="0.25">
      <c r="G7419" s="136">
        <v>43672</v>
      </c>
      <c r="H7419" t="s">
        <v>28</v>
      </c>
      <c r="I7419" t="s">
        <v>112</v>
      </c>
      <c r="J7419" t="s">
        <v>642</v>
      </c>
      <c r="K7419" s="138">
        <v>26.2</v>
      </c>
      <c r="L7419" s="137">
        <v>0</v>
      </c>
    </row>
    <row r="7420" spans="7:12" x14ac:dyDescent="0.25">
      <c r="G7420" s="136">
        <v>43672</v>
      </c>
      <c r="H7420" t="s">
        <v>28</v>
      </c>
      <c r="I7420" t="s">
        <v>112</v>
      </c>
      <c r="J7420" t="s">
        <v>642</v>
      </c>
      <c r="K7420" s="138">
        <v>22.26</v>
      </c>
      <c r="L7420" s="137">
        <v>0</v>
      </c>
    </row>
    <row r="7421" spans="7:12" x14ac:dyDescent="0.25">
      <c r="G7421" s="136">
        <v>43672</v>
      </c>
      <c r="H7421" t="s">
        <v>28</v>
      </c>
      <c r="I7421" t="s">
        <v>155</v>
      </c>
      <c r="J7421" t="s">
        <v>642</v>
      </c>
      <c r="K7421" s="138">
        <v>138</v>
      </c>
      <c r="L7421" s="137">
        <v>0</v>
      </c>
    </row>
    <row r="7422" spans="7:12" x14ac:dyDescent="0.25">
      <c r="G7422" s="136">
        <v>43672</v>
      </c>
      <c r="H7422" t="s">
        <v>28</v>
      </c>
      <c r="I7422" t="s">
        <v>155</v>
      </c>
      <c r="J7422" t="s">
        <v>642</v>
      </c>
      <c r="K7422" s="138">
        <v>107.29</v>
      </c>
      <c r="L7422" s="137">
        <v>0</v>
      </c>
    </row>
    <row r="7423" spans="7:12" x14ac:dyDescent="0.25">
      <c r="G7423" s="136">
        <v>43672</v>
      </c>
      <c r="H7423" t="s">
        <v>28</v>
      </c>
      <c r="I7423" t="s">
        <v>155</v>
      </c>
      <c r="J7423" t="s">
        <v>642</v>
      </c>
      <c r="K7423" s="138">
        <v>90</v>
      </c>
      <c r="L7423" s="137">
        <v>0</v>
      </c>
    </row>
    <row r="7424" spans="7:12" x14ac:dyDescent="0.25">
      <c r="G7424" s="136">
        <v>43672</v>
      </c>
      <c r="H7424" t="s">
        <v>28</v>
      </c>
      <c r="I7424" t="s">
        <v>155</v>
      </c>
      <c r="J7424" t="s">
        <v>642</v>
      </c>
      <c r="K7424" s="138">
        <v>76.81</v>
      </c>
      <c r="L7424" s="137">
        <v>0</v>
      </c>
    </row>
    <row r="7425" spans="7:12" x14ac:dyDescent="0.25">
      <c r="G7425" s="136">
        <v>43672</v>
      </c>
      <c r="H7425" t="s">
        <v>28</v>
      </c>
      <c r="I7425" t="s">
        <v>155</v>
      </c>
      <c r="J7425" t="s">
        <v>642</v>
      </c>
      <c r="K7425" s="138">
        <v>69.55</v>
      </c>
      <c r="L7425" s="137">
        <v>0</v>
      </c>
    </row>
    <row r="7426" spans="7:12" x14ac:dyDescent="0.25">
      <c r="G7426" s="136">
        <v>43672</v>
      </c>
      <c r="H7426" t="s">
        <v>28</v>
      </c>
      <c r="I7426" t="s">
        <v>155</v>
      </c>
      <c r="J7426" t="s">
        <v>642</v>
      </c>
      <c r="K7426" s="138">
        <v>66.45</v>
      </c>
      <c r="L7426" s="137">
        <v>0</v>
      </c>
    </row>
    <row r="7427" spans="7:12" x14ac:dyDescent="0.25">
      <c r="G7427" s="136">
        <v>43672</v>
      </c>
      <c r="H7427" t="s">
        <v>28</v>
      </c>
      <c r="I7427" t="s">
        <v>155</v>
      </c>
      <c r="J7427" t="s">
        <v>642</v>
      </c>
      <c r="K7427" s="138">
        <v>30</v>
      </c>
      <c r="L7427" s="137">
        <v>0</v>
      </c>
    </row>
    <row r="7428" spans="7:12" x14ac:dyDescent="0.25">
      <c r="G7428" s="136">
        <v>43672</v>
      </c>
      <c r="H7428" t="s">
        <v>28</v>
      </c>
      <c r="I7428" t="s">
        <v>155</v>
      </c>
      <c r="J7428" t="s">
        <v>642</v>
      </c>
      <c r="K7428" s="138">
        <v>18</v>
      </c>
      <c r="L7428" s="137">
        <v>0</v>
      </c>
    </row>
    <row r="7429" spans="7:12" x14ac:dyDescent="0.25">
      <c r="G7429" s="136">
        <v>43672</v>
      </c>
      <c r="H7429" t="s">
        <v>28</v>
      </c>
      <c r="I7429" t="s">
        <v>66</v>
      </c>
      <c r="J7429" t="s">
        <v>125</v>
      </c>
      <c r="K7429" s="138">
        <v>7.35</v>
      </c>
      <c r="L7429" s="137">
        <v>0</v>
      </c>
    </row>
    <row r="7430" spans="7:12" x14ac:dyDescent="0.25">
      <c r="G7430" s="136">
        <v>43672</v>
      </c>
      <c r="H7430" t="s">
        <v>28</v>
      </c>
      <c r="I7430" t="s">
        <v>66</v>
      </c>
      <c r="J7430" t="s">
        <v>266</v>
      </c>
      <c r="K7430" s="138">
        <v>14.35</v>
      </c>
      <c r="L7430" s="137">
        <v>0</v>
      </c>
    </row>
    <row r="7431" spans="7:12" x14ac:dyDescent="0.25">
      <c r="G7431" s="136">
        <v>43672</v>
      </c>
      <c r="H7431" t="s">
        <v>28</v>
      </c>
      <c r="I7431" t="s">
        <v>66</v>
      </c>
      <c r="J7431" t="s">
        <v>614</v>
      </c>
      <c r="K7431" s="138">
        <v>12</v>
      </c>
      <c r="L7431" s="137">
        <v>0</v>
      </c>
    </row>
    <row r="7432" spans="7:12" x14ac:dyDescent="0.25">
      <c r="G7432" s="136">
        <v>43672</v>
      </c>
      <c r="H7432" t="s">
        <v>28</v>
      </c>
      <c r="I7432" t="s">
        <v>66</v>
      </c>
      <c r="J7432" t="s">
        <v>362</v>
      </c>
      <c r="K7432" s="138">
        <v>8.4</v>
      </c>
      <c r="L7432" s="137">
        <v>0</v>
      </c>
    </row>
    <row r="7433" spans="7:12" x14ac:dyDescent="0.25">
      <c r="G7433" s="136">
        <v>43672</v>
      </c>
      <c r="H7433" t="s">
        <v>28</v>
      </c>
      <c r="I7433" t="s">
        <v>171</v>
      </c>
      <c r="J7433" t="s">
        <v>642</v>
      </c>
      <c r="K7433" s="138">
        <v>1350</v>
      </c>
      <c r="L7433" s="137">
        <v>0</v>
      </c>
    </row>
    <row r="7434" spans="7:12" x14ac:dyDescent="0.25">
      <c r="G7434" s="136">
        <v>43672</v>
      </c>
      <c r="H7434" t="s">
        <v>28</v>
      </c>
      <c r="I7434" t="s">
        <v>171</v>
      </c>
      <c r="J7434" t="s">
        <v>642</v>
      </c>
      <c r="K7434" s="138">
        <v>46</v>
      </c>
      <c r="L7434" s="137">
        <v>0</v>
      </c>
    </row>
    <row r="7435" spans="7:12" x14ac:dyDescent="0.25">
      <c r="G7435" s="136">
        <v>43672</v>
      </c>
      <c r="H7435" t="s">
        <v>28</v>
      </c>
      <c r="I7435" t="s">
        <v>171</v>
      </c>
      <c r="J7435" t="s">
        <v>642</v>
      </c>
      <c r="K7435" s="138">
        <v>12</v>
      </c>
      <c r="L7435" s="137">
        <v>0</v>
      </c>
    </row>
    <row r="7436" spans="7:12" x14ac:dyDescent="0.25">
      <c r="G7436" s="136">
        <v>43672</v>
      </c>
      <c r="H7436" t="s">
        <v>28</v>
      </c>
      <c r="I7436" t="s">
        <v>171</v>
      </c>
      <c r="J7436" t="s">
        <v>642</v>
      </c>
      <c r="K7436" s="138">
        <v>1.8</v>
      </c>
      <c r="L7436" s="137">
        <v>0</v>
      </c>
    </row>
    <row r="7437" spans="7:12" x14ac:dyDescent="0.25">
      <c r="G7437" s="136">
        <v>43673</v>
      </c>
      <c r="H7437" t="s">
        <v>27</v>
      </c>
      <c r="I7437" t="s">
        <v>63</v>
      </c>
      <c r="J7437" t="s">
        <v>643</v>
      </c>
      <c r="K7437" s="138">
        <v>8</v>
      </c>
      <c r="L7437" s="137">
        <v>0</v>
      </c>
    </row>
    <row r="7438" spans="7:12" x14ac:dyDescent="0.25">
      <c r="G7438" s="136">
        <v>43673</v>
      </c>
      <c r="H7438" t="s">
        <v>25</v>
      </c>
      <c r="I7438" t="s">
        <v>63</v>
      </c>
      <c r="J7438" t="s">
        <v>643</v>
      </c>
      <c r="K7438" s="138">
        <v>24</v>
      </c>
      <c r="L7438" s="137">
        <v>0</v>
      </c>
    </row>
    <row r="7439" spans="7:12" x14ac:dyDescent="0.25">
      <c r="G7439" s="136">
        <v>43673</v>
      </c>
      <c r="H7439" t="s">
        <v>25</v>
      </c>
      <c r="I7439" t="s">
        <v>63</v>
      </c>
      <c r="J7439" t="s">
        <v>643</v>
      </c>
      <c r="K7439" s="138">
        <v>16</v>
      </c>
      <c r="L7439" s="137">
        <v>0</v>
      </c>
    </row>
    <row r="7440" spans="7:12" x14ac:dyDescent="0.25">
      <c r="G7440" s="136">
        <v>43673</v>
      </c>
      <c r="H7440" t="s">
        <v>25</v>
      </c>
      <c r="I7440" t="s">
        <v>63</v>
      </c>
      <c r="J7440" t="s">
        <v>643</v>
      </c>
      <c r="K7440" s="138">
        <v>8</v>
      </c>
      <c r="L7440" s="137">
        <v>0</v>
      </c>
    </row>
    <row r="7441" spans="7:12" x14ac:dyDescent="0.25">
      <c r="G7441" s="136">
        <v>43673</v>
      </c>
      <c r="H7441" t="s">
        <v>28</v>
      </c>
      <c r="I7441" t="s">
        <v>66</v>
      </c>
      <c r="J7441" t="s">
        <v>120</v>
      </c>
      <c r="K7441" s="138">
        <v>7.35</v>
      </c>
      <c r="L7441" s="137">
        <v>0</v>
      </c>
    </row>
    <row r="7442" spans="7:12" x14ac:dyDescent="0.25">
      <c r="G7442" s="136">
        <v>43673</v>
      </c>
      <c r="H7442" t="s">
        <v>28</v>
      </c>
      <c r="I7442" t="s">
        <v>66</v>
      </c>
      <c r="J7442" t="s">
        <v>123</v>
      </c>
      <c r="K7442" s="138">
        <v>9</v>
      </c>
      <c r="L7442" s="137">
        <v>0</v>
      </c>
    </row>
    <row r="7443" spans="7:12" x14ac:dyDescent="0.25">
      <c r="G7443" s="136">
        <v>43675</v>
      </c>
      <c r="H7443" t="s">
        <v>27</v>
      </c>
      <c r="I7443" t="s">
        <v>63</v>
      </c>
      <c r="J7443" t="s">
        <v>644</v>
      </c>
      <c r="K7443" s="138">
        <v>8</v>
      </c>
      <c r="L7443" s="137">
        <v>0</v>
      </c>
    </row>
    <row r="7444" spans="7:12" x14ac:dyDescent="0.25">
      <c r="G7444" s="136">
        <v>43675</v>
      </c>
      <c r="H7444" t="s">
        <v>199</v>
      </c>
      <c r="I7444" t="s">
        <v>42</v>
      </c>
      <c r="J7444" t="s">
        <v>644</v>
      </c>
      <c r="K7444" s="138">
        <v>130.18</v>
      </c>
      <c r="L7444" s="137">
        <v>0</v>
      </c>
    </row>
    <row r="7445" spans="7:12" x14ac:dyDescent="0.25">
      <c r="G7445" s="136">
        <v>43675</v>
      </c>
      <c r="H7445" t="s">
        <v>188</v>
      </c>
      <c r="I7445" t="s">
        <v>176</v>
      </c>
      <c r="J7445" t="s">
        <v>644</v>
      </c>
      <c r="K7445" s="138">
        <v>0</v>
      </c>
      <c r="L7445" s="137">
        <v>40</v>
      </c>
    </row>
    <row r="7446" spans="7:12" x14ac:dyDescent="0.25">
      <c r="G7446" s="136">
        <v>43675</v>
      </c>
      <c r="H7446" t="s">
        <v>200</v>
      </c>
      <c r="I7446" t="s">
        <v>163</v>
      </c>
      <c r="J7446" t="s">
        <v>644</v>
      </c>
      <c r="K7446" s="138">
        <v>990</v>
      </c>
      <c r="L7446" s="137">
        <v>0</v>
      </c>
    </row>
    <row r="7447" spans="7:12" x14ac:dyDescent="0.25">
      <c r="G7447" s="136">
        <v>43675</v>
      </c>
      <c r="H7447" t="s">
        <v>200</v>
      </c>
      <c r="I7447" t="s">
        <v>263</v>
      </c>
      <c r="J7447" t="s">
        <v>645</v>
      </c>
      <c r="K7447" s="138">
        <v>123.3</v>
      </c>
      <c r="L7447" s="137">
        <v>0</v>
      </c>
    </row>
    <row r="7448" spans="7:12" x14ac:dyDescent="0.25">
      <c r="G7448" s="136">
        <v>43675</v>
      </c>
      <c r="H7448" t="s">
        <v>25</v>
      </c>
      <c r="I7448" t="s">
        <v>63</v>
      </c>
      <c r="J7448" t="s">
        <v>644</v>
      </c>
      <c r="K7448" s="138">
        <v>8</v>
      </c>
      <c r="L7448" s="137">
        <v>0</v>
      </c>
    </row>
    <row r="7449" spans="7:12" x14ac:dyDescent="0.25">
      <c r="G7449" s="136">
        <v>43675</v>
      </c>
      <c r="H7449" t="s">
        <v>187</v>
      </c>
      <c r="I7449" t="s">
        <v>171</v>
      </c>
      <c r="J7449" t="s">
        <v>644</v>
      </c>
      <c r="K7449" s="138">
        <v>36</v>
      </c>
      <c r="L7449" s="137">
        <v>0</v>
      </c>
    </row>
    <row r="7450" spans="7:12" x14ac:dyDescent="0.25">
      <c r="G7450" s="136">
        <v>43675</v>
      </c>
      <c r="H7450" t="s">
        <v>196</v>
      </c>
      <c r="I7450" t="s">
        <v>42</v>
      </c>
      <c r="J7450" t="s">
        <v>644</v>
      </c>
      <c r="K7450" s="138">
        <v>149.46</v>
      </c>
      <c r="L7450" s="137">
        <v>0</v>
      </c>
    </row>
    <row r="7451" spans="7:12" x14ac:dyDescent="0.25">
      <c r="G7451" s="136">
        <v>43675</v>
      </c>
      <c r="H7451" t="s">
        <v>196</v>
      </c>
      <c r="I7451" t="s">
        <v>171</v>
      </c>
      <c r="J7451" t="s">
        <v>644</v>
      </c>
      <c r="K7451" s="138">
        <v>40</v>
      </c>
      <c r="L7451" s="137">
        <v>0</v>
      </c>
    </row>
    <row r="7452" spans="7:12" x14ac:dyDescent="0.25">
      <c r="G7452" s="136">
        <v>43675</v>
      </c>
      <c r="H7452" t="s">
        <v>28</v>
      </c>
      <c r="I7452" t="s">
        <v>112</v>
      </c>
      <c r="J7452" t="s">
        <v>644</v>
      </c>
      <c r="K7452" s="138">
        <v>128</v>
      </c>
      <c r="L7452" s="137">
        <v>0</v>
      </c>
    </row>
    <row r="7453" spans="7:12" x14ac:dyDescent="0.25">
      <c r="G7453" s="136">
        <v>43675</v>
      </c>
      <c r="H7453" t="s">
        <v>28</v>
      </c>
      <c r="I7453" t="s">
        <v>176</v>
      </c>
      <c r="J7453" t="s">
        <v>644</v>
      </c>
      <c r="K7453" s="138">
        <v>0</v>
      </c>
      <c r="L7453" s="137">
        <v>40</v>
      </c>
    </row>
    <row r="7454" spans="7:12" x14ac:dyDescent="0.25">
      <c r="G7454" s="136">
        <v>43675</v>
      </c>
      <c r="H7454" t="s">
        <v>28</v>
      </c>
      <c r="I7454" t="s">
        <v>66</v>
      </c>
      <c r="J7454" t="s">
        <v>106</v>
      </c>
      <c r="K7454" s="138">
        <v>7.35</v>
      </c>
      <c r="L7454" s="137">
        <v>0</v>
      </c>
    </row>
    <row r="7455" spans="7:12" x14ac:dyDescent="0.25">
      <c r="G7455" s="136">
        <v>43675</v>
      </c>
      <c r="H7455" t="s">
        <v>28</v>
      </c>
      <c r="I7455" t="s">
        <v>66</v>
      </c>
      <c r="J7455" t="s">
        <v>109</v>
      </c>
      <c r="K7455" s="138">
        <v>7</v>
      </c>
      <c r="L7455" s="137">
        <v>0</v>
      </c>
    </row>
    <row r="7456" spans="7:12" x14ac:dyDescent="0.25">
      <c r="G7456" s="136">
        <v>43675</v>
      </c>
      <c r="H7456" t="s">
        <v>28</v>
      </c>
      <c r="I7456" t="s">
        <v>66</v>
      </c>
      <c r="J7456" t="s">
        <v>137</v>
      </c>
      <c r="K7456" s="138">
        <v>1.8</v>
      </c>
      <c r="L7456" s="137">
        <v>0</v>
      </c>
    </row>
    <row r="7457" spans="7:12" x14ac:dyDescent="0.25">
      <c r="G7457" s="136">
        <v>43675</v>
      </c>
      <c r="H7457" t="s">
        <v>28</v>
      </c>
      <c r="I7457" t="s">
        <v>66</v>
      </c>
      <c r="J7457" t="s">
        <v>279</v>
      </c>
      <c r="K7457" s="138">
        <v>9.1999999999999993</v>
      </c>
      <c r="L7457" s="137">
        <v>0</v>
      </c>
    </row>
    <row r="7458" spans="7:12" x14ac:dyDescent="0.25">
      <c r="G7458" s="136">
        <v>43675</v>
      </c>
      <c r="H7458" t="s">
        <v>28</v>
      </c>
      <c r="I7458" t="s">
        <v>66</v>
      </c>
      <c r="J7458" t="s">
        <v>140</v>
      </c>
      <c r="K7458" s="138">
        <v>12</v>
      </c>
      <c r="L7458" s="137">
        <v>0</v>
      </c>
    </row>
    <row r="7459" spans="7:12" x14ac:dyDescent="0.25">
      <c r="G7459" s="136">
        <v>43675</v>
      </c>
      <c r="H7459" t="s">
        <v>28</v>
      </c>
      <c r="I7459" t="s">
        <v>66</v>
      </c>
      <c r="J7459" t="s">
        <v>123</v>
      </c>
      <c r="K7459" s="138">
        <v>9</v>
      </c>
      <c r="L7459" s="137">
        <v>0</v>
      </c>
    </row>
    <row r="7460" spans="7:12" x14ac:dyDescent="0.25">
      <c r="G7460" s="136">
        <v>43676</v>
      </c>
      <c r="H7460" t="s">
        <v>184</v>
      </c>
      <c r="I7460" t="s">
        <v>171</v>
      </c>
      <c r="J7460" t="s">
        <v>646</v>
      </c>
      <c r="K7460" s="138">
        <v>50</v>
      </c>
      <c r="L7460" s="137">
        <v>0</v>
      </c>
    </row>
    <row r="7461" spans="7:12" x14ac:dyDescent="0.25">
      <c r="G7461" s="136">
        <v>43676</v>
      </c>
      <c r="H7461" t="s">
        <v>188</v>
      </c>
      <c r="I7461" t="s">
        <v>175</v>
      </c>
      <c r="J7461" t="s">
        <v>646</v>
      </c>
      <c r="K7461" s="138">
        <v>81.84</v>
      </c>
      <c r="L7461" s="137">
        <v>0</v>
      </c>
    </row>
    <row r="7462" spans="7:12" x14ac:dyDescent="0.25">
      <c r="G7462" s="136">
        <v>43676</v>
      </c>
      <c r="H7462" t="s">
        <v>188</v>
      </c>
      <c r="I7462" t="s">
        <v>171</v>
      </c>
      <c r="J7462" t="s">
        <v>646</v>
      </c>
      <c r="K7462" s="138">
        <v>32</v>
      </c>
      <c r="L7462" s="137">
        <v>0</v>
      </c>
    </row>
    <row r="7463" spans="7:12" x14ac:dyDescent="0.25">
      <c r="G7463" s="136">
        <v>43676</v>
      </c>
      <c r="H7463" t="s">
        <v>200</v>
      </c>
      <c r="I7463" t="s">
        <v>163</v>
      </c>
      <c r="J7463" t="s">
        <v>646</v>
      </c>
      <c r="K7463" s="138">
        <v>990</v>
      </c>
      <c r="L7463" s="137">
        <v>0</v>
      </c>
    </row>
    <row r="7464" spans="7:12" x14ac:dyDescent="0.25">
      <c r="G7464" s="136">
        <v>43676</v>
      </c>
      <c r="H7464" t="s">
        <v>200</v>
      </c>
      <c r="I7464" t="s">
        <v>155</v>
      </c>
      <c r="J7464" t="s">
        <v>646</v>
      </c>
      <c r="K7464" s="138">
        <v>0</v>
      </c>
      <c r="L7464" s="137">
        <v>990</v>
      </c>
    </row>
    <row r="7465" spans="7:12" x14ac:dyDescent="0.25">
      <c r="G7465" s="136">
        <v>43676</v>
      </c>
      <c r="H7465" t="s">
        <v>200</v>
      </c>
      <c r="I7465" t="s">
        <v>263</v>
      </c>
      <c r="J7465" t="s">
        <v>647</v>
      </c>
      <c r="K7465" s="138">
        <v>138.41</v>
      </c>
      <c r="L7465" s="137">
        <v>0</v>
      </c>
    </row>
    <row r="7466" spans="7:12" x14ac:dyDescent="0.25">
      <c r="G7466" s="136">
        <v>43676</v>
      </c>
      <c r="H7466" t="s">
        <v>25</v>
      </c>
      <c r="I7466" t="s">
        <v>63</v>
      </c>
      <c r="J7466" t="s">
        <v>646</v>
      </c>
      <c r="K7466" s="138">
        <v>40</v>
      </c>
      <c r="L7466" s="137">
        <v>0</v>
      </c>
    </row>
    <row r="7467" spans="7:12" x14ac:dyDescent="0.25">
      <c r="G7467" s="136">
        <v>43676</v>
      </c>
      <c r="H7467" t="s">
        <v>25</v>
      </c>
      <c r="I7467" t="s">
        <v>63</v>
      </c>
      <c r="J7467" t="s">
        <v>646</v>
      </c>
      <c r="K7467" s="138">
        <v>32</v>
      </c>
      <c r="L7467" s="137">
        <v>0</v>
      </c>
    </row>
    <row r="7468" spans="7:12" x14ac:dyDescent="0.25">
      <c r="G7468" s="136">
        <v>43676</v>
      </c>
      <c r="H7468" t="s">
        <v>25</v>
      </c>
      <c r="I7468" t="s">
        <v>63</v>
      </c>
      <c r="J7468" t="s">
        <v>646</v>
      </c>
      <c r="K7468" s="138">
        <v>24</v>
      </c>
      <c r="L7468" s="137">
        <v>0</v>
      </c>
    </row>
    <row r="7469" spans="7:12" x14ac:dyDescent="0.25">
      <c r="G7469" s="136">
        <v>43676</v>
      </c>
      <c r="H7469" t="s">
        <v>25</v>
      </c>
      <c r="I7469" t="s">
        <v>63</v>
      </c>
      <c r="J7469" t="s">
        <v>646</v>
      </c>
      <c r="K7469" s="138">
        <v>16</v>
      </c>
      <c r="L7469" s="137">
        <v>0</v>
      </c>
    </row>
    <row r="7470" spans="7:12" x14ac:dyDescent="0.25">
      <c r="G7470" s="136">
        <v>43676</v>
      </c>
      <c r="H7470" t="s">
        <v>25</v>
      </c>
      <c r="I7470" t="s">
        <v>63</v>
      </c>
      <c r="J7470" t="s">
        <v>646</v>
      </c>
      <c r="K7470" s="138">
        <v>8</v>
      </c>
      <c r="L7470" s="137">
        <v>0</v>
      </c>
    </row>
    <row r="7471" spans="7:12" x14ac:dyDescent="0.25">
      <c r="G7471" s="136">
        <v>43676</v>
      </c>
      <c r="H7471" t="s">
        <v>25</v>
      </c>
      <c r="I7471" t="s">
        <v>171</v>
      </c>
      <c r="J7471" t="s">
        <v>646</v>
      </c>
      <c r="K7471" s="138">
        <v>572</v>
      </c>
      <c r="L7471" s="137">
        <v>0</v>
      </c>
    </row>
    <row r="7472" spans="7:12" x14ac:dyDescent="0.25">
      <c r="G7472" s="136">
        <v>43676</v>
      </c>
      <c r="H7472" t="s">
        <v>180</v>
      </c>
      <c r="I7472" t="s">
        <v>171</v>
      </c>
      <c r="J7472" t="s">
        <v>646</v>
      </c>
      <c r="K7472" s="138">
        <v>109</v>
      </c>
      <c r="L7472" s="137">
        <v>0</v>
      </c>
    </row>
    <row r="7473" spans="7:12" x14ac:dyDescent="0.25">
      <c r="G7473" s="136">
        <v>43676</v>
      </c>
      <c r="H7473" t="s">
        <v>28</v>
      </c>
      <c r="I7473" t="s">
        <v>63</v>
      </c>
      <c r="J7473" t="s">
        <v>646</v>
      </c>
      <c r="K7473" s="138">
        <v>8</v>
      </c>
      <c r="L7473" s="137">
        <v>0</v>
      </c>
    </row>
    <row r="7474" spans="7:12" x14ac:dyDescent="0.25">
      <c r="G7474" s="136">
        <v>43676</v>
      </c>
      <c r="H7474" t="s">
        <v>28</v>
      </c>
      <c r="I7474" t="s">
        <v>221</v>
      </c>
      <c r="J7474" t="s">
        <v>524</v>
      </c>
      <c r="K7474" s="138">
        <v>42</v>
      </c>
      <c r="L7474" s="137">
        <v>0</v>
      </c>
    </row>
    <row r="7475" spans="7:12" x14ac:dyDescent="0.25">
      <c r="G7475" s="136">
        <v>43676</v>
      </c>
      <c r="H7475" t="s">
        <v>28</v>
      </c>
      <c r="I7475" t="s">
        <v>66</v>
      </c>
      <c r="J7475" t="s">
        <v>106</v>
      </c>
      <c r="K7475" s="138">
        <v>14.55</v>
      </c>
      <c r="L7475" s="137">
        <v>0</v>
      </c>
    </row>
    <row r="7476" spans="7:12" x14ac:dyDescent="0.25">
      <c r="G7476" s="136">
        <v>43676</v>
      </c>
      <c r="H7476" t="s">
        <v>28</v>
      </c>
      <c r="I7476" t="s">
        <v>66</v>
      </c>
      <c r="J7476" t="s">
        <v>367</v>
      </c>
      <c r="K7476" s="138">
        <v>9.1999999999999993</v>
      </c>
      <c r="L7476" s="137">
        <v>0</v>
      </c>
    </row>
    <row r="7477" spans="7:12" x14ac:dyDescent="0.25">
      <c r="G7477" s="136">
        <v>43676</v>
      </c>
      <c r="H7477" t="s">
        <v>28</v>
      </c>
      <c r="I7477" t="s">
        <v>66</v>
      </c>
      <c r="J7477" t="s">
        <v>100</v>
      </c>
      <c r="K7477" s="138">
        <v>10.25</v>
      </c>
      <c r="L7477" s="137">
        <v>0</v>
      </c>
    </row>
    <row r="7478" spans="7:12" x14ac:dyDescent="0.25">
      <c r="G7478" s="136">
        <v>43676</v>
      </c>
      <c r="H7478" t="s">
        <v>28</v>
      </c>
      <c r="I7478" t="s">
        <v>66</v>
      </c>
      <c r="J7478" t="s">
        <v>636</v>
      </c>
      <c r="K7478" s="138">
        <v>5</v>
      </c>
      <c r="L7478" s="137">
        <v>0</v>
      </c>
    </row>
    <row r="7479" spans="7:12" x14ac:dyDescent="0.25">
      <c r="G7479" s="136">
        <v>43676</v>
      </c>
      <c r="H7479" t="s">
        <v>28</v>
      </c>
      <c r="I7479" t="s">
        <v>171</v>
      </c>
      <c r="J7479" t="s">
        <v>646</v>
      </c>
      <c r="K7479" s="138">
        <v>182</v>
      </c>
      <c r="L7479" s="137">
        <v>0</v>
      </c>
    </row>
    <row r="7480" spans="7:12" x14ac:dyDescent="0.25">
      <c r="G7480" s="136">
        <v>43676</v>
      </c>
      <c r="H7480" t="s">
        <v>28</v>
      </c>
      <c r="I7480" t="s">
        <v>171</v>
      </c>
      <c r="J7480" t="s">
        <v>646</v>
      </c>
      <c r="K7480" s="138">
        <v>110.5</v>
      </c>
      <c r="L7480" s="137">
        <v>0</v>
      </c>
    </row>
    <row r="7481" spans="7:12" x14ac:dyDescent="0.25">
      <c r="G7481" s="136">
        <v>43676</v>
      </c>
      <c r="H7481" t="s">
        <v>28</v>
      </c>
      <c r="I7481" t="s">
        <v>171</v>
      </c>
      <c r="J7481" t="s">
        <v>646</v>
      </c>
      <c r="K7481" s="138">
        <v>19</v>
      </c>
      <c r="L7481" s="137">
        <v>0</v>
      </c>
    </row>
    <row r="7482" spans="7:12" x14ac:dyDescent="0.25">
      <c r="G7482" s="136">
        <v>43677</v>
      </c>
      <c r="H7482" t="s">
        <v>28</v>
      </c>
      <c r="I7482" t="s">
        <v>66</v>
      </c>
      <c r="J7482" t="s">
        <v>285</v>
      </c>
      <c r="K7482" s="138">
        <v>8.35</v>
      </c>
      <c r="L7482" s="137">
        <v>0</v>
      </c>
    </row>
    <row r="7483" spans="7:12" x14ac:dyDescent="0.25">
      <c r="G7483" s="136">
        <v>43677</v>
      </c>
      <c r="H7483" t="s">
        <v>28</v>
      </c>
      <c r="I7483" t="s">
        <v>66</v>
      </c>
      <c r="J7483" t="s">
        <v>128</v>
      </c>
      <c r="K7483" s="138">
        <v>22.05</v>
      </c>
      <c r="L7483" s="137">
        <v>0</v>
      </c>
    </row>
    <row r="7484" spans="7:12" x14ac:dyDescent="0.25">
      <c r="G7484" s="136">
        <v>43677</v>
      </c>
      <c r="H7484" t="s">
        <v>28</v>
      </c>
      <c r="I7484" t="s">
        <v>66</v>
      </c>
      <c r="J7484" t="s">
        <v>123</v>
      </c>
      <c r="K7484" s="138">
        <v>4.5</v>
      </c>
      <c r="L7484" s="137">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N82"/>
  <sheetViews>
    <sheetView showGridLines="0" topLeftCell="A22" zoomScaleNormal="100" workbookViewId="0">
      <selection activeCell="I25" sqref="I25"/>
    </sheetView>
  </sheetViews>
  <sheetFormatPr baseColWidth="10" defaultColWidth="9.140625" defaultRowHeight="15" x14ac:dyDescent="0.25"/>
  <cols>
    <col min="2" max="2" width="11.85546875" style="9" customWidth="1"/>
    <col min="3" max="7" width="9.140625" style="9"/>
  </cols>
  <sheetData>
    <row r="1" spans="2:8" x14ac:dyDescent="0.25">
      <c r="B1" s="10"/>
    </row>
    <row r="2" spans="2:8" x14ac:dyDescent="0.25">
      <c r="B2" s="10"/>
    </row>
    <row r="3" spans="2:8" x14ac:dyDescent="0.25">
      <c r="B3" s="42"/>
      <c r="C3" s="43" t="str">
        <f t="array" ref="C3:H3">TRANSPOSE(Leyenda!$A$1:$B$6)</f>
        <v>Alimentación</v>
      </c>
      <c r="D3" s="43" t="str">
        <v>Viáticos</v>
      </c>
      <c r="E3" s="43" t="str">
        <v>Reconocimientos</v>
      </c>
      <c r="F3" s="43" t="str">
        <v>Celebraciones</v>
      </c>
      <c r="G3" s="43" t="str">
        <v>Brindis participación</v>
      </c>
      <c r="H3" s="43" t="str">
        <v>Horas extras</v>
      </c>
    </row>
    <row r="4" spans="2:8" x14ac:dyDescent="0.25">
      <c r="B4" s="42" t="s">
        <v>30</v>
      </c>
      <c r="C4" s="42">
        <f>Dashboard!J16</f>
        <v>0.8451679830613773</v>
      </c>
      <c r="D4" s="42">
        <f>Dashboard!N16</f>
        <v>0.88121118029160539</v>
      </c>
      <c r="E4" s="42">
        <f>Dashboard!R16</f>
        <v>1</v>
      </c>
      <c r="F4" s="42">
        <f>Dashboard!V16</f>
        <v>1</v>
      </c>
      <c r="G4" s="42">
        <f>Dashboard!Z16</f>
        <v>1</v>
      </c>
      <c r="H4" s="44">
        <f>Dashboard!F16</f>
        <v>0.94974613912882788</v>
      </c>
    </row>
    <row r="5" spans="2:8" x14ac:dyDescent="0.25">
      <c r="B5" s="42" t="s">
        <v>31</v>
      </c>
      <c r="C5" s="42">
        <f t="shared" ref="C5:H5" si="0">IF(valSelOption&lt;&gt;C$3,1-C4,0)</f>
        <v>0.1548320169386227</v>
      </c>
      <c r="D5" s="42">
        <f t="shared" si="0"/>
        <v>0.11878881970839461</v>
      </c>
      <c r="E5" s="42">
        <f t="shared" si="0"/>
        <v>0</v>
      </c>
      <c r="F5" s="42">
        <f t="shared" si="0"/>
        <v>0</v>
      </c>
      <c r="G5" s="42">
        <f t="shared" si="0"/>
        <v>0</v>
      </c>
      <c r="H5" s="42">
        <f t="shared" si="0"/>
        <v>5.0253860871172118E-2</v>
      </c>
    </row>
    <row r="6" spans="2:8" x14ac:dyDescent="0.25">
      <c r="B6" s="42" t="s">
        <v>32</v>
      </c>
      <c r="C6" s="42">
        <f t="shared" ref="C6:H6" si="1">IF(valSelOption=C$3,1-C4,0)</f>
        <v>0</v>
      </c>
      <c r="D6" s="42">
        <f t="shared" si="1"/>
        <v>0</v>
      </c>
      <c r="E6" s="42">
        <f t="shared" si="1"/>
        <v>0</v>
      </c>
      <c r="F6" s="42">
        <f t="shared" si="1"/>
        <v>0</v>
      </c>
      <c r="G6" s="42">
        <f t="shared" si="1"/>
        <v>0</v>
      </c>
      <c r="H6" s="42">
        <f t="shared" si="1"/>
        <v>0</v>
      </c>
    </row>
    <row r="7" spans="2:8" x14ac:dyDescent="0.25">
      <c r="B7" s="10"/>
    </row>
    <row r="8" spans="2:8" x14ac:dyDescent="0.25">
      <c r="B8" s="10"/>
    </row>
    <row r="9" spans="2:8" x14ac:dyDescent="0.25">
      <c r="B9" s="10"/>
    </row>
    <row r="10" spans="2:8" x14ac:dyDescent="0.25">
      <c r="B10" s="45">
        <v>5</v>
      </c>
      <c r="C10" s="46" t="str">
        <f>INDEX(B12:C17,MATCH(B10,C12:C17,),1)</f>
        <v>Área</v>
      </c>
      <c r="D10" s="43" t="str">
        <f>VLOOKUP(B10,$C$12:$E$17,3,)</f>
        <v>ar_descripcion</v>
      </c>
      <c r="G10" s="9" t="s">
        <v>18</v>
      </c>
    </row>
    <row r="11" spans="2:8" x14ac:dyDescent="0.25">
      <c r="B11" s="10"/>
    </row>
    <row r="12" spans="2:8" x14ac:dyDescent="0.25">
      <c r="B12" s="10" t="s">
        <v>16</v>
      </c>
      <c r="C12" s="9">
        <v>6</v>
      </c>
      <c r="D12" s="10" t="str">
        <f>B12</f>
        <v>Fecha</v>
      </c>
      <c r="E12" s="9" t="str">
        <f t="array" ref="E12:E17">TRANSPOSE(I27:N27)</f>
        <v>as_fecha_tran</v>
      </c>
    </row>
    <row r="13" spans="2:8" x14ac:dyDescent="0.25">
      <c r="B13" s="10" t="s">
        <v>29</v>
      </c>
      <c r="C13" s="9">
        <v>5</v>
      </c>
      <c r="D13" s="10" t="str">
        <f t="shared" ref="D13:D17" si="2">B13</f>
        <v>Área</v>
      </c>
      <c r="E13" s="9" t="str">
        <v>ar_descripcion</v>
      </c>
    </row>
    <row r="14" spans="2:8" x14ac:dyDescent="0.25">
      <c r="B14" s="10" t="s">
        <v>18</v>
      </c>
      <c r="C14" s="9">
        <v>1</v>
      </c>
      <c r="D14" s="10" t="str">
        <f t="shared" si="2"/>
        <v>Asiento</v>
      </c>
      <c r="E14" s="9" t="str">
        <v>as_concepto</v>
      </c>
    </row>
    <row r="15" spans="2:8" x14ac:dyDescent="0.25">
      <c r="B15" s="10" t="s">
        <v>17</v>
      </c>
      <c r="C15" s="9">
        <v>2</v>
      </c>
      <c r="D15" s="10" t="str">
        <f t="shared" si="2"/>
        <v>Comprobante</v>
      </c>
      <c r="E15" s="9" t="str">
        <v>co_descripcion</v>
      </c>
    </row>
    <row r="16" spans="2:8" x14ac:dyDescent="0.25">
      <c r="B16" s="10" t="s">
        <v>19</v>
      </c>
      <c r="C16" s="9">
        <v>3</v>
      </c>
      <c r="D16" s="10" t="str">
        <f t="shared" si="2"/>
        <v>Débito</v>
      </c>
      <c r="E16" s="9" t="str">
        <v>Suma de as_debito</v>
      </c>
    </row>
    <row r="17" spans="2:14" x14ac:dyDescent="0.25">
      <c r="B17" s="10" t="s">
        <v>20</v>
      </c>
      <c r="C17" s="9">
        <v>4</v>
      </c>
      <c r="D17" s="10" t="str">
        <f t="shared" si="2"/>
        <v>Crédito</v>
      </c>
      <c r="E17" s="9" t="str">
        <v>Suma de as_credito</v>
      </c>
    </row>
    <row r="18" spans="2:14" x14ac:dyDescent="0.25">
      <c r="B18" s="10"/>
    </row>
    <row r="19" spans="2:14" x14ac:dyDescent="0.25">
      <c r="B19" s="10"/>
    </row>
    <row r="20" spans="2:14" x14ac:dyDescent="0.25">
      <c r="B20" s="10" t="s">
        <v>33</v>
      </c>
      <c r="D20" s="9" t="s">
        <v>35</v>
      </c>
      <c r="E20" s="9">
        <v>1</v>
      </c>
      <c r="F20" s="9" t="str">
        <f>CHOOSE(E20,"xlAscending","xlDescending")</f>
        <v>xlAscending</v>
      </c>
    </row>
    <row r="21" spans="2:14" x14ac:dyDescent="0.25">
      <c r="B21" s="10" t="s">
        <v>34</v>
      </c>
    </row>
    <row r="22" spans="2:14" x14ac:dyDescent="0.25">
      <c r="B22" s="10"/>
    </row>
    <row r="23" spans="2:14" x14ac:dyDescent="0.25">
      <c r="B23" s="10"/>
    </row>
    <row r="24" spans="2:14" x14ac:dyDescent="0.25">
      <c r="B24" s="48" t="s">
        <v>38</v>
      </c>
      <c r="C24" s="1">
        <v>38</v>
      </c>
      <c r="H24" s="48" t="s">
        <v>51</v>
      </c>
      <c r="I24" t="s">
        <v>50</v>
      </c>
    </row>
    <row r="25" spans="2:14" x14ac:dyDescent="0.25">
      <c r="B25" s="48" t="s">
        <v>49</v>
      </c>
      <c r="C25" s="1">
        <v>2018</v>
      </c>
      <c r="H25" s="48" t="s">
        <v>37</v>
      </c>
      <c r="I25" s="1">
        <v>38</v>
      </c>
    </row>
    <row r="27" spans="2:14" x14ac:dyDescent="0.25">
      <c r="B27" s="48" t="s">
        <v>39</v>
      </c>
      <c r="C27" t="s">
        <v>44</v>
      </c>
      <c r="D27" t="s">
        <v>43</v>
      </c>
      <c r="H27" s="48" t="s">
        <v>78</v>
      </c>
      <c r="I27" s="48" t="s">
        <v>60</v>
      </c>
      <c r="J27" s="48" t="s">
        <v>61</v>
      </c>
      <c r="K27" s="48" t="s">
        <v>62</v>
      </c>
      <c r="L27" s="48" t="s">
        <v>67</v>
      </c>
      <c r="M27" t="s">
        <v>76</v>
      </c>
      <c r="N27" t="s">
        <v>77</v>
      </c>
    </row>
    <row r="28" spans="2:14" x14ac:dyDescent="0.25">
      <c r="B28" s="1" t="s">
        <v>40</v>
      </c>
      <c r="C28" s="50">
        <v>32</v>
      </c>
      <c r="D28" s="50">
        <v>206.6756</v>
      </c>
      <c r="H28">
        <v>1</v>
      </c>
      <c r="I28" s="51" t="s">
        <v>59</v>
      </c>
      <c r="J28" t="s">
        <v>28</v>
      </c>
      <c r="K28" t="s">
        <v>66</v>
      </c>
      <c r="L28" t="s">
        <v>75</v>
      </c>
      <c r="M28" s="50">
        <v>17.399999999999999</v>
      </c>
      <c r="N28" s="50">
        <v>0</v>
      </c>
    </row>
    <row r="29" spans="2:14" x14ac:dyDescent="0.25">
      <c r="B29" s="1" t="s">
        <v>48</v>
      </c>
      <c r="C29" s="50">
        <v>0</v>
      </c>
      <c r="D29" s="50">
        <v>197</v>
      </c>
      <c r="H29">
        <v>26</v>
      </c>
      <c r="I29" s="51" t="s">
        <v>56</v>
      </c>
      <c r="J29" t="s">
        <v>25</v>
      </c>
      <c r="K29" t="s">
        <v>63</v>
      </c>
      <c r="L29" t="s">
        <v>72</v>
      </c>
      <c r="M29" s="50">
        <v>8</v>
      </c>
      <c r="N29" s="50">
        <v>0</v>
      </c>
    </row>
    <row r="30" spans="2:14" x14ac:dyDescent="0.25">
      <c r="B30" s="1" t="s">
        <v>47</v>
      </c>
      <c r="C30" s="50">
        <v>0</v>
      </c>
      <c r="D30" s="50">
        <v>1044</v>
      </c>
      <c r="H30">
        <v>48</v>
      </c>
      <c r="I30" s="51" t="s">
        <v>52</v>
      </c>
      <c r="J30" t="s">
        <v>25</v>
      </c>
      <c r="K30" t="s">
        <v>63</v>
      </c>
      <c r="L30" t="s">
        <v>68</v>
      </c>
      <c r="M30" s="50">
        <v>8</v>
      </c>
      <c r="N30" s="50">
        <v>0</v>
      </c>
    </row>
    <row r="31" spans="2:14" x14ac:dyDescent="0.25">
      <c r="B31" s="1" t="s">
        <v>41</v>
      </c>
      <c r="C31" s="50">
        <v>136.03</v>
      </c>
      <c r="D31" s="50">
        <v>2706.8566999999998</v>
      </c>
      <c r="H31">
        <v>66</v>
      </c>
      <c r="I31" s="51" t="s">
        <v>55</v>
      </c>
      <c r="J31" t="s">
        <v>25</v>
      </c>
      <c r="K31" t="s">
        <v>63</v>
      </c>
      <c r="L31" t="s">
        <v>71</v>
      </c>
      <c r="M31" s="50">
        <v>8</v>
      </c>
      <c r="N31" s="50">
        <v>0</v>
      </c>
    </row>
    <row r="32" spans="2:14" x14ac:dyDescent="0.25">
      <c r="B32" s="1" t="s">
        <v>46</v>
      </c>
      <c r="C32" s="50">
        <v>0</v>
      </c>
      <c r="D32" s="50">
        <v>50</v>
      </c>
      <c r="H32">
        <v>81</v>
      </c>
      <c r="I32" s="51" t="s">
        <v>53</v>
      </c>
      <c r="J32" t="s">
        <v>25</v>
      </c>
      <c r="K32" t="s">
        <v>42</v>
      </c>
      <c r="L32" t="s">
        <v>69</v>
      </c>
      <c r="M32" s="50">
        <v>147.9</v>
      </c>
      <c r="N32" s="50">
        <v>0</v>
      </c>
    </row>
    <row r="33" spans="2:14" x14ac:dyDescent="0.25">
      <c r="B33" s="1" t="s">
        <v>45</v>
      </c>
      <c r="C33" s="50">
        <v>165.3</v>
      </c>
      <c r="D33" s="50">
        <v>1391.5451</v>
      </c>
      <c r="H33">
        <v>403</v>
      </c>
      <c r="I33" s="51" t="s">
        <v>57</v>
      </c>
      <c r="J33" t="s">
        <v>25</v>
      </c>
      <c r="K33" t="s">
        <v>63</v>
      </c>
      <c r="L33" t="s">
        <v>73</v>
      </c>
      <c r="M33" s="50">
        <v>8</v>
      </c>
      <c r="N33" s="50">
        <v>0</v>
      </c>
    </row>
    <row r="34" spans="2:14" x14ac:dyDescent="0.25">
      <c r="B34"/>
      <c r="C34"/>
      <c r="D34"/>
      <c r="H34">
        <v>532</v>
      </c>
      <c r="I34" s="51" t="s">
        <v>54</v>
      </c>
      <c r="J34" t="s">
        <v>25</v>
      </c>
      <c r="K34" t="s">
        <v>64</v>
      </c>
      <c r="L34" t="s">
        <v>70</v>
      </c>
      <c r="M34" s="50">
        <v>30.02</v>
      </c>
      <c r="N34" s="50">
        <v>0</v>
      </c>
    </row>
    <row r="35" spans="2:14" x14ac:dyDescent="0.25">
      <c r="B35"/>
      <c r="C35"/>
      <c r="D35"/>
      <c r="H35">
        <v>533</v>
      </c>
      <c r="I35" s="51" t="s">
        <v>58</v>
      </c>
      <c r="J35" t="s">
        <v>25</v>
      </c>
      <c r="K35" t="s">
        <v>65</v>
      </c>
      <c r="L35" t="s">
        <v>74</v>
      </c>
      <c r="M35" s="50">
        <v>83.43</v>
      </c>
      <c r="N35" s="50">
        <v>0</v>
      </c>
    </row>
    <row r="36" spans="2:14" x14ac:dyDescent="0.25">
      <c r="B36"/>
      <c r="C36"/>
      <c r="D36"/>
      <c r="H36">
        <v>538</v>
      </c>
      <c r="I36" s="51" t="s">
        <v>54</v>
      </c>
      <c r="J36" t="s">
        <v>27</v>
      </c>
      <c r="K36" t="s">
        <v>64</v>
      </c>
      <c r="L36" t="s">
        <v>70</v>
      </c>
      <c r="M36" s="50">
        <v>22.58</v>
      </c>
      <c r="N36" s="50">
        <v>0</v>
      </c>
    </row>
    <row r="37" spans="2:14" x14ac:dyDescent="0.25">
      <c r="B37"/>
      <c r="C37"/>
      <c r="D37"/>
    </row>
    <row r="38" spans="2:14" x14ac:dyDescent="0.25">
      <c r="B38"/>
      <c r="C38"/>
      <c r="D38"/>
    </row>
    <row r="39" spans="2:14" x14ac:dyDescent="0.25">
      <c r="B39"/>
      <c r="C39"/>
      <c r="D39"/>
    </row>
    <row r="40" spans="2:14" x14ac:dyDescent="0.25">
      <c r="B40"/>
      <c r="C40"/>
      <c r="D40"/>
    </row>
    <row r="41" spans="2:14" x14ac:dyDescent="0.25">
      <c r="B41"/>
      <c r="C41"/>
      <c r="D41"/>
    </row>
    <row r="42" spans="2:14" x14ac:dyDescent="0.25">
      <c r="B42"/>
      <c r="C42"/>
      <c r="D42"/>
    </row>
    <row r="43" spans="2:14" x14ac:dyDescent="0.25">
      <c r="B43"/>
      <c r="C43"/>
      <c r="D43"/>
    </row>
    <row r="44" spans="2:14" x14ac:dyDescent="0.25">
      <c r="B44"/>
      <c r="C44"/>
      <c r="D44"/>
    </row>
    <row r="45" spans="2:14" x14ac:dyDescent="0.25">
      <c r="B45" s="10"/>
    </row>
    <row r="46" spans="2:14" x14ac:dyDescent="0.25">
      <c r="B46" s="10"/>
    </row>
    <row r="47" spans="2:14" x14ac:dyDescent="0.25">
      <c r="B47" s="10"/>
    </row>
    <row r="48" spans="2:14" x14ac:dyDescent="0.25">
      <c r="B48" s="10"/>
    </row>
    <row r="49" spans="2:2" x14ac:dyDescent="0.25">
      <c r="B49" s="10"/>
    </row>
    <row r="50" spans="2:2" x14ac:dyDescent="0.25">
      <c r="B50" s="10"/>
    </row>
    <row r="51" spans="2:2" x14ac:dyDescent="0.25">
      <c r="B51" s="10"/>
    </row>
    <row r="52" spans="2:2" x14ac:dyDescent="0.25">
      <c r="B52" s="10"/>
    </row>
    <row r="53" spans="2:2" x14ac:dyDescent="0.25">
      <c r="B53" s="10"/>
    </row>
    <row r="54" spans="2:2" x14ac:dyDescent="0.25">
      <c r="B54" s="10"/>
    </row>
    <row r="55" spans="2:2" x14ac:dyDescent="0.25">
      <c r="B55" s="10"/>
    </row>
    <row r="56" spans="2:2" x14ac:dyDescent="0.25">
      <c r="B56" s="10"/>
    </row>
    <row r="57" spans="2:2" x14ac:dyDescent="0.25">
      <c r="B57" s="10"/>
    </row>
    <row r="58" spans="2:2" x14ac:dyDescent="0.25">
      <c r="B58" s="10"/>
    </row>
    <row r="59" spans="2:2" x14ac:dyDescent="0.25">
      <c r="B59" s="10"/>
    </row>
    <row r="60" spans="2:2" x14ac:dyDescent="0.25">
      <c r="B60" s="10"/>
    </row>
    <row r="61" spans="2:2" x14ac:dyDescent="0.25">
      <c r="B61" s="10"/>
    </row>
    <row r="62" spans="2:2" x14ac:dyDescent="0.25">
      <c r="B62" s="10"/>
    </row>
    <row r="63" spans="2:2" x14ac:dyDescent="0.25">
      <c r="B63" s="10"/>
    </row>
    <row r="64" spans="2:2" x14ac:dyDescent="0.25">
      <c r="B64" s="10"/>
    </row>
    <row r="65" spans="2:2" x14ac:dyDescent="0.25">
      <c r="B65" s="10"/>
    </row>
    <row r="66" spans="2:2" x14ac:dyDescent="0.25">
      <c r="B66" s="10"/>
    </row>
    <row r="67" spans="2:2" x14ac:dyDescent="0.25">
      <c r="B67" s="10"/>
    </row>
    <row r="68" spans="2:2" x14ac:dyDescent="0.25">
      <c r="B68" s="10"/>
    </row>
    <row r="69" spans="2:2" x14ac:dyDescent="0.25">
      <c r="B69" s="10"/>
    </row>
    <row r="70" spans="2:2" x14ac:dyDescent="0.25">
      <c r="B70" s="10"/>
    </row>
    <row r="71" spans="2:2" x14ac:dyDescent="0.25">
      <c r="B71" s="10"/>
    </row>
    <row r="72" spans="2:2" x14ac:dyDescent="0.25">
      <c r="B72" s="10"/>
    </row>
    <row r="73" spans="2:2" x14ac:dyDescent="0.25">
      <c r="B73" s="10"/>
    </row>
    <row r="74" spans="2:2" x14ac:dyDescent="0.25">
      <c r="B74" s="10"/>
    </row>
    <row r="75" spans="2:2" x14ac:dyDescent="0.25">
      <c r="B75" s="10"/>
    </row>
    <row r="76" spans="2:2" x14ac:dyDescent="0.25">
      <c r="B76" s="10"/>
    </row>
    <row r="77" spans="2:2" x14ac:dyDescent="0.25">
      <c r="B77" s="10"/>
    </row>
    <row r="78" spans="2:2" x14ac:dyDescent="0.25">
      <c r="B78" s="10"/>
    </row>
    <row r="79" spans="2:2" x14ac:dyDescent="0.25">
      <c r="B79" s="10"/>
    </row>
    <row r="80" spans="2:2" x14ac:dyDescent="0.25">
      <c r="B80" s="10"/>
    </row>
    <row r="81" spans="2:2" x14ac:dyDescent="0.25">
      <c r="B81" s="10"/>
    </row>
    <row r="82" spans="2:2" x14ac:dyDescent="0.25">
      <c r="B82" s="10"/>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AJ254"/>
  <sheetViews>
    <sheetView showGridLines="0" workbookViewId="0">
      <selection activeCell="C3" sqref="C3"/>
    </sheetView>
  </sheetViews>
  <sheetFormatPr baseColWidth="10" defaultColWidth="9.140625" defaultRowHeight="15" x14ac:dyDescent="0.25"/>
  <cols>
    <col min="1" max="1" width="2.140625" customWidth="1"/>
    <col min="2" max="2" width="16.5703125" bestFit="1" customWidth="1"/>
    <col min="3" max="3" width="19.140625" bestFit="1" customWidth="1"/>
    <col min="9" max="9" width="9" customWidth="1"/>
    <col min="10" max="10" width="9" style="1" customWidth="1"/>
    <col min="11" max="12" width="9" customWidth="1"/>
    <col min="13" max="13" width="9" style="3" customWidth="1"/>
    <col min="15" max="15" width="16.85546875" customWidth="1"/>
  </cols>
  <sheetData>
    <row r="2" spans="2:33" x14ac:dyDescent="0.25">
      <c r="B2" t="s">
        <v>0</v>
      </c>
      <c r="C2" s="2" t="s">
        <v>4</v>
      </c>
      <c r="N2" s="8"/>
    </row>
    <row r="3" spans="2:33" s="13" customFormat="1" x14ac:dyDescent="0.25">
      <c r="B3" s="13" t="s">
        <v>36</v>
      </c>
      <c r="C3" s="49">
        <v>28</v>
      </c>
      <c r="J3" s="15"/>
      <c r="M3" s="12"/>
      <c r="AA3" s="16"/>
    </row>
    <row r="4" spans="2:33" s="13" customFormat="1" x14ac:dyDescent="0.25">
      <c r="B4" s="16"/>
      <c r="D4" s="17"/>
      <c r="G4" s="14"/>
      <c r="H4" s="17"/>
      <c r="J4" s="15"/>
      <c r="M4" s="12"/>
    </row>
    <row r="5" spans="2:33" s="13" customFormat="1" x14ac:dyDescent="0.25">
      <c r="B5" s="16"/>
      <c r="I5" s="14"/>
      <c r="J5" s="14"/>
      <c r="K5" s="14"/>
      <c r="L5" s="14"/>
      <c r="M5" s="14"/>
      <c r="N5" s="18"/>
      <c r="O5" s="18"/>
      <c r="P5" s="18"/>
      <c r="Q5" s="18"/>
      <c r="R5" s="18"/>
      <c r="S5" s="19"/>
      <c r="T5" s="19"/>
      <c r="U5" s="19"/>
      <c r="V5" s="19"/>
      <c r="W5" s="19"/>
      <c r="Y5" s="20"/>
      <c r="AA5" s="14"/>
      <c r="AB5" s="14"/>
      <c r="AC5" s="14"/>
      <c r="AD5" s="14"/>
      <c r="AE5" s="14"/>
      <c r="AG5" s="16"/>
    </row>
    <row r="6" spans="2:33" s="13" customFormat="1" x14ac:dyDescent="0.25">
      <c r="B6" s="15"/>
      <c r="I6" s="21"/>
      <c r="J6" s="21"/>
      <c r="K6" s="21"/>
      <c r="L6" s="21"/>
      <c r="M6" s="21"/>
      <c r="N6" s="22"/>
      <c r="O6" s="22"/>
      <c r="P6" s="22"/>
      <c r="Q6" s="22"/>
      <c r="R6" s="22"/>
      <c r="S6" s="23"/>
      <c r="T6" s="23"/>
      <c r="U6" s="23"/>
      <c r="V6" s="23"/>
      <c r="W6" s="23"/>
      <c r="Y6" s="20"/>
      <c r="AA6" s="14"/>
      <c r="AB6" s="14"/>
      <c r="AC6" s="14"/>
      <c r="AD6" s="14"/>
      <c r="AE6" s="14"/>
    </row>
    <row r="7" spans="2:33" s="13" customFormat="1" x14ac:dyDescent="0.25">
      <c r="B7" s="15"/>
      <c r="I7" s="21"/>
      <c r="J7" s="21"/>
      <c r="K7" s="21"/>
      <c r="L7" s="21"/>
      <c r="M7" s="21"/>
      <c r="N7" s="22"/>
      <c r="O7" s="22"/>
      <c r="P7" s="22"/>
      <c r="Q7" s="22"/>
      <c r="R7" s="22"/>
      <c r="S7" s="23"/>
      <c r="T7" s="23"/>
      <c r="U7" s="23"/>
      <c r="V7" s="23"/>
      <c r="W7" s="23"/>
      <c r="Y7" s="20"/>
      <c r="AA7" s="14"/>
      <c r="AB7" s="14"/>
      <c r="AC7" s="14"/>
      <c r="AD7" s="14"/>
      <c r="AE7" s="14"/>
    </row>
    <row r="8" spans="2:33" s="13" customFormat="1" x14ac:dyDescent="0.25">
      <c r="B8" s="15"/>
      <c r="I8" s="21"/>
      <c r="J8" s="21"/>
      <c r="K8" s="21"/>
      <c r="L8" s="21"/>
      <c r="M8" s="21"/>
      <c r="N8" s="22"/>
      <c r="O8" s="22"/>
      <c r="P8" s="22"/>
      <c r="Q8" s="22"/>
      <c r="R8" s="22"/>
      <c r="S8" s="23"/>
      <c r="T8" s="23"/>
      <c r="U8" s="23"/>
      <c r="V8" s="23"/>
      <c r="W8" s="23"/>
      <c r="Y8" s="20"/>
      <c r="AA8" s="14"/>
      <c r="AB8" s="14"/>
      <c r="AC8" s="14"/>
      <c r="AD8" s="14"/>
      <c r="AE8" s="14"/>
    </row>
    <row r="9" spans="2:33" s="13" customFormat="1" x14ac:dyDescent="0.25">
      <c r="B9" s="15"/>
      <c r="I9" s="21"/>
      <c r="J9" s="21"/>
      <c r="K9" s="21"/>
      <c r="L9" s="21"/>
      <c r="M9" s="21"/>
      <c r="N9" s="22"/>
      <c r="O9" s="22"/>
      <c r="P9" s="22"/>
      <c r="Q9" s="22"/>
      <c r="R9" s="22"/>
      <c r="S9" s="23"/>
      <c r="T9" s="23"/>
      <c r="U9" s="23"/>
      <c r="V9" s="23"/>
      <c r="W9" s="23"/>
      <c r="Y9" s="20"/>
      <c r="AA9" s="16"/>
      <c r="AG9" s="16"/>
    </row>
    <row r="10" spans="2:33" s="13" customFormat="1" x14ac:dyDescent="0.25">
      <c r="B10" s="15"/>
      <c r="I10" s="21"/>
      <c r="J10" s="21"/>
      <c r="K10" s="21"/>
      <c r="L10" s="21"/>
      <c r="M10" s="21"/>
      <c r="N10" s="22"/>
      <c r="O10" s="22"/>
      <c r="P10" s="22"/>
      <c r="Q10" s="22"/>
      <c r="R10" s="22"/>
      <c r="S10" s="23"/>
      <c r="T10" s="23"/>
      <c r="U10" s="23"/>
      <c r="V10" s="23"/>
      <c r="W10" s="23"/>
    </row>
    <row r="11" spans="2:33" s="13" customFormat="1" x14ac:dyDescent="0.25">
      <c r="B11" s="15"/>
      <c r="I11" s="21"/>
      <c r="J11" s="21"/>
      <c r="K11" s="21"/>
      <c r="L11" s="21"/>
      <c r="M11" s="21"/>
      <c r="N11" s="22"/>
      <c r="O11" s="22"/>
      <c r="P11" s="22"/>
      <c r="Q11" s="22"/>
      <c r="R11" s="22"/>
      <c r="S11" s="23"/>
      <c r="T11" s="23"/>
      <c r="U11" s="23"/>
      <c r="V11" s="23"/>
      <c r="W11" s="23"/>
    </row>
    <row r="12" spans="2:33" s="13" customFormat="1" x14ac:dyDescent="0.25">
      <c r="B12" s="15"/>
      <c r="I12" s="21"/>
      <c r="J12" s="21"/>
      <c r="K12" s="21"/>
      <c r="L12" s="21"/>
      <c r="M12" s="21"/>
      <c r="N12" s="22"/>
      <c r="O12" s="22"/>
      <c r="P12" s="22"/>
      <c r="Q12" s="22"/>
      <c r="R12" s="22"/>
      <c r="S12" s="23"/>
      <c r="T12" s="23"/>
      <c r="U12" s="23"/>
      <c r="V12" s="23"/>
      <c r="W12" s="23"/>
    </row>
    <row r="13" spans="2:33" s="13" customFormat="1" x14ac:dyDescent="0.25">
      <c r="B13" s="15"/>
      <c r="I13" s="21"/>
      <c r="J13" s="21"/>
      <c r="K13" s="21"/>
      <c r="L13" s="21"/>
      <c r="M13" s="21"/>
      <c r="N13" s="22"/>
      <c r="O13" s="22"/>
      <c r="P13" s="22"/>
      <c r="Q13" s="22"/>
      <c r="R13" s="22"/>
      <c r="S13" s="23"/>
      <c r="T13" s="23"/>
      <c r="U13" s="23"/>
      <c r="V13" s="23"/>
      <c r="W13" s="23"/>
    </row>
    <row r="14" spans="2:33" s="13" customFormat="1" x14ac:dyDescent="0.25">
      <c r="B14" s="15"/>
      <c r="I14" s="21"/>
      <c r="J14" s="21"/>
      <c r="K14" s="21"/>
      <c r="L14" s="21"/>
      <c r="M14" s="21"/>
      <c r="N14" s="22"/>
      <c r="O14" s="22"/>
      <c r="P14" s="22"/>
      <c r="Q14" s="22"/>
      <c r="R14" s="22"/>
      <c r="S14" s="23"/>
      <c r="T14" s="23"/>
      <c r="U14" s="23"/>
      <c r="V14" s="23"/>
      <c r="W14" s="23"/>
    </row>
    <row r="15" spans="2:33" s="13" customFormat="1" x14ac:dyDescent="0.25">
      <c r="B15" s="15"/>
      <c r="I15" s="21"/>
      <c r="J15" s="21"/>
      <c r="K15" s="21"/>
      <c r="L15" s="21"/>
      <c r="M15" s="21"/>
      <c r="N15" s="22"/>
      <c r="O15" s="22"/>
      <c r="P15" s="22"/>
      <c r="Q15" s="22"/>
      <c r="R15" s="22"/>
      <c r="S15" s="23"/>
      <c r="T15" s="23"/>
      <c r="U15" s="23"/>
      <c r="V15" s="23"/>
      <c r="W15" s="23"/>
      <c r="AA15" s="20"/>
      <c r="AC15" s="20"/>
    </row>
    <row r="16" spans="2:33" s="13" customFormat="1" x14ac:dyDescent="0.25">
      <c r="J16" s="15"/>
      <c r="M16" s="12"/>
      <c r="AA16" s="20"/>
      <c r="AC16" s="20"/>
    </row>
    <row r="17" spans="2:36" s="13" customFormat="1" x14ac:dyDescent="0.25">
      <c r="E17" s="12"/>
      <c r="J17" s="15"/>
      <c r="M17" s="12"/>
      <c r="P17" s="24"/>
      <c r="Q17" s="24"/>
      <c r="R17" s="24"/>
      <c r="S17" s="24"/>
      <c r="T17" s="24"/>
    </row>
    <row r="18" spans="2:36" s="13" customFormat="1" x14ac:dyDescent="0.25">
      <c r="B18" s="16"/>
      <c r="J18" s="25"/>
      <c r="M18" s="12"/>
      <c r="N18" s="16"/>
    </row>
    <row r="19" spans="2:36" s="13" customFormat="1" x14ac:dyDescent="0.25">
      <c r="B19" s="16"/>
      <c r="C19" s="16"/>
      <c r="D19" s="26"/>
      <c r="E19" s="26"/>
      <c r="F19" s="26"/>
      <c r="G19" s="26"/>
      <c r="H19" s="26"/>
      <c r="J19" s="25"/>
      <c r="K19" s="16"/>
      <c r="M19" s="27"/>
      <c r="N19" s="16"/>
      <c r="O19" s="16"/>
      <c r="P19" s="16"/>
      <c r="Q19" s="16"/>
      <c r="R19" s="16"/>
      <c r="S19" s="16"/>
      <c r="T19" s="16"/>
      <c r="U19" s="26"/>
      <c r="V19" s="26"/>
      <c r="W19" s="26"/>
      <c r="X19" s="26"/>
      <c r="Y19" s="26"/>
      <c r="AF19" s="12"/>
      <c r="AG19" s="12"/>
      <c r="AH19" s="12"/>
      <c r="AI19" s="12"/>
      <c r="AJ19" s="12"/>
    </row>
    <row r="20" spans="2:36" s="13" customFormat="1" x14ac:dyDescent="0.25">
      <c r="B20" s="15"/>
      <c r="J20" s="15"/>
      <c r="M20" s="12"/>
      <c r="U20" s="28"/>
      <c r="V20" s="28"/>
      <c r="W20" s="29"/>
      <c r="X20" s="28"/>
      <c r="Y20" s="28"/>
      <c r="AF20" s="12"/>
      <c r="AG20" s="12"/>
      <c r="AH20" s="12"/>
      <c r="AI20" s="12"/>
      <c r="AJ20" s="12"/>
    </row>
    <row r="21" spans="2:36" s="13" customFormat="1" x14ac:dyDescent="0.25">
      <c r="B21" s="15"/>
      <c r="J21" s="15"/>
      <c r="M21" s="12"/>
      <c r="U21" s="28"/>
      <c r="V21" s="28"/>
      <c r="W21" s="29"/>
      <c r="X21" s="28"/>
      <c r="Y21" s="28"/>
      <c r="AF21" s="12"/>
      <c r="AG21" s="12"/>
      <c r="AH21" s="12"/>
      <c r="AI21" s="12"/>
      <c r="AJ21" s="12"/>
    </row>
    <row r="22" spans="2:36" s="13" customFormat="1" x14ac:dyDescent="0.25">
      <c r="B22" s="15"/>
      <c r="J22" s="15"/>
      <c r="M22" s="12"/>
      <c r="U22" s="28"/>
      <c r="V22" s="28"/>
      <c r="W22" s="29"/>
      <c r="X22" s="28"/>
      <c r="Y22" s="28"/>
      <c r="AF22" s="12"/>
      <c r="AG22" s="12"/>
      <c r="AH22" s="12"/>
      <c r="AI22" s="12"/>
      <c r="AJ22" s="12"/>
    </row>
    <row r="23" spans="2:36" s="13" customFormat="1" x14ac:dyDescent="0.25">
      <c r="B23" s="15"/>
      <c r="J23" s="15"/>
      <c r="M23" s="12"/>
      <c r="U23" s="28"/>
      <c r="V23" s="28"/>
      <c r="W23" s="29"/>
      <c r="X23" s="28"/>
      <c r="Y23" s="28"/>
      <c r="AF23" s="12"/>
      <c r="AG23" s="12"/>
      <c r="AH23" s="12"/>
      <c r="AI23" s="12"/>
      <c r="AJ23" s="12"/>
    </row>
    <row r="24" spans="2:36" s="13" customFormat="1" x14ac:dyDescent="0.25">
      <c r="B24" s="15"/>
      <c r="J24" s="15"/>
      <c r="M24" s="12"/>
      <c r="U24" s="28"/>
      <c r="V24" s="28"/>
      <c r="W24" s="29"/>
      <c r="X24" s="28"/>
      <c r="Y24" s="28"/>
      <c r="AF24" s="12"/>
      <c r="AG24" s="12"/>
      <c r="AH24" s="12"/>
      <c r="AI24" s="12"/>
      <c r="AJ24" s="12"/>
    </row>
    <row r="25" spans="2:36" s="13" customFormat="1" x14ac:dyDescent="0.25">
      <c r="B25" s="15"/>
      <c r="J25" s="15"/>
      <c r="M25" s="12"/>
      <c r="U25" s="28"/>
      <c r="V25" s="28"/>
      <c r="W25" s="29"/>
      <c r="X25" s="28"/>
      <c r="Y25" s="28"/>
      <c r="AF25" s="12"/>
      <c r="AG25" s="12"/>
      <c r="AH25" s="12"/>
      <c r="AI25" s="12"/>
      <c r="AJ25" s="12"/>
    </row>
    <row r="26" spans="2:36" s="13" customFormat="1" x14ac:dyDescent="0.25">
      <c r="B26" s="15"/>
      <c r="J26" s="15"/>
      <c r="M26" s="12"/>
      <c r="U26" s="28"/>
      <c r="V26" s="28"/>
      <c r="W26" s="29"/>
      <c r="X26" s="28"/>
      <c r="Y26" s="28"/>
      <c r="AF26" s="12"/>
      <c r="AG26" s="12"/>
      <c r="AH26" s="12"/>
      <c r="AI26" s="12"/>
      <c r="AJ26" s="12"/>
    </row>
    <row r="27" spans="2:36" s="13" customFormat="1" x14ac:dyDescent="0.25">
      <c r="B27" s="15"/>
      <c r="J27" s="15"/>
      <c r="M27" s="12"/>
      <c r="U27" s="28"/>
      <c r="V27" s="28"/>
      <c r="W27" s="29"/>
      <c r="X27" s="28"/>
      <c r="Y27" s="28"/>
      <c r="AF27" s="12"/>
      <c r="AG27" s="12"/>
      <c r="AH27" s="12"/>
      <c r="AI27" s="12"/>
      <c r="AJ27" s="12"/>
    </row>
    <row r="28" spans="2:36" s="13" customFormat="1" x14ac:dyDescent="0.25">
      <c r="B28" s="15"/>
      <c r="J28" s="15"/>
      <c r="M28" s="12"/>
      <c r="U28" s="28"/>
      <c r="V28" s="28"/>
      <c r="W28" s="29"/>
      <c r="X28" s="28"/>
      <c r="Y28" s="28"/>
      <c r="AF28" s="12"/>
      <c r="AG28" s="12"/>
      <c r="AH28" s="12"/>
      <c r="AI28" s="12"/>
      <c r="AJ28" s="12"/>
    </row>
    <row r="29" spans="2:36" s="13" customFormat="1" x14ac:dyDescent="0.25">
      <c r="B29" s="15"/>
      <c r="J29" s="15"/>
      <c r="M29" s="12"/>
      <c r="U29" s="28"/>
      <c r="V29" s="28"/>
      <c r="W29" s="29"/>
      <c r="X29" s="28"/>
      <c r="Y29" s="28"/>
      <c r="AF29" s="12"/>
      <c r="AG29" s="12"/>
      <c r="AH29" s="12"/>
      <c r="AI29" s="12"/>
      <c r="AJ29" s="12"/>
    </row>
    <row r="30" spans="2:36" s="13" customFormat="1" x14ac:dyDescent="0.25">
      <c r="B30" s="15"/>
      <c r="J30" s="15"/>
      <c r="M30" s="12"/>
      <c r="U30" s="28"/>
      <c r="V30" s="28"/>
      <c r="W30" s="29"/>
      <c r="X30" s="28"/>
      <c r="Y30" s="28"/>
      <c r="AF30" s="12"/>
      <c r="AG30" s="12"/>
      <c r="AH30" s="12"/>
      <c r="AI30" s="12"/>
      <c r="AJ30" s="12"/>
    </row>
    <row r="31" spans="2:36" s="13" customFormat="1" x14ac:dyDescent="0.25">
      <c r="B31" s="15"/>
      <c r="J31" s="15"/>
      <c r="M31" s="12"/>
      <c r="U31" s="28"/>
      <c r="V31" s="28"/>
      <c r="W31" s="29"/>
      <c r="X31" s="28"/>
      <c r="Y31" s="28"/>
      <c r="AF31" s="12"/>
      <c r="AG31" s="12"/>
      <c r="AH31" s="12"/>
      <c r="AI31" s="12"/>
      <c r="AJ31" s="12"/>
    </row>
    <row r="32" spans="2:36" s="13" customFormat="1" x14ac:dyDescent="0.25">
      <c r="B32" s="15"/>
      <c r="J32" s="15"/>
      <c r="M32" s="12"/>
      <c r="U32" s="28"/>
      <c r="V32" s="28"/>
      <c r="W32" s="29"/>
      <c r="X32" s="28"/>
      <c r="Y32" s="28"/>
      <c r="AF32" s="12"/>
      <c r="AG32" s="12"/>
      <c r="AH32" s="12"/>
      <c r="AI32" s="12"/>
      <c r="AJ32" s="12"/>
    </row>
    <row r="33" spans="2:36" s="13" customFormat="1" x14ac:dyDescent="0.25">
      <c r="B33" s="15"/>
      <c r="J33" s="15"/>
      <c r="M33" s="12"/>
      <c r="U33" s="28"/>
      <c r="V33" s="28"/>
      <c r="W33" s="29"/>
      <c r="X33" s="28"/>
      <c r="Y33" s="28"/>
      <c r="AF33" s="12"/>
      <c r="AG33" s="12"/>
      <c r="AH33" s="12"/>
      <c r="AI33" s="12"/>
      <c r="AJ33" s="12"/>
    </row>
    <row r="34" spans="2:36" s="13" customFormat="1" x14ac:dyDescent="0.25">
      <c r="B34" s="15"/>
      <c r="J34" s="15"/>
      <c r="M34" s="12"/>
      <c r="U34" s="28"/>
      <c r="V34" s="28"/>
      <c r="W34" s="29"/>
      <c r="X34" s="28"/>
      <c r="Y34" s="28"/>
      <c r="AF34" s="12"/>
      <c r="AG34" s="12"/>
      <c r="AH34" s="12"/>
      <c r="AI34" s="12"/>
      <c r="AJ34" s="12"/>
    </row>
    <row r="35" spans="2:36" s="13" customFormat="1" x14ac:dyDescent="0.25">
      <c r="B35" s="15"/>
      <c r="J35" s="15"/>
      <c r="M35" s="12"/>
      <c r="U35" s="28"/>
      <c r="V35" s="28"/>
      <c r="W35" s="29"/>
      <c r="X35" s="28"/>
      <c r="Y35" s="28"/>
      <c r="AF35" s="12"/>
      <c r="AG35" s="12"/>
      <c r="AH35" s="12"/>
      <c r="AI35" s="12"/>
      <c r="AJ35" s="12"/>
    </row>
    <row r="36" spans="2:36" s="13" customFormat="1" x14ac:dyDescent="0.25">
      <c r="B36" s="15"/>
      <c r="J36" s="15"/>
      <c r="M36" s="12"/>
      <c r="U36" s="28"/>
      <c r="V36" s="28"/>
      <c r="W36" s="29"/>
      <c r="X36" s="28"/>
      <c r="Y36" s="28"/>
      <c r="AF36" s="12"/>
      <c r="AG36" s="12"/>
      <c r="AH36" s="12"/>
      <c r="AI36" s="12"/>
      <c r="AJ36" s="12"/>
    </row>
    <row r="37" spans="2:36" s="13" customFormat="1" x14ac:dyDescent="0.25">
      <c r="B37" s="15"/>
      <c r="J37" s="15"/>
      <c r="M37" s="12"/>
      <c r="U37" s="28"/>
      <c r="V37" s="28"/>
      <c r="W37" s="29"/>
      <c r="X37" s="28"/>
      <c r="Y37" s="28"/>
      <c r="AF37" s="12"/>
      <c r="AG37" s="12"/>
      <c r="AH37" s="12"/>
      <c r="AI37" s="12"/>
      <c r="AJ37" s="12"/>
    </row>
    <row r="38" spans="2:36" s="13" customFormat="1" x14ac:dyDescent="0.25">
      <c r="B38" s="15"/>
      <c r="J38" s="15"/>
      <c r="M38" s="12"/>
      <c r="U38" s="28"/>
      <c r="V38" s="28"/>
      <c r="W38" s="29"/>
      <c r="X38" s="28"/>
      <c r="Y38" s="28"/>
      <c r="AF38" s="12"/>
      <c r="AG38" s="12"/>
      <c r="AH38" s="12"/>
      <c r="AI38" s="12"/>
      <c r="AJ38" s="12"/>
    </row>
    <row r="39" spans="2:36" s="13" customFormat="1" x14ac:dyDescent="0.25">
      <c r="B39" s="15"/>
      <c r="J39" s="15"/>
      <c r="M39" s="12"/>
      <c r="U39" s="28"/>
      <c r="V39" s="28"/>
      <c r="W39" s="29"/>
      <c r="X39" s="28"/>
      <c r="Y39" s="28"/>
      <c r="AF39" s="12"/>
      <c r="AG39" s="12"/>
      <c r="AH39" s="12"/>
      <c r="AI39" s="12"/>
      <c r="AJ39" s="12"/>
    </row>
    <row r="40" spans="2:36" s="13" customFormat="1" x14ac:dyDescent="0.25">
      <c r="B40" s="15"/>
      <c r="J40" s="15"/>
      <c r="M40" s="12"/>
      <c r="U40" s="28"/>
      <c r="V40" s="28"/>
      <c r="W40" s="29"/>
      <c r="X40" s="28"/>
      <c r="Y40" s="28"/>
      <c r="AF40" s="12"/>
      <c r="AG40" s="12"/>
      <c r="AH40" s="12"/>
      <c r="AI40" s="12"/>
      <c r="AJ40" s="12"/>
    </row>
    <row r="41" spans="2:36" s="13" customFormat="1" x14ac:dyDescent="0.25">
      <c r="B41" s="15"/>
      <c r="J41" s="15"/>
      <c r="M41" s="12"/>
      <c r="U41" s="28"/>
      <c r="V41" s="28"/>
      <c r="W41" s="29"/>
      <c r="X41" s="28"/>
      <c r="Y41" s="28"/>
      <c r="AF41" s="12"/>
      <c r="AG41" s="12"/>
      <c r="AH41" s="12"/>
      <c r="AI41" s="12"/>
      <c r="AJ41" s="12"/>
    </row>
    <row r="42" spans="2:36" s="13" customFormat="1" x14ac:dyDescent="0.25">
      <c r="B42" s="15"/>
      <c r="J42" s="15"/>
      <c r="M42" s="12"/>
      <c r="U42" s="28"/>
      <c r="V42" s="28"/>
      <c r="W42" s="29"/>
      <c r="X42" s="28"/>
      <c r="Y42" s="28"/>
      <c r="AF42" s="12"/>
      <c r="AG42" s="12"/>
      <c r="AH42" s="12"/>
      <c r="AI42" s="12"/>
      <c r="AJ42" s="12"/>
    </row>
    <row r="43" spans="2:36" s="13" customFormat="1" x14ac:dyDescent="0.25">
      <c r="B43" s="15"/>
      <c r="J43" s="15"/>
      <c r="M43" s="12"/>
      <c r="U43" s="28"/>
      <c r="V43" s="28"/>
      <c r="W43" s="29"/>
      <c r="X43" s="28"/>
      <c r="Y43" s="28"/>
      <c r="AF43" s="12"/>
      <c r="AG43" s="12"/>
      <c r="AH43" s="12"/>
      <c r="AI43" s="12"/>
      <c r="AJ43" s="12"/>
    </row>
    <row r="44" spans="2:36" s="13" customFormat="1" x14ac:dyDescent="0.25">
      <c r="B44" s="15"/>
      <c r="J44" s="15"/>
      <c r="M44" s="12"/>
      <c r="U44" s="28"/>
      <c r="V44" s="28"/>
      <c r="W44" s="29"/>
      <c r="X44" s="28"/>
      <c r="Y44" s="28"/>
      <c r="AF44" s="12"/>
      <c r="AG44" s="12"/>
      <c r="AH44" s="12"/>
      <c r="AI44" s="12"/>
      <c r="AJ44" s="12"/>
    </row>
    <row r="45" spans="2:36" s="13" customFormat="1" x14ac:dyDescent="0.25">
      <c r="B45" s="15"/>
      <c r="J45" s="15"/>
      <c r="M45" s="12"/>
      <c r="U45" s="28"/>
      <c r="V45" s="28"/>
      <c r="W45" s="29"/>
      <c r="X45" s="28"/>
      <c r="Y45" s="28"/>
      <c r="AF45" s="12"/>
      <c r="AG45" s="12"/>
      <c r="AH45" s="12"/>
      <c r="AI45" s="12"/>
      <c r="AJ45" s="12"/>
    </row>
    <row r="46" spans="2:36" s="13" customFormat="1" x14ac:dyDescent="0.25">
      <c r="B46" s="15"/>
      <c r="J46" s="15"/>
      <c r="M46" s="12"/>
      <c r="U46" s="28"/>
      <c r="V46" s="28"/>
      <c r="W46" s="29"/>
      <c r="X46" s="28"/>
      <c r="Y46" s="28"/>
      <c r="AF46" s="12"/>
      <c r="AG46" s="12"/>
      <c r="AH46" s="12"/>
      <c r="AI46" s="12"/>
      <c r="AJ46" s="12"/>
    </row>
    <row r="47" spans="2:36" s="13" customFormat="1" x14ac:dyDescent="0.25">
      <c r="B47" s="15"/>
      <c r="J47" s="15"/>
      <c r="M47" s="12"/>
      <c r="U47" s="28"/>
      <c r="V47" s="28"/>
      <c r="W47" s="29"/>
      <c r="X47" s="28"/>
      <c r="Y47" s="28"/>
      <c r="AF47" s="12"/>
      <c r="AG47" s="12"/>
      <c r="AH47" s="12"/>
      <c r="AI47" s="12"/>
      <c r="AJ47" s="12"/>
    </row>
    <row r="48" spans="2:36" s="13" customFormat="1" x14ac:dyDescent="0.25">
      <c r="B48" s="15"/>
      <c r="J48" s="15"/>
      <c r="M48" s="12"/>
      <c r="U48" s="28"/>
      <c r="V48" s="28"/>
      <c r="W48" s="29"/>
      <c r="X48" s="28"/>
      <c r="Y48" s="28"/>
      <c r="AF48" s="12"/>
      <c r="AG48" s="12"/>
      <c r="AH48" s="12"/>
      <c r="AI48" s="12"/>
      <c r="AJ48" s="12"/>
    </row>
    <row r="49" spans="2:36" s="13" customFormat="1" x14ac:dyDescent="0.25">
      <c r="B49" s="15"/>
      <c r="J49" s="15"/>
      <c r="M49" s="12"/>
      <c r="U49" s="28"/>
      <c r="V49" s="28"/>
      <c r="W49" s="29"/>
      <c r="X49" s="28"/>
      <c r="Y49" s="28"/>
      <c r="AF49" s="12"/>
      <c r="AG49" s="12"/>
      <c r="AH49" s="12"/>
      <c r="AI49" s="12"/>
      <c r="AJ49" s="12"/>
    </row>
    <row r="50" spans="2:36" s="13" customFormat="1" x14ac:dyDescent="0.25">
      <c r="B50" s="15"/>
      <c r="J50" s="15"/>
      <c r="M50" s="12"/>
      <c r="U50" s="28"/>
      <c r="V50" s="28"/>
      <c r="W50" s="29"/>
      <c r="X50" s="28"/>
      <c r="Y50" s="28"/>
      <c r="AF50" s="12"/>
      <c r="AG50" s="12"/>
      <c r="AH50" s="12"/>
      <c r="AI50" s="12"/>
      <c r="AJ50" s="12"/>
    </row>
    <row r="51" spans="2:36" s="13" customFormat="1" x14ac:dyDescent="0.25">
      <c r="B51" s="15"/>
      <c r="J51" s="15"/>
      <c r="M51" s="12"/>
      <c r="U51" s="28"/>
      <c r="V51" s="28"/>
      <c r="W51" s="29"/>
      <c r="X51" s="28"/>
      <c r="Y51" s="28"/>
      <c r="AF51" s="12"/>
      <c r="AG51" s="12"/>
      <c r="AH51" s="12"/>
      <c r="AI51" s="12"/>
      <c r="AJ51" s="12"/>
    </row>
    <row r="52" spans="2:36" s="13" customFormat="1" x14ac:dyDescent="0.25">
      <c r="B52" s="15"/>
      <c r="J52" s="15"/>
      <c r="M52" s="12"/>
      <c r="U52" s="28"/>
      <c r="V52" s="28"/>
      <c r="W52" s="29"/>
      <c r="X52" s="28"/>
      <c r="Y52" s="28"/>
      <c r="AF52" s="12"/>
      <c r="AG52" s="12"/>
      <c r="AH52" s="12"/>
      <c r="AI52" s="12"/>
      <c r="AJ52" s="12"/>
    </row>
    <row r="53" spans="2:36" s="13" customFormat="1" x14ac:dyDescent="0.25">
      <c r="B53" s="15"/>
      <c r="J53" s="15"/>
      <c r="M53" s="12"/>
      <c r="U53" s="28"/>
      <c r="V53" s="28"/>
      <c r="W53" s="29"/>
      <c r="X53" s="28"/>
      <c r="Y53" s="28"/>
      <c r="AF53" s="12"/>
      <c r="AG53" s="12"/>
      <c r="AH53" s="12"/>
      <c r="AI53" s="12"/>
      <c r="AJ53" s="12"/>
    </row>
    <row r="54" spans="2:36" s="13" customFormat="1" x14ac:dyDescent="0.25">
      <c r="B54" s="15"/>
      <c r="J54" s="15"/>
      <c r="M54" s="12"/>
      <c r="U54" s="28"/>
      <c r="V54" s="28"/>
      <c r="W54" s="29"/>
      <c r="X54" s="28"/>
      <c r="Y54" s="28"/>
      <c r="AF54" s="12"/>
      <c r="AG54" s="12"/>
      <c r="AH54" s="12"/>
      <c r="AI54" s="12"/>
      <c r="AJ54" s="12"/>
    </row>
    <row r="55" spans="2:36" s="13" customFormat="1" x14ac:dyDescent="0.25">
      <c r="B55" s="15"/>
      <c r="J55" s="15"/>
      <c r="M55" s="12"/>
      <c r="U55" s="28"/>
      <c r="V55" s="28"/>
      <c r="W55" s="29"/>
      <c r="X55" s="28"/>
      <c r="Y55" s="28"/>
      <c r="AF55" s="12"/>
      <c r="AG55" s="12"/>
      <c r="AH55" s="12"/>
      <c r="AI55" s="12"/>
      <c r="AJ55" s="12"/>
    </row>
    <row r="56" spans="2:36" s="13" customFormat="1" x14ac:dyDescent="0.25">
      <c r="B56" s="15"/>
      <c r="J56" s="15"/>
      <c r="M56" s="12"/>
      <c r="U56" s="28"/>
      <c r="V56" s="28"/>
      <c r="W56" s="29"/>
      <c r="X56" s="28"/>
      <c r="Y56" s="28"/>
      <c r="AF56" s="12"/>
      <c r="AG56" s="12"/>
      <c r="AH56" s="12"/>
      <c r="AI56" s="12"/>
      <c r="AJ56" s="12"/>
    </row>
    <row r="57" spans="2:36" s="13" customFormat="1" x14ac:dyDescent="0.25">
      <c r="B57" s="15"/>
      <c r="J57" s="15"/>
      <c r="M57" s="12"/>
      <c r="U57" s="28"/>
      <c r="V57" s="28"/>
      <c r="W57" s="29"/>
      <c r="X57" s="28"/>
      <c r="Y57" s="28"/>
      <c r="AF57" s="12"/>
      <c r="AG57" s="12"/>
      <c r="AH57" s="12"/>
      <c r="AI57" s="12"/>
      <c r="AJ57" s="12"/>
    </row>
    <row r="58" spans="2:36" s="13" customFormat="1" x14ac:dyDescent="0.25">
      <c r="B58" s="15"/>
      <c r="J58" s="15"/>
      <c r="M58" s="12"/>
      <c r="U58" s="28"/>
      <c r="V58" s="28"/>
      <c r="W58" s="29"/>
      <c r="X58" s="28"/>
      <c r="Y58" s="28"/>
      <c r="AF58" s="12"/>
      <c r="AG58" s="12"/>
      <c r="AH58" s="12"/>
      <c r="AI58" s="12"/>
      <c r="AJ58" s="12"/>
    </row>
    <row r="59" spans="2:36" s="13" customFormat="1" x14ac:dyDescent="0.25">
      <c r="B59" s="15"/>
      <c r="J59" s="15"/>
      <c r="M59" s="12"/>
      <c r="U59" s="28"/>
      <c r="V59" s="28"/>
      <c r="W59" s="29"/>
      <c r="X59" s="28"/>
      <c r="Y59" s="28"/>
      <c r="AF59" s="12"/>
      <c r="AG59" s="12"/>
      <c r="AH59" s="12"/>
      <c r="AI59" s="12"/>
      <c r="AJ59" s="12"/>
    </row>
    <row r="60" spans="2:36" s="13" customFormat="1" x14ac:dyDescent="0.25">
      <c r="B60" s="15"/>
      <c r="J60" s="15"/>
      <c r="M60" s="12"/>
      <c r="U60" s="28"/>
      <c r="V60" s="28"/>
      <c r="W60" s="29"/>
      <c r="X60" s="28"/>
      <c r="Y60" s="28"/>
      <c r="AF60" s="12"/>
      <c r="AG60" s="12"/>
      <c r="AH60" s="12"/>
      <c r="AI60" s="12"/>
      <c r="AJ60" s="12"/>
    </row>
    <row r="61" spans="2:36" s="13" customFormat="1" x14ac:dyDescent="0.25">
      <c r="B61" s="15"/>
      <c r="J61" s="15"/>
      <c r="M61" s="12"/>
      <c r="U61" s="28"/>
      <c r="V61" s="28"/>
      <c r="W61" s="29"/>
      <c r="X61" s="28"/>
      <c r="Y61" s="28"/>
      <c r="AF61" s="12"/>
      <c r="AG61" s="12"/>
      <c r="AH61" s="12"/>
      <c r="AI61" s="12"/>
      <c r="AJ61" s="12"/>
    </row>
    <row r="62" spans="2:36" s="13" customFormat="1" x14ac:dyDescent="0.25">
      <c r="B62" s="15"/>
      <c r="J62" s="15"/>
      <c r="M62" s="12"/>
      <c r="U62" s="28"/>
      <c r="V62" s="28"/>
      <c r="W62" s="29"/>
      <c r="X62" s="28"/>
      <c r="Y62" s="28"/>
      <c r="AF62" s="12"/>
      <c r="AG62" s="12"/>
      <c r="AH62" s="12"/>
      <c r="AI62" s="12"/>
      <c r="AJ62" s="12"/>
    </row>
    <row r="63" spans="2:36" s="13" customFormat="1" x14ac:dyDescent="0.25">
      <c r="B63" s="15"/>
      <c r="J63" s="15"/>
      <c r="M63" s="12"/>
      <c r="U63" s="28"/>
      <c r="V63" s="28"/>
      <c r="W63" s="29"/>
      <c r="X63" s="28"/>
      <c r="Y63" s="28"/>
      <c r="AF63" s="12"/>
      <c r="AG63" s="12"/>
      <c r="AH63" s="12"/>
      <c r="AI63" s="12"/>
      <c r="AJ63" s="12"/>
    </row>
    <row r="64" spans="2:36" s="13" customFormat="1" x14ac:dyDescent="0.25">
      <c r="B64" s="15"/>
      <c r="J64" s="15"/>
      <c r="M64" s="12"/>
      <c r="U64" s="28"/>
      <c r="V64" s="28"/>
      <c r="W64" s="29"/>
      <c r="X64" s="28"/>
      <c r="Y64" s="28"/>
      <c r="AF64" s="12"/>
      <c r="AG64" s="12"/>
      <c r="AH64" s="12"/>
      <c r="AI64" s="12"/>
      <c r="AJ64" s="12"/>
    </row>
    <row r="65" spans="2:36" s="13" customFormat="1" x14ac:dyDescent="0.25">
      <c r="B65" s="15"/>
      <c r="J65" s="15"/>
      <c r="M65" s="12"/>
      <c r="U65" s="28"/>
      <c r="V65" s="28"/>
      <c r="W65" s="29"/>
      <c r="X65" s="28"/>
      <c r="Y65" s="28"/>
      <c r="AF65" s="12"/>
      <c r="AG65" s="12"/>
      <c r="AH65" s="12"/>
      <c r="AI65" s="12"/>
      <c r="AJ65" s="12"/>
    </row>
    <row r="66" spans="2:36" s="13" customFormat="1" x14ac:dyDescent="0.25">
      <c r="B66" s="15"/>
      <c r="J66" s="15"/>
      <c r="M66" s="12"/>
      <c r="U66" s="28"/>
      <c r="V66" s="28"/>
      <c r="W66" s="29"/>
      <c r="X66" s="28"/>
      <c r="Y66" s="28"/>
      <c r="AF66" s="12"/>
      <c r="AG66" s="12"/>
      <c r="AH66" s="12"/>
      <c r="AI66" s="12"/>
      <c r="AJ66" s="12"/>
    </row>
    <row r="67" spans="2:36" s="13" customFormat="1" x14ac:dyDescent="0.25">
      <c r="B67" s="15"/>
      <c r="J67" s="15"/>
      <c r="M67" s="12"/>
      <c r="U67" s="28"/>
      <c r="V67" s="28"/>
      <c r="W67" s="29"/>
      <c r="X67" s="28"/>
      <c r="Y67" s="28"/>
      <c r="AF67" s="12"/>
      <c r="AG67" s="12"/>
      <c r="AH67" s="12"/>
      <c r="AI67" s="12"/>
      <c r="AJ67" s="12"/>
    </row>
    <row r="68" spans="2:36" s="13" customFormat="1" x14ac:dyDescent="0.25">
      <c r="B68" s="15"/>
      <c r="J68" s="15"/>
      <c r="M68" s="12"/>
      <c r="U68" s="28"/>
      <c r="V68" s="28"/>
      <c r="W68" s="29"/>
      <c r="X68" s="28"/>
      <c r="Y68" s="28"/>
      <c r="AF68" s="12"/>
      <c r="AG68" s="12"/>
      <c r="AH68" s="12"/>
      <c r="AI68" s="12"/>
      <c r="AJ68" s="12"/>
    </row>
    <row r="69" spans="2:36" s="13" customFormat="1" x14ac:dyDescent="0.25">
      <c r="B69" s="15"/>
      <c r="J69" s="15"/>
      <c r="M69" s="12"/>
      <c r="U69" s="28"/>
      <c r="V69" s="28"/>
      <c r="W69" s="29"/>
      <c r="X69" s="28"/>
      <c r="Y69" s="28"/>
      <c r="AF69" s="12"/>
      <c r="AG69" s="12"/>
      <c r="AH69" s="12"/>
      <c r="AI69" s="12"/>
      <c r="AJ69" s="12"/>
    </row>
    <row r="70" spans="2:36" s="13" customFormat="1" x14ac:dyDescent="0.25">
      <c r="B70" s="15"/>
      <c r="J70" s="15"/>
      <c r="M70" s="12"/>
      <c r="U70" s="28"/>
      <c r="V70" s="28"/>
      <c r="W70" s="29"/>
      <c r="X70" s="28"/>
      <c r="Y70" s="28"/>
      <c r="AF70" s="12"/>
      <c r="AG70" s="12"/>
      <c r="AH70" s="12"/>
      <c r="AI70" s="12"/>
      <c r="AJ70" s="12"/>
    </row>
    <row r="71" spans="2:36" s="13" customFormat="1" x14ac:dyDescent="0.25">
      <c r="B71" s="15"/>
      <c r="J71" s="15"/>
      <c r="M71" s="12"/>
      <c r="U71" s="28"/>
      <c r="V71" s="28"/>
      <c r="W71" s="29"/>
      <c r="X71" s="28"/>
      <c r="Y71" s="28"/>
      <c r="AF71" s="12"/>
      <c r="AG71" s="12"/>
      <c r="AH71" s="12"/>
      <c r="AI71" s="12"/>
      <c r="AJ71" s="12"/>
    </row>
    <row r="72" spans="2:36" s="13" customFormat="1" x14ac:dyDescent="0.25">
      <c r="B72" s="15"/>
      <c r="J72" s="15"/>
      <c r="M72" s="12"/>
      <c r="U72" s="28"/>
      <c r="V72" s="28"/>
      <c r="W72" s="29"/>
      <c r="X72" s="28"/>
      <c r="Y72" s="28"/>
      <c r="AF72" s="12"/>
      <c r="AG72" s="12"/>
      <c r="AH72" s="12"/>
      <c r="AI72" s="12"/>
      <c r="AJ72" s="12"/>
    </row>
    <row r="73" spans="2:36" s="13" customFormat="1" x14ac:dyDescent="0.25">
      <c r="B73" s="15"/>
      <c r="J73" s="15"/>
      <c r="M73" s="12"/>
      <c r="U73" s="28"/>
      <c r="V73" s="28"/>
      <c r="W73" s="29"/>
      <c r="X73" s="28"/>
      <c r="Y73" s="28"/>
      <c r="AF73" s="12"/>
      <c r="AG73" s="12"/>
      <c r="AH73" s="12"/>
      <c r="AI73" s="12"/>
      <c r="AJ73" s="12"/>
    </row>
    <row r="74" spans="2:36" s="13" customFormat="1" x14ac:dyDescent="0.25">
      <c r="B74" s="15"/>
      <c r="J74" s="15"/>
      <c r="M74" s="12"/>
      <c r="U74" s="28"/>
      <c r="V74" s="28"/>
      <c r="W74" s="29"/>
      <c r="X74" s="28"/>
      <c r="Y74" s="28"/>
      <c r="AF74" s="12"/>
      <c r="AG74" s="12"/>
      <c r="AH74" s="12"/>
      <c r="AI74" s="12"/>
      <c r="AJ74" s="12"/>
    </row>
    <row r="75" spans="2:36" s="13" customFormat="1" x14ac:dyDescent="0.25">
      <c r="B75" s="15"/>
      <c r="J75" s="15"/>
      <c r="M75" s="12"/>
      <c r="U75" s="28"/>
      <c r="V75" s="28"/>
      <c r="W75" s="29"/>
      <c r="X75" s="28"/>
      <c r="Y75" s="28"/>
      <c r="AF75" s="12"/>
      <c r="AG75" s="12"/>
      <c r="AH75" s="12"/>
      <c r="AI75" s="12"/>
      <c r="AJ75" s="12"/>
    </row>
    <row r="76" spans="2:36" s="13" customFormat="1" x14ac:dyDescent="0.25">
      <c r="B76" s="15"/>
      <c r="J76" s="15"/>
      <c r="M76" s="12"/>
      <c r="U76" s="28"/>
      <c r="V76" s="28"/>
      <c r="W76" s="29"/>
      <c r="X76" s="28"/>
      <c r="Y76" s="28"/>
      <c r="AF76" s="12"/>
      <c r="AG76" s="12"/>
      <c r="AH76" s="12"/>
      <c r="AI76" s="12"/>
      <c r="AJ76" s="12"/>
    </row>
    <row r="77" spans="2:36" s="13" customFormat="1" x14ac:dyDescent="0.25">
      <c r="B77" s="15"/>
      <c r="J77" s="15"/>
      <c r="M77" s="12"/>
      <c r="U77" s="28"/>
      <c r="V77" s="28"/>
      <c r="W77" s="29"/>
      <c r="X77" s="28"/>
      <c r="Y77" s="28"/>
      <c r="AF77" s="12"/>
      <c r="AG77" s="12"/>
      <c r="AH77" s="12"/>
      <c r="AI77" s="12"/>
      <c r="AJ77" s="12"/>
    </row>
    <row r="78" spans="2:36" s="13" customFormat="1" x14ac:dyDescent="0.25">
      <c r="B78" s="15"/>
      <c r="J78" s="15"/>
      <c r="M78" s="12"/>
      <c r="U78" s="28"/>
      <c r="V78" s="28"/>
      <c r="W78" s="29"/>
      <c r="X78" s="28"/>
      <c r="Y78" s="28"/>
      <c r="AF78" s="12"/>
      <c r="AG78" s="12"/>
      <c r="AH78" s="12"/>
      <c r="AI78" s="12"/>
      <c r="AJ78" s="12"/>
    </row>
    <row r="79" spans="2:36" s="13" customFormat="1" x14ac:dyDescent="0.25">
      <c r="B79" s="15"/>
      <c r="J79" s="15"/>
      <c r="M79" s="12"/>
      <c r="U79" s="28"/>
      <c r="V79" s="28"/>
      <c r="W79" s="29"/>
      <c r="X79" s="28"/>
      <c r="Y79" s="28"/>
      <c r="AF79" s="12"/>
      <c r="AG79" s="12"/>
      <c r="AH79" s="12"/>
      <c r="AI79" s="12"/>
      <c r="AJ79" s="12"/>
    </row>
    <row r="80" spans="2:36" s="13" customFormat="1" x14ac:dyDescent="0.25">
      <c r="B80" s="15"/>
      <c r="J80" s="15"/>
      <c r="M80" s="12"/>
      <c r="U80" s="28"/>
      <c r="V80" s="28"/>
      <c r="W80" s="29"/>
      <c r="X80" s="28"/>
      <c r="Y80" s="28"/>
      <c r="AF80" s="12"/>
      <c r="AG80" s="12"/>
      <c r="AH80" s="12"/>
      <c r="AI80" s="12"/>
      <c r="AJ80" s="12"/>
    </row>
    <row r="81" spans="2:36" s="13" customFormat="1" x14ac:dyDescent="0.25">
      <c r="B81" s="15"/>
      <c r="J81" s="15"/>
      <c r="M81" s="12"/>
      <c r="U81" s="28"/>
      <c r="V81" s="28"/>
      <c r="W81" s="29"/>
      <c r="X81" s="28"/>
      <c r="Y81" s="28"/>
      <c r="AF81" s="12"/>
      <c r="AG81" s="12"/>
      <c r="AH81" s="12"/>
      <c r="AI81" s="12"/>
      <c r="AJ81" s="12"/>
    </row>
    <row r="82" spans="2:36" s="13" customFormat="1" x14ac:dyDescent="0.25">
      <c r="B82" s="15"/>
      <c r="J82" s="15"/>
      <c r="M82" s="12"/>
      <c r="U82" s="28"/>
      <c r="V82" s="28"/>
      <c r="W82" s="29"/>
      <c r="X82" s="28"/>
      <c r="Y82" s="28"/>
      <c r="AF82" s="12"/>
      <c r="AG82" s="12"/>
      <c r="AH82" s="12"/>
      <c r="AI82" s="12"/>
      <c r="AJ82" s="12"/>
    </row>
    <row r="83" spans="2:36" s="13" customFormat="1" x14ac:dyDescent="0.25">
      <c r="B83" s="15"/>
      <c r="J83" s="15"/>
      <c r="M83" s="12"/>
      <c r="U83" s="28"/>
      <c r="V83" s="28"/>
      <c r="W83" s="29"/>
      <c r="X83" s="28"/>
      <c r="Y83" s="28"/>
      <c r="AF83" s="12"/>
      <c r="AG83" s="12"/>
      <c r="AH83" s="12"/>
      <c r="AI83" s="12"/>
      <c r="AJ83" s="12"/>
    </row>
    <row r="84" spans="2:36" s="13" customFormat="1" x14ac:dyDescent="0.25">
      <c r="B84" s="15"/>
      <c r="J84" s="15"/>
      <c r="M84" s="12"/>
      <c r="U84" s="28"/>
      <c r="V84" s="28"/>
      <c r="W84" s="29"/>
      <c r="X84" s="28"/>
      <c r="Y84" s="28"/>
      <c r="AF84" s="12"/>
      <c r="AG84" s="12"/>
      <c r="AH84" s="12"/>
      <c r="AI84" s="12"/>
      <c r="AJ84" s="12"/>
    </row>
    <row r="85" spans="2:36" s="13" customFormat="1" x14ac:dyDescent="0.25">
      <c r="B85" s="15"/>
      <c r="J85" s="15"/>
      <c r="M85" s="12"/>
      <c r="U85" s="28"/>
      <c r="V85" s="28"/>
      <c r="W85" s="29"/>
      <c r="X85" s="28"/>
      <c r="Y85" s="28"/>
      <c r="AF85" s="12"/>
      <c r="AG85" s="12"/>
      <c r="AH85" s="12"/>
      <c r="AI85" s="12"/>
      <c r="AJ85" s="12"/>
    </row>
    <row r="86" spans="2:36" s="13" customFormat="1" x14ac:dyDescent="0.25">
      <c r="B86" s="15"/>
      <c r="J86" s="15"/>
      <c r="M86" s="12"/>
      <c r="U86" s="28"/>
      <c r="V86" s="28"/>
      <c r="W86" s="29"/>
      <c r="X86" s="28"/>
      <c r="Y86" s="28"/>
      <c r="AF86" s="12"/>
      <c r="AG86" s="12"/>
      <c r="AH86" s="12"/>
      <c r="AI86" s="12"/>
      <c r="AJ86" s="12"/>
    </row>
    <row r="87" spans="2:36" s="13" customFormat="1" x14ac:dyDescent="0.25">
      <c r="B87" s="15"/>
      <c r="J87" s="15"/>
      <c r="M87" s="12"/>
      <c r="U87" s="28"/>
      <c r="V87" s="28"/>
      <c r="W87" s="29"/>
      <c r="X87" s="28"/>
      <c r="Y87" s="28"/>
      <c r="AF87" s="12"/>
      <c r="AG87" s="12"/>
      <c r="AH87" s="12"/>
      <c r="AI87" s="12"/>
      <c r="AJ87" s="12"/>
    </row>
    <row r="88" spans="2:36" s="13" customFormat="1" x14ac:dyDescent="0.25">
      <c r="B88" s="15"/>
      <c r="J88" s="15"/>
      <c r="M88" s="12"/>
      <c r="U88" s="28"/>
      <c r="V88" s="28"/>
      <c r="W88" s="29"/>
      <c r="X88" s="28"/>
      <c r="Y88" s="28"/>
      <c r="AF88" s="12"/>
      <c r="AG88" s="12"/>
      <c r="AH88" s="12"/>
      <c r="AI88" s="12"/>
      <c r="AJ88" s="12"/>
    </row>
    <row r="89" spans="2:36" s="13" customFormat="1" x14ac:dyDescent="0.25">
      <c r="B89" s="15"/>
      <c r="J89" s="15"/>
      <c r="M89" s="12"/>
      <c r="U89" s="28"/>
      <c r="V89" s="28"/>
      <c r="W89" s="29"/>
      <c r="X89" s="28"/>
      <c r="Y89" s="28"/>
      <c r="AF89" s="12"/>
      <c r="AG89" s="12"/>
      <c r="AH89" s="12"/>
      <c r="AI89" s="12"/>
      <c r="AJ89" s="12"/>
    </row>
    <row r="90" spans="2:36" s="13" customFormat="1" x14ac:dyDescent="0.25">
      <c r="B90" s="15"/>
      <c r="J90" s="15"/>
      <c r="M90" s="12"/>
      <c r="U90" s="28"/>
      <c r="V90" s="28"/>
      <c r="W90" s="29"/>
      <c r="X90" s="28"/>
      <c r="Y90" s="28"/>
      <c r="AF90" s="12"/>
      <c r="AG90" s="12"/>
      <c r="AH90" s="12"/>
      <c r="AI90" s="12"/>
      <c r="AJ90" s="12"/>
    </row>
    <row r="91" spans="2:36" s="13" customFormat="1" x14ac:dyDescent="0.25">
      <c r="B91" s="15"/>
      <c r="J91" s="15"/>
      <c r="M91" s="12"/>
      <c r="U91" s="28"/>
      <c r="V91" s="28"/>
      <c r="W91" s="29"/>
      <c r="X91" s="28"/>
      <c r="Y91" s="28"/>
      <c r="AF91" s="12"/>
      <c r="AG91" s="12"/>
      <c r="AH91" s="12"/>
      <c r="AI91" s="12"/>
      <c r="AJ91" s="12"/>
    </row>
    <row r="92" spans="2:36" s="13" customFormat="1" x14ac:dyDescent="0.25">
      <c r="B92" s="15"/>
      <c r="J92" s="15"/>
      <c r="M92" s="12"/>
      <c r="U92" s="28"/>
      <c r="V92" s="28"/>
      <c r="W92" s="29"/>
      <c r="X92" s="28"/>
      <c r="Y92" s="28"/>
      <c r="AF92" s="12"/>
      <c r="AG92" s="12"/>
      <c r="AH92" s="12"/>
      <c r="AI92" s="12"/>
      <c r="AJ92" s="12"/>
    </row>
    <row r="93" spans="2:36" s="13" customFormat="1" x14ac:dyDescent="0.25">
      <c r="B93" s="15"/>
      <c r="J93" s="15"/>
      <c r="M93" s="12"/>
      <c r="U93" s="28"/>
      <c r="V93" s="28"/>
      <c r="W93" s="29"/>
      <c r="X93" s="28"/>
      <c r="Y93" s="28"/>
      <c r="AF93" s="12"/>
      <c r="AG93" s="12"/>
      <c r="AH93" s="12"/>
      <c r="AI93" s="12"/>
      <c r="AJ93" s="12"/>
    </row>
    <row r="94" spans="2:36" s="13" customFormat="1" x14ac:dyDescent="0.25">
      <c r="B94" s="15"/>
      <c r="J94" s="15"/>
      <c r="M94" s="12"/>
      <c r="U94" s="28"/>
      <c r="V94" s="28"/>
      <c r="W94" s="29"/>
      <c r="X94" s="28"/>
      <c r="Y94" s="28"/>
      <c r="AF94" s="12"/>
      <c r="AG94" s="12"/>
      <c r="AH94" s="12"/>
      <c r="AI94" s="12"/>
      <c r="AJ94" s="12"/>
    </row>
    <row r="95" spans="2:36" s="13" customFormat="1" x14ac:dyDescent="0.25">
      <c r="B95" s="15"/>
      <c r="J95" s="15"/>
      <c r="M95" s="12"/>
      <c r="U95" s="28"/>
      <c r="V95" s="28"/>
      <c r="W95" s="29"/>
      <c r="X95" s="28"/>
      <c r="Y95" s="28"/>
      <c r="AF95" s="12"/>
      <c r="AG95" s="12"/>
      <c r="AH95" s="12"/>
      <c r="AI95" s="12"/>
      <c r="AJ95" s="12"/>
    </row>
    <row r="96" spans="2:36" s="13" customFormat="1" x14ac:dyDescent="0.25">
      <c r="B96" s="15"/>
      <c r="J96" s="15"/>
      <c r="M96" s="12"/>
      <c r="U96" s="28"/>
      <c r="V96" s="28"/>
      <c r="W96" s="29"/>
      <c r="X96" s="28"/>
      <c r="Y96" s="28"/>
      <c r="AF96" s="12"/>
      <c r="AG96" s="12"/>
      <c r="AH96" s="12"/>
      <c r="AI96" s="12"/>
      <c r="AJ96" s="12"/>
    </row>
    <row r="97" spans="2:36" s="13" customFormat="1" x14ac:dyDescent="0.25">
      <c r="B97" s="15"/>
      <c r="J97" s="15"/>
      <c r="M97" s="12"/>
      <c r="U97" s="28"/>
      <c r="V97" s="28"/>
      <c r="W97" s="29"/>
      <c r="X97" s="28"/>
      <c r="Y97" s="28"/>
      <c r="AF97" s="12"/>
      <c r="AG97" s="12"/>
      <c r="AH97" s="12"/>
      <c r="AI97" s="12"/>
      <c r="AJ97" s="12"/>
    </row>
    <row r="98" spans="2:36" s="13" customFormat="1" x14ac:dyDescent="0.25">
      <c r="B98" s="15"/>
      <c r="J98" s="15"/>
      <c r="M98" s="12"/>
      <c r="U98" s="28"/>
      <c r="V98" s="28"/>
      <c r="W98" s="29"/>
      <c r="X98" s="28"/>
      <c r="Y98" s="28"/>
      <c r="AF98" s="12"/>
      <c r="AG98" s="12"/>
      <c r="AH98" s="12"/>
      <c r="AI98" s="12"/>
      <c r="AJ98" s="12"/>
    </row>
    <row r="99" spans="2:36" s="13" customFormat="1" x14ac:dyDescent="0.25">
      <c r="B99" s="15"/>
      <c r="J99" s="15"/>
      <c r="M99" s="12"/>
      <c r="U99" s="28"/>
      <c r="V99" s="28"/>
      <c r="W99" s="29"/>
      <c r="X99" s="28"/>
      <c r="Y99" s="28"/>
      <c r="AF99" s="12"/>
      <c r="AG99" s="12"/>
      <c r="AH99" s="12"/>
      <c r="AI99" s="12"/>
      <c r="AJ99" s="12"/>
    </row>
    <row r="100" spans="2:36" s="13" customFormat="1" x14ac:dyDescent="0.25">
      <c r="B100" s="15"/>
      <c r="J100" s="15"/>
      <c r="M100" s="12"/>
      <c r="U100" s="28"/>
      <c r="V100" s="28"/>
      <c r="W100" s="29"/>
      <c r="X100" s="28"/>
      <c r="Y100" s="28"/>
      <c r="AF100" s="12"/>
      <c r="AG100" s="12"/>
      <c r="AH100" s="12"/>
      <c r="AI100" s="12"/>
      <c r="AJ100" s="12"/>
    </row>
    <row r="101" spans="2:36" s="13" customFormat="1" x14ac:dyDescent="0.25">
      <c r="B101" s="15"/>
      <c r="J101" s="15"/>
      <c r="M101" s="12"/>
      <c r="U101" s="28"/>
      <c r="V101" s="28"/>
      <c r="W101" s="29"/>
      <c r="X101" s="28"/>
      <c r="Y101" s="28"/>
      <c r="AF101" s="12"/>
      <c r="AG101" s="12"/>
      <c r="AH101" s="12"/>
      <c r="AI101" s="12"/>
      <c r="AJ101" s="12"/>
    </row>
    <row r="102" spans="2:36" s="13" customFormat="1" x14ac:dyDescent="0.25">
      <c r="B102" s="15"/>
      <c r="J102" s="15"/>
      <c r="M102" s="12"/>
      <c r="U102" s="28"/>
      <c r="V102" s="28"/>
      <c r="W102" s="29"/>
      <c r="X102" s="28"/>
      <c r="Y102" s="28"/>
      <c r="AF102" s="12"/>
      <c r="AG102" s="12"/>
      <c r="AH102" s="12"/>
      <c r="AI102" s="12"/>
      <c r="AJ102" s="12"/>
    </row>
    <row r="103" spans="2:36" s="13" customFormat="1" x14ac:dyDescent="0.25">
      <c r="B103" s="15"/>
      <c r="J103" s="15"/>
      <c r="M103" s="12"/>
      <c r="U103" s="28"/>
      <c r="V103" s="28"/>
      <c r="W103" s="29"/>
      <c r="X103" s="28"/>
      <c r="Y103" s="28"/>
      <c r="AF103" s="12"/>
      <c r="AG103" s="12"/>
      <c r="AH103" s="12"/>
      <c r="AI103" s="12"/>
      <c r="AJ103" s="12"/>
    </row>
    <row r="104" spans="2:36" s="13" customFormat="1" x14ac:dyDescent="0.25">
      <c r="B104" s="15"/>
      <c r="J104" s="15"/>
      <c r="M104" s="12"/>
      <c r="U104" s="28"/>
      <c r="V104" s="28"/>
      <c r="W104" s="29"/>
      <c r="X104" s="28"/>
      <c r="Y104" s="28"/>
      <c r="AF104" s="12"/>
      <c r="AG104" s="12"/>
      <c r="AH104" s="12"/>
      <c r="AI104" s="12"/>
      <c r="AJ104" s="12"/>
    </row>
    <row r="105" spans="2:36" s="13" customFormat="1" x14ac:dyDescent="0.25">
      <c r="B105" s="15"/>
      <c r="J105" s="15"/>
      <c r="M105" s="12"/>
      <c r="U105" s="28"/>
      <c r="V105" s="28"/>
      <c r="W105" s="29"/>
      <c r="X105" s="28"/>
      <c r="Y105" s="28"/>
      <c r="AF105" s="12"/>
      <c r="AG105" s="12"/>
      <c r="AH105" s="12"/>
      <c r="AI105" s="12"/>
      <c r="AJ105" s="12"/>
    </row>
    <row r="106" spans="2:36" s="13" customFormat="1" x14ac:dyDescent="0.25">
      <c r="B106" s="15"/>
      <c r="J106" s="15"/>
      <c r="M106" s="12"/>
      <c r="U106" s="28"/>
      <c r="V106" s="28"/>
      <c r="W106" s="29"/>
      <c r="X106" s="28"/>
      <c r="Y106" s="28"/>
      <c r="AF106" s="12"/>
      <c r="AG106" s="12"/>
      <c r="AH106" s="12"/>
      <c r="AI106" s="12"/>
      <c r="AJ106" s="12"/>
    </row>
    <row r="107" spans="2:36" s="13" customFormat="1" x14ac:dyDescent="0.25">
      <c r="B107" s="15"/>
      <c r="J107" s="15"/>
      <c r="M107" s="12"/>
      <c r="U107" s="28"/>
      <c r="V107" s="28"/>
      <c r="W107" s="29"/>
      <c r="X107" s="28"/>
      <c r="Y107" s="28"/>
      <c r="AF107" s="12"/>
      <c r="AG107" s="12"/>
      <c r="AH107" s="12"/>
      <c r="AI107" s="12"/>
      <c r="AJ107" s="12"/>
    </row>
    <row r="108" spans="2:36" s="13" customFormat="1" x14ac:dyDescent="0.25">
      <c r="B108" s="15"/>
      <c r="J108" s="15"/>
      <c r="M108" s="12"/>
      <c r="U108" s="28"/>
      <c r="V108" s="28"/>
      <c r="W108" s="29"/>
      <c r="X108" s="28"/>
      <c r="Y108" s="28"/>
      <c r="AF108" s="12"/>
      <c r="AG108" s="12"/>
      <c r="AH108" s="12"/>
      <c r="AI108" s="12"/>
      <c r="AJ108" s="12"/>
    </row>
    <row r="109" spans="2:36" s="13" customFormat="1" x14ac:dyDescent="0.25">
      <c r="B109" s="15"/>
      <c r="J109" s="15"/>
      <c r="M109" s="12"/>
      <c r="U109" s="28"/>
      <c r="V109" s="28"/>
      <c r="W109" s="29"/>
      <c r="X109" s="28"/>
      <c r="Y109" s="28"/>
      <c r="AF109" s="12"/>
      <c r="AG109" s="12"/>
      <c r="AH109" s="12"/>
      <c r="AI109" s="12"/>
      <c r="AJ109" s="12"/>
    </row>
    <row r="110" spans="2:36" s="13" customFormat="1" x14ac:dyDescent="0.25">
      <c r="B110" s="15"/>
      <c r="J110" s="15"/>
      <c r="M110" s="12"/>
      <c r="U110" s="28"/>
      <c r="V110" s="28"/>
      <c r="W110" s="29"/>
      <c r="X110" s="28"/>
      <c r="Y110" s="28"/>
      <c r="AF110" s="12"/>
      <c r="AG110" s="12"/>
      <c r="AH110" s="12"/>
      <c r="AI110" s="12"/>
      <c r="AJ110" s="12"/>
    </row>
    <row r="111" spans="2:36" s="13" customFormat="1" x14ac:dyDescent="0.25">
      <c r="B111" s="15"/>
      <c r="J111" s="15"/>
      <c r="M111" s="12"/>
      <c r="U111" s="28"/>
      <c r="V111" s="28"/>
      <c r="W111" s="29"/>
      <c r="X111" s="28"/>
      <c r="Y111" s="28"/>
      <c r="AF111" s="12"/>
      <c r="AG111" s="12"/>
      <c r="AH111" s="12"/>
      <c r="AI111" s="12"/>
      <c r="AJ111" s="12"/>
    </row>
    <row r="112" spans="2:36" s="13" customFormat="1" x14ac:dyDescent="0.25">
      <c r="B112" s="15"/>
      <c r="J112" s="15"/>
      <c r="M112" s="12"/>
      <c r="U112" s="28"/>
      <c r="V112" s="28"/>
      <c r="W112" s="29"/>
      <c r="X112" s="28"/>
      <c r="Y112" s="28"/>
      <c r="AF112" s="12"/>
      <c r="AG112" s="12"/>
      <c r="AH112" s="12"/>
      <c r="AI112" s="12"/>
      <c r="AJ112" s="12"/>
    </row>
    <row r="113" spans="2:36" s="13" customFormat="1" x14ac:dyDescent="0.25">
      <c r="B113" s="15"/>
      <c r="J113" s="15"/>
      <c r="M113" s="12"/>
      <c r="U113" s="28"/>
      <c r="V113" s="28"/>
      <c r="W113" s="29"/>
      <c r="X113" s="28"/>
      <c r="Y113" s="28"/>
      <c r="AF113" s="12"/>
      <c r="AG113" s="12"/>
      <c r="AH113" s="12"/>
      <c r="AI113" s="12"/>
      <c r="AJ113" s="12"/>
    </row>
    <row r="114" spans="2:36" s="13" customFormat="1" x14ac:dyDescent="0.25">
      <c r="B114" s="15"/>
      <c r="J114" s="15"/>
      <c r="M114" s="12"/>
      <c r="U114" s="28"/>
      <c r="V114" s="28"/>
      <c r="W114" s="29"/>
      <c r="X114" s="28"/>
      <c r="Y114" s="28"/>
      <c r="AF114" s="12"/>
      <c r="AG114" s="12"/>
      <c r="AH114" s="12"/>
      <c r="AI114" s="12"/>
      <c r="AJ114" s="12"/>
    </row>
    <row r="115" spans="2:36" s="13" customFormat="1" x14ac:dyDescent="0.25">
      <c r="B115" s="15"/>
      <c r="J115" s="15"/>
      <c r="M115" s="12"/>
      <c r="U115" s="28"/>
      <c r="V115" s="28"/>
      <c r="W115" s="29"/>
      <c r="X115" s="28"/>
      <c r="Y115" s="28"/>
      <c r="AF115" s="12"/>
      <c r="AG115" s="12"/>
      <c r="AH115" s="12"/>
      <c r="AI115" s="12"/>
      <c r="AJ115" s="12"/>
    </row>
    <row r="116" spans="2:36" s="13" customFormat="1" x14ac:dyDescent="0.25">
      <c r="B116" s="15"/>
      <c r="J116" s="15"/>
      <c r="M116" s="12"/>
      <c r="U116" s="28"/>
      <c r="V116" s="28"/>
      <c r="W116" s="29"/>
      <c r="X116" s="28"/>
      <c r="Y116" s="28"/>
      <c r="AF116" s="12"/>
      <c r="AG116" s="12"/>
      <c r="AH116" s="12"/>
      <c r="AI116" s="12"/>
      <c r="AJ116" s="12"/>
    </row>
    <row r="117" spans="2:36" s="13" customFormat="1" x14ac:dyDescent="0.25">
      <c r="B117" s="15"/>
      <c r="J117" s="15"/>
      <c r="M117" s="12"/>
      <c r="U117" s="28"/>
      <c r="V117" s="28"/>
      <c r="W117" s="29"/>
      <c r="X117" s="28"/>
      <c r="Y117" s="28"/>
      <c r="AF117" s="12"/>
      <c r="AG117" s="12"/>
      <c r="AH117" s="12"/>
      <c r="AI117" s="12"/>
      <c r="AJ117" s="12"/>
    </row>
    <row r="118" spans="2:36" s="13" customFormat="1" x14ac:dyDescent="0.25">
      <c r="B118" s="15"/>
      <c r="J118" s="15"/>
      <c r="M118" s="12"/>
      <c r="U118" s="28"/>
      <c r="V118" s="28"/>
      <c r="W118" s="29"/>
      <c r="X118" s="28"/>
      <c r="Y118" s="28"/>
      <c r="AF118" s="12"/>
      <c r="AG118" s="12"/>
      <c r="AH118" s="12"/>
      <c r="AI118" s="12"/>
      <c r="AJ118" s="12"/>
    </row>
    <row r="119" spans="2:36" s="13" customFormat="1" x14ac:dyDescent="0.25">
      <c r="B119" s="15"/>
      <c r="J119" s="15"/>
      <c r="M119" s="12"/>
      <c r="U119" s="28"/>
      <c r="V119" s="28"/>
      <c r="W119" s="29"/>
      <c r="X119" s="28"/>
      <c r="Y119" s="28"/>
      <c r="AF119" s="12"/>
      <c r="AG119" s="12"/>
      <c r="AH119" s="12"/>
      <c r="AI119" s="12"/>
      <c r="AJ119" s="12"/>
    </row>
    <row r="120" spans="2:36" s="13" customFormat="1" x14ac:dyDescent="0.25">
      <c r="J120" s="15"/>
      <c r="M120" s="12"/>
    </row>
    <row r="121" spans="2:36" s="13" customFormat="1" x14ac:dyDescent="0.25">
      <c r="J121" s="15"/>
      <c r="M121" s="12"/>
    </row>
    <row r="122" spans="2:36" s="13" customFormat="1" x14ac:dyDescent="0.25">
      <c r="J122" s="15"/>
      <c r="M122" s="12"/>
    </row>
    <row r="123" spans="2:36" s="13" customFormat="1" x14ac:dyDescent="0.25">
      <c r="J123" s="15"/>
      <c r="M123" s="12"/>
    </row>
    <row r="124" spans="2:36" s="13" customFormat="1" x14ac:dyDescent="0.25">
      <c r="J124" s="15"/>
      <c r="M124" s="12"/>
    </row>
    <row r="125" spans="2:36" s="13" customFormat="1" x14ac:dyDescent="0.25">
      <c r="J125" s="15"/>
      <c r="M125" s="12"/>
    </row>
    <row r="126" spans="2:36" s="13" customFormat="1" x14ac:dyDescent="0.25">
      <c r="J126" s="15"/>
      <c r="M126" s="12"/>
    </row>
    <row r="127" spans="2:36" s="13" customFormat="1" x14ac:dyDescent="0.25">
      <c r="J127" s="15"/>
      <c r="M127" s="12"/>
    </row>
    <row r="128" spans="2:36" s="13" customFormat="1" x14ac:dyDescent="0.25">
      <c r="J128" s="15"/>
      <c r="M128" s="12"/>
    </row>
    <row r="129" spans="10:13" s="13" customFormat="1" x14ac:dyDescent="0.25">
      <c r="J129" s="15"/>
      <c r="M129" s="12"/>
    </row>
    <row r="130" spans="10:13" s="13" customFormat="1" x14ac:dyDescent="0.25">
      <c r="J130" s="15"/>
      <c r="M130" s="12"/>
    </row>
    <row r="131" spans="10:13" s="13" customFormat="1" x14ac:dyDescent="0.25">
      <c r="J131" s="15"/>
      <c r="M131" s="12"/>
    </row>
    <row r="132" spans="10:13" s="13" customFormat="1" x14ac:dyDescent="0.25">
      <c r="J132" s="15"/>
      <c r="M132" s="12"/>
    </row>
    <row r="133" spans="10:13" s="13" customFormat="1" x14ac:dyDescent="0.25">
      <c r="J133" s="15"/>
      <c r="M133" s="12"/>
    </row>
    <row r="134" spans="10:13" s="13" customFormat="1" x14ac:dyDescent="0.25">
      <c r="J134" s="15"/>
      <c r="M134" s="12"/>
    </row>
    <row r="135" spans="10:13" s="13" customFormat="1" x14ac:dyDescent="0.25">
      <c r="J135" s="15"/>
      <c r="M135" s="12"/>
    </row>
    <row r="136" spans="10:13" s="13" customFormat="1" x14ac:dyDescent="0.25">
      <c r="J136" s="15"/>
      <c r="M136" s="12"/>
    </row>
    <row r="137" spans="10:13" s="13" customFormat="1" x14ac:dyDescent="0.25">
      <c r="J137" s="15"/>
      <c r="M137" s="12"/>
    </row>
    <row r="138" spans="10:13" s="13" customFormat="1" x14ac:dyDescent="0.25">
      <c r="J138" s="15"/>
      <c r="M138" s="12"/>
    </row>
    <row r="139" spans="10:13" s="13" customFormat="1" x14ac:dyDescent="0.25">
      <c r="J139" s="15"/>
      <c r="M139" s="12"/>
    </row>
    <row r="140" spans="10:13" s="13" customFormat="1" x14ac:dyDescent="0.25">
      <c r="J140" s="15"/>
      <c r="M140" s="12"/>
    </row>
    <row r="141" spans="10:13" s="13" customFormat="1" x14ac:dyDescent="0.25">
      <c r="J141" s="15"/>
      <c r="M141" s="12"/>
    </row>
    <row r="142" spans="10:13" s="13" customFormat="1" x14ac:dyDescent="0.25">
      <c r="J142" s="15"/>
      <c r="M142" s="12"/>
    </row>
    <row r="143" spans="10:13" s="13" customFormat="1" x14ac:dyDescent="0.25">
      <c r="J143" s="15"/>
      <c r="M143" s="12"/>
    </row>
    <row r="144" spans="10:13" s="13" customFormat="1" x14ac:dyDescent="0.25">
      <c r="J144" s="15"/>
      <c r="M144" s="12"/>
    </row>
    <row r="145" spans="10:13" s="13" customFormat="1" x14ac:dyDescent="0.25">
      <c r="J145" s="15"/>
      <c r="M145" s="12"/>
    </row>
    <row r="146" spans="10:13" s="13" customFormat="1" x14ac:dyDescent="0.25">
      <c r="J146" s="15"/>
      <c r="M146" s="12"/>
    </row>
    <row r="147" spans="10:13" s="13" customFormat="1" x14ac:dyDescent="0.25">
      <c r="J147" s="15"/>
      <c r="M147" s="12"/>
    </row>
    <row r="148" spans="10:13" s="13" customFormat="1" x14ac:dyDescent="0.25">
      <c r="J148" s="15"/>
      <c r="M148" s="12"/>
    </row>
    <row r="149" spans="10:13" s="13" customFormat="1" x14ac:dyDescent="0.25">
      <c r="J149" s="15"/>
      <c r="M149" s="12"/>
    </row>
    <row r="150" spans="10:13" s="13" customFormat="1" x14ac:dyDescent="0.25">
      <c r="J150" s="15"/>
      <c r="M150" s="12"/>
    </row>
    <row r="151" spans="10:13" s="13" customFormat="1" x14ac:dyDescent="0.25">
      <c r="J151" s="15"/>
      <c r="M151" s="12"/>
    </row>
    <row r="152" spans="10:13" s="13" customFormat="1" x14ac:dyDescent="0.25">
      <c r="J152" s="15"/>
      <c r="M152" s="12"/>
    </row>
    <row r="153" spans="10:13" s="13" customFormat="1" x14ac:dyDescent="0.25">
      <c r="J153" s="15"/>
      <c r="M153" s="12"/>
    </row>
    <row r="154" spans="10:13" s="13" customFormat="1" x14ac:dyDescent="0.25">
      <c r="J154" s="15"/>
      <c r="M154" s="12"/>
    </row>
    <row r="155" spans="10:13" s="13" customFormat="1" x14ac:dyDescent="0.25">
      <c r="J155" s="15"/>
      <c r="M155" s="12"/>
    </row>
    <row r="156" spans="10:13" s="13" customFormat="1" x14ac:dyDescent="0.25">
      <c r="J156" s="15"/>
      <c r="M156" s="12"/>
    </row>
    <row r="157" spans="10:13" s="13" customFormat="1" x14ac:dyDescent="0.25">
      <c r="J157" s="15"/>
      <c r="M157" s="12"/>
    </row>
    <row r="158" spans="10:13" s="13" customFormat="1" x14ac:dyDescent="0.25">
      <c r="J158" s="15"/>
      <c r="M158" s="12"/>
    </row>
    <row r="159" spans="10:13" s="13" customFormat="1" x14ac:dyDescent="0.25">
      <c r="J159" s="15"/>
      <c r="M159" s="12"/>
    </row>
    <row r="160" spans="10:13" s="13" customFormat="1" x14ac:dyDescent="0.25">
      <c r="J160" s="15"/>
      <c r="M160" s="12"/>
    </row>
    <row r="161" spans="10:13" s="13" customFormat="1" x14ac:dyDescent="0.25">
      <c r="J161" s="15"/>
      <c r="M161" s="12"/>
    </row>
    <row r="162" spans="10:13" s="13" customFormat="1" x14ac:dyDescent="0.25">
      <c r="J162" s="15"/>
      <c r="M162" s="12"/>
    </row>
    <row r="163" spans="10:13" s="13" customFormat="1" x14ac:dyDescent="0.25">
      <c r="J163" s="15"/>
      <c r="M163" s="12"/>
    </row>
    <row r="164" spans="10:13" s="13" customFormat="1" x14ac:dyDescent="0.25">
      <c r="J164" s="15"/>
      <c r="M164" s="12"/>
    </row>
    <row r="165" spans="10:13" s="13" customFormat="1" x14ac:dyDescent="0.25">
      <c r="J165" s="15"/>
      <c r="M165" s="12"/>
    </row>
    <row r="166" spans="10:13" s="13" customFormat="1" x14ac:dyDescent="0.25">
      <c r="J166" s="15"/>
      <c r="M166" s="12"/>
    </row>
    <row r="167" spans="10:13" s="13" customFormat="1" x14ac:dyDescent="0.25">
      <c r="J167" s="15"/>
      <c r="M167" s="12"/>
    </row>
    <row r="168" spans="10:13" s="13" customFormat="1" x14ac:dyDescent="0.25">
      <c r="J168" s="15"/>
      <c r="M168" s="12"/>
    </row>
    <row r="169" spans="10:13" s="13" customFormat="1" x14ac:dyDescent="0.25">
      <c r="J169" s="15"/>
      <c r="M169" s="12"/>
    </row>
    <row r="170" spans="10:13" s="13" customFormat="1" x14ac:dyDescent="0.25">
      <c r="J170" s="15"/>
      <c r="M170" s="12"/>
    </row>
    <row r="171" spans="10:13" s="13" customFormat="1" x14ac:dyDescent="0.25">
      <c r="J171" s="15"/>
      <c r="M171" s="12"/>
    </row>
    <row r="172" spans="10:13" s="13" customFormat="1" x14ac:dyDescent="0.25">
      <c r="J172" s="15"/>
      <c r="M172" s="12"/>
    </row>
    <row r="173" spans="10:13" s="13" customFormat="1" x14ac:dyDescent="0.25">
      <c r="J173" s="15"/>
      <c r="M173" s="12"/>
    </row>
    <row r="174" spans="10:13" s="13" customFormat="1" x14ac:dyDescent="0.25">
      <c r="J174" s="15"/>
      <c r="M174" s="12"/>
    </row>
    <row r="175" spans="10:13" s="13" customFormat="1" x14ac:dyDescent="0.25">
      <c r="J175" s="15"/>
      <c r="M175" s="12"/>
    </row>
    <row r="176" spans="10:13" s="13" customFormat="1" x14ac:dyDescent="0.25">
      <c r="J176" s="15"/>
      <c r="M176" s="12"/>
    </row>
    <row r="177" spans="10:13" s="13" customFormat="1" x14ac:dyDescent="0.25">
      <c r="J177" s="15"/>
      <c r="M177" s="12"/>
    </row>
    <row r="178" spans="10:13" s="13" customFormat="1" x14ac:dyDescent="0.25">
      <c r="J178" s="15"/>
      <c r="M178" s="12"/>
    </row>
    <row r="179" spans="10:13" s="13" customFormat="1" x14ac:dyDescent="0.25">
      <c r="J179" s="15"/>
      <c r="M179" s="12"/>
    </row>
    <row r="180" spans="10:13" s="13" customFormat="1" x14ac:dyDescent="0.25">
      <c r="J180" s="15"/>
      <c r="M180" s="12"/>
    </row>
    <row r="181" spans="10:13" s="13" customFormat="1" x14ac:dyDescent="0.25">
      <c r="J181" s="15"/>
      <c r="M181" s="12"/>
    </row>
    <row r="182" spans="10:13" s="13" customFormat="1" x14ac:dyDescent="0.25">
      <c r="J182" s="15"/>
      <c r="M182" s="12"/>
    </row>
    <row r="183" spans="10:13" s="13" customFormat="1" x14ac:dyDescent="0.25">
      <c r="J183" s="15"/>
      <c r="M183" s="12"/>
    </row>
    <row r="184" spans="10:13" s="13" customFormat="1" x14ac:dyDescent="0.25">
      <c r="J184" s="15"/>
      <c r="M184" s="12"/>
    </row>
    <row r="185" spans="10:13" s="13" customFormat="1" x14ac:dyDescent="0.25">
      <c r="J185" s="15"/>
      <c r="M185" s="12"/>
    </row>
    <row r="186" spans="10:13" s="13" customFormat="1" x14ac:dyDescent="0.25">
      <c r="J186" s="15"/>
      <c r="M186" s="12"/>
    </row>
    <row r="187" spans="10:13" s="13" customFormat="1" x14ac:dyDescent="0.25">
      <c r="J187" s="15"/>
      <c r="M187" s="12"/>
    </row>
    <row r="188" spans="10:13" s="13" customFormat="1" x14ac:dyDescent="0.25">
      <c r="J188" s="15"/>
      <c r="M188" s="12"/>
    </row>
    <row r="189" spans="10:13" s="13" customFormat="1" x14ac:dyDescent="0.25">
      <c r="J189" s="15"/>
      <c r="M189" s="12"/>
    </row>
    <row r="190" spans="10:13" s="13" customFormat="1" x14ac:dyDescent="0.25">
      <c r="J190" s="15"/>
      <c r="M190" s="12"/>
    </row>
    <row r="191" spans="10:13" s="13" customFormat="1" x14ac:dyDescent="0.25">
      <c r="J191" s="15"/>
      <c r="M191" s="12"/>
    </row>
    <row r="192" spans="10:13" s="13" customFormat="1" x14ac:dyDescent="0.25">
      <c r="J192" s="15"/>
      <c r="M192" s="12"/>
    </row>
    <row r="193" spans="10:13" s="13" customFormat="1" x14ac:dyDescent="0.25">
      <c r="J193" s="15"/>
      <c r="M193" s="12"/>
    </row>
    <row r="194" spans="10:13" s="13" customFormat="1" x14ac:dyDescent="0.25">
      <c r="J194" s="15"/>
      <c r="M194" s="12"/>
    </row>
    <row r="195" spans="10:13" s="13" customFormat="1" x14ac:dyDescent="0.25">
      <c r="J195" s="15"/>
      <c r="M195" s="12"/>
    </row>
    <row r="196" spans="10:13" s="13" customFormat="1" x14ac:dyDescent="0.25">
      <c r="J196" s="15"/>
      <c r="M196" s="12"/>
    </row>
    <row r="197" spans="10:13" s="13" customFormat="1" x14ac:dyDescent="0.25">
      <c r="J197" s="15"/>
      <c r="M197" s="12"/>
    </row>
    <row r="198" spans="10:13" s="13" customFormat="1" x14ac:dyDescent="0.25">
      <c r="J198" s="15"/>
      <c r="M198" s="12"/>
    </row>
    <row r="199" spans="10:13" s="13" customFormat="1" x14ac:dyDescent="0.25">
      <c r="J199" s="15"/>
      <c r="M199" s="12"/>
    </row>
    <row r="200" spans="10:13" s="13" customFormat="1" x14ac:dyDescent="0.25">
      <c r="J200" s="15"/>
      <c r="M200" s="12"/>
    </row>
    <row r="201" spans="10:13" s="13" customFormat="1" x14ac:dyDescent="0.25">
      <c r="J201" s="15"/>
      <c r="M201" s="12"/>
    </row>
    <row r="202" spans="10:13" s="13" customFormat="1" x14ac:dyDescent="0.25">
      <c r="J202" s="15"/>
      <c r="M202" s="12"/>
    </row>
    <row r="203" spans="10:13" s="13" customFormat="1" x14ac:dyDescent="0.25">
      <c r="J203" s="15"/>
      <c r="M203" s="12"/>
    </row>
    <row r="204" spans="10:13" s="13" customFormat="1" x14ac:dyDescent="0.25">
      <c r="J204" s="15"/>
      <c r="M204" s="12"/>
    </row>
    <row r="205" spans="10:13" s="13" customFormat="1" x14ac:dyDescent="0.25">
      <c r="J205" s="15"/>
      <c r="M205" s="12"/>
    </row>
    <row r="206" spans="10:13" s="13" customFormat="1" x14ac:dyDescent="0.25">
      <c r="J206" s="15"/>
      <c r="M206" s="12"/>
    </row>
    <row r="207" spans="10:13" s="13" customFormat="1" x14ac:dyDescent="0.25">
      <c r="J207" s="15"/>
      <c r="M207" s="12"/>
    </row>
    <row r="208" spans="10:13" s="13" customFormat="1" x14ac:dyDescent="0.25">
      <c r="J208" s="15"/>
      <c r="M208" s="12"/>
    </row>
    <row r="209" spans="10:13" s="13" customFormat="1" x14ac:dyDescent="0.25">
      <c r="J209" s="15"/>
      <c r="M209" s="12"/>
    </row>
    <row r="210" spans="10:13" s="13" customFormat="1" x14ac:dyDescent="0.25">
      <c r="J210" s="15"/>
      <c r="M210" s="12"/>
    </row>
    <row r="211" spans="10:13" s="13" customFormat="1" x14ac:dyDescent="0.25">
      <c r="J211" s="15"/>
      <c r="M211" s="12"/>
    </row>
    <row r="212" spans="10:13" s="13" customFormat="1" x14ac:dyDescent="0.25">
      <c r="J212" s="15"/>
      <c r="M212" s="12"/>
    </row>
    <row r="213" spans="10:13" s="13" customFormat="1" x14ac:dyDescent="0.25">
      <c r="J213" s="15"/>
      <c r="M213" s="12"/>
    </row>
    <row r="214" spans="10:13" s="13" customFormat="1" x14ac:dyDescent="0.25">
      <c r="J214" s="15"/>
      <c r="M214" s="12"/>
    </row>
    <row r="215" spans="10:13" s="13" customFormat="1" x14ac:dyDescent="0.25">
      <c r="J215" s="15"/>
      <c r="M215" s="12"/>
    </row>
    <row r="216" spans="10:13" s="13" customFormat="1" x14ac:dyDescent="0.25">
      <c r="J216" s="15"/>
      <c r="M216" s="12"/>
    </row>
    <row r="217" spans="10:13" s="13" customFormat="1" x14ac:dyDescent="0.25">
      <c r="J217" s="15"/>
      <c r="M217" s="12"/>
    </row>
    <row r="218" spans="10:13" s="13" customFormat="1" x14ac:dyDescent="0.25">
      <c r="J218" s="15"/>
      <c r="M218" s="12"/>
    </row>
    <row r="219" spans="10:13" s="13" customFormat="1" x14ac:dyDescent="0.25">
      <c r="J219" s="15"/>
      <c r="M219" s="12"/>
    </row>
    <row r="220" spans="10:13" s="13" customFormat="1" x14ac:dyDescent="0.25">
      <c r="J220" s="15"/>
      <c r="M220" s="12"/>
    </row>
    <row r="221" spans="10:13" s="13" customFormat="1" x14ac:dyDescent="0.25">
      <c r="J221" s="15"/>
      <c r="M221" s="12"/>
    </row>
    <row r="222" spans="10:13" s="13" customFormat="1" x14ac:dyDescent="0.25">
      <c r="J222" s="15"/>
      <c r="M222" s="12"/>
    </row>
    <row r="223" spans="10:13" s="13" customFormat="1" x14ac:dyDescent="0.25">
      <c r="J223" s="15"/>
      <c r="M223" s="12"/>
    </row>
    <row r="224" spans="10:13" s="13" customFormat="1" x14ac:dyDescent="0.25">
      <c r="J224" s="15"/>
      <c r="M224" s="12"/>
    </row>
    <row r="225" spans="10:13" s="13" customFormat="1" x14ac:dyDescent="0.25">
      <c r="J225" s="15"/>
      <c r="M225" s="12"/>
    </row>
    <row r="226" spans="10:13" s="13" customFormat="1" x14ac:dyDescent="0.25">
      <c r="J226" s="15"/>
      <c r="M226" s="12"/>
    </row>
    <row r="227" spans="10:13" s="13" customFormat="1" x14ac:dyDescent="0.25">
      <c r="J227" s="15"/>
      <c r="M227" s="12"/>
    </row>
    <row r="228" spans="10:13" s="13" customFormat="1" x14ac:dyDescent="0.25">
      <c r="J228" s="15"/>
      <c r="M228" s="12"/>
    </row>
    <row r="229" spans="10:13" s="13" customFormat="1" x14ac:dyDescent="0.25">
      <c r="J229" s="15"/>
      <c r="M229" s="12"/>
    </row>
    <row r="230" spans="10:13" s="13" customFormat="1" x14ac:dyDescent="0.25">
      <c r="J230" s="15"/>
      <c r="M230" s="12"/>
    </row>
    <row r="231" spans="10:13" s="13" customFormat="1" x14ac:dyDescent="0.25">
      <c r="J231" s="15"/>
      <c r="M231" s="12"/>
    </row>
    <row r="232" spans="10:13" s="13" customFormat="1" x14ac:dyDescent="0.25">
      <c r="J232" s="15"/>
      <c r="M232" s="12"/>
    </row>
    <row r="233" spans="10:13" s="13" customFormat="1" x14ac:dyDescent="0.25">
      <c r="J233" s="15"/>
      <c r="M233" s="12"/>
    </row>
    <row r="234" spans="10:13" s="13" customFormat="1" x14ac:dyDescent="0.25">
      <c r="J234" s="15"/>
      <c r="M234" s="12"/>
    </row>
    <row r="235" spans="10:13" s="13" customFormat="1" x14ac:dyDescent="0.25">
      <c r="J235" s="15"/>
      <c r="M235" s="12"/>
    </row>
    <row r="236" spans="10:13" s="13" customFormat="1" x14ac:dyDescent="0.25">
      <c r="J236" s="15"/>
      <c r="M236" s="12"/>
    </row>
    <row r="237" spans="10:13" s="13" customFormat="1" x14ac:dyDescent="0.25">
      <c r="J237" s="15"/>
      <c r="M237" s="12"/>
    </row>
    <row r="238" spans="10:13" s="13" customFormat="1" x14ac:dyDescent="0.25">
      <c r="J238" s="15"/>
      <c r="M238" s="12"/>
    </row>
    <row r="239" spans="10:13" s="13" customFormat="1" x14ac:dyDescent="0.25">
      <c r="J239" s="15"/>
      <c r="M239" s="12"/>
    </row>
    <row r="240" spans="10:13" s="13" customFormat="1" x14ac:dyDescent="0.25">
      <c r="J240" s="15"/>
      <c r="M240" s="12"/>
    </row>
    <row r="241" spans="10:13" s="13" customFormat="1" x14ac:dyDescent="0.25">
      <c r="J241" s="15"/>
      <c r="M241" s="12"/>
    </row>
    <row r="242" spans="10:13" s="13" customFormat="1" x14ac:dyDescent="0.25">
      <c r="J242" s="15"/>
      <c r="M242" s="12"/>
    </row>
    <row r="243" spans="10:13" s="13" customFormat="1" x14ac:dyDescent="0.25">
      <c r="J243" s="15"/>
      <c r="M243" s="12"/>
    </row>
    <row r="244" spans="10:13" s="13" customFormat="1" x14ac:dyDescent="0.25">
      <c r="J244" s="15"/>
      <c r="M244" s="12"/>
    </row>
    <row r="245" spans="10:13" s="13" customFormat="1" x14ac:dyDescent="0.25">
      <c r="J245" s="15"/>
      <c r="M245" s="12"/>
    </row>
    <row r="246" spans="10:13" s="13" customFormat="1" x14ac:dyDescent="0.25">
      <c r="J246" s="15"/>
      <c r="M246" s="12"/>
    </row>
    <row r="247" spans="10:13" s="13" customFormat="1" x14ac:dyDescent="0.25">
      <c r="J247" s="15"/>
      <c r="M247" s="12"/>
    </row>
    <row r="248" spans="10:13" s="13" customFormat="1" x14ac:dyDescent="0.25">
      <c r="J248" s="15"/>
      <c r="M248" s="12"/>
    </row>
    <row r="249" spans="10:13" s="13" customFormat="1" x14ac:dyDescent="0.25">
      <c r="J249" s="15"/>
      <c r="M249" s="12"/>
    </row>
    <row r="250" spans="10:13" s="13" customFormat="1" x14ac:dyDescent="0.25">
      <c r="J250" s="15"/>
      <c r="M250" s="12"/>
    </row>
    <row r="251" spans="10:13" s="13" customFormat="1" x14ac:dyDescent="0.25">
      <c r="J251" s="15"/>
      <c r="M251" s="12"/>
    </row>
    <row r="252" spans="10:13" s="13" customFormat="1" x14ac:dyDescent="0.25">
      <c r="J252" s="15"/>
      <c r="M252" s="12"/>
    </row>
    <row r="253" spans="10:13" s="13" customFormat="1" x14ac:dyDescent="0.25">
      <c r="J253" s="15"/>
      <c r="M253" s="12"/>
    </row>
    <row r="254" spans="10:13" s="13" customFormat="1" x14ac:dyDescent="0.25">
      <c r="J254" s="15"/>
      <c r="M254" s="1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H6"/>
  <sheetViews>
    <sheetView zoomScale="55" zoomScaleNormal="55" workbookViewId="0">
      <selection activeCell="D11" sqref="D11"/>
    </sheetView>
  </sheetViews>
  <sheetFormatPr baseColWidth="10" defaultRowHeight="15" x14ac:dyDescent="0.25"/>
  <cols>
    <col min="2" max="2" width="20.140625" customWidth="1"/>
  </cols>
  <sheetData>
    <row r="1" spans="1:8" ht="95.25" customHeight="1" x14ac:dyDescent="0.25">
      <c r="A1" s="133" t="s">
        <v>2</v>
      </c>
      <c r="B1" s="133"/>
      <c r="C1" s="134" t="s">
        <v>23</v>
      </c>
      <c r="D1" s="134"/>
      <c r="E1" s="134"/>
      <c r="F1" s="134"/>
      <c r="G1" s="134"/>
      <c r="H1" s="134"/>
    </row>
    <row r="2" spans="1:8" ht="69.75" customHeight="1" x14ac:dyDescent="0.25">
      <c r="A2" s="133" t="s">
        <v>3</v>
      </c>
      <c r="B2" s="133" t="s">
        <v>10</v>
      </c>
      <c r="C2" s="135" t="s">
        <v>21</v>
      </c>
      <c r="D2" s="135"/>
      <c r="E2" s="135"/>
      <c r="F2" s="135"/>
      <c r="G2" s="135"/>
      <c r="H2" s="135"/>
    </row>
    <row r="3" spans="1:8" ht="45.75" customHeight="1" x14ac:dyDescent="0.25">
      <c r="A3" s="133" t="s">
        <v>4</v>
      </c>
      <c r="B3" s="133" t="s">
        <v>11</v>
      </c>
      <c r="C3" s="134" t="s">
        <v>15</v>
      </c>
      <c r="D3" s="134"/>
      <c r="E3" s="134"/>
      <c r="F3" s="134"/>
      <c r="G3" s="134"/>
      <c r="H3" s="134"/>
    </row>
    <row r="4" spans="1:8" ht="32.25" customHeight="1" x14ac:dyDescent="0.25">
      <c r="A4" s="133" t="s">
        <v>5</v>
      </c>
      <c r="B4" s="133"/>
      <c r="C4" s="134" t="s">
        <v>14</v>
      </c>
      <c r="D4" s="134"/>
      <c r="E4" s="134"/>
      <c r="F4" s="134"/>
      <c r="G4" s="134"/>
      <c r="H4" s="134"/>
    </row>
    <row r="5" spans="1:8" ht="20.25" customHeight="1" x14ac:dyDescent="0.25">
      <c r="A5" s="133" t="s">
        <v>22</v>
      </c>
      <c r="B5" s="133" t="s">
        <v>12</v>
      </c>
      <c r="C5" s="134" t="s">
        <v>13</v>
      </c>
      <c r="D5" s="134"/>
      <c r="E5" s="134"/>
      <c r="F5" s="134"/>
      <c r="G5" s="134"/>
      <c r="H5" s="134"/>
    </row>
    <row r="6" spans="1:8" ht="46.5" customHeight="1" x14ac:dyDescent="0.25">
      <c r="A6" s="133" t="s">
        <v>1</v>
      </c>
      <c r="B6" s="133"/>
      <c r="C6" s="134" t="str">
        <f>"Corresponde al tiempo de trabajo que exceda de los límites de la jornada regular y que debe ser remunerado de acuerdo a los lineamientos de Capital Humano. Referirse a la Norma de Horas Extras para mayor información."</f>
        <v>Corresponde al tiempo de trabajo que exceda de los límites de la jornada regular y que debe ser remunerado de acuerdo a los lineamientos de Capital Humano. Referirse a la Norma de Horas Extras para mayor información.</v>
      </c>
      <c r="D6" s="134"/>
      <c r="E6" s="134"/>
      <c r="F6" s="134"/>
      <c r="G6" s="134"/>
      <c r="H6" s="134"/>
    </row>
  </sheetData>
  <mergeCells count="12">
    <mergeCell ref="A5:B5"/>
    <mergeCell ref="C5:H5"/>
    <mergeCell ref="A4:B4"/>
    <mergeCell ref="C4:H4"/>
    <mergeCell ref="A6:B6"/>
    <mergeCell ref="C6:H6"/>
    <mergeCell ref="A1:B1"/>
    <mergeCell ref="C1:H1"/>
    <mergeCell ref="A2:B2"/>
    <mergeCell ref="C2:H2"/>
    <mergeCell ref="A3:B3"/>
    <mergeCell ref="C3:H3"/>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3C95F35-6DAB-49D9-B410-056E9A7C3104}">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5</vt:i4>
      </vt:variant>
    </vt:vector>
  </HeadingPairs>
  <TitlesOfParts>
    <vt:vector size="6" baseType="lpstr">
      <vt:lpstr>Info</vt:lpstr>
      <vt:lpstr>ClOrd</vt:lpstr>
      <vt:lpstr>orderfld</vt:lpstr>
      <vt:lpstr>ranrowgrid</vt:lpstr>
      <vt:lpstr>valRowGrid</vt:lpstr>
      <vt:lpstr>valSelOption</vt:lpstr>
    </vt:vector>
  </TitlesOfParts>
  <Company>Chandoo.org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reinier</dc:creator>
  <cp:lastModifiedBy>Axel Amaya</cp:lastModifiedBy>
  <cp:lastPrinted>2018-09-27T18:16:17Z</cp:lastPrinted>
  <dcterms:created xsi:type="dcterms:W3CDTF">2011-02-09T04:29:44Z</dcterms:created>
  <dcterms:modified xsi:type="dcterms:W3CDTF">2019-08-26T22:18:03Z</dcterms:modified>
</cp:coreProperties>
</file>